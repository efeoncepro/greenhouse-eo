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d459b1b3f140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ciones" sheetId="1" r:id="R64e58f8b23f44c53"/>
    <x:sheet xmlns:r="http://schemas.openxmlformats.org/officeDocument/2006/relationships" name="Serie mensual" sheetId="2" r:id="R932b5eee3fd54550"/>
    <x:sheet xmlns:r="http://schemas.openxmlformats.org/officeDocument/2006/relationships" name="Inventario" sheetId="3" r:id="R2a0876fc7cf449b8"/>
    <x:sheet xmlns:r="http://schemas.openxmlformats.org/officeDocument/2006/relationships" name="Consultas" sheetId="4" r:id="Rf7b4be69ee764bf8"/>
    <x:sheet xmlns:r="http://schemas.openxmlformats.org/officeDocument/2006/relationships" name="Visibilidad" sheetId="5" r:id="Re789f356180b4c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 yyyy"/>
    <x:numFmt numFmtId="201" formatCode="#,##0"/>
    <x:numFmt numFmtId="202" formatCode="0.00"/>
    <x:numFmt numFmtId="203" formatCode="0.0%"/>
    <x:numFmt numFmtId="204" formatCode="0.00%"/>
    <x:numFmt numFmtId="205" formatCode="dd/mm/yyyy"/>
    <x:numFmt numFmtId="206" formatCode="#,##0.00"/>
  </x:numFmts>
  <x:fonts count="5">
    <x:font>
      <x:sz val="11"/>
      <x:name val="Carlito"/>
    </x:font>
    <x:font>
      <x:sz val="10"/>
      <x:color rgb="FF25364A"/>
      <x:name val="Arial"/>
    </x:font>
    <x:font>
      <x:b/>
      <x:sz val="15"/>
      <x:color rgb="FF182D48"/>
      <x:name val="Arial"/>
    </x:font>
    <x:font>
      <x:i/>
      <x:sz val="10"/>
      <x:color rgb="FF53657B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23D5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5" fontId="1" fillId="0" borderId="0" xfId="0" applyNumberFormat="1" applyFont="1" applyFill="1" applyBorder="1" applyAlignment="1">
      <x:alignment vertical="center"/>
    </x:xf>
    <x:xf numFmtId="206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1">
    <x:dxf>
      <x:font>
        <x:b/>
        <x:color rgb="FF9B2B20"/>
      </x:font>
      <x:fill>
        <x:patternFill patternType="solid">
          <x:bgColor rgb="FFFCE5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c4e0afdf2b64280" /><Relationship Type="http://schemas.openxmlformats.org/officeDocument/2006/relationships/theme" Target="/xl/theme/theme1.xml" Id="Rae8d6b78d68f4c04" /><Relationship Type="http://schemas.microsoft.com/office/2022/11/relationships/FeaturePropertyBag" Target="/xl/featurePropertyBag/featurePropertyBag.xml" Id="R917bc48afe99438e" /><Relationship Type="http://schemas.openxmlformats.org/officeDocument/2006/relationships/sharedStrings" Target="/xl/sharedStrings.xml" Id="R831ed00223ed493a" /><Relationship Type="http://schemas.openxmlformats.org/officeDocument/2006/relationships/worksheet" Target="/xl/worksheets/sheet1.xml" Id="R64e58f8b23f44c53" /><Relationship Type="http://schemas.openxmlformats.org/officeDocument/2006/relationships/worksheet" Target="/xl/worksheets/sheet2.xml" Id="R932b5eee3fd54550" /><Relationship Type="http://schemas.openxmlformats.org/officeDocument/2006/relationships/worksheet" Target="/xl/worksheets/sheet3.xml" Id="R2a0876fc7cf449b8" /><Relationship Type="http://schemas.openxmlformats.org/officeDocument/2006/relationships/worksheet" Target="/xl/worksheets/sheet4.xml" Id="Rf7b4be69ee764bf8" /><Relationship Type="http://schemas.openxmlformats.org/officeDocument/2006/relationships/worksheet" Target="/xl/worksheets/sheet5.xml" Id="Re789f356180b4c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AccionesDatos" displayName="AccionesDatos" ref="A10:H22" headerRowCount="1" totalsRowCount="0" totalsRowShown="0">
  <x:autoFilter ref="A10:H22"/>
  <x:tableColumns count="8">
    <x:tableColumn id="1" name="Prioridad"/>
    <x:tableColumn id="2" name="Hallazgo"/>
    <x:tableColumn id="3" name="Acción"/>
    <x:tableColumn id="4" name="Owner propuesto"/>
    <x:tableColumn id="5" name="Evidencia"/>
    <x:tableColumn id="6" name="Dependencia"/>
    <x:tableColumn id="7" name="Criterio de cierre"/>
    <x:tableColumn id="8" name="Estad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riemensualDatos" displayName="SeriemensualDatos" ref="A10:N31" headerRowCount="1" totalsRowCount="0" totalsRowShown="0">
  <x:autoFilter ref="A10:N31"/>
  <x:tableColumns count="14">
    <x:tableColumn id="1" name="Mes"/>
    <x:tableColumn id="2" name="GA4 sesiones todos"/>
    <x:tableColumn id="3" name="GA4 sesiones orgánicas"/>
    <x:tableColumn id="4" name="GA4 vistas orgánicas"/>
    <x:tableColumn id="5" name="GA4 sesiones con interacción"/>
    <x:tableColumn id="6" name="Orgánico / todos"/>
    <x:tableColumn id="7" name="GSC clics"/>
    <x:tableColumn id="8" name="GSC impresiones"/>
    <x:tableColumn id="9" name="GSC CTR"/>
    <x:tableColumn id="10" name="GSC posición"/>
    <x:tableColumn id="11" name="Días disponibles GSC"/>
    <x:tableColumn id="12" name="Estado del mes"/>
    <x:tableColumn id="13" name="Alcance"/>
    <x:tableColumn id="14" name="GA4 orgánico propiedad (contexto)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nventarioDatos" displayName="InventarioDatos" ref="A10:AF1707" headerRowCount="1" totalsRowCount="0" totalsRowShown="0">
  <x:autoFilter ref="A10:AF1707"/>
  <x:tableColumns count="32">
    <x:tableColumn id="1" name="WP ID"/>
    <x:tableColumn id="2" name="URL publicada"/>
    <x:tableColumn id="3" name="Título WordPress"/>
    <x:tableColumn id="4" name="Publicación WP"/>
    <x:tableColumn id="5" name="Modificación WP"/>
    <x:tableColumn id="6" name="Categorías"/>
    <x:tableColumn id="7" name="Palabras"/>
    <x:tableColumn id="8" name="HTTP"/>
    <x:tableColumn id="9" name="Cantidad H1"/>
    <x:tableColumn id="10" name="Canonical HTML"/>
    <x:tableColumn id="11" name="Meta description presente"/>
    <x:tableColumn id="12" name="Bloques JSON-LD"/>
    <x:tableColumn id="13" name="Links a prefijo antiguo"/>
    <x:tableColumn id="14" name="Grupo título duplicado"/>
    <x:tableColumn id="15" name="Grupo cuerpo idéntico"/>
    <x:tableColumn id="16" name="GSC clics ago"/>
    <x:tableColumn id="17" name="GSC clics sep"/>
    <x:tableColumn id="18" name="Cambio clics"/>
    <x:tableColumn id="19" name="Cambio diario %"/>
    <x:tableColumn id="20" name="GSC impresiones ago"/>
    <x:tableColumn id="21" name="GSC impresiones sep"/>
    <x:tableColumn id="22" name="GSC CTR sep"/>
    <x:tableColumn id="23" name="GSC posición sep"/>
    <x:tableColumn id="24" name="GA4 sesiones org. página sep"/>
    <x:tableColumn id="25" name="GA4 vistas org. página sep"/>
    <x:tableColumn id="26" name="URLs raw GSC ago"/>
    <x:tableColumn id="27" name="URLs raw GSC sep"/>
    <x:tableColumn id="28" name="Unión GSC"/>
    <x:tableColumn id="29" name="Cohorte septiembre"/>
    <x:tableColumn id="30" name="Paths raw GA4 sep"/>
    <x:tableColumn id="31" name="Tipo especial"/>
    <x:tableColumn id="32" name="Shortcode CTA visibl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nsultasDatos" displayName="ConsultasDatos" ref="A10:K2010" headerRowCount="1" totalsRowCount="0" totalsRowShown="0">
  <x:autoFilter ref="A10:K2010"/>
  <x:tableColumns count="11">
    <x:tableColumn id="1" name="Orden"/>
    <x:tableColumn id="2" name="Consulta"/>
    <x:tableColumn id="3" name="Clics sep"/>
    <x:tableColumn id="4" name="Impresiones sep"/>
    <x:tableColumn id="5" name="CTR sep"/>
    <x:tableColumn id="6" name="Posición sep"/>
    <x:tableColumn id="7" name="Marca literal"/>
    <x:tableColumn id="8" name="Clics ago"/>
    <x:tableColumn id="9" name="Cambio clics"/>
    <x:tableColumn id="10" name="Páginas observadas y clics"/>
    <x:tableColumn id="11" name="Alcance de asociació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VisibilidadDatos" displayName="VisibilidadDatos" ref="A10:O54" headerRowCount="1" totalsRowCount="0" totalsRowShown="0">
  <x:autoFilter ref="A10:O54"/>
  <x:tableColumns count="15">
    <x:tableColumn id="1" name="País"/>
    <x:tableColumn id="2" name="Fecha / mes"/>
    <x:tableColumn id="3" name="Tipo"/>
    <x:tableColumn id="4" name="Keywords orgánicas"/>
    <x:tableColumn id="5" name="Posición 1"/>
    <x:tableColumn id="6" name="Posiciones 2–3"/>
    <x:tableColumn id="7" name="Posiciones 4–10"/>
    <x:tableColumn id="8" name="Top 10 histórico"/>
    <x:tableColumn id="9" name="ETV estimado"/>
    <x:tableColumn id="10" name="Valor equivalente USD"/>
    <x:tableColumn id="11" name="Metodología"/>
    <x:tableColumn id="12" name="Base / cobertura"/>
    <x:tableColumn id="13" name="Keywords muestra"/>
    <x:tableColumn id="14" name="Keywords universo"/>
    <x:tableColumn id="15" name="Cobertura ETV muestr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1a813fb1156481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aeb825a12ca478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93a12274b104b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c9667451e74c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635e648e4c543f1" /></Relationships>
</file>

<file path=xl/worksheets/sheet1.xml><?xml version="1.0" encoding="utf-8"?>
<x:worksheet xmlns:x="http://schemas.openxmlformats.org/spreadsheetml/2006/main">
  <x:sheetPr>
    <x:tabColor rgb="FF182D48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1" hidden="0" customWidth="1"/>
    <x:col min="2" max="2" width="29" hidden="0" customWidth="1"/>
    <x:col min="3" max="3" width="70" hidden="0" customWidth="1"/>
    <x:col min="4" max="4" width="34" hidden="0" customWidth="1"/>
    <x:col min="5" max="5" width="52" hidden="0" customWidth="1"/>
    <x:col min="6" max="6" width="46" hidden="0" customWidth="1"/>
    <x:col min="7" max="7" width="76" hidden="0" customWidth="1"/>
    <x:col min="8" max="8" width="1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SKY · Plan de auditoría orgánica</x:v>
      </x:c>
      <x:c r="B2" s="1"/>
      <x:c r="C2" s="1"/>
      <x:c r="D2" s="1"/>
      <x:c r="E2" s="1"/>
      <x:c r="F2" s="1"/>
      <x:c r="G2" s="1"/>
      <x:c r="H2" s="1"/>
    </x:row>
    <x:row r="3">
      <x:c r="A3" s="1"/>
      <x:c r="B3" s="1"/>
      <x:c r="C3" s="1"/>
      <x:c r="D3" s="1"/>
      <x:c r="E3" s="1"/>
      <x:c r="F3" s="1"/>
      <x:c r="G3" s="1"/>
      <x:c r="H3" s="1"/>
    </x:row>
    <x:row r="4">
      <x:c r="A4" s="3" t="str">
        <x:v>Corte: 15 de octubre de 2026. Owners propuestos, pendientes de asignación. La auditoría no ejecutó cambios en el sitio.</x:v>
      </x:c>
      <x:c r="B4" s="1"/>
      <x:c r="C4" s="1"/>
      <x:c r="D4" s="1"/>
      <x:c r="E4" s="1"/>
      <x:c r="F4" s="1"/>
      <x:c r="G4" s="1"/>
      <x:c r="H4" s="1"/>
    </x:row>
    <x:row r="5">
      <x:c r="A5" s="3" t="str">
        <x:v>Fuente: crawl completo y REST de https://blog.skyairline.com/; GA4 354430952; GSC del blog; DataForSEO CL/PE.</x:v>
      </x:c>
      <x:c r="B5" s="1"/>
      <x:c r="C5" s="1"/>
      <x:c r="D5" s="1"/>
      <x:c r="E5" s="1"/>
      <x:c r="F5" s="1"/>
      <x:c r="G5" s="1"/>
      <x:c r="H5" s="1"/>
    </x:row>
    <x:row r="6">
      <x:c r="A6" s="3" t="str">
        <x:v>P0 requiere atención inmediata. P1 prepara la recuperación. Los criterios de cierre exigen comprobación posterior.</x:v>
      </x:c>
      <x:c r="B6" s="1"/>
      <x:c r="C6" s="1"/>
      <x:c r="D6" s="1"/>
      <x:c r="E6" s="1"/>
      <x:c r="F6" s="1"/>
      <x:c r="G6" s="1"/>
      <x:c r="H6" s="1"/>
    </x:row>
    <x:row r="7">
      <x:c r="A7" s="1"/>
      <x:c r="B7" s="1"/>
      <x:c r="C7" s="1"/>
      <x:c r="D7" s="1"/>
      <x:c r="E7" s="1"/>
      <x:c r="F7" s="1"/>
      <x:c r="G7" s="1"/>
      <x:c r="H7" s="1"/>
    </x:row>
    <x:row r="8">
      <x:c r="A8" s="1"/>
      <x:c r="B8" s="1"/>
      <x:c r="C8" s="1"/>
      <x:c r="D8" s="1"/>
      <x:c r="E8" s="1"/>
      <x:c r="F8" s="1"/>
      <x:c r="G8" s="1"/>
      <x:c r="H8" s="1"/>
    </x:row>
    <x:row r="9">
      <x:c r="A9" s="1"/>
      <x:c r="B9" s="1"/>
      <x:c r="C9" s="1"/>
      <x:c r="D9" s="1"/>
      <x:c r="E9" s="1"/>
      <x:c r="F9" s="1"/>
      <x:c r="G9" s="1"/>
      <x:c r="H9" s="1"/>
    </x:row>
    <x:row r="10" ht="43" customHeight="1">
      <x:c r="A10" s="8" t="str">
        <x:v>Prioridad</x:v>
      </x:c>
      <x:c r="B10" s="8" t="str">
        <x:v>Hallazgo</x:v>
      </x:c>
      <x:c r="C10" s="8" t="str">
        <x:v>Acción</x:v>
      </x:c>
      <x:c r="D10" s="8" t="str">
        <x:v>Owner propuesto</x:v>
      </x:c>
      <x:c r="E10" s="8" t="str">
        <x:v>Evidencia</x:v>
      </x:c>
      <x:c r="F10" s="8" t="str">
        <x:v>Dependencia</x:v>
      </x:c>
      <x:c r="G10" s="8" t="str">
        <x:v>Criterio de cierre</x:v>
      </x:c>
      <x:c r="H10" s="8" t="str">
        <x:v>Estado</x:v>
      </x:c>
    </x:row>
    <x:row r="11" ht="76" customHeight="1">
      <x:c r="A11" s="4" t="str">
        <x:v>P0</x:v>
      </x:c>
      <x:c r="B11" s="9" t="str">
        <x:v>Copia pública en Azure</x:v>
      </x:c>
      <x:c r="C11" s="9" t="str">
        <x:v>Pedir al proveedor que proteja o retire de acceso público el origen duplicado y confirme la arquitectura canónica.</x:v>
      </x:c>
      <x:c r="D11" s="9" t="str">
        <x:v>SKY / proveedor de infraestructura</x:v>
      </x:c>
      <x:c r="E11" s="9" t="str">
        <x:v>Muestra de contenido duplicado en azurewebsites.net</x:v>
      </x:c>
      <x:c r="F11" s="9" t="str">
        <x:v>Acceso a infraestructura y validación de SKY</x:v>
      </x:c>
      <x:c r="G11" s="9" t="str">
        <x:v>La URL alternativa deja de servir contenido indexable. Dominio principal y assets funcionan.</x:v>
      </x:c>
      <x:c r="H11" s="9" t="str">
        <x:v>Propuesto</x:v>
      </x:c>
    </x:row>
    <x:row r="12" ht="76" customHeight="1">
      <x:c r="A12" s="4" t="str">
        <x:v>P0</x:v>
      </x:c>
      <x:c r="B12" s="9" t="str">
        <x:v>CTA con shortcodes visibles</x:v>
      </x:c>
      <x:c r="C12" s="9" t="str">
        <x:v>Corregir el render de RockConvert y verificar los CTA en los 68 posts afectados.</x:v>
      </x:c>
      <x:c r="D12" s="9" t="str">
        <x:v>Proveedor WordPress / Efeonce</x:v>
      </x:c>
      <x:c r="E12" s="9" t="str">
        <x:v>68 posts, 70 shortcodes visibles</x:v>
      </x:c>
      <x:c r="F12" s="9" t="str">
        <x:v>Backup, revisión de plugin o plantilla</x:v>
      </x:c>
      <x:c r="G12" s="9" t="str">
        <x:v>No aparece shortcode en el texto y el CTA lleva al destino correcto.</x:v>
      </x:c>
      <x:c r="H12" s="9" t="str">
        <x:v>Propuesto</x:v>
      </x:c>
    </x:row>
    <x:row r="13" ht="76" customHeight="1">
      <x:c r="A13" s="4" t="str">
        <x:v>P1</x:v>
      </x:c>
      <x:c r="B13" s="9" t="str">
        <x:v>Mapa de migración</x:v>
      </x:c>
      <x:c r="C13" s="9" t="str">
        <x:v>Recuperar registro de cambio, mapa de URLs y GSC anterior. Investigar pérdida alrededor del 26–27 de septiembre de 2025.</x:v>
      </x:c>
      <x:c r="D13" s="9" t="str">
        <x:v>Efeonce SEO / Leandro</x:v>
      </x:c>
      <x:c r="E13" s="9" t="str">
        <x:v>GA4 nativo: −58,1% jul–ago frente a oct–nov 2025</x:v>
      </x:c>
      <x:c r="F13" s="9" t="str">
        <x:v>GSC antiguo, GTM/CMP histórico y logs</x:v>
      </x:c>
      <x:c r="G13" s="9" t="str">
        <x:v>Cada URL prioritaria tiene diagnóstico y acción comprobados. La causa queda acotada.</x:v>
      </x:c>
      <x:c r="H13" s="9" t="str">
        <x:v>Propuesto</x:v>
      </x:c>
    </x:row>
    <x:row r="14" ht="76" customHeight="1">
      <x:c r="A14" s="4" t="str">
        <x:v>P1</x:v>
      </x:c>
      <x:c r="B14" s="9" t="str">
        <x:v>Enlaces internos heredados</x:v>
      </x:c>
      <x:c r="C14" s="9" t="str">
        <x:v>Cambiar enlaces internos al destino final actual y revisar los 917 destinos distintos.</x:v>
      </x:c>
      <x:c r="D14" s="9" t="str">
        <x:v>Efeonce editorial / WordPress</x:v>
      </x:c>
      <x:c r="E14" s="9" t="str">
        <x:v>3.052 enlaces en 867 posts</x:v>
      </x:c>
      <x:c r="F14" s="9" t="str">
        <x:v>Mapa de equivalencias verificado</x:v>
      </x:c>
      <x:c r="G14" s="9" t="str">
        <x:v>Enlaces internos directos sin saltos evitables y sin nuevos 4xx.</x:v>
      </x:c>
      <x:c r="H14" s="9" t="str">
        <x:v>Propuesto</x:v>
      </x:c>
    </x:row>
    <x:row r="15" ht="76" customHeight="1">
      <x:c r="A15" s="4" t="str">
        <x:v>P1</x:v>
      </x:c>
      <x:c r="B15" s="9" t="str">
        <x:v>Destinos internos rotos</x:v>
      </x:c>
      <x:c r="C15" s="9" t="str">
        <x:v>Corregir enlaces a los 6 destinos 404 documentados en 24 asociaciones de origen y destino.</x:v>
      </x:c>
      <x:c r="D15" s="9" t="str">
        <x:v>Efeonce editorial / WordPress</x:v>
      </x:c>
      <x:c r="E15" s="9" t="str">
        <x:v>6 destinos 404, 24 asociaciones</x:v>
      </x:c>
      <x:c r="F15" s="9" t="str">
        <x:v>Validar reemplazo de cada destino</x:v>
      </x:c>
      <x:c r="G15" s="9" t="str">
        <x:v>Rastreo de los orígenes afectados sin enlaces a esos 404.</x:v>
      </x:c>
      <x:c r="H15" s="9" t="str">
        <x:v>Propuesto</x:v>
      </x:c>
    </x:row>
    <x:row r="16" ht="76" customHeight="1">
      <x:c r="A16" s="4" t="str">
        <x:v>P1</x:v>
      </x:c>
      <x:c r="B16" s="9" t="str">
        <x:v>Layouts de demostración</x:v>
      </x:c>
      <x:c r="C16" s="9" t="str">
        <x:v>Retirar del sitemap e impedir indexación de los 14 layouts de demostración. Revisar /hola-mundo/.</x:v>
      </x:c>
      <x:c r="D16" s="9" t="str">
        <x:v>Proveedor WordPress</x:v>
      </x:c>
      <x:c r="E16" s="9" t="str">
        <x:v>14 layouts indexables en sitemap y 1 post demo</x:v>
      </x:c>
      <x:c r="F16" s="9" t="str">
        <x:v>Revisión de dependencias de plantilla</x:v>
      </x:c>
      <x:c r="G16" s="9" t="str">
        <x:v>Layouts fuera del sitemap y no indexables sin romper cabecera o pie.</x:v>
      </x:c>
      <x:c r="H16" s="9" t="str">
        <x:v>Propuesto</x:v>
      </x:c>
    </x:row>
    <x:row r="17" ht="76" customHeight="1">
      <x:c r="A17" s="4" t="str">
        <x:v>P1</x:v>
      </x:c>
      <x:c r="B17" s="9" t="str">
        <x:v>Metadatos y JSON-LD</x:v>
      </x:c>
      <x:c r="C17" s="9" t="str">
        <x:v>Restaurar gestión SEO y definir metadata y schema válidos según plantilla y contenido.</x:v>
      </x:c>
      <x:c r="D17" s="9" t="str">
        <x:v>Proveedor WordPress / Efeonce SEO</x:v>
      </x:c>
      <x:c r="E17" s="9" t="str">
        <x:v>1.697 posts sin meta description ni JSON-LD</x:v>
      </x:c>
      <x:c r="F17" s="9" t="str">
        <x:v>Staging y revisión de plugins SEO</x:v>
      </x:c>
      <x:c r="G17" s="9" t="str">
        <x:v>Muestra por plantilla con etiquetas correctas y datos estructurados válidos.</x:v>
      </x:c>
      <x:c r="H17" s="9" t="str">
        <x:v>Propuesto</x:v>
      </x:c>
    </x:row>
    <x:row r="18" ht="76" customHeight="1">
      <x:c r="A18" s="4" t="str">
        <x:v>P1</x:v>
      </x:c>
      <x:c r="B18" s="9" t="str">
        <x:v>Duplicados editoriales</x:v>
      </x:c>
      <x:c r="C18" s="9" t="str">
        <x:v>Revisar 15 grupos de títulos repetidos y 7 pares de cuerpos iguales antes de consolidar.</x:v>
      </x:c>
      <x:c r="D18" s="9" t="str">
        <x:v>Efeonce SEO / SKY Marca</x:v>
      </x:c>
      <x:c r="E18" s="9" t="str">
        <x:v>30 URLs con título repetido y 14 con cuerpo idéntico</x:v>
      </x:c>
      <x:c r="F18" s="9" t="str">
        <x:v>Clics, intención, enlaces y aprobación editorial</x:v>
      </x:c>
      <x:c r="G18" s="9" t="str">
        <x:v>Cada grupo conserva o consolida URLs con decisión y redirects documentados.</x:v>
      </x:c>
      <x:c r="H18" s="9" t="str">
        <x:v>Propuesto</x:v>
      </x:c>
    </x:row>
    <x:row r="19" ht="76" customHeight="1">
      <x:c r="A19" s="4" t="str">
        <x:v>P1</x:v>
      </x:c>
      <x:c r="B19" s="9" t="str">
        <x:v>Medición de conversiones</x:v>
      </x:c>
      <x:c r="C19" s="9" t="str">
        <x:v>Definir eventos de negocio del blog y comprobar su seguimiento hacia reserva.</x:v>
      </x:c>
      <x:c r="D19" s="9" t="str">
        <x:v>SKY Analítica / Efeonce</x:v>
      </x:c>
      <x:c r="E19" s="9" t="str">
        <x:v>0 eventos clave observados en la extracción</x:v>
      </x:c>
      <x:c r="F19" s="9" t="str">
        <x:v>GTM, GA4 y definición de objetivos</x:v>
      </x:c>
      <x:c r="G19" s="9" t="str">
        <x:v>Evento probado de extremo a extremo, sin equiparar navegación con venta.</x:v>
      </x:c>
      <x:c r="H19" s="9" t="str">
        <x:v>Propuesto</x:v>
      </x:c>
    </x:row>
    <x:row r="20" ht="76" customHeight="1">
      <x:c r="A20" s="4" t="str">
        <x:v>P1</x:v>
      </x:c>
      <x:c r="B20" s="9" t="str">
        <x:v>Refresh de páginas que pierden tráfico</x:v>
      </x:c>
      <x:c r="C20" s="9" t="str">
        <x:v>Priorizar pérdidas observadas y consultas con impresiones e intención comercial pertinente.</x:v>
      </x:c>
      <x:c r="D20" s="9" t="str">
        <x:v>Efeonce SEO / editorial</x:v>
      </x:c>
      <x:c r="E20" s="9" t="str">
        <x:v>GSC agosto y septiembre, por URL y consulta</x:v>
      </x:c>
      <x:c r="F20" s="9" t="str">
        <x:v>Validación de intención y oferta de rutas</x:v>
      </x:c>
      <x:c r="G20" s="9" t="str">
        <x:v>Cambios aprobados, publicados y medidos con una cohorte estable.</x:v>
      </x:c>
      <x:c r="H20" s="9" t="str">
        <x:v>Propuesto</x:v>
      </x:c>
    </x:row>
    <x:row r="21" ht="76" customHeight="1">
      <x:c r="A21" s="4" t="str">
        <x:v>P2</x:v>
      </x:c>
      <x:c r="B21" s="9" t="str">
        <x:v>Cobertura de Perú y rutas</x:v>
      </x:c>
      <x:c r="C21" s="9" t="str">
        <x:v>Cruzar el inventario con rutas vigentes y prioridades comerciales antes de crear artículos.</x:v>
      </x:c>
      <x:c r="D21" s="9" t="str">
        <x:v>Efeonce editorial / SKY Marca</x:v>
      </x:c>
      <x:c r="E21" s="9" t="str">
        <x:v>Prioridad de Natalia en reunión</x:v>
      </x:c>
      <x:c r="F21" s="9" t="str">
        <x:v>Confirmación de rutas y prioridades de SKY</x:v>
      </x:c>
      <x:c r="G21" s="9" t="str">
        <x:v>Grilla aprobada sin duplicar intención ya cubierta.</x:v>
      </x:c>
      <x:c r="H21" s="9" t="str">
        <x:v>Propuesto</x:v>
      </x:c>
    </x:row>
    <x:row r="22" ht="76" customHeight="1">
      <x:c r="A22" s="4" t="str">
        <x:v>P2</x:v>
      </x:c>
      <x:c r="B22" s="9" t="str">
        <x:v>Valor publicitario orgánico</x:v>
      </x:c>
      <x:c r="C22" s="9" t="str">
        <x:v>Ampliar cobertura de consultas y CPC por país con presupuesto aprobado.</x:v>
      </x:c>
      <x:c r="D22" s="9" t="str">
        <x:v>Efeonce SEO</x:v>
      </x:c>
      <x:c r="E22" s="9" t="str">
        <x:v>Indicador parcial ya calculado</x:v>
      </x:c>
      <x:c r="F22" s="9" t="str">
        <x:v>CPC y país comparables</x:v>
      </x:c>
      <x:c r="G22" s="9" t="str">
        <x:v>Valor con fecha, mercado, cobertura y ausencias. Sin llamarlo ahorro ni ROI.</x:v>
      </x:c>
      <x:c r="H22" s="9" t="str">
        <x:v>Propuesto</x:v>
      </x:c>
    </x:row>
    <x:row r="23">
      <x:c r="A23" s="1"/>
      <x:c r="B23" s="1"/>
      <x:c r="C23" s="1"/>
      <x:c r="D23" s="1"/>
      <x:c r="E23" s="1"/>
      <x:c r="F23" s="1"/>
      <x:c r="G23" s="1"/>
      <x:c r="H23" s="1"/>
    </x:row>
  </x:sheetData>
  <x:conditionalFormatting sqref="A11:A22">
    <x:cfRule type="containsText" dxfId="0" priority="1" operator="containsText" text="P0"/>
  </x:conditionalFormatting>
  <x:dataValidations count="1">
    <x:dataValidation type="list" sqref="H11:H22">
      <x:formula1>"Propuesto,Asignado,En curso,Verificado,Descartado"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1a813fb11564817"/>
  </x:tableParts>
</x:worksheet>
</file>

<file path=xl/worksheets/sheet2.xml><?xml version="1.0" encoding="utf-8"?>
<x:worksheet xmlns:x="http://schemas.openxmlformats.org/spreadsheetml/2006/main">
  <x:sheetPr>
    <x:tabColor rgb="FF50718F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5" hidden="0" customWidth="1"/>
    <x:col min="2" max="2" width="20" hidden="0" customWidth="1"/>
    <x:col min="3" max="3" width="23" hidden="0" customWidth="1"/>
    <x:col min="4" max="4" width="23" hidden="0" customWidth="1"/>
    <x:col min="5" max="5" width="25" hidden="0" customWidth="1"/>
    <x:col min="6" max="6" width="19" hidden="0" customWidth="1"/>
    <x:col min="7" max="7" width="17" hidden="0" customWidth="1"/>
    <x:col min="8" max="8" width="20" hidden="0" customWidth="1"/>
    <x:col min="9" max="9" width="16" hidden="0" customWidth="1"/>
    <x:col min="10" max="10" width="18" hidden="0" customWidth="1"/>
    <x:col min="11" max="11" width="32" hidden="0" customWidth="1"/>
    <x:col min="12" max="12" width="33" hidden="0" customWidth="1"/>
    <x:col min="13" max="13" width="56" hidden="0" customWidth="1"/>
    <x:col min="14" max="14" width="3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SKY · Histórico orgánico del blog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</x:row>
    <x:row r="4">
      <x:c r="A4" s="3" t="str">
        <x:v>GA4 354430952. OR deduplicado: host blog.skyairline.com + www.skyairline.com con path /blog. Canal Organic Search.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</x:row>
    <x:row r="5">
      <x:c r="A5" s="3" t="str">
        <x:v>Sesiones con actividad en el ámbito, no sesiones de entrada. GA4 America/Santiago y GSC Pacific Time.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</x:row>
    <x:row r="6">
      <x:c r="A6" s="3" t="str">
        <x:v>GSC: https://blog.skyairline.com/, web, final por página. Septiembre 2025 sólo tiene filas 24–30. No incluye prefijo anterior.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</x:row>
    <x:row r="7">
      <x:c r="A7" s="3" t="str">
        <x:v>Última columna: contexto de Organic Search en toda la propiedad. No es una auditoría del sitio completo ni un control causal.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</x:row>
    <x:row r="10" ht="43" customHeight="1">
      <x:c r="A10" s="8" t="str">
        <x:v>Mes</x:v>
      </x:c>
      <x:c r="B10" s="8" t="str">
        <x:v>GA4 sesiones todos</x:v>
      </x:c>
      <x:c r="C10" s="8" t="str">
        <x:v>GA4 sesiones orgánicas</x:v>
      </x:c>
      <x:c r="D10" s="8" t="str">
        <x:v>GA4 vistas orgánicas</x:v>
      </x:c>
      <x:c r="E10" s="8" t="str">
        <x:v>GA4 sesiones con interacción</x:v>
      </x:c>
      <x:c r="F10" s="8" t="str">
        <x:v>Orgánico / todos</x:v>
      </x:c>
      <x:c r="G10" s="8" t="str">
        <x:v>GSC clics</x:v>
      </x:c>
      <x:c r="H10" s="8" t="str">
        <x:v>GSC impresiones</x:v>
      </x:c>
      <x:c r="I10" s="8" t="str">
        <x:v>GSC CTR</x:v>
      </x:c>
      <x:c r="J10" s="8" t="str">
        <x:v>GSC posición</x:v>
      </x:c>
      <x:c r="K10" s="8" t="str">
        <x:v>Días disponibles GSC</x:v>
      </x:c>
      <x:c r="L10" s="8" t="str">
        <x:v>Estado del mes</x:v>
      </x:c>
      <x:c r="M10" s="8" t="str">
        <x:v>Alcance</x:v>
      </x:c>
      <x:c r="N10" s="8" t="str">
        <x:v>GA4 orgánico propiedad (contexto)</x:v>
      </x:c>
    </x:row>
    <x:row r="11" ht="28" customHeight="1">
      <x:c r="A11" s="10" t="d">
        <x:v>2025-01-01T00:00:00.000Z</x:v>
      </x:c>
      <x:c r="B11" s="11" t="n">
        <x:v>310240</x:v>
      </x:c>
      <x:c r="C11" s="11" t="n">
        <x:v>208099</x:v>
      </x:c>
      <x:c r="D11" s="11" t="n">
        <x:v>246248</x:v>
      </x:c>
      <x:c r="E11" s="11" t="n">
        <x:v>113923</x:v>
      </x:c>
      <x:c r="F11" s="13" t="n">
        <x:f>IF(OR(B11="",C11=""),"",IF(B11=0,"",C11/B11))</x:f>
        <x:v>0.6707677926766374</x:v>
      </x:c>
      <x:c r="G11" s="11"/>
      <x:c r="H11" s="11"/>
      <x:c r="I11" s="14" t="str">
        <x:f>IF(OR(G11="",H11=""),"",IF(H11=0,"",G11/H11))</x:f>
      </x:c>
      <x:c r="J11" s="12"/>
      <x:c r="K11" s="4" t="str">
        <x:v>Sin datos del prefijo actual</x:v>
      </x:c>
      <x:c r="L11" s="4" t="str">
        <x:v>Mes completo GA4</x:v>
      </x:c>
      <x:c r="M11" s="4" t="str">
        <x:v>Actividad del blog. GSC sólo subdominio actual.</x:v>
      </x:c>
      <x:c r="N11" s="11" t="n">
        <x:v>2111657</x:v>
      </x:c>
    </x:row>
    <x:row r="12" ht="28" customHeight="1">
      <x:c r="A12" s="10" t="d">
        <x:v>2025-02-01T00:00:00.000Z</x:v>
      </x:c>
      <x:c r="B12" s="11" t="n">
        <x:v>233396</x:v>
      </x:c>
      <x:c r="C12" s="11" t="n">
        <x:v>157403</x:v>
      </x:c>
      <x:c r="D12" s="11" t="n">
        <x:v>182398</x:v>
      </x:c>
      <x:c r="E12" s="11" t="n">
        <x:v>86699</x:v>
      </x:c>
      <x:c r="F12" s="13" t="n">
        <x:f>IF(OR(B12="",C12=""),"",IF(B12=0,"",C12/B12))</x:f>
        <x:v>0.6744031602940924</x:v>
      </x:c>
      <x:c r="G12" s="11"/>
      <x:c r="H12" s="11"/>
      <x:c r="I12" s="14" t="str">
        <x:f>IF(OR(G12="",H12=""),"",IF(H12=0,"",G12/H12))</x:f>
      </x:c>
      <x:c r="J12" s="12"/>
      <x:c r="K12" s="4" t="str">
        <x:v>Sin datos del prefijo actual</x:v>
      </x:c>
      <x:c r="L12" s="4" t="str">
        <x:v>Mes completo GA4</x:v>
      </x:c>
      <x:c r="M12" s="4" t="str">
        <x:v>Actividad del blog. GSC sólo subdominio actual.</x:v>
      </x:c>
      <x:c r="N12" s="11" t="n">
        <x:v>1693154</x:v>
      </x:c>
    </x:row>
    <x:row r="13" ht="28" customHeight="1">
      <x:c r="A13" s="10" t="d">
        <x:v>2025-03-01T00:00:00.000Z</x:v>
      </x:c>
      <x:c r="B13" s="11" t="n">
        <x:v>164855</x:v>
      </x:c>
      <x:c r="C13" s="11" t="n">
        <x:v>116320</x:v>
      </x:c>
      <x:c r="D13" s="11" t="n">
        <x:v>134658</x:v>
      </x:c>
      <x:c r="E13" s="11" t="n">
        <x:v>66070</x:v>
      </x:c>
      <x:c r="F13" s="13" t="n">
        <x:f>IF(OR(B13="",C13=""),"",IF(B13=0,"",C13/B13))</x:f>
        <x:v>0.7055897606987959</x:v>
      </x:c>
      <x:c r="G13" s="11"/>
      <x:c r="H13" s="11"/>
      <x:c r="I13" s="14" t="str">
        <x:f>IF(OR(G13="",H13=""),"",IF(H13=0,"",G13/H13))</x:f>
      </x:c>
      <x:c r="J13" s="12"/>
      <x:c r="K13" s="4" t="str">
        <x:v>Sin datos del prefijo actual</x:v>
      </x:c>
      <x:c r="L13" s="4" t="str">
        <x:v>Mes completo GA4</x:v>
      </x:c>
      <x:c r="M13" s="4" t="str">
        <x:v>Actividad del blog. GSC sólo subdominio actual.</x:v>
      </x:c>
      <x:c r="N13" s="11" t="n">
        <x:v>1673587</x:v>
      </x:c>
    </x:row>
    <x:row r="14" ht="28" customHeight="1">
      <x:c r="A14" s="10" t="d">
        <x:v>2025-04-01T00:00:00.000Z</x:v>
      </x:c>
      <x:c r="B14" s="11" t="n">
        <x:v>130223</x:v>
      </x:c>
      <x:c r="C14" s="11" t="n">
        <x:v>94468</x:v>
      </x:c>
      <x:c r="D14" s="11" t="n">
        <x:v>105328</x:v>
      </x:c>
      <x:c r="E14" s="11" t="n">
        <x:v>51519</x:v>
      </x:c>
      <x:c r="F14" s="13" t="n">
        <x:f>IF(OR(B14="",C14=""),"",IF(B14=0,"",C14/B14))</x:f>
        <x:v>0.7254325272801272</x:v>
      </x:c>
      <x:c r="G14" s="11"/>
      <x:c r="H14" s="11"/>
      <x:c r="I14" s="14" t="str">
        <x:f>IF(OR(G14="",H14=""),"",IF(H14=0,"",G14/H14))</x:f>
      </x:c>
      <x:c r="J14" s="12"/>
      <x:c r="K14" s="4" t="str">
        <x:v>Sin datos del prefijo actual</x:v>
      </x:c>
      <x:c r="L14" s="4" t="str">
        <x:v>Mes completo GA4</x:v>
      </x:c>
      <x:c r="M14" s="4" t="str">
        <x:v>Actividad del blog. GSC sólo subdominio actual.</x:v>
      </x:c>
      <x:c r="N14" s="11" t="n">
        <x:v>1373232</x:v>
      </x:c>
    </x:row>
    <x:row r="15" ht="28" customHeight="1">
      <x:c r="A15" s="10" t="d">
        <x:v>2025-05-01T00:00:00.000Z</x:v>
      </x:c>
      <x:c r="B15" s="11" t="n">
        <x:v>132204</x:v>
      </x:c>
      <x:c r="C15" s="11" t="n">
        <x:v>94104</x:v>
      </x:c>
      <x:c r="D15" s="11" t="n">
        <x:v>109318</x:v>
      </x:c>
      <x:c r="E15" s="11" t="n">
        <x:v>52606</x:v>
      </x:c>
      <x:c r="F15" s="13" t="n">
        <x:f>IF(OR(B15="",C15=""),"",IF(B15=0,"",C15/B15))</x:f>
        <x:v>0.7118090224198965</x:v>
      </x:c>
      <x:c r="G15" s="11"/>
      <x:c r="H15" s="11"/>
      <x:c r="I15" s="14" t="str">
        <x:f>IF(OR(G15="",H15=""),"",IF(H15=0,"",G15/H15))</x:f>
      </x:c>
      <x:c r="J15" s="12"/>
      <x:c r="K15" s="4" t="str">
        <x:v>Sin datos del prefijo actual</x:v>
      </x:c>
      <x:c r="L15" s="4" t="str">
        <x:v>Mes completo GA4</x:v>
      </x:c>
      <x:c r="M15" s="4" t="str">
        <x:v>Actividad del blog. GSC sólo subdominio actual.</x:v>
      </x:c>
      <x:c r="N15" s="11" t="n">
        <x:v>1146824</x:v>
      </x:c>
    </x:row>
    <x:row r="16" ht="28" customHeight="1">
      <x:c r="A16" s="10" t="d">
        <x:v>2025-06-01T00:00:00.000Z</x:v>
      </x:c>
      <x:c r="B16" s="11" t="n">
        <x:v>130480</x:v>
      </x:c>
      <x:c r="C16" s="11" t="n">
        <x:v>99430</x:v>
      </x:c>
      <x:c r="D16" s="11" t="n">
        <x:v>119847</x:v>
      </x:c>
      <x:c r="E16" s="11" t="n">
        <x:v>55627</x:v>
      </x:c>
      <x:c r="F16" s="13" t="n">
        <x:f>IF(OR(B16="",C16=""),"",IF(B16=0,"",C16/B16))</x:f>
        <x:v>0.7620324954015941</x:v>
      </x:c>
      <x:c r="G16" s="11"/>
      <x:c r="H16" s="11"/>
      <x:c r="I16" s="14" t="str">
        <x:f>IF(OR(G16="",H16=""),"",IF(H16=0,"",G16/H16))</x:f>
      </x:c>
      <x:c r="J16" s="12"/>
      <x:c r="K16" s="4" t="str">
        <x:v>Sin datos del prefijo actual</x:v>
      </x:c>
      <x:c r="L16" s="4" t="str">
        <x:v>Mes completo GA4</x:v>
      </x:c>
      <x:c r="M16" s="4" t="str">
        <x:v>Actividad del blog. GSC sólo subdominio actual.</x:v>
      </x:c>
      <x:c r="N16" s="11" t="n">
        <x:v>1521143</x:v>
      </x:c>
    </x:row>
    <x:row r="17" ht="28" customHeight="1">
      <x:c r="A17" s="10" t="d">
        <x:v>2025-07-01T00:00:00.000Z</x:v>
      </x:c>
      <x:c r="B17" s="11" t="n">
        <x:v>144840</x:v>
      </x:c>
      <x:c r="C17" s="11" t="n">
        <x:v>110878</x:v>
      </x:c>
      <x:c r="D17" s="11" t="n">
        <x:v>131128</x:v>
      </x:c>
      <x:c r="E17" s="11" t="n">
        <x:v>61875</x:v>
      </x:c>
      <x:c r="F17" s="13" t="n">
        <x:f>IF(OR(B17="",C17=""),"",IF(B17=0,"",C17/B17))</x:f>
        <x:v>0.7655205744269539</x:v>
      </x:c>
      <x:c r="G17" s="11"/>
      <x:c r="H17" s="11"/>
      <x:c r="I17" s="14" t="str">
        <x:f>IF(OR(G17="",H17=""),"",IF(H17=0,"",G17/H17))</x:f>
      </x:c>
      <x:c r="J17" s="12"/>
      <x:c r="K17" s="4" t="str">
        <x:v>Sin datos del prefijo actual</x:v>
      </x:c>
      <x:c r="L17" s="4" t="str">
        <x:v>Mes completo GA4</x:v>
      </x:c>
      <x:c r="M17" s="4" t="str">
        <x:v>Actividad del blog. GSC sólo subdominio actual.</x:v>
      </x:c>
      <x:c r="N17" s="11" t="n">
        <x:v>1505439</x:v>
      </x:c>
    </x:row>
    <x:row r="18" ht="28" customHeight="1">
      <x:c r="A18" s="10" t="d">
        <x:v>2025-08-01T00:00:00.000Z</x:v>
      </x:c>
      <x:c r="B18" s="11" t="n">
        <x:v>124689</x:v>
      </x:c>
      <x:c r="C18" s="11" t="n">
        <x:v>95710</x:v>
      </x:c>
      <x:c r="D18" s="11" t="n">
        <x:v>114368</x:v>
      </x:c>
      <x:c r="E18" s="11" t="n">
        <x:v>53890</x:v>
      </x:c>
      <x:c r="F18" s="13" t="n">
        <x:f>IF(OR(B18="",C18=""),"",IF(B18=0,"",C18/B18))</x:f>
        <x:v>0.7675897633311679</x:v>
      </x:c>
      <x:c r="G18" s="11"/>
      <x:c r="H18" s="11"/>
      <x:c r="I18" s="14" t="str">
        <x:f>IF(OR(G18="",H18=""),"",IF(H18=0,"",G18/H18))</x:f>
      </x:c>
      <x:c r="J18" s="12"/>
      <x:c r="K18" s="4" t="str">
        <x:v>Sin datos del prefijo actual</x:v>
      </x:c>
      <x:c r="L18" s="4" t="str">
        <x:v>Mes completo GA4</x:v>
      </x:c>
      <x:c r="M18" s="4" t="str">
        <x:v>Actividad del blog. GSC sólo subdominio actual.</x:v>
      </x:c>
      <x:c r="N18" s="11" t="n">
        <x:v>1322889</x:v>
      </x:c>
    </x:row>
    <x:row r="19" ht="28" customHeight="1">
      <x:c r="A19" s="10" t="d">
        <x:v>2025-09-01T00:00:00.000Z</x:v>
      </x:c>
      <x:c r="B19" s="11" t="n">
        <x:v>114279</x:v>
      </x:c>
      <x:c r="C19" s="11" t="n">
        <x:v>75506</x:v>
      </x:c>
      <x:c r="D19" s="11" t="n">
        <x:v>89814</x:v>
      </x:c>
      <x:c r="E19" s="11" t="n">
        <x:v>41908</x:v>
      </x:c>
      <x:c r="F19" s="13" t="n">
        <x:f>IF(OR(B19="",C19=""),"",IF(B19=0,"",C19/B19))</x:f>
        <x:v>0.6607163170836287</x:v>
      </x:c>
      <x:c r="G19" s="11" t="n">
        <x:v>2714</x:v>
      </x:c>
      <x:c r="H19" s="11" t="n">
        <x:v>137755</x:v>
      </x:c>
      <x:c r="I19" s="14" t="n">
        <x:f>IF(OR(G19="",H19=""),"",IF(H19=0,"",G19/H19))</x:f>
        <x:v>0.019701644223440166</x:v>
      </x:c>
      <x:c r="J19" s="12" t="n">
        <x:v>8.742666327900984</x:v>
      </x:c>
      <x:c r="K19" s="4" t="str">
        <x:v>2025-09-24 a 2025-09-30</x:v>
      </x:c>
      <x:c r="L19" s="4" t="str">
        <x:v>Transición observada 26–27 sep</x:v>
      </x:c>
      <x:c r="M19" s="4" t="str">
        <x:v>Actividad del blog. GSC sólo subdominio actual.</x:v>
      </x:c>
      <x:c r="N19" s="11" t="n">
        <x:v>991249</x:v>
      </x:c>
    </x:row>
    <x:row r="20" ht="28" customHeight="1">
      <x:c r="A20" s="10" t="d">
        <x:v>2025-10-01T00:00:00.000Z</x:v>
      </x:c>
      <x:c r="B20" s="11" t="n">
        <x:v>56626</x:v>
      </x:c>
      <x:c r="C20" s="11" t="n">
        <x:v>42585</x:v>
      </x:c>
      <x:c r="D20" s="11" t="n">
        <x:v>58110</x:v>
      </x:c>
      <x:c r="E20" s="11" t="n">
        <x:v>29234</x:v>
      </x:c>
      <x:c r="F20" s="13" t="n">
        <x:f>IF(OR(B20="",C20=""),"",IF(B20=0,"",C20/B20))</x:f>
        <x:v>0.7520396990781619</x:v>
      </x:c>
      <x:c r="G20" s="11" t="n">
        <x:v>44828</x:v>
      </x:c>
      <x:c r="H20" s="11" t="n">
        <x:v>2320259</x:v>
      </x:c>
      <x:c r="I20" s="14" t="n">
        <x:f>IF(OR(G20="",H20=""),"",IF(H20=0,"",G20/H20))</x:f>
        <x:v>0.01932025691959389</x:v>
      </x:c>
      <x:c r="J20" s="12" t="n">
        <x:v>7.898268684659773</x:v>
      </x:c>
      <x:c r="K20" s="4" t="str">
        <x:v>2025-10-01 a 2025-10-31</x:v>
      </x:c>
      <x:c r="L20" s="4" t="str">
        <x:v>Mes completo GA4</x:v>
      </x:c>
      <x:c r="M20" s="4" t="str">
        <x:v>Actividad del blog. GSC sólo subdominio actual.</x:v>
      </x:c>
      <x:c r="N20" s="11" t="n">
        <x:v>1388261</x:v>
      </x:c>
    </x:row>
    <x:row r="21" ht="28" customHeight="1">
      <x:c r="A21" s="10" t="d">
        <x:v>2025-11-01T00:00:00.000Z</x:v>
      </x:c>
      <x:c r="B21" s="11" t="n">
        <x:v>56836</x:v>
      </x:c>
      <x:c r="C21" s="11" t="n">
        <x:v>43973</x:v>
      </x:c>
      <x:c r="D21" s="11" t="n">
        <x:v>57596</x:v>
      </x:c>
      <x:c r="E21" s="11" t="n">
        <x:v>31463</x:v>
      </x:c>
      <x:c r="F21" s="13" t="n">
        <x:f>IF(OR(B21="",C21=""),"",IF(B21=0,"",C21/B21))</x:f>
        <x:v>0.7736821732704624</x:v>
      </x:c>
      <x:c r="G21" s="11" t="n">
        <x:v>45155</x:v>
      </x:c>
      <x:c r="H21" s="11" t="n">
        <x:v>2805859</x:v>
      </x:c>
      <x:c r="I21" s="14" t="n">
        <x:f>IF(OR(G21="",H21=""),"",IF(H21=0,"",G21/H21))</x:f>
        <x:v>0.016093110879769796</x:v>
      </x:c>
      <x:c r="J21" s="12" t="n">
        <x:v>6.856297126833529</x:v>
      </x:c>
      <x:c r="K21" s="4" t="str">
        <x:v>2025-11-01 a 2025-11-30</x:v>
      </x:c>
      <x:c r="L21" s="4" t="str">
        <x:v>Mes completo GA4</x:v>
      </x:c>
      <x:c r="M21" s="4" t="str">
        <x:v>Actividad del blog. GSC sólo subdominio actual.</x:v>
      </x:c>
      <x:c r="N21" s="11" t="n">
        <x:v>1510107</x:v>
      </x:c>
    </x:row>
    <x:row r="22" ht="28" customHeight="1">
      <x:c r="A22" s="10" t="d">
        <x:v>2025-12-01T00:00:00.000Z</x:v>
      </x:c>
      <x:c r="B22" s="11" t="n">
        <x:v>83213</x:v>
      </x:c>
      <x:c r="C22" s="11" t="n">
        <x:v>49543</x:v>
      </x:c>
      <x:c r="D22" s="11" t="n">
        <x:v>63619</x:v>
      </x:c>
      <x:c r="E22" s="11" t="n">
        <x:v>34034</x:v>
      </x:c>
      <x:c r="F22" s="13" t="n">
        <x:f>IF(OR(B22="",C22=""),"",IF(B22=0,"",C22/B22))</x:f>
        <x:v>0.5953757225433526</x:v>
      </x:c>
      <x:c r="G22" s="11" t="n">
        <x:v>49741</x:v>
      </x:c>
      <x:c r="H22" s="11" t="n">
        <x:v>3704859</x:v>
      </x:c>
      <x:c r="I22" s="14" t="n">
        <x:f>IF(OR(G22="",H22=""),"",IF(H22=0,"",G22/H22))</x:f>
        <x:v>0.013425882064607587</x:v>
      </x:c>
      <x:c r="J22" s="12" t="n">
        <x:v>6.78466629904134</x:v>
      </x:c>
      <x:c r="K22" s="4" t="str">
        <x:v>2025-12-01 a 2025-12-31</x:v>
      </x:c>
      <x:c r="L22" s="4" t="str">
        <x:v>Mes completo GA4</x:v>
      </x:c>
      <x:c r="M22" s="4" t="str">
        <x:v>Actividad del blog. GSC sólo subdominio actual.</x:v>
      </x:c>
      <x:c r="N22" s="11" t="n">
        <x:v>1409767</x:v>
      </x:c>
    </x:row>
    <x:row r="23" ht="28" customHeight="1">
      <x:c r="A23" s="10" t="d">
        <x:v>2026-01-01T00:00:00.000Z</x:v>
      </x:c>
      <x:c r="B23" s="11" t="n">
        <x:v>80320</x:v>
      </x:c>
      <x:c r="C23" s="11" t="n">
        <x:v>67940</x:v>
      </x:c>
      <x:c r="D23" s="11" t="n">
        <x:v>96554</x:v>
      </x:c>
      <x:c r="E23" s="11" t="n">
        <x:v>51580</x:v>
      </x:c>
      <x:c r="F23" s="13" t="n">
        <x:f>IF(OR(B23="",C23=""),"",IF(B23=0,"",C23/B23))</x:f>
        <x:v>0.8458665338645418</x:v>
      </x:c>
      <x:c r="G23" s="11" t="n">
        <x:v>76201</x:v>
      </x:c>
      <x:c r="H23" s="11" t="n">
        <x:v>6344466</x:v>
      </x:c>
      <x:c r="I23" s="14" t="n">
        <x:f>IF(OR(G23="",H23=""),"",IF(H23=0,"",G23/H23))</x:f>
        <x:v>0.012010624692448506</x:v>
      </x:c>
      <x:c r="J23" s="12" t="n">
        <x:v>6.406802558324057</x:v>
      </x:c>
      <x:c r="K23" s="4" t="str">
        <x:v>2026-01-01 a 2026-01-31</x:v>
      </x:c>
      <x:c r="L23" s="4" t="str">
        <x:v>Mes completo GA4</x:v>
      </x:c>
      <x:c r="M23" s="4" t="str">
        <x:v>Actividad del blog. GSC sólo subdominio actual.</x:v>
      </x:c>
      <x:c r="N23" s="11" t="n">
        <x:v>1828376</x:v>
      </x:c>
    </x:row>
    <x:row r="24" ht="28" customHeight="1">
      <x:c r="A24" s="10" t="d">
        <x:v>2026-02-01T00:00:00.000Z</x:v>
      </x:c>
      <x:c r="B24" s="11" t="n">
        <x:v>67027</x:v>
      </x:c>
      <x:c r="C24" s="11" t="n">
        <x:v>56922</x:v>
      </x:c>
      <x:c r="D24" s="11" t="n">
        <x:v>78065</x:v>
      </x:c>
      <x:c r="E24" s="11" t="n">
        <x:v>41572</x:v>
      </x:c>
      <x:c r="F24" s="13" t="n">
        <x:f>IF(OR(B24="",C24=""),"",IF(B24=0,"",C24/B24))</x:f>
        <x:v>0.849239858564459</x:v>
      </x:c>
      <x:c r="G24" s="11" t="n">
        <x:v>62678</x:v>
      </x:c>
      <x:c r="H24" s="11" t="n">
        <x:v>5423769</x:v>
      </x:c>
      <x:c r="I24" s="14" t="n">
        <x:f>IF(OR(G24="",H24=""),"",IF(H24=0,"",G24/H24))</x:f>
        <x:v>0.011556170625998268</x:v>
      </x:c>
      <x:c r="J24" s="12" t="n">
        <x:v>6.029686183168937</x:v>
      </x:c>
      <x:c r="K24" s="4" t="str">
        <x:v>2026-02-01 a 2026-02-28</x:v>
      </x:c>
      <x:c r="L24" s="4" t="str">
        <x:v>Mes completo GA4</x:v>
      </x:c>
      <x:c r="M24" s="4" t="str">
        <x:v>Actividad del blog. GSC sólo subdominio actual.</x:v>
      </x:c>
      <x:c r="N24" s="11" t="n">
        <x:v>1358640</x:v>
      </x:c>
    </x:row>
    <x:row r="25" ht="28" customHeight="1">
      <x:c r="A25" s="10" t="d">
        <x:v>2026-03-01T00:00:00.000Z</x:v>
      </x:c>
      <x:c r="B25" s="11" t="n">
        <x:v>52649</x:v>
      </x:c>
      <x:c r="C25" s="11" t="n">
        <x:v>42331</x:v>
      </x:c>
      <x:c r="D25" s="11" t="n">
        <x:v>58542</x:v>
      </x:c>
      <x:c r="E25" s="11" t="n">
        <x:v>30919</x:v>
      </x:c>
      <x:c r="F25" s="13" t="n">
        <x:f>IF(OR(B25="",C25=""),"",IF(B25=0,"",C25/B25))</x:f>
        <x:v>0.8040228684305495</x:v>
      </x:c>
      <x:c r="G25" s="11" t="n">
        <x:v>47266</x:v>
      </x:c>
      <x:c r="H25" s="11" t="n">
        <x:v>4458615</x:v>
      </x:c>
      <x:c r="I25" s="14" t="n">
        <x:f>IF(OR(G25="",H25=""),"",IF(H25=0,"",G25/H25))</x:f>
        <x:v>0.010601049877596518</x:v>
      </x:c>
      <x:c r="J25" s="12" t="n">
        <x:v>5.643954905278881</x:v>
      </x:c>
      <x:c r="K25" s="4" t="str">
        <x:v>2026-03-01 a 2026-03-31</x:v>
      </x:c>
      <x:c r="L25" s="4" t="str">
        <x:v>Mes completo GA4</x:v>
      </x:c>
      <x:c r="M25" s="4" t="str">
        <x:v>Actividad del blog. GSC sólo subdominio actual.</x:v>
      </x:c>
      <x:c r="N25" s="11" t="n">
        <x:v>1299031</x:v>
      </x:c>
    </x:row>
    <x:row r="26" ht="28" customHeight="1">
      <x:c r="A26" s="10" t="d">
        <x:v>2026-04-01T00:00:00.000Z</x:v>
      </x:c>
      <x:c r="B26" s="11" t="n">
        <x:v>41740</x:v>
      </x:c>
      <x:c r="C26" s="11" t="n">
        <x:v>32491</x:v>
      </x:c>
      <x:c r="D26" s="11" t="n">
        <x:v>45747</x:v>
      </x:c>
      <x:c r="E26" s="11" t="n">
        <x:v>23876</x:v>
      </x:c>
      <x:c r="F26" s="13" t="n">
        <x:f>IF(OR(B26="",C26=""),"",IF(B26=0,"",C26/B26))</x:f>
        <x:v>0.7784139913751796</x:v>
      </x:c>
      <x:c r="G26" s="11" t="n">
        <x:v>36454</x:v>
      </x:c>
      <x:c r="H26" s="11" t="n">
        <x:v>3390996</x:v>
      </x:c>
      <x:c r="I26" s="14" t="n">
        <x:f>IF(OR(G26="",H26=""),"",IF(H26=0,"",G26/H26))</x:f>
        <x:v>0.010750233854596112</x:v>
      </x:c>
      <x:c r="J26" s="12" t="n">
        <x:v>6.580396732995261</x:v>
      </x:c>
      <x:c r="K26" s="4" t="str">
        <x:v>2026-04-01 a 2026-04-30</x:v>
      </x:c>
      <x:c r="L26" s="4" t="str">
        <x:v>Mes completo GA4</x:v>
      </x:c>
      <x:c r="M26" s="4" t="str">
        <x:v>Actividad del blog. GSC sólo subdominio actual.</x:v>
      </x:c>
      <x:c r="N26" s="11" t="n">
        <x:v>1169243</x:v>
      </x:c>
    </x:row>
    <x:row r="27" ht="28" customHeight="1">
      <x:c r="A27" s="10" t="d">
        <x:v>2026-05-01T00:00:00.000Z</x:v>
      </x:c>
      <x:c r="B27" s="11" t="n">
        <x:v>42777</x:v>
      </x:c>
      <x:c r="C27" s="11" t="n">
        <x:v>35033</x:v>
      </x:c>
      <x:c r="D27" s="11" t="n">
        <x:v>48839</x:v>
      </x:c>
      <x:c r="E27" s="11" t="n">
        <x:v>25825</x:v>
      </x:c>
      <x:c r="F27" s="13" t="n">
        <x:f>IF(OR(B27="",C27=""),"",IF(B27=0,"",C27/B27))</x:f>
        <x:v>0.8189681370830119</x:v>
      </x:c>
      <x:c r="G27" s="11" t="n">
        <x:v>39126</x:v>
      </x:c>
      <x:c r="H27" s="11" t="n">
        <x:v>3122994</x:v>
      </x:c>
      <x:c r="I27" s="14" t="n">
        <x:f>IF(OR(G27="",H27=""),"",IF(H27=0,"",G27/H27))</x:f>
        <x:v>0.012528362206267447</x:v>
      </x:c>
      <x:c r="J27" s="12" t="n">
        <x:v>8.328787054986337</x:v>
      </x:c>
      <x:c r="K27" s="4" t="str">
        <x:v>2026-05-01 a 2026-05-31</x:v>
      </x:c>
      <x:c r="L27" s="4" t="str">
        <x:v>Mes completo GA4</x:v>
      </x:c>
      <x:c r="M27" s="4" t="str">
        <x:v>Actividad del blog. GSC sólo subdominio actual.</x:v>
      </x:c>
      <x:c r="N27" s="11" t="n">
        <x:v>1236123</x:v>
      </x:c>
    </x:row>
    <x:row r="28" ht="28" customHeight="1">
      <x:c r="A28" s="10" t="d">
        <x:v>2026-06-01T00:00:00.000Z</x:v>
      </x:c>
      <x:c r="B28" s="11" t="n">
        <x:v>45980</x:v>
      </x:c>
      <x:c r="C28" s="11" t="n">
        <x:v>35978</x:v>
      </x:c>
      <x:c r="D28" s="11" t="n">
        <x:v>48807</x:v>
      </x:c>
      <x:c r="E28" s="11" t="n">
        <x:v>26302</x:v>
      </x:c>
      <x:c r="F28" s="13" t="n">
        <x:f>IF(OR(B28="",C28=""),"",IF(B28=0,"",C28/B28))</x:f>
        <x:v>0.7824706394084384</x:v>
      </x:c>
      <x:c r="G28" s="11" t="n">
        <x:v>38344</x:v>
      </x:c>
      <x:c r="H28" s="11" t="n">
        <x:v>3049883</x:v>
      </x:c>
      <x:c r="I28" s="14" t="n">
        <x:f>IF(OR(G28="",H28=""),"",IF(H28=0,"",G28/H28))</x:f>
        <x:v>0.01257228555980672</x:v>
      </x:c>
      <x:c r="J28" s="12" t="n">
        <x:v>7.753702683020955</x:v>
      </x:c>
      <x:c r="K28" s="4" t="str">
        <x:v>2026-06-01 a 2026-06-30</x:v>
      </x:c>
      <x:c r="L28" s="4" t="str">
        <x:v>Mes completo GA4</x:v>
      </x:c>
      <x:c r="M28" s="4" t="str">
        <x:v>Actividad del blog. GSC sólo subdominio actual.</x:v>
      </x:c>
      <x:c r="N28" s="11" t="n">
        <x:v>1298520</x:v>
      </x:c>
    </x:row>
    <x:row r="29" ht="28" customHeight="1">
      <x:c r="A29" s="10" t="d">
        <x:v>2026-07-01T00:00:00.000Z</x:v>
      </x:c>
      <x:c r="B29" s="11" t="n">
        <x:v>47363</x:v>
      </x:c>
      <x:c r="C29" s="11" t="n">
        <x:v>33959</x:v>
      </x:c>
      <x:c r="D29" s="11" t="n">
        <x:v>49070</x:v>
      </x:c>
      <x:c r="E29" s="11" t="n">
        <x:v>24780</x:v>
      </x:c>
      <x:c r="F29" s="13" t="n">
        <x:f>IF(OR(B29="",C29=""),"",IF(B29=0,"",C29/B29))</x:f>
        <x:v>0.7169942782340646</x:v>
      </x:c>
      <x:c r="G29" s="11" t="n">
        <x:v>37888</x:v>
      </x:c>
      <x:c r="H29" s="11" t="n">
        <x:v>2577796</x:v>
      </x:c>
      <x:c r="I29" s="14" t="n">
        <x:f>IF(OR(G29="",H29=""),"",IF(H29=0,"",G29/H29))</x:f>
        <x:v>0.014697827136049555</x:v>
      </x:c>
      <x:c r="J29" s="12" t="n">
        <x:v>7.781074607920875</x:v>
      </x:c>
      <x:c r="K29" s="4" t="str">
        <x:v>2026-07-01 a 2026-07-31</x:v>
      </x:c>
      <x:c r="L29" s="4" t="str">
        <x:v>Mes completo GA4</x:v>
      </x:c>
      <x:c r="M29" s="4" t="str">
        <x:v>Actividad del blog. GSC sólo subdominio actual.</x:v>
      </x:c>
      <x:c r="N29" s="11" t="n">
        <x:v>1582138</x:v>
      </x:c>
    </x:row>
    <x:row r="30" ht="28" customHeight="1">
      <x:c r="A30" s="10" t="d">
        <x:v>2026-08-01T00:00:00.000Z</x:v>
      </x:c>
      <x:c r="B30" s="11" t="n">
        <x:v>37678</x:v>
      </x:c>
      <x:c r="C30" s="11" t="n">
        <x:v>29768</x:v>
      </x:c>
      <x:c r="D30" s="11" t="n">
        <x:v>44802</x:v>
      </x:c>
      <x:c r="E30" s="11" t="n">
        <x:v>21932</x:v>
      </x:c>
      <x:c r="F30" s="13" t="n">
        <x:f>IF(OR(B30="",C30=""),"",IF(B30=0,"",C30/B30))</x:f>
        <x:v>0.7900631668347576</x:v>
      </x:c>
      <x:c r="G30" s="11" t="n">
        <x:v>31297</x:v>
      </x:c>
      <x:c r="H30" s="11" t="n">
        <x:v>2402177</x:v>
      </x:c>
      <x:c r="I30" s="14" t="n">
        <x:f>IF(OR(G30="",H30=""),"",IF(H30=0,"",G30/H30))</x:f>
        <x:v>0.013028598641981836</x:v>
      </x:c>
      <x:c r="J30" s="12" t="n">
        <x:v>7.94559601561417</x:v>
      </x:c>
      <x:c r="K30" s="4" t="str">
        <x:v>2026-08-01 a 2026-08-31</x:v>
      </x:c>
      <x:c r="L30" s="4" t="str">
        <x:v>Mes completo GA4</x:v>
      </x:c>
      <x:c r="M30" s="4" t="str">
        <x:v>Actividad del blog. GSC sólo subdominio actual.</x:v>
      </x:c>
      <x:c r="N30" s="11" t="n">
        <x:v>1589344</x:v>
      </x:c>
    </x:row>
    <x:row r="31" ht="28" customHeight="1">
      <x:c r="A31" s="10" t="d">
        <x:v>2026-09-01T00:00:00.000Z</x:v>
      </x:c>
      <x:c r="B31" s="11" t="n">
        <x:v>38362</x:v>
      </x:c>
      <x:c r="C31" s="11" t="n">
        <x:v>28954</x:v>
      </x:c>
      <x:c r="D31" s="11" t="n">
        <x:v>44784</x:v>
      </x:c>
      <x:c r="E31" s="11" t="n">
        <x:v>20928</x:v>
      </x:c>
      <x:c r="F31" s="13" t="n">
        <x:f>IF(OR(B31="",C31=""),"",IF(B31=0,"",C31/B31))</x:f>
        <x:v>0.7547573119232573</x:v>
      </x:c>
      <x:c r="G31" s="11" t="n">
        <x:v>28718</x:v>
      </x:c>
      <x:c r="H31" s="11" t="n">
        <x:v>2080377</x:v>
      </x:c>
      <x:c r="I31" s="14" t="n">
        <x:f>IF(OR(G31="",H31=""),"",IF(H31=0,"",G31/H31))</x:f>
        <x:v>0.01380422875276933</x:v>
      </x:c>
      <x:c r="J31" s="12" t="n">
        <x:v>7.769980152635796</x:v>
      </x:c>
      <x:c r="K31" s="4" t="str">
        <x:v>2026-09-01 a 2026-09-30</x:v>
      </x:c>
      <x:c r="L31" s="4" t="str">
        <x:v>Mes completo GA4</x:v>
      </x:c>
      <x:c r="M31" s="4" t="str">
        <x:v>Actividad del blog. GSC sólo subdominio actual.</x:v>
      </x:c>
      <x:c r="N31" s="11" t="n">
        <x:v>1795289</x:v>
      </x:c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</x:row>
  </x:sheetData>
  <x:pageMargins left="0.7" right="0.7" top="0.75" bottom="0.75" header="0.3" footer="0.3"/>
  <x:tableParts count="1">
    <x:tablePart xmlns:r="http://schemas.openxmlformats.org/officeDocument/2006/relationships" r:id="R2aeb825a12ca478e"/>
  </x:tableParts>
</x:worksheet>
</file>

<file path=xl/worksheets/sheet3.xml><?xml version="1.0" encoding="utf-8"?>
<x:worksheet xmlns:x="http://schemas.openxmlformats.org/spreadsheetml/2006/main">
  <x:sheetPr>
    <x:tabColor rgb="FF50718F"/>
  </x:sheetPr>
  <x:sheetViews>
    <x:sheetView showGridLines="0" workbookViewId="0">
      <x:pane xSplit="2" ySplit="10" topLeftCell="C11" activePane="bottomRight" state="frozen"/>
    </x:sheetView>
  </x:sheetViews>
  <x:sheetFormatPr defaultRowHeight="15"/>
  <x:cols>
    <x:col min="1" max="1" width="12" hidden="0" customWidth="1"/>
    <x:col min="2" max="2" width="68" hidden="0" customWidth="1"/>
    <x:col min="3" max="3" width="64" hidden="0" customWidth="1"/>
    <x:col min="4" max="4" width="18" hidden="0" customWidth="1"/>
    <x:col min="5" max="5" width="18" hidden="0" customWidth="1"/>
    <x:col min="6" max="6" width="31" hidden="0" customWidth="1"/>
    <x:col min="7" max="7" width="14" hidden="0" customWidth="1"/>
    <x:col min="8" max="8" width="12" hidden="0" customWidth="1"/>
    <x:col min="9" max="9" width="16" hidden="0" customWidth="1"/>
    <x:col min="10" max="10" width="68" hidden="0" customWidth="1"/>
    <x:col min="11" max="11" width="24" hidden="0" customWidth="1"/>
    <x:col min="12" max="12" width="18" hidden="0" customWidth="1"/>
    <x:col min="13" max="13" width="23" hidden="0" customWidth="1"/>
    <x:col min="14" max="14" width="23" hidden="0" customWidth="1"/>
    <x:col min="15" max="15" width="24" hidden="0" customWidth="1"/>
    <x:col min="16" max="16" width="18" hidden="0" customWidth="1"/>
    <x:col min="17" max="17" width="18" hidden="0" customWidth="1"/>
    <x:col min="18" max="18" width="18" hidden="0" customWidth="1"/>
    <x:col min="19" max="19" width="20" hidden="0" customWidth="1"/>
    <x:col min="20" max="20" width="23" hidden="0" customWidth="1"/>
    <x:col min="21" max="21" width="23" hidden="0" customWidth="1"/>
    <x:col min="22" max="22" width="19" hidden="0" customWidth="1"/>
    <x:col min="23" max="23" width="21" hidden="0" customWidth="1"/>
    <x:col min="24" max="24" width="29" hidden="0" customWidth="1"/>
    <x:col min="25" max="25" width="27" hidden="0" customWidth="1"/>
    <x:col min="26" max="26" width="72" hidden="0" customWidth="1"/>
    <x:col min="27" max="27" width="72" hidden="0" customWidth="1"/>
    <x:col min="28" max="28" width="28" hidden="0" customWidth="1"/>
    <x:col min="29" max="29" width="31" hidden="0" customWidth="1"/>
    <x:col min="30" max="30" width="52" hidden="0" customWidth="1"/>
    <x:col min="31" max="31" width="17" hidden="0" customWidth="1"/>
    <x:col min="32" max="32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</x:row>
    <x:row r="2">
      <x:c r="A2" s="2" t="str">
        <x:v>SKY · Inventario completo de posts públicos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</x:row>
    <x:row r="4">
      <x:c r="A4" s="3" t="str">
        <x:v>1.697 posts publicados al 15-10-2026, incluyendo 1 demo. 1.671 publicados hasta septiembre. Categorías múltiples no son artículos adicionales.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</x:row>
    <x:row r="5">
      <x:c r="A5" s="3" t="str">
        <x:v>REST /wp-json/wp/v2/posts y crawl HTML completo del blog. GSC agosto/septiembre 2026. GA4 septiembre, Organic Search, actividad por página NO sumable.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  <x:c r="W5" s="1"/>
      <x:c r="X5" s="1"/>
      <x:c r="Y5" s="1"/>
      <x:c r="Z5" s="1"/>
      <x:c r="AA5" s="1"/>
      <x:c r="AB5" s="1"/>
      <x:c r="AC5" s="1"/>
      <x:c r="AD5" s="1"/>
      <x:c r="AE5" s="1"/>
      <x:c r="AF5" s="1"/>
    </x:row>
    <x:row r="6">
      <x:c r="A6" s="3" t="str">
        <x:v>Alias: sólo se une barra final del mismo host/path. Se suman clics e impresiones; posición ponderada por impresiones. Querystrings se conservan.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  <x:c r="W6" s="1"/>
      <x:c r="X6" s="1"/>
      <x:c r="Y6" s="1"/>
      <x:c r="Z6" s="1"/>
      <x:c r="AA6" s="1"/>
      <x:c r="AB6" s="1"/>
      <x:c r="AC6" s="1"/>
      <x:c r="AD6" s="1"/>
      <x:c r="AE6" s="1"/>
      <x:c r="AF6" s="1"/>
    </x:row>
    <x:row r="7">
      <x:c r="A7" s="3" t="str">
        <x:v>Celdas vacías: falta una fila de esa fuente, no cero demostrado. URLs raw permiten revisar cada unión.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  <x:c r="W7" s="1"/>
      <x:c r="X7" s="1"/>
      <x:c r="Y7" s="1"/>
      <x:c r="Z7" s="1"/>
      <x:c r="AA7" s="1"/>
      <x:c r="AB7" s="1"/>
      <x:c r="AC7" s="1"/>
      <x:c r="AD7" s="1"/>
      <x:c r="AE7" s="1"/>
      <x:c r="AF7" s="1"/>
    </x:row>
    <x:row r="8">
      <x:c r="A8" s="3" t="str">
        <x:v>GSC total blog: 28.718 clics. Posts actuales: 27.815. Otras URLs: 903. Posts publicados hasta septiembre: 27.791; 24 clics restantes tienen fecha WP actual posterior.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  <x:c r="W8" s="1"/>
      <x:c r="X8" s="1"/>
      <x:c r="Y8" s="1"/>
      <x:c r="Z8" s="1"/>
      <x:c r="AA8" s="1"/>
      <x:c r="AB8" s="1"/>
      <x:c r="AC8" s="1"/>
      <x:c r="AD8" s="1"/>
      <x:c r="AE8" s="1"/>
      <x:c r="AF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  <x:c r="W9" s="1"/>
      <x:c r="X9" s="1"/>
      <x:c r="Y9" s="1"/>
      <x:c r="Z9" s="1"/>
      <x:c r="AA9" s="1"/>
      <x:c r="AB9" s="1"/>
      <x:c r="AC9" s="1"/>
      <x:c r="AD9" s="1"/>
      <x:c r="AE9" s="1"/>
      <x:c r="AF9" s="1"/>
    </x:row>
    <x:row r="10" ht="43" customHeight="1">
      <x:c r="A10" s="8" t="str">
        <x:v>WP ID</x:v>
      </x:c>
      <x:c r="B10" s="8" t="str">
        <x:v>URL publicada</x:v>
      </x:c>
      <x:c r="C10" s="8" t="str">
        <x:v>Título WordPress</x:v>
      </x:c>
      <x:c r="D10" s="8" t="str">
        <x:v>Publicación WP</x:v>
      </x:c>
      <x:c r="E10" s="8" t="str">
        <x:v>Modificación WP</x:v>
      </x:c>
      <x:c r="F10" s="8" t="str">
        <x:v>Categorías</x:v>
      </x:c>
      <x:c r="G10" s="8" t="str">
        <x:v>Palabras</x:v>
      </x:c>
      <x:c r="H10" s="8" t="str">
        <x:v>HTTP</x:v>
      </x:c>
      <x:c r="I10" s="8" t="str">
        <x:v>Cantidad H1</x:v>
      </x:c>
      <x:c r="J10" s="8" t="str">
        <x:v>Canonical HTML</x:v>
      </x:c>
      <x:c r="K10" s="8" t="str">
        <x:v>Meta description presente</x:v>
      </x:c>
      <x:c r="L10" s="8" t="str">
        <x:v>Bloques JSON-LD</x:v>
      </x:c>
      <x:c r="M10" s="8" t="str">
        <x:v>Links a prefijo antiguo</x:v>
      </x:c>
      <x:c r="N10" s="8" t="str">
        <x:v>Grupo título duplicado</x:v>
      </x:c>
      <x:c r="O10" s="8" t="str">
        <x:v>Grupo cuerpo idéntico</x:v>
      </x:c>
      <x:c r="P10" s="8" t="str">
        <x:v>GSC clics ago</x:v>
      </x:c>
      <x:c r="Q10" s="8" t="str">
        <x:v>GSC clics sep</x:v>
      </x:c>
      <x:c r="R10" s="8" t="str">
        <x:v>Cambio clics</x:v>
      </x:c>
      <x:c r="S10" s="8" t="str">
        <x:v>Cambio diario %</x:v>
      </x:c>
      <x:c r="T10" s="8" t="str">
        <x:v>GSC impresiones ago</x:v>
      </x:c>
      <x:c r="U10" s="8" t="str">
        <x:v>GSC impresiones sep</x:v>
      </x:c>
      <x:c r="V10" s="8" t="str">
        <x:v>GSC CTR sep</x:v>
      </x:c>
      <x:c r="W10" s="8" t="str">
        <x:v>GSC posición sep</x:v>
      </x:c>
      <x:c r="X10" s="8" t="str">
        <x:v>GA4 sesiones org. página sep</x:v>
      </x:c>
      <x:c r="Y10" s="8" t="str">
        <x:v>GA4 vistas org. página sep</x:v>
      </x:c>
      <x:c r="Z10" s="8" t="str">
        <x:v>URLs raw GSC ago</x:v>
      </x:c>
      <x:c r="AA10" s="8" t="str">
        <x:v>URLs raw GSC sep</x:v>
      </x:c>
      <x:c r="AB10" s="8" t="str">
        <x:v>Unión GSC</x:v>
      </x:c>
      <x:c r="AC10" s="8" t="str">
        <x:v>Cohorte septiembre</x:v>
      </x:c>
      <x:c r="AD10" s="8" t="str">
        <x:v>Paths raw GA4 sep</x:v>
      </x:c>
      <x:c r="AE10" s="8" t="str">
        <x:v>Tipo especial</x:v>
      </x:c>
      <x:c r="AF10" s="8" t="str">
        <x:v>Shortcode CTA visible</x:v>
      </x:c>
    </x:row>
    <x:row r="11" ht="44" customHeight="1">
      <x:c r="A11" s="4" t="n">
        <x:v>1298</x:v>
      </x:c>
      <x:c r="B11" s="4" t="str">
        <x:v>https://blog.skyairline.com/equipaje-de-cabina/</x:v>
      </x:c>
      <x:c r="C11" s="9" t="str">
        <x:v>Equipaje de cabina: qué es, qué puedes llevar y cómo revisar las restricciones</x:v>
      </x:c>
      <x:c r="D11" s="17" t="d">
        <x:v>2026-01-05T00:00:00.000Z</x:v>
      </x:c>
      <x:c r="E11" s="17" t="d">
        <x:v>2026-01-05T00:00:00.000Z</x:v>
      </x:c>
      <x:c r="F11" s="4" t="str">
        <x:v>Planificación de Viaje</x:v>
      </x:c>
      <x:c r="G11" s="11" t="n">
        <x:v>1068</x:v>
      </x:c>
      <x:c r="H11" s="11" t="n">
        <x:v>200</x:v>
      </x:c>
      <x:c r="I11" s="11" t="n">
        <x:v>1</x:v>
      </x:c>
      <x:c r="J11" s="4" t="str">
        <x:v>https://blog.skyairline.com/equipaje-de-cabina/</x:v>
      </x:c>
      <x:c r="K11" s="16" t="b">
        <x:v>0</x:v>
      </x:c>
      <x:c r="L11" s="11" t="n">
        <x:v>0</x:v>
      </x:c>
      <x:c r="M11" s="11" t="n">
        <x:v>0</x:v>
      </x:c>
      <x:c r="N11" s="4"/>
      <x:c r="O11" s="4"/>
      <x:c r="P11" s="11" t="n">
        <x:v>4158</x:v>
      </x:c>
      <x:c r="Q11" s="11" t="n">
        <x:v>4105</x:v>
      </x:c>
      <x:c r="R11" s="11" t="n">
        <x:f>IF(OR(P11="",Q11=""),"",Q11-P11)</x:f>
        <x:v>-53</x:v>
      </x:c>
      <x:c r="S11" s="13" t="n">
        <x:f>IF(OR(P11="",Q11="",P11=0),"",((Q11/30)/(P11/31))-1)</x:f>
        <x:v>0.020161936828603677</x:v>
      </x:c>
      <x:c r="T11" s="11" t="n">
        <x:v>59730</x:v>
      </x:c>
      <x:c r="U11" s="11" t="n">
        <x:v>54586</x:v>
      </x:c>
      <x:c r="V11" s="14" t="n">
        <x:v>0.07520243285824205</x:v>
      </x:c>
      <x:c r="W11" s="12" t="n">
        <x:v>3.6974132561462647</x:v>
      </x:c>
      <x:c r="X11" s="11" t="n">
        <x:v>4217</x:v>
      </x:c>
      <x:c r="Y11" s="11" t="n">
        <x:v>5624</x:v>
      </x:c>
      <x:c r="Z11" s="4" t="str">
        <x:v>https://blog.skyairline.com/equipaje-de-cabina/</x:v>
      </x:c>
      <x:c r="AA11" s="4" t="str">
        <x:v>https://blog.skyairline.com/equipaje-de-cabina/</x:v>
      </x:c>
      <x:c r="AB11" s="4" t="str">
        <x:v>Coincidencia URL</x:v>
      </x:c>
      <x:c r="AC11" s="4" t="str">
        <x:v>Publicado hasta septiembre</x:v>
      </x:c>
      <x:c r="AD11" s="4" t="str">
        <x:v>/equipaje-de-cabina/</x:v>
      </x:c>
      <x:c r="AE11" s="4"/>
      <x:c r="AF11" s="16" t="b">
        <x:v>0</x:v>
      </x:c>
    </x:row>
    <x:row r="12" ht="44" customHeight="1">
      <x:c r="A12" s="4" t="n">
        <x:v>7493</x:v>
      </x:c>
      <x:c r="B12" s="4" t="str">
        <x:v>https://blog.skyairline.com/equipaje-de-bodega/</x:v>
      </x:c>
      <x:c r="C12" s="9" t="str">
        <x:v>Equipaje de bodega y de mano: qué llevar y cómo prepararte para tu vuelo</x:v>
      </x:c>
      <x:c r="D12" s="17" t="d">
        <x:v>2025-11-06T00:00:00.000Z</x:v>
      </x:c>
      <x:c r="E12" s="17" t="d">
        <x:v>2026-01-09T00:00:00.000Z</x:v>
      </x:c>
      <x:c r="F12" s="4" t="str">
        <x:v>Destinos</x:v>
      </x:c>
      <x:c r="G12" s="11" t="n">
        <x:v>1022</x:v>
      </x:c>
      <x:c r="H12" s="11" t="n">
        <x:v>200</x:v>
      </x:c>
      <x:c r="I12" s="11" t="n">
        <x:v>1</x:v>
      </x:c>
      <x:c r="J12" s="4" t="str">
        <x:v>https://blog.skyairline.com/equipaje-de-bodega/</x:v>
      </x:c>
      <x:c r="K12" s="16" t="b">
        <x:v>0</x:v>
      </x:c>
      <x:c r="L12" s="11" t="n">
        <x:v>0</x:v>
      </x:c>
      <x:c r="M12" s="11" t="n">
        <x:v>3</x:v>
      </x:c>
      <x:c r="N12" s="4"/>
      <x:c r="O12" s="4"/>
      <x:c r="P12" s="11" t="n">
        <x:v>2994</x:v>
      </x:c>
      <x:c r="Q12" s="11" t="n">
        <x:v>3010</x:v>
      </x:c>
      <x:c r="R12" s="11" t="n">
        <x:f>IF(OR(P12="",Q12=""),"",Q12-P12)</x:f>
        <x:v>16</x:v>
      </x:c>
      <x:c r="S12" s="13" t="n">
        <x:f>IF(OR(P12="",Q12="",P12=0),"",((Q12/30)/(P12/31))-1)</x:f>
        <x:v>0.038855488755288325</x:v>
      </x:c>
      <x:c r="T12" s="11" t="n">
        <x:v>70788</x:v>
      </x:c>
      <x:c r="U12" s="11" t="n">
        <x:v>70598</x:v>
      </x:c>
      <x:c r="V12" s="14" t="n">
        <x:v>0.04263576871866059</x:v>
      </x:c>
      <x:c r="W12" s="12" t="n">
        <x:v>4.964404090767443</x:v>
      </x:c>
      <x:c r="X12" s="11" t="n">
        <x:v>3163</x:v>
      </x:c>
      <x:c r="Y12" s="11" t="n">
        <x:v>3907</x:v>
      </x:c>
      <x:c r="Z12" s="4" t="str">
        <x:v>https://blog.skyairline.com/equipaje-de-bodega/</x:v>
      </x:c>
      <x:c r="AA12" s="4" t="str">
        <x:v>https://blog.skyairline.com/equipaje-de-bodega/</x:v>
      </x:c>
      <x:c r="AB12" s="4" t="str">
        <x:v>Coincidencia URL</x:v>
      </x:c>
      <x:c r="AC12" s="4" t="str">
        <x:v>Publicado hasta septiembre</x:v>
      </x:c>
      <x:c r="AD12" s="4" t="str">
        <x:v>/equipaje-de-bodega/</x:v>
      </x:c>
      <x:c r="AE12" s="4"/>
      <x:c r="AF12" s="16" t="b">
        <x:v>0</x:v>
      </x:c>
    </x:row>
    <x:row r="13" ht="44" customHeight="1">
      <x:c r="A13" s="4" t="n">
        <x:v>1907</x:v>
      </x:c>
      <x:c r="B13" s="4" t="str">
        <x:v>https://blog.skyairline.com/tipos-de-equipaje/</x:v>
      </x:c>
      <x:c r="C13" s="9" t="str">
        <x:v>Tipo de equipaje y cuáles puedes llevar en tu viaje</x:v>
      </x:c>
      <x:c r="D13" s="17" t="d">
        <x:v>2026-01-05T00:00:00.000Z</x:v>
      </x:c>
      <x:c r="E13" s="17" t="d">
        <x:v>2026-01-05T00:00:00.000Z</x:v>
      </x:c>
      <x:c r="F13" s="4" t="str">
        <x:v>Planificación de Viaje</x:v>
      </x:c>
      <x:c r="G13" s="11" t="n">
        <x:v>1020</x:v>
      </x:c>
      <x:c r="H13" s="11" t="n">
        <x:v>200</x:v>
      </x:c>
      <x:c r="I13" s="11" t="n">
        <x:v>1</x:v>
      </x:c>
      <x:c r="J13" s="4" t="str">
        <x:v>https://blog.skyairline.com/tipos-de-equipaje/</x:v>
      </x:c>
      <x:c r="K13" s="16" t="b">
        <x:v>0</x:v>
      </x:c>
      <x:c r="L13" s="11" t="n">
        <x:v>0</x:v>
      </x:c>
      <x:c r="M13" s="11" t="n">
        <x:v>0</x:v>
      </x:c>
      <x:c r="N13" s="4"/>
      <x:c r="O13" s="4"/>
      <x:c r="P13" s="11" t="n">
        <x:v>2855</x:v>
      </x:c>
      <x:c r="Q13" s="11" t="n">
        <x:v>2446</x:v>
      </x:c>
      <x:c r="R13" s="11" t="n">
        <x:f>IF(OR(P13="",Q13=""),"",Q13-P13)</x:f>
        <x:v>-409</x:v>
      </x:c>
      <x:c r="S13" s="13" t="n">
        <x:f>IF(OR(P13="",Q13="",P13=0),"",((Q13/30)/(P13/31))-1)</x:f>
        <x:v>-0.11469935785172214</x:v>
      </x:c>
      <x:c r="T13" s="11" t="n">
        <x:v>55686</x:v>
      </x:c>
      <x:c r="U13" s="11" t="n">
        <x:v>54220</x:v>
      </x:c>
      <x:c r="V13" s="14" t="n">
        <x:v>0.045112504610844706</x:v>
      </x:c>
      <x:c r="W13" s="12" t="n">
        <x:v>4.295794909627444</x:v>
      </x:c>
      <x:c r="X13" s="11" t="n">
        <x:v>2348</x:v>
      </x:c>
      <x:c r="Y13" s="11" t="n">
        <x:v>3023</x:v>
      </x:c>
      <x:c r="Z13" s="4" t="str">
        <x:v>https://blog.skyairline.com/tipos-de-equipaje/</x:v>
      </x:c>
      <x:c r="AA13" s="4" t="str">
        <x:v>https://blog.skyairline.com/tipos-de-equipaje/</x:v>
      </x:c>
      <x:c r="AB13" s="4" t="str">
        <x:v>Coincidencia URL</x:v>
      </x:c>
      <x:c r="AC13" s="4" t="str">
        <x:v>Publicado hasta septiembre</x:v>
      </x:c>
      <x:c r="AD13" s="4" t="str">
        <x:v>/tipos-de-equipaje/</x:v>
      </x:c>
      <x:c r="AE13" s="4"/>
      <x:c r="AF13" s="16" t="b">
        <x:v>0</x:v>
      </x:c>
    </x:row>
    <x:row r="14" ht="44" customHeight="1">
      <x:c r="A14" s="4" t="n">
        <x:v>6409</x:v>
      </x:c>
      <x:c r="B14" s="4" t="str">
        <x:v>https://blog.skyairline.com/cambiar-vuelo-sky/</x:v>
      </x:c>
      <x:c r="C14" s="9" t="str">
        <x:v>Cómo cambiar un vuelo en SKY: pasos y condiciones</x:v>
      </x:c>
      <x:c r="D14" s="17" t="d">
        <x:v>2025-08-07T00:00:00.000Z</x:v>
      </x:c>
      <x:c r="E14" s="17" t="d">
        <x:v>2025-08-07T00:00:00.000Z</x:v>
      </x:c>
      <x:c r="F14" s="4" t="str">
        <x:v>Planificación de Viaje</x:v>
      </x:c>
      <x:c r="G14" s="11" t="n">
        <x:v>1155</x:v>
      </x:c>
      <x:c r="H14" s="11" t="n">
        <x:v>200</x:v>
      </x:c>
      <x:c r="I14" s="11" t="n">
        <x:v>1</x:v>
      </x:c>
      <x:c r="J14" s="4" t="str">
        <x:v>https://blog.skyairline.com/cambiar-vuelo-sky/</x:v>
      </x:c>
      <x:c r="K14" s="16" t="b">
        <x:v>0</x:v>
      </x:c>
      <x:c r="L14" s="11" t="n">
        <x:v>0</x:v>
      </x:c>
      <x:c r="M14" s="11" t="n">
        <x:v>0</x:v>
      </x:c>
      <x:c r="N14" s="4"/>
      <x:c r="O14" s="4"/>
      <x:c r="P14" s="11" t="n">
        <x:v>1505</x:v>
      </x:c>
      <x:c r="Q14" s="11" t="n">
        <x:v>1417</x:v>
      </x:c>
      <x:c r="R14" s="11" t="n">
        <x:f>IF(OR(P14="",Q14=""),"",Q14-P14)</x:f>
        <x:v>-88</x:v>
      </x:c>
      <x:c r="S14" s="13" t="n">
        <x:f>IF(OR(P14="",Q14="",P14=0),"",((Q14/30)/(P14/31))-1)</x:f>
        <x:v>-0.027087486157253537</x:v>
      </x:c>
      <x:c r="T14" s="11" t="n">
        <x:v>26203</x:v>
      </x:c>
      <x:c r="U14" s="11" t="n">
        <x:v>23755</x:v>
      </x:c>
      <x:c r="V14" s="14" t="n">
        <x:v>0.0596505998737108</x:v>
      </x:c>
      <x:c r="W14" s="12" t="n">
        <x:v>3.418017259524311</x:v>
      </x:c>
      <x:c r="X14" s="11" t="n">
        <x:v>1475</x:v>
      </x:c>
      <x:c r="Y14" s="11" t="n">
        <x:v>1936</x:v>
      </x:c>
      <x:c r="Z14" s="4" t="str">
        <x:v>https://blog.skyairline.com/cambiar-vuelo-sky/</x:v>
      </x:c>
      <x:c r="AA14" s="4" t="str">
        <x:v>https://blog.skyairline.com/cambiar-vuelo-sky/</x:v>
      </x:c>
      <x:c r="AB14" s="4" t="str">
        <x:v>Coincidencia URL</x:v>
      </x:c>
      <x:c r="AC14" s="4" t="str">
        <x:v>Publicado hasta septiembre</x:v>
      </x:c>
      <x:c r="AD14" s="4" t="str">
        <x:v>/cambiar-vuelo-sky/</x:v>
      </x:c>
      <x:c r="AE14" s="4"/>
      <x:c r="AF14" s="16" t="b">
        <x:v>0</x:v>
      </x:c>
    </x:row>
    <x:row r="15" ht="44" customHeight="1">
      <x:c r="A15" s="4" t="n">
        <x:v>1938</x:v>
      </x:c>
      <x:c r="B15" s="4" t="str">
        <x:v>https://blog.skyairline.com/viajar-con-perros/</x:v>
      </x:c>
      <x:c r="C15" s="9" t="str">
        <x:v>Viajar con perros: lleva a tu mejor amigo contigo</x:v>
      </x:c>
      <x:c r="D15" s="17" t="d">
        <x:v>2026-01-06T00:00:00.000Z</x:v>
      </x:c>
      <x:c r="E15" s="17" t="d">
        <x:v>2026-01-06T00:00:00.000Z</x:v>
      </x:c>
      <x:c r="F15" s="4" t="str">
        <x:v>Planificación de Viaje</x:v>
      </x:c>
      <x:c r="G15" s="11" t="n">
        <x:v>1015</x:v>
      </x:c>
      <x:c r="H15" s="11" t="n">
        <x:v>200</x:v>
      </x:c>
      <x:c r="I15" s="11" t="n">
        <x:v>1</x:v>
      </x:c>
      <x:c r="J15" s="4" t="str">
        <x:v>https://blog.skyairline.com/viajar-con-perros/</x:v>
      </x:c>
      <x:c r="K15" s="16" t="b">
        <x:v>0</x:v>
      </x:c>
      <x:c r="L15" s="11" t="n">
        <x:v>0</x:v>
      </x:c>
      <x:c r="M15" s="11" t="n">
        <x:v>0</x:v>
      </x:c>
      <x:c r="N15" s="4"/>
      <x:c r="O15" s="4"/>
      <x:c r="P15" s="11" t="n">
        <x:v>1277</x:v>
      </x:c>
      <x:c r="Q15" s="11" t="n">
        <x:v>1118</x:v>
      </x:c>
      <x:c r="R15" s="11" t="n">
        <x:f>IF(OR(P15="",Q15=""),"",Q15-P15)</x:f>
        <x:v>-159</x:v>
      </x:c>
      <x:c r="S15" s="13" t="n">
        <x:f>IF(OR(P15="",Q15="",P15=0),"",((Q15/30)/(P15/31))-1)</x:f>
        <x:v>-0.09532759070738717</x:v>
      </x:c>
      <x:c r="T15" s="11" t="n">
        <x:v>11582</x:v>
      </x:c>
      <x:c r="U15" s="11" t="n">
        <x:v>9649</x:v>
      </x:c>
      <x:c r="V15" s="14" t="n">
        <x:v>0.11586692921546274</x:v>
      </x:c>
      <x:c r="W15" s="12" t="n">
        <x:v>3.805782982692507</x:v>
      </x:c>
      <x:c r="X15" s="11" t="n">
        <x:v>1112</x:v>
      </x:c>
      <x:c r="Y15" s="11" t="n">
        <x:v>1528</x:v>
      </x:c>
      <x:c r="Z15" s="4" t="str">
        <x:v>https://blog.skyairline.com/viajar-con-perros/</x:v>
      </x:c>
      <x:c r="AA15" s="4" t="str">
        <x:v>https://blog.skyairline.com/viajar-con-perros/</x:v>
      </x:c>
      <x:c r="AB15" s="4" t="str">
        <x:v>Coincidencia URL</x:v>
      </x:c>
      <x:c r="AC15" s="4" t="str">
        <x:v>Publicado hasta septiembre</x:v>
      </x:c>
      <x:c r="AD15" s="4" t="str">
        <x:v>/viajar-con-perros/</x:v>
      </x:c>
      <x:c r="AE15" s="4"/>
      <x:c r="AF15" s="16" t="b">
        <x:v>0</x:v>
      </x:c>
    </x:row>
    <x:row r="16" ht="44" customHeight="1">
      <x:c r="A16" s="4" t="n">
        <x:v>5253</x:v>
      </x:c>
      <x:c r="B16" s="4" t="str">
        <x:v>https://blog.skyairline.com/curso-tripulante-cabina/</x:v>
      </x:c>
      <x:c r="C16" s="9" t="str">
        <x:v>Curso de tripulante de cabina: requisitos y qué se estudia</x:v>
      </x:c>
      <x:c r="D16" s="17" t="d">
        <x:v>2024-10-30T00:00:00.000Z</x:v>
      </x:c>
      <x:c r="E16" s="17" t="d">
        <x:v>2024-10-30T00:00:00.000Z</x:v>
      </x:c>
      <x:c r="F16" s="4" t="str">
        <x:v>Oportunidades</x:v>
      </x:c>
      <x:c r="G16" s="11" t="n">
        <x:v>1154</x:v>
      </x:c>
      <x:c r="H16" s="11" t="n">
        <x:v>200</x:v>
      </x:c>
      <x:c r="I16" s="11" t="n">
        <x:v>1</x:v>
      </x:c>
      <x:c r="J16" s="4" t="str">
        <x:v>https://blog.skyairline.com/curso-tripulante-cabina/</x:v>
      </x:c>
      <x:c r="K16" s="16" t="b">
        <x:v>0</x:v>
      </x:c>
      <x:c r="L16" s="11" t="n">
        <x:v>0</x:v>
      </x:c>
      <x:c r="M16" s="11" t="n">
        <x:v>3</x:v>
      </x:c>
      <x:c r="N16" s="4"/>
      <x:c r="O16" s="4"/>
      <x:c r="P16" s="11" t="n">
        <x:v>1237</x:v>
      </x:c>
      <x:c r="Q16" s="11" t="n">
        <x:v>1022</x:v>
      </x:c>
      <x:c r="R16" s="11" t="n">
        <x:f>IF(OR(P16="",Q16=""),"",Q16-P16)</x:f>
        <x:v>-215</x:v>
      </x:c>
      <x:c r="S16" s="13" t="n">
        <x:f>IF(OR(P16="",Q16="",P16=0),"",((Q16/30)/(P16/31))-1)</x:f>
        <x:v>-0.1462678523309081</x:v>
      </x:c>
      <x:c r="T16" s="11" t="n">
        <x:v>27525</x:v>
      </x:c>
      <x:c r="U16" s="11" t="n">
        <x:v>22686</x:v>
      </x:c>
      <x:c r="V16" s="14" t="n">
        <x:v>0.04504981045578771</x:v>
      </x:c>
      <x:c r="W16" s="12" t="n">
        <x:v>6.670766111258045</x:v>
      </x:c>
      <x:c r="X16" s="11" t="n">
        <x:v>1179</x:v>
      </x:c>
      <x:c r="Y16" s="11" t="n">
        <x:v>1601</x:v>
      </x:c>
      <x:c r="Z16" s="4" t="str">
        <x:v>https://blog.skyairline.com/curso-tripulante-cabina/</x:v>
      </x:c>
      <x:c r="AA16" s="4" t="str">
        <x:v>https://blog.skyairline.com/curso-tripulante-cabina/
https://blog.skyairline.com/curso-tripulante-cabina</x:v>
      </x:c>
      <x:c r="AB16" s="4" t="str">
        <x:v>Alias slash agregado</x:v>
      </x:c>
      <x:c r="AC16" s="4" t="str">
        <x:v>Publicado hasta septiembre</x:v>
      </x:c>
      <x:c r="AD16" s="4" t="str">
        <x:v>/curso-tripulante-cabina/</x:v>
      </x:c>
      <x:c r="AE16" s="4"/>
      <x:c r="AF16" s="16" t="b">
        <x:v>1</x:v>
      </x:c>
    </x:row>
    <x:row r="17" ht="44" customHeight="1">
      <x:c r="A17" s="4" t="n">
        <x:v>1922</x:v>
      </x:c>
      <x:c r="B17" s="4" t="str">
        <x:v>https://blog.skyairline.com/equipaje-de-mano-permitido/</x:v>
      </x:c>
      <x:c r="C17" s="9" t="str">
        <x:v>¿Qué no está permitido en el equipaje de mano?</x:v>
      </x:c>
      <x:c r="D17" s="17" t="d">
        <x:v>2023-12-11T00:00:00.000Z</x:v>
      </x:c>
      <x:c r="E17" s="17" t="d">
        <x:v>2023-12-11T00:00:00.000Z</x:v>
      </x:c>
      <x:c r="F17" s="4" t="str">
        <x:v>Planificación de Viaje</x:v>
      </x:c>
      <x:c r="G17" s="11" t="n">
        <x:v>980</x:v>
      </x:c>
      <x:c r="H17" s="11" t="n">
        <x:v>200</x:v>
      </x:c>
      <x:c r="I17" s="11" t="n">
        <x:v>1</x:v>
      </x:c>
      <x:c r="J17" s="4" t="str">
        <x:v>https://blog.skyairline.com/equipaje-de-mano-permitido/</x:v>
      </x:c>
      <x:c r="K17" s="16" t="b">
        <x:v>0</x:v>
      </x:c>
      <x:c r="L17" s="11" t="n">
        <x:v>0</x:v>
      </x:c>
      <x:c r="M17" s="11" t="n">
        <x:v>3</x:v>
      </x:c>
      <x:c r="N17" s="4"/>
      <x:c r="O17" s="4"/>
      <x:c r="P17" s="11" t="n">
        <x:v>825</x:v>
      </x:c>
      <x:c r="Q17" s="11" t="n">
        <x:v>889</x:v>
      </x:c>
      <x:c r="R17" s="11" t="n">
        <x:f>IF(OR(P17="",Q17=""),"",Q17-P17)</x:f>
        <x:v>64</x:v>
      </x:c>
      <x:c r="S17" s="13" t="n">
        <x:f>IF(OR(P17="",Q17="",P17=0),"",((Q17/30)/(P17/31))-1)</x:f>
        <x:v>0.11349494949494954</x:v>
      </x:c>
      <x:c r="T17" s="11" t="n">
        <x:v>19533</x:v>
      </x:c>
      <x:c r="U17" s="11" t="n">
        <x:v>20533</x:v>
      </x:c>
      <x:c r="V17" s="14" t="n">
        <x:v>0.043296157405152684</x:v>
      </x:c>
      <x:c r="W17" s="12" t="n">
        <x:v>6.335898310037501</x:v>
      </x:c>
      <x:c r="X17" s="11" t="n">
        <x:v>1096</x:v>
      </x:c>
      <x:c r="Y17" s="11" t="n">
        <x:v>1417</x:v>
      </x:c>
      <x:c r="Z17" s="4" t="str">
        <x:v>https://blog.skyairline.com/equipaje-de-mano-permitido/</x:v>
      </x:c>
      <x:c r="AA17" s="4" t="str">
        <x:v>https://blog.skyairline.com/equipaje-de-mano-permitido/</x:v>
      </x:c>
      <x:c r="AB17" s="4" t="str">
        <x:v>Coincidencia URL</x:v>
      </x:c>
      <x:c r="AC17" s="4" t="str">
        <x:v>Publicado hasta septiembre</x:v>
      </x:c>
      <x:c r="AD17" s="4" t="str">
        <x:v>/equipaje-de-mano-permitido/</x:v>
      </x:c>
      <x:c r="AE17" s="4"/>
      <x:c r="AF17" s="16" t="b">
        <x:v>1</x:v>
      </x:c>
    </x:row>
    <x:row r="18" ht="44" customHeight="1">
      <x:c r="A18" s="4" t="n">
        <x:v>8409</x:v>
      </x:c>
      <x:c r="B18" s="4" t="str">
        <x:v>https://blog.skyairline.com/sky-plus/</x:v>
      </x:c>
      <x:c r="C18" s="9" t="str">
        <x:v>SKY Plus: cómo funciona el programa de fidelidad y cómo aprovecharlo al viajar</x:v>
      </x:c>
      <x:c r="D18" s="17" t="d">
        <x:v>2026-03-06T00:00:00.000Z</x:v>
      </x:c>
      <x:c r="E18" s="17" t="d">
        <x:v>2026-06-12T00:00:00.000Z</x:v>
      </x:c>
      <x:c r="F18" s="4" t="str">
        <x:v>Planificación de Viaje</x:v>
      </x:c>
      <x:c r="G18" s="11" t="n">
        <x:v>956</x:v>
      </x:c>
      <x:c r="H18" s="11" t="n">
        <x:v>200</x:v>
      </x:c>
      <x:c r="I18" s="11" t="n">
        <x:v>1</x:v>
      </x:c>
      <x:c r="J18" s="4" t="str">
        <x:v>https://blog.skyairline.com/sky-plus/</x:v>
      </x:c>
      <x:c r="K18" s="16" t="b">
        <x:v>0</x:v>
      </x:c>
      <x:c r="L18" s="11" t="n">
        <x:v>0</x:v>
      </x:c>
      <x:c r="M18" s="11" t="n">
        <x:v>0</x:v>
      </x:c>
      <x:c r="N18" s="4"/>
      <x:c r="O18" s="4"/>
      <x:c r="P18" s="11" t="n">
        <x:v>1017</x:v>
      </x:c>
      <x:c r="Q18" s="11" t="n">
        <x:v>801</x:v>
      </x:c>
      <x:c r="R18" s="11" t="n">
        <x:f>IF(OR(P18="",Q18=""),"",Q18-P18)</x:f>
        <x:v>-216</x:v>
      </x:c>
      <x:c r="S18" s="13" t="n">
        <x:f>IF(OR(P18="",Q18="",P18=0),"",((Q18/30)/(P18/31))-1)</x:f>
        <x:v>-0.18613569321533918</x:v>
      </x:c>
      <x:c r="T18" s="11" t="n">
        <x:v>31230</x:v>
      </x:c>
      <x:c r="U18" s="11" t="n">
        <x:v>27096</x:v>
      </x:c>
      <x:c r="V18" s="14" t="n">
        <x:v>0.029561558901682904</x:v>
      </x:c>
      <x:c r="W18" s="12" t="n">
        <x:v>4.766533805727782</x:v>
      </x:c>
      <x:c r="X18" s="11" t="n">
        <x:v>759</x:v>
      </x:c>
      <x:c r="Y18" s="11" t="n">
        <x:v>952</x:v>
      </x:c>
      <x:c r="Z18" s="4" t="str">
        <x:v>https://blog.skyairline.com/sky-plus/</x:v>
      </x:c>
      <x:c r="AA18" s="4" t="str">
        <x:v>https://blog.skyairline.com/sky-plus/</x:v>
      </x:c>
      <x:c r="AB18" s="4" t="str">
        <x:v>Coincidencia URL</x:v>
      </x:c>
      <x:c r="AC18" s="4" t="str">
        <x:v>Publicado hasta septiembre</x:v>
      </x:c>
      <x:c r="AD18" s="4" t="str">
        <x:v>/sky-plus/</x:v>
      </x:c>
      <x:c r="AE18" s="4"/>
      <x:c r="AF18" s="16" t="b">
        <x:v>0</x:v>
      </x:c>
    </x:row>
    <x:row r="19" ht="44" customHeight="1">
      <x:c r="A19" s="4" t="n">
        <x:v>6572</x:v>
      </x:c>
      <x:c r="B19" s="4" t="str">
        <x:v>https://blog.skyairline.com/liquidos-en-avion/</x:v>
      </x:c>
      <x:c r="C19" s="9" t="str">
        <x:v>Reglas sobre líquidos en avión que debes conocer</x:v>
      </x:c>
      <x:c r="D19" s="17" t="d">
        <x:v>2025-09-16T00:00:00.000Z</x:v>
      </x:c>
      <x:c r="E19" s="17" t="d">
        <x:v>2025-09-16T00:00:00.000Z</x:v>
      </x:c>
      <x:c r="F19" s="4" t="str">
        <x:v>Planificación de Viaje</x:v>
      </x:c>
      <x:c r="G19" s="11" t="n">
        <x:v>998</x:v>
      </x:c>
      <x:c r="H19" s="11" t="n">
        <x:v>200</x:v>
      </x:c>
      <x:c r="I19" s="11" t="n">
        <x:v>1</x:v>
      </x:c>
      <x:c r="J19" s="4" t="str">
        <x:v>https://blog.skyairline.com/liquidos-en-avion/</x:v>
      </x:c>
      <x:c r="K19" s="16" t="b">
        <x:v>0</x:v>
      </x:c>
      <x:c r="L19" s="11" t="n">
        <x:v>0</x:v>
      </x:c>
      <x:c r="M19" s="11" t="n">
        <x:v>3</x:v>
      </x:c>
      <x:c r="N19" s="4"/>
      <x:c r="O19" s="4"/>
      <x:c r="P19" s="11" t="n">
        <x:v>786</x:v>
      </x:c>
      <x:c r="Q19" s="11" t="n">
        <x:v>730</x:v>
      </x:c>
      <x:c r="R19" s="11" t="n">
        <x:f>IF(OR(P19="",Q19=""),"",Q19-P19)</x:f>
        <x:v>-56</x:v>
      </x:c>
      <x:c r="S19" s="13" t="n">
        <x:f>IF(OR(P19="",Q19="",P19=0),"",((Q19/30)/(P19/31))-1)</x:f>
        <x:v>-0.04028837998303658</x:v>
      </x:c>
      <x:c r="T19" s="11" t="n">
        <x:v>49760</x:v>
      </x:c>
      <x:c r="U19" s="11" t="n">
        <x:v>44357</x:v>
      </x:c>
      <x:c r="V19" s="14" t="n">
        <x:v>0.0164573798949433</x:v>
      </x:c>
      <x:c r="W19" s="12" t="n">
        <x:v>6.063327096061501</x:v>
      </x:c>
      <x:c r="X19" s="11" t="n">
        <x:v>906</x:v>
      </x:c>
      <x:c r="Y19" s="11" t="n">
        <x:v>1169</x:v>
      </x:c>
      <x:c r="Z19" s="4" t="str">
        <x:v>https://blog.skyairline.com/liquidos-en-avion/</x:v>
      </x:c>
      <x:c r="AA19" s="4" t="str">
        <x:v>https://blog.skyairline.com/liquidos-en-avion/</x:v>
      </x:c>
      <x:c r="AB19" s="4" t="str">
        <x:v>Coincidencia URL</x:v>
      </x:c>
      <x:c r="AC19" s="4" t="str">
        <x:v>Publicado hasta septiembre</x:v>
      </x:c>
      <x:c r="AD19" s="4" t="str">
        <x:v>/liquidos-en-avion/</x:v>
      </x:c>
      <x:c r="AE19" s="4"/>
      <x:c r="AF19" s="16" t="b">
        <x:v>0</x:v>
      </x:c>
    </x:row>
    <x:row r="20" ht="44" customHeight="1">
      <x:c r="A20" s="4" t="n">
        <x:v>50</x:v>
      </x:c>
      <x:c r="B20" s="4" t="str">
        <x:v>https://blog.skyairline.com/mascotas-en-cabina/</x:v>
      </x:c>
      <x:c r="C20" s="9" t="str">
        <x:v>Descubre cómo llevar mascotas en cabina de forma segura y legal</x:v>
      </x:c>
      <x:c r="D20" s="17" t="d">
        <x:v>2024-06-14T00:00:00.000Z</x:v>
      </x:c>
      <x:c r="E20" s="17" t="d">
        <x:v>2024-06-14T00:00:00.000Z</x:v>
      </x:c>
      <x:c r="F20" s="4" t="str">
        <x:v>Planificación de Viaje</x:v>
      </x:c>
      <x:c r="G20" s="11" t="n">
        <x:v>1028</x:v>
      </x:c>
      <x:c r="H20" s="11" t="n">
        <x:v>200</x:v>
      </x:c>
      <x:c r="I20" s="11" t="n">
        <x:v>1</x:v>
      </x:c>
      <x:c r="J20" s="4" t="str">
        <x:v>https://blog.skyairline.com/mascotas-en-cabina/</x:v>
      </x:c>
      <x:c r="K20" s="16" t="b">
        <x:v>0</x:v>
      </x:c>
      <x:c r="L20" s="11" t="n">
        <x:v>0</x:v>
      </x:c>
      <x:c r="M20" s="11" t="n">
        <x:v>2</x:v>
      </x:c>
      <x:c r="N20" s="4"/>
      <x:c r="O20" s="4"/>
      <x:c r="P20" s="11" t="n">
        <x:v>735</x:v>
      </x:c>
      <x:c r="Q20" s="11" t="n">
        <x:v>687</x:v>
      </x:c>
      <x:c r="R20" s="11" t="n">
        <x:f>IF(OR(P20="",Q20=""),"",Q20-P20)</x:f>
        <x:v>-48</x:v>
      </x:c>
      <x:c r="S20" s="13" t="n">
        <x:f>IF(OR(P20="",Q20="",P20=0),"",((Q20/30)/(P20/31))-1)</x:f>
        <x:v>-0.03414965986394569</x:v>
      </x:c>
      <x:c r="T20" s="11" t="n">
        <x:v>11184</x:v>
      </x:c>
      <x:c r="U20" s="11" t="n">
        <x:v>9580</x:v>
      </x:c>
      <x:c r="V20" s="14" t="n">
        <x:v>0.07171189979123173</x:v>
      </x:c>
      <x:c r="W20" s="12" t="n">
        <x:v>3.9577244258872653</x:v>
      </x:c>
      <x:c r="X20" s="11" t="n">
        <x:v>732</x:v>
      </x:c>
      <x:c r="Y20" s="11" t="n">
        <x:v>967</x:v>
      </x:c>
      <x:c r="Z20" s="4" t="str">
        <x:v>https://blog.skyairline.com/mascotas-en-cabina/</x:v>
      </x:c>
      <x:c r="AA20" s="4" t="str">
        <x:v>https://blog.skyairline.com/mascotas-en-cabina/</x:v>
      </x:c>
      <x:c r="AB20" s="4" t="str">
        <x:v>Coincidencia URL</x:v>
      </x:c>
      <x:c r="AC20" s="4" t="str">
        <x:v>Publicado hasta septiembre</x:v>
      </x:c>
      <x:c r="AD20" s="4" t="str">
        <x:v>/mascotas-en-cabina/</x:v>
      </x:c>
      <x:c r="AE20" s="4"/>
      <x:c r="AF20" s="16" t="b">
        <x:v>0</x:v>
      </x:c>
    </x:row>
    <x:row r="21" ht="44" customHeight="1">
      <x:c r="A21" s="4" t="n">
        <x:v>8993</x:v>
      </x:c>
      <x:c r="B21" s="4" t="str">
        <x:v>https://blog.skyairline.com/sky-fortalece-su-propuesta-de-valor-para-sus-pasajeros-con-economy-premier/</x:v>
      </x:c>
      <x:c r="C21" s="9" t="str">
        <x:v>¡Lanzamos Economy Premier!, fortaleciendo nuestra propuesta de valor</x:v>
      </x:c>
      <x:c r="D21" s="17" t="d">
        <x:v>2026-07-14T00:00:00.000Z</x:v>
      </x:c>
      <x:c r="E21" s="17" t="d">
        <x:v>2026-07-15T00:00:00.000Z</x:v>
      </x:c>
      <x:c r="F21" s="4" t="str">
        <x:v>Noticias</x:v>
      </x:c>
      <x:c r="G21" s="11" t="n">
        <x:v>209</x:v>
      </x:c>
      <x:c r="H21" s="11" t="n">
        <x:v>200</x:v>
      </x:c>
      <x:c r="I21" s="11" t="n">
        <x:v>1</x:v>
      </x:c>
      <x:c r="J21" s="4" t="str">
        <x:v>https://blog.skyairline.com/sky-fortalece-su-propuesta-de-valor-para-sus-pasajeros-con-economy-premier/</x:v>
      </x:c>
      <x:c r="K21" s="16" t="b">
        <x:v>0</x:v>
      </x:c>
      <x:c r="L21" s="11" t="n">
        <x:v>0</x:v>
      </x:c>
      <x:c r="M21" s="11" t="n">
        <x:v>0</x:v>
      </x:c>
      <x:c r="N21" s="4"/>
      <x:c r="O21" s="4"/>
      <x:c r="P21" s="11" t="n">
        <x:v>508</x:v>
      </x:c>
      <x:c r="Q21" s="11" t="n">
        <x:v>534</x:v>
      </x:c>
      <x:c r="R21" s="11" t="n">
        <x:f>IF(OR(P21="",Q21=""),"",Q21-P21)</x:f>
        <x:v>26</x:v>
      </x:c>
      <x:c r="S21" s="13" t="n">
        <x:f>IF(OR(P21="",Q21="",P21=0),"",((Q21/30)/(P21/31))-1)</x:f>
        <x:v>0.086220472440945</x:v>
      </x:c>
      <x:c r="T21" s="11" t="n">
        <x:v>2090</x:v>
      </x:c>
      <x:c r="U21" s="11" t="n">
        <x:v>2947</x:v>
      </x:c>
      <x:c r="V21" s="14" t="n">
        <x:v>0.18120122158126908</x:v>
      </x:c>
      <x:c r="W21" s="12" t="n">
        <x:v>2.581269087207329</x:v>
      </x:c>
      <x:c r="X21" s="11" t="n">
        <x:v>560</x:v>
      </x:c>
      <x:c r="Y21" s="11" t="n">
        <x:v>711</x:v>
      </x:c>
      <x:c r="Z21" s="4" t="str">
        <x:v>https://blog.skyairline.com/sky-fortalece-su-propuesta-de-valor-para-sus-pasajeros-con-economy-premier/</x:v>
      </x:c>
      <x:c r="AA21" s="4" t="str">
        <x:v>https://blog.skyairline.com/sky-fortalece-su-propuesta-de-valor-para-sus-pasajeros-con-economy-premier/</x:v>
      </x:c>
      <x:c r="AB21" s="4" t="str">
        <x:v>Coincidencia URL</x:v>
      </x:c>
      <x:c r="AC21" s="4" t="str">
        <x:v>Publicado hasta septiembre</x:v>
      </x:c>
      <x:c r="AD21" s="4" t="str">
        <x:v>/sky-fortalece-su-propuesta-de-valor-para-sus-pasajeros-con-economy-premier/</x:v>
      </x:c>
      <x:c r="AE21" s="4"/>
      <x:c r="AF21" s="16" t="b">
        <x:v>0</x:v>
      </x:c>
    </x:row>
    <x:row r="22" ht="44" customHeight="1">
      <x:c r="A22" s="4" t="n">
        <x:v>1739</x:v>
      </x:c>
      <x:c r="B22" s="4" t="str">
        <x:v>https://blog.skyairline.com/viajar-con-bebes/</x:v>
      </x:c>
      <x:c r="C22" s="9" t="str">
        <x:v>Viajar con bebés: ¿Desde qué edad pueden volar tus pequeños y cuánto pagarás?</x:v>
      </x:c>
      <x:c r="D22" s="17" t="d">
        <x:v>2023-04-23T00:00:00.000Z</x:v>
      </x:c>
      <x:c r="E22" s="17" t="d">
        <x:v>2023-04-23T00:00:00.000Z</x:v>
      </x:c>
      <x:c r="F22" s="4" t="str">
        <x:v>Planificación de Viaje</x:v>
      </x:c>
      <x:c r="G22" s="11" t="n">
        <x:v>973</x:v>
      </x:c>
      <x:c r="H22" s="11" t="n">
        <x:v>200</x:v>
      </x:c>
      <x:c r="I22" s="11" t="n">
        <x:v>1</x:v>
      </x:c>
      <x:c r="J22" s="4" t="str">
        <x:v>https://blog.skyairline.com/viajar-con-bebes/</x:v>
      </x:c>
      <x:c r="K22" s="16" t="b">
        <x:v>0</x:v>
      </x:c>
      <x:c r="L22" s="11" t="n">
        <x:v>0</x:v>
      </x:c>
      <x:c r="M22" s="11" t="n">
        <x:v>3</x:v>
      </x:c>
      <x:c r="N22" s="4"/>
      <x:c r="O22" s="4"/>
      <x:c r="P22" s="11" t="n">
        <x:v>485</x:v>
      </x:c>
      <x:c r="Q22" s="11" t="n">
        <x:v>467</x:v>
      </x:c>
      <x:c r="R22" s="11" t="n">
        <x:f>IF(OR(P22="",Q22=""),"",Q22-P22)</x:f>
        <x:v>-18</x:v>
      </x:c>
      <x:c r="S22" s="13" t="n">
        <x:f>IF(OR(P22="",Q22="",P22=0),"",((Q22/30)/(P22/31))-1)</x:f>
        <x:v>-0.005017182130584219</x:v>
      </x:c>
      <x:c r="T22" s="11" t="n">
        <x:v>22186</x:v>
      </x:c>
      <x:c r="U22" s="11" t="n">
        <x:v>20901</x:v>
      </x:c>
      <x:c r="V22" s="14" t="n">
        <x:v>0.0223434285440888</x:v>
      </x:c>
      <x:c r="W22" s="12" t="n">
        <x:v>4.9625376776230805</x:v>
      </x:c>
      <x:c r="X22" s="11" t="n">
        <x:v>484</x:v>
      </x:c>
      <x:c r="Y22" s="11" t="n">
        <x:v>595</x:v>
      </x:c>
      <x:c r="Z22" s="4" t="str">
        <x:v>https://blog.skyairline.com/viajar-con-bebes/</x:v>
      </x:c>
      <x:c r="AA22" s="4" t="str">
        <x:v>https://blog.skyairline.com/viajar-con-bebes/</x:v>
      </x:c>
      <x:c r="AB22" s="4" t="str">
        <x:v>Coincidencia URL</x:v>
      </x:c>
      <x:c r="AC22" s="4" t="str">
        <x:v>Publicado hasta septiembre</x:v>
      </x:c>
      <x:c r="AD22" s="4" t="str">
        <x:v>/viajar-con-bebes/</x:v>
      </x:c>
      <x:c r="AE22" s="4"/>
      <x:c r="AF22" s="16" t="b">
        <x:v>0</x:v>
      </x:c>
    </x:row>
    <x:row r="23" ht="44" customHeight="1">
      <x:c r="A23" s="4" t="n">
        <x:v>7520</x:v>
      </x:c>
      <x:c r="B23" s="4" t="str">
        <x:v>https://blog.skyairline.com/bebes/</x:v>
      </x:c>
      <x:c r="C23" s="9" t="str">
        <x:v>Consejos para viajar en avión con un bebé sin estrés</x:v>
      </x:c>
      <x:c r="D23" s="17" t="d">
        <x:v>2025-11-10T00:00:00.000Z</x:v>
      </x:c>
      <x:c r="E23" s="17" t="d">
        <x:v>2026-03-03T00:00:00.000Z</x:v>
      </x:c>
      <x:c r="F23" s="4" t="str">
        <x:v>Destinos</x:v>
      </x:c>
      <x:c r="G23" s="11" t="n">
        <x:v>1130</x:v>
      </x:c>
      <x:c r="H23" s="11" t="n">
        <x:v>200</x:v>
      </x:c>
      <x:c r="I23" s="11" t="n">
        <x:v>1</x:v>
      </x:c>
      <x:c r="J23" s="4" t="str">
        <x:v>https://blog.skyairline.com/bebes/</x:v>
      </x:c>
      <x:c r="K23" s="16" t="b">
        <x:v>0</x:v>
      </x:c>
      <x:c r="L23" s="11" t="n">
        <x:v>0</x:v>
      </x:c>
      <x:c r="M23" s="11" t="n">
        <x:v>3</x:v>
      </x:c>
      <x:c r="N23" s="4"/>
      <x:c r="O23" s="4"/>
      <x:c r="P23" s="11" t="n">
        <x:v>252</x:v>
      </x:c>
      <x:c r="Q23" s="11" t="n">
        <x:v>270</x:v>
      </x:c>
      <x:c r="R23" s="11" t="n">
        <x:f>IF(OR(P23="",Q23=""),"",Q23-P23)</x:f>
        <x:v>18</x:v>
      </x:c>
      <x:c r="S23" s="13" t="n">
        <x:f>IF(OR(P23="",Q23="",P23=0),"",((Q23/30)/(P23/31))-1)</x:f>
        <x:v>0.1071428571428572</x:v>
      </x:c>
      <x:c r="T23" s="11" t="n">
        <x:v>4988</x:v>
      </x:c>
      <x:c r="U23" s="11" t="n">
        <x:v>4590</x:v>
      </x:c>
      <x:c r="V23" s="14" t="n">
        <x:v>0.058823529411764705</x:v>
      </x:c>
      <x:c r="W23" s="12" t="n">
        <x:v>3.734640522875817</x:v>
      </x:c>
      <x:c r="X23" s="11" t="n">
        <x:v>291</x:v>
      </x:c>
      <x:c r="Y23" s="11" t="n">
        <x:v>374</x:v>
      </x:c>
      <x:c r="Z23" s="4" t="str">
        <x:v>https://blog.skyairline.com/bebes/</x:v>
      </x:c>
      <x:c r="AA23" s="4" t="str">
        <x:v>https://blog.skyairline.com/bebes/
https://blog.skyairline.com/bebes</x:v>
      </x:c>
      <x:c r="AB23" s="4" t="str">
        <x:v>Alias slash agregado</x:v>
      </x:c>
      <x:c r="AC23" s="4" t="str">
        <x:v>Publicado hasta septiembre</x:v>
      </x:c>
      <x:c r="AD23" s="4" t="str">
        <x:v>/bebes/</x:v>
      </x:c>
      <x:c r="AE23" s="4"/>
      <x:c r="AF23" s="16" t="b">
        <x:v>0</x:v>
      </x:c>
    </x:row>
    <x:row r="24" ht="44" customHeight="1">
      <x:c r="A24" s="4" t="n">
        <x:v>791</x:v>
      </x:c>
      <x:c r="B24" s="4" t="str">
        <x:v>https://blog.skyairline.com/viajes-avion/</x:v>
      </x:c>
      <x:c r="C24" s="9" t="str">
        <x:v>Viajes en avión: resolvemos las dudas más comunes antes de volar</x:v>
      </x:c>
      <x:c r="D24" s="17" t="d">
        <x:v>2023-12-11T00:00:00.000Z</x:v>
      </x:c>
      <x:c r="E24" s="17" t="d">
        <x:v>2023-12-11T00:00:00.000Z</x:v>
      </x:c>
      <x:c r="F24" s="4" t="str">
        <x:v>Planificación de Viaje</x:v>
      </x:c>
      <x:c r="G24" s="11" t="n">
        <x:v>1129</x:v>
      </x:c>
      <x:c r="H24" s="11" t="n">
        <x:v>200</x:v>
      </x:c>
      <x:c r="I24" s="11" t="n">
        <x:v>1</x:v>
      </x:c>
      <x:c r="J24" s="4" t="str">
        <x:v>https://blog.skyairline.com/viajes-avion/</x:v>
      </x:c>
      <x:c r="K24" s="16" t="b">
        <x:v>0</x:v>
      </x:c>
      <x:c r="L24" s="11" t="n">
        <x:v>0</x:v>
      </x:c>
      <x:c r="M24" s="11" t="n">
        <x:v>7</x:v>
      </x:c>
      <x:c r="N24" s="4"/>
      <x:c r="O24" s="4"/>
      <x:c r="P24" s="11" t="n">
        <x:v>203</x:v>
      </x:c>
      <x:c r="Q24" s="11" t="n">
        <x:v>215</x:v>
      </x:c>
      <x:c r="R24" s="11" t="n">
        <x:f>IF(OR(P24="",Q24=""),"",Q24-P24)</x:f>
        <x:v>12</x:v>
      </x:c>
      <x:c r="S24" s="13" t="n">
        <x:f>IF(OR(P24="",Q24="",P24=0),"",((Q24/30)/(P24/31))-1)</x:f>
        <x:v>0.0944170771756978</x:v>
      </x:c>
      <x:c r="T24" s="11" t="n">
        <x:v>22670</x:v>
      </x:c>
      <x:c r="U24" s="11" t="n">
        <x:v>23921</x:v>
      </x:c>
      <x:c r="V24" s="14" t="n">
        <x:v>0.008987918565277371</x:v>
      </x:c>
      <x:c r="W24" s="12" t="n">
        <x:v>6.539149701099452</x:v>
      </x:c>
      <x:c r="X24" s="11" t="n">
        <x:v>263</x:v>
      </x:c>
      <x:c r="Y24" s="11" t="n">
        <x:v>330</x:v>
      </x:c>
      <x:c r="Z24" s="4" t="str">
        <x:v>https://blog.skyairline.com/viajes-avion/</x:v>
      </x:c>
      <x:c r="AA24" s="4" t="str">
        <x:v>https://blog.skyairline.com/viajes-avion/</x:v>
      </x:c>
      <x:c r="AB24" s="4" t="str">
        <x:v>Coincidencia URL</x:v>
      </x:c>
      <x:c r="AC24" s="4" t="str">
        <x:v>Publicado hasta septiembre</x:v>
      </x:c>
      <x:c r="AD24" s="4" t="str">
        <x:v>/viajes-avion/</x:v>
      </x:c>
      <x:c r="AE24" s="4"/>
      <x:c r="AF24" s="16" t="b">
        <x:v>1</x:v>
      </x:c>
    </x:row>
    <x:row r="25" ht="44" customHeight="1">
      <x:c r="A25" s="4" t="n">
        <x:v>4688</x:v>
      </x:c>
      <x:c r="B25" s="4" t="str">
        <x:v>https://blog.skyairline.com/mililitros-permitidos-avion/</x:v>
      </x:c>
      <x:c r="C25" s="9" t="str">
        <x:v>Viaja ligero y seguro: Todo sobre los mililitros permitidos en tu vuelo con SKY</x:v>
      </x:c>
      <x:c r="D25" s="17" t="d">
        <x:v>2024-06-20T00:00:00.000Z</x:v>
      </x:c>
      <x:c r="E25" s="17" t="d">
        <x:v>2024-06-20T00:00:00.000Z</x:v>
      </x:c>
      <x:c r="F25" s="4" t="str">
        <x:v>Planificación de Viaje</x:v>
      </x:c>
      <x:c r="G25" s="11" t="n">
        <x:v>607</x:v>
      </x:c>
      <x:c r="H25" s="11" t="n">
        <x:v>200</x:v>
      </x:c>
      <x:c r="I25" s="11" t="n">
        <x:v>1</x:v>
      </x:c>
      <x:c r="J25" s="4" t="str">
        <x:v>https://blog.skyairline.com/mililitros-permitidos-avion/</x:v>
      </x:c>
      <x:c r="K25" s="16" t="b">
        <x:v>0</x:v>
      </x:c>
      <x:c r="L25" s="11" t="n">
        <x:v>0</x:v>
      </x:c>
      <x:c r="M25" s="11" t="n">
        <x:v>3</x:v>
      </x:c>
      <x:c r="N25" s="4"/>
      <x:c r="O25" s="4"/>
      <x:c r="P25" s="11" t="n">
        <x:v>162</x:v>
      </x:c>
      <x:c r="Q25" s="11" t="n">
        <x:v>215</x:v>
      </x:c>
      <x:c r="R25" s="11" t="n">
        <x:f>IF(OR(P25="",Q25=""),"",Q25-P25)</x:f>
        <x:v>53</x:v>
      </x:c>
      <x:c r="S25" s="13" t="n">
        <x:f>IF(OR(P25="",Q25="",P25=0),"",((Q25/30)/(P25/31))-1)</x:f>
        <x:v>0.3713991769547327</x:v>
      </x:c>
      <x:c r="T25" s="11" t="n">
        <x:v>10604</x:v>
      </x:c>
      <x:c r="U25" s="11" t="n">
        <x:v>10842</x:v>
      </x:c>
      <x:c r="V25" s="14" t="n">
        <x:v>0.019830289614462277</x:v>
      </x:c>
      <x:c r="W25" s="12" t="n">
        <x:v>7.1605792289245525</x:v>
      </x:c>
      <x:c r="X25" s="11" t="n">
        <x:v>222</x:v>
      </x:c>
      <x:c r="Y25" s="11" t="n">
        <x:v>287</x:v>
      </x:c>
      <x:c r="Z25" s="4" t="str">
        <x:v>https://blog.skyairline.com/mililitros-permitidos-avion/</x:v>
      </x:c>
      <x:c r="AA25" s="4" t="str">
        <x:v>https://blog.skyairline.com/mililitros-permitidos-avion/</x:v>
      </x:c>
      <x:c r="AB25" s="4" t="str">
        <x:v>Coincidencia URL</x:v>
      </x:c>
      <x:c r="AC25" s="4" t="str">
        <x:v>Publicado hasta septiembre</x:v>
      </x:c>
      <x:c r="AD25" s="4" t="str">
        <x:v>/mililitros-permitidos-avion/</x:v>
      </x:c>
      <x:c r="AE25" s="4"/>
      <x:c r="AF25" s="16" t="b">
        <x:v>0</x:v>
      </x:c>
    </x:row>
    <x:row r="26" ht="44" customHeight="1">
      <x:c r="A26" s="4" t="n">
        <x:v>93</x:v>
      </x:c>
      <x:c r="B26" s="4" t="str">
        <x:v>https://blog.skyairline.com/documentos-viaje/</x:v>
      </x:c>
      <x:c r="C26" s="9" t="str">
        <x:v>¿Cuáles son los documentos de viaje que necesitas? ¡Descúbrelo aquí!</x:v>
      </x:c>
      <x:c r="D26" s="17" t="d">
        <x:v>2024-07-12T00:00:00.000Z</x:v>
      </x:c>
      <x:c r="E26" s="17" t="d">
        <x:v>2024-07-12T00:00:00.000Z</x:v>
      </x:c>
      <x:c r="F26" s="4" t="str">
        <x:v>Planificación de Viaje</x:v>
      </x:c>
      <x:c r="G26" s="11" t="n">
        <x:v>1135</x:v>
      </x:c>
      <x:c r="H26" s="11" t="n">
        <x:v>200</x:v>
      </x:c>
      <x:c r="I26" s="11" t="n">
        <x:v>1</x:v>
      </x:c>
      <x:c r="J26" s="4" t="str">
        <x:v>https://blog.skyairline.com/documentos-viaje/</x:v>
      </x:c>
      <x:c r="K26" s="16" t="b">
        <x:v>0</x:v>
      </x:c>
      <x:c r="L26" s="11" t="n">
        <x:v>0</x:v>
      </x:c>
      <x:c r="M26" s="11" t="n">
        <x:v>3</x:v>
      </x:c>
      <x:c r="N26" s="4"/>
      <x:c r="O26" s="4"/>
      <x:c r="P26" s="11" t="n">
        <x:v>201</x:v>
      </x:c>
      <x:c r="Q26" s="11" t="n">
        <x:v>202</x:v>
      </x:c>
      <x:c r="R26" s="11" t="n">
        <x:f>IF(OR(P26="",Q26=""),"",Q26-P26)</x:f>
        <x:v>1</x:v>
      </x:c>
      <x:c r="S26" s="13" t="n">
        <x:f>IF(OR(P26="",Q26="",P26=0),"",((Q26/30)/(P26/31))-1)</x:f>
        <x:v>0.038474295190713104</x:v>
      </x:c>
      <x:c r="T26" s="11" t="n">
        <x:v>8019</x:v>
      </x:c>
      <x:c r="U26" s="11" t="n">
        <x:v>6726</x:v>
      </x:c>
      <x:c r="V26" s="14" t="n">
        <x:v>0.030032708890871247</x:v>
      </x:c>
      <x:c r="W26" s="12" t="n">
        <x:v>5.259887005649717</x:v>
      </x:c>
      <x:c r="X26" s="11" t="n">
        <x:v>196</x:v>
      </x:c>
      <x:c r="Y26" s="11" t="n">
        <x:v>275</x:v>
      </x:c>
      <x:c r="Z26" s="4" t="str">
        <x:v>https://blog.skyairline.com/documentos-viaje/</x:v>
      </x:c>
      <x:c r="AA26" s="4" t="str">
        <x:v>https://blog.skyairline.com/documentos-viaje/</x:v>
      </x:c>
      <x:c r="AB26" s="4" t="str">
        <x:v>Coincidencia URL</x:v>
      </x:c>
      <x:c r="AC26" s="4" t="str">
        <x:v>Publicado hasta septiembre</x:v>
      </x:c>
      <x:c r="AD26" s="4" t="str">
        <x:v>/documentos-viaje/</x:v>
      </x:c>
      <x:c r="AE26" s="4"/>
      <x:c r="AF26" s="16" t="b">
        <x:v>0</x:v>
      </x:c>
    </x:row>
    <x:row r="27" ht="44" customHeight="1">
      <x:c r="A27" s="4" t="n">
        <x:v>1981</x:v>
      </x:c>
      <x:c r="B27" s="4" t="str">
        <x:v>https://blog.skyairline.com/estaciones-en-chile/</x:v>
      </x:c>
      <x:c r="C27" s="9" t="str">
        <x:v>Estaciones del año en Chile: lo que debes saber antes de viajar</x:v>
      </x:c>
      <x:c r="D27" s="17" t="d">
        <x:v>2026-05-07T00:00:00.000Z</x:v>
      </x:c>
      <x:c r="E27" s="17" t="d">
        <x:v>2026-05-05T00:00:00.000Z</x:v>
      </x:c>
      <x:c r="F27" s="4" t="str">
        <x:v>Destinos</x:v>
      </x:c>
      <x:c r="G27" s="11" t="n">
        <x:v>1186</x:v>
      </x:c>
      <x:c r="H27" s="11" t="n">
        <x:v>200</x:v>
      </x:c>
      <x:c r="I27" s="11" t="n">
        <x:v>1</x:v>
      </x:c>
      <x:c r="J27" s="4" t="str">
        <x:v>https://blog.skyairline.com/estaciones-en-chile/</x:v>
      </x:c>
      <x:c r="K27" s="16" t="b">
        <x:v>0</x:v>
      </x:c>
      <x:c r="L27" s="11" t="n">
        <x:v>0</x:v>
      </x:c>
      <x:c r="M27" s="11" t="n">
        <x:v>0</x:v>
      </x:c>
      <x:c r="N27" s="4"/>
      <x:c r="O27" s="4"/>
      <x:c r="P27" s="11" t="n">
        <x:v>182</x:v>
      </x:c>
      <x:c r="Q27" s="11" t="n">
        <x:v>198</x:v>
      </x:c>
      <x:c r="R27" s="11" t="n">
        <x:f>IF(OR(P27="",Q27=""),"",Q27-P27)</x:f>
        <x:v>16</x:v>
      </x:c>
      <x:c r="S27" s="13" t="n">
        <x:f>IF(OR(P27="",Q27="",P27=0),"",((Q27/30)/(P27/31))-1)</x:f>
        <x:v>0.12417582417582418</x:v>
      </x:c>
      <x:c r="T27" s="11" t="n">
        <x:v>151689</x:v>
      </x:c>
      <x:c r="U27" s="11" t="n">
        <x:v>111939</x:v>
      </x:c>
      <x:c r="V27" s="14" t="n">
        <x:v>0.0017688205183180126</x:v>
      </x:c>
      <x:c r="W27" s="12" t="n">
        <x:v>6.173398011416932</x:v>
      </x:c>
      <x:c r="X27" s="11" t="n">
        <x:v>207</x:v>
      </x:c>
      <x:c r="Y27" s="11" t="n">
        <x:v>246</x:v>
      </x:c>
      <x:c r="Z27" s="4" t="str">
        <x:v>https://blog.skyairline.com/estaciones-en-chile/</x:v>
      </x:c>
      <x:c r="AA27" s="4" t="str">
        <x:v>https://blog.skyairline.com/estaciones-en-chile/
https://blog.skyairline.com/estaciones-en-chile</x:v>
      </x:c>
      <x:c r="AB27" s="4" t="str">
        <x:v>Alias slash agregado</x:v>
      </x:c>
      <x:c r="AC27" s="4" t="str">
        <x:v>Publicado hasta septiembre</x:v>
      </x:c>
      <x:c r="AD27" s="4" t="str">
        <x:v>/estaciones-en-chile/</x:v>
      </x:c>
      <x:c r="AE27" s="4"/>
      <x:c r="AF27" s="16" t="b">
        <x:v>0</x:v>
      </x:c>
    </x:row>
    <x:row r="28" ht="44" customHeight="1">
      <x:c r="A28" s="4" t="n">
        <x:v>5088</x:v>
      </x:c>
      <x:c r="B28" s="4" t="str">
        <x:v>https://blog.skyairline.com/administra-tu-vuelo-sky/</x:v>
      </x:c>
      <x:c r="C28" s="9" t="str">
        <x:v>Administra tu vuelo SKY desde la APP: ¡Conoce cómo!</x:v>
      </x:c>
      <x:c r="D28" s="17" t="d">
        <x:v>2024-10-01T00:00:00.000Z</x:v>
      </x:c>
      <x:c r="E28" s="17" t="d">
        <x:v>2024-10-01T00:00:00.000Z</x:v>
      </x:c>
      <x:c r="F28" s="4" t="str">
        <x:v>Sin categoría</x:v>
      </x:c>
      <x:c r="G28" s="11" t="n">
        <x:v>1193</x:v>
      </x:c>
      <x:c r="H28" s="11" t="n">
        <x:v>200</x:v>
      </x:c>
      <x:c r="I28" s="11" t="n">
        <x:v>1</x:v>
      </x:c>
      <x:c r="J28" s="4" t="str">
        <x:v>https://blog.skyairline.com/administra-tu-vuelo-sky/</x:v>
      </x:c>
      <x:c r="K28" s="16" t="b">
        <x:v>0</x:v>
      </x:c>
      <x:c r="L28" s="11" t="n">
        <x:v>0</x:v>
      </x:c>
      <x:c r="M28" s="11" t="n">
        <x:v>3</x:v>
      </x:c>
      <x:c r="N28" s="4"/>
      <x:c r="O28" s="4"/>
      <x:c r="P28" s="11" t="n">
        <x:v>124</x:v>
      </x:c>
      <x:c r="Q28" s="11" t="n">
        <x:v>186</x:v>
      </x:c>
      <x:c r="R28" s="11" t="n">
        <x:f>IF(OR(P28="",Q28=""),"",Q28-P28)</x:f>
        <x:v>62</x:v>
      </x:c>
      <x:c r="S28" s="13" t="n">
        <x:f>IF(OR(P28="",Q28="",P28=0),"",((Q28/30)/(P28/31))-1)</x:f>
        <x:v>0.55</x:v>
      </x:c>
      <x:c r="T28" s="11" t="n">
        <x:v>15204</x:v>
      </x:c>
      <x:c r="U28" s="11" t="n">
        <x:v>18460</x:v>
      </x:c>
      <x:c r="V28" s="14" t="n">
        <x:v>0.010075839653304441</x:v>
      </x:c>
      <x:c r="W28" s="12" t="n">
        <x:v>7.0604550379198265</x:v>
      </x:c>
      <x:c r="X28" s="11" t="n">
        <x:v>188</x:v>
      </x:c>
      <x:c r="Y28" s="11" t="n">
        <x:v>246</x:v>
      </x:c>
      <x:c r="Z28" s="4" t="str">
        <x:v>https://blog.skyairline.com/administra-tu-vuelo-sky/</x:v>
      </x:c>
      <x:c r="AA28" s="4" t="str">
        <x:v>https://blog.skyairline.com/administra-tu-vuelo-sky/</x:v>
      </x:c>
      <x:c r="AB28" s="4" t="str">
        <x:v>Coincidencia URL</x:v>
      </x:c>
      <x:c r="AC28" s="4" t="str">
        <x:v>Publicado hasta septiembre</x:v>
      </x:c>
      <x:c r="AD28" s="4" t="str">
        <x:v>/administra-tu-vuelo-sky/</x:v>
      </x:c>
      <x:c r="AE28" s="4"/>
      <x:c r="AF28" s="16" t="b">
        <x:v>0</x:v>
      </x:c>
    </x:row>
    <x:row r="29" ht="44" customHeight="1">
      <x:c r="A29" s="4" t="n">
        <x:v>6232</x:v>
      </x:c>
      <x:c r="B29" s="4" t="str">
        <x:v>https://blog.skyairline.com/sky-aviones/</x:v>
      </x:c>
      <x:c r="C29" s="9" t="str">
        <x:v>Conoce SKY y su flota de aviones</x:v>
      </x:c>
      <x:c r="D29" s="17" t="d">
        <x:v>2025-06-21T00:00:00.000Z</x:v>
      </x:c>
      <x:c r="E29" s="17" t="d">
        <x:v>2026-01-19T00:00:00.000Z</x:v>
      </x:c>
      <x:c r="F29" s="4" t="str">
        <x:v>Planificación de Viaje</x:v>
      </x:c>
      <x:c r="G29" s="11" t="n">
        <x:v>1088</x:v>
      </x:c>
      <x:c r="H29" s="11" t="n">
        <x:v>200</x:v>
      </x:c>
      <x:c r="I29" s="11" t="n">
        <x:v>1</x:v>
      </x:c>
      <x:c r="J29" s="4" t="str">
        <x:v>https://blog.skyairline.com/sky-aviones/</x:v>
      </x:c>
      <x:c r="K29" s="16" t="b">
        <x:v>0</x:v>
      </x:c>
      <x:c r="L29" s="11" t="n">
        <x:v>0</x:v>
      </x:c>
      <x:c r="M29" s="11" t="n">
        <x:v>0</x:v>
      </x:c>
      <x:c r="N29" s="4"/>
      <x:c r="O29" s="4"/>
      <x:c r="P29" s="11" t="n">
        <x:v>207</x:v>
      </x:c>
      <x:c r="Q29" s="11" t="n">
        <x:v>184</x:v>
      </x:c>
      <x:c r="R29" s="11" t="n">
        <x:f>IF(OR(P29="",Q29=""),"",Q29-P29)</x:f>
        <x:v>-23</x:v>
      </x:c>
      <x:c r="S29" s="13" t="n">
        <x:f>IF(OR(P29="",Q29="",P29=0),"",((Q29/30)/(P29/31))-1)</x:f>
        <x:v>-0.08148148148148149</x:v>
      </x:c>
      <x:c r="T29" s="11" t="n">
        <x:v>5497</x:v>
      </x:c>
      <x:c r="U29" s="11" t="n">
        <x:v>5023</x:v>
      </x:c>
      <x:c r="V29" s="14" t="n">
        <x:v>0.03663149512243679</x:v>
      </x:c>
      <x:c r="W29" s="12" t="n">
        <x:v>3.748357555245869</x:v>
      </x:c>
      <x:c r="X29" s="11" t="n">
        <x:v>205</x:v>
      </x:c>
      <x:c r="Y29" s="11" t="n">
        <x:v>242</x:v>
      </x:c>
      <x:c r="Z29" s="4" t="str">
        <x:v>https://blog.skyairline.com/sky-aviones/</x:v>
      </x:c>
      <x:c r="AA29" s="4" t="str">
        <x:v>https://blog.skyairline.com/sky-aviones/</x:v>
      </x:c>
      <x:c r="AB29" s="4" t="str">
        <x:v>Coincidencia URL</x:v>
      </x:c>
      <x:c r="AC29" s="4" t="str">
        <x:v>Publicado hasta septiembre</x:v>
      </x:c>
      <x:c r="AD29" s="4" t="str">
        <x:v>/sky-aviones/</x:v>
      </x:c>
      <x:c r="AE29" s="4"/>
      <x:c r="AF29" s="16" t="b">
        <x:v>0</x:v>
      </x:c>
    </x:row>
    <x:row r="30" ht="44" customHeight="1">
      <x:c r="A30" s="4" t="n">
        <x:v>568</x:v>
      </x:c>
      <x:c r="B30" s="4" t="str">
        <x:v>https://blog.skyairline.com/platos-tipicos-de-lima/</x:v>
      </x:c>
      <x:c r="C30" s="9" t="str">
        <x:v>11 platos típicos de Lima que no puedes dejar de probar si visitas Perú</x:v>
      </x:c>
      <x:c r="D30" s="17" t="d">
        <x:v>2026-01-06T00:00:00.000Z</x:v>
      </x:c>
      <x:c r="E30" s="17" t="d">
        <x:v>2026-01-06T00:00:00.000Z</x:v>
      </x:c>
      <x:c r="F30" s="4" t="str">
        <x:v>Cultura</x:v>
      </x:c>
      <x:c r="G30" s="11" t="n">
        <x:v>1044</x:v>
      </x:c>
      <x:c r="H30" s="11" t="n">
        <x:v>200</x:v>
      </x:c>
      <x:c r="I30" s="11" t="n">
        <x:v>1</x:v>
      </x:c>
      <x:c r="J30" s="4" t="str">
        <x:v>https://blog.skyairline.com/platos-tipicos-de-lima/</x:v>
      </x:c>
      <x:c r="K30" s="16" t="b">
        <x:v>0</x:v>
      </x:c>
      <x:c r="L30" s="11" t="n">
        <x:v>0</x:v>
      </x:c>
      <x:c r="M30" s="11" t="n">
        <x:v>0</x:v>
      </x:c>
      <x:c r="N30" s="4"/>
      <x:c r="O30" s="4"/>
      <x:c r="P30" s="11" t="n">
        <x:v>179</x:v>
      </x:c>
      <x:c r="Q30" s="11" t="n">
        <x:v>167</x:v>
      </x:c>
      <x:c r="R30" s="11" t="n">
        <x:f>IF(OR(P30="",Q30=""),"",Q30-P30)</x:f>
        <x:v>-12</x:v>
      </x:c>
      <x:c r="S30" s="13" t="n">
        <x:f>IF(OR(P30="",Q30="",P30=0),"",((Q30/30)/(P30/31))-1)</x:f>
        <x:v>-0.03594040968342649</x:v>
      </x:c>
      <x:c r="T30" s="11" t="n">
        <x:v>9636</x:v>
      </x:c>
      <x:c r="U30" s="11" t="n">
        <x:v>8239</x:v>
      </x:c>
      <x:c r="V30" s="14" t="n">
        <x:v>0.020269450175992233</x:v>
      </x:c>
      <x:c r="W30" s="12" t="n">
        <x:v>8.672897196261683</x:v>
      </x:c>
      <x:c r="X30" s="11" t="n">
        <x:v>186</x:v>
      </x:c>
      <x:c r="Y30" s="11" t="n">
        <x:v>216</x:v>
      </x:c>
      <x:c r="Z30" s="4" t="str">
        <x:v>https://blog.skyairline.com/platos-tipicos-de-lima/</x:v>
      </x:c>
      <x:c r="AA30" s="4" t="str">
        <x:v>https://blog.skyairline.com/platos-tipicos-de-lima/</x:v>
      </x:c>
      <x:c r="AB30" s="4" t="str">
        <x:v>Coincidencia URL</x:v>
      </x:c>
      <x:c r="AC30" s="4" t="str">
        <x:v>Publicado hasta septiembre</x:v>
      </x:c>
      <x:c r="AD30" s="4" t="str">
        <x:v>/platos-tipicos-de-lima/</x:v>
      </x:c>
      <x:c r="AE30" s="4"/>
      <x:c r="AF30" s="16" t="b">
        <x:v>0</x:v>
      </x:c>
    </x:row>
    <x:row r="31" ht="44" customHeight="1">
      <x:c r="A31" s="4" t="n">
        <x:v>7106</x:v>
      </x:c>
      <x:c r="B31" s="4" t="str">
        <x:v>https://blog.skyairline.com/sky-airline-2/</x:v>
      </x:c>
      <x:c r="C31" s="9" t="str">
        <x:v>Centro de ayuda de SKY, una guía completa que te ayudará con tu viaje</x:v>
      </x:c>
      <x:c r="D31" s="17" t="d">
        <x:v>2025-09-24T00:00:00.000Z</x:v>
      </x:c>
      <x:c r="E31" s="17" t="d">
        <x:v>2025-09-24T00:00:00.000Z</x:v>
      </x:c>
      <x:c r="F31" s="4" t="str">
        <x:v>Destinos, Planificación de Viaje</x:v>
      </x:c>
      <x:c r="G31" s="11" t="n">
        <x:v>953</x:v>
      </x:c>
      <x:c r="H31" s="11" t="n">
        <x:v>200</x:v>
      </x:c>
      <x:c r="I31" s="11" t="n">
        <x:v>1</x:v>
      </x:c>
      <x:c r="J31" s="4" t="str">
        <x:v>https://blog.skyairline.com/sky-airline-2/</x:v>
      </x:c>
      <x:c r="K31" s="16" t="b">
        <x:v>0</x:v>
      </x:c>
      <x:c r="L31" s="11" t="n">
        <x:v>0</x:v>
      </x:c>
      <x:c r="M31" s="11" t="n">
        <x:v>0</x:v>
      </x:c>
      <x:c r="N31" s="4"/>
      <x:c r="O31" s="4"/>
      <x:c r="P31" s="11" t="n">
        <x:v>126</x:v>
      </x:c>
      <x:c r="Q31" s="11" t="n">
        <x:v>163</x:v>
      </x:c>
      <x:c r="R31" s="11" t="n">
        <x:f>IF(OR(P31="",Q31=""),"",Q31-P31)</x:f>
        <x:v>37</x:v>
      </x:c>
      <x:c r="S31" s="13" t="n">
        <x:f>IF(OR(P31="",Q31="",P31=0),"",((Q31/30)/(P31/31))-1)</x:f>
        <x:v>0.33677248677248683</x:v>
      </x:c>
      <x:c r="T31" s="11" t="n">
        <x:v>11704</x:v>
      </x:c>
      <x:c r="U31" s="11" t="n">
        <x:v>13849</x:v>
      </x:c>
      <x:c r="V31" s="14" t="n">
        <x:v>0.011769802873853707</x:v>
      </x:c>
      <x:c r="W31" s="12" t="n">
        <x:v>7.938912556863311</x:v>
      </x:c>
      <x:c r="X31" s="11" t="n">
        <x:v>142</x:v>
      </x:c>
      <x:c r="Y31" s="11" t="n">
        <x:v>172</x:v>
      </x:c>
      <x:c r="Z31" s="4" t="str">
        <x:v>https://blog.skyairline.com/sky-airline-2/</x:v>
      </x:c>
      <x:c r="AA31" s="4" t="str">
        <x:v>https://blog.skyairline.com/sky-airline-2/</x:v>
      </x:c>
      <x:c r="AB31" s="4" t="str">
        <x:v>Coincidencia URL</x:v>
      </x:c>
      <x:c r="AC31" s="4" t="str">
        <x:v>Publicado hasta septiembre</x:v>
      </x:c>
      <x:c r="AD31" s="4" t="str">
        <x:v>/sky-airline-2/</x:v>
      </x:c>
      <x:c r="AE31" s="4"/>
      <x:c r="AF31" s="16" t="b">
        <x:v>0</x:v>
      </x:c>
    </x:row>
    <x:row r="32" ht="44" customHeight="1">
      <x:c r="A32" s="4" t="n">
        <x:v>4318</x:v>
      </x:c>
      <x:c r="B32" s="4" t="str">
        <x:v>https://blog.skyairline.com/ciudades-cercanas-rio-de-janeiro/</x:v>
      </x:c>
      <x:c r="C32" s="9" t="str">
        <x:v>7 ciudades cercanas a Río de Janeiro, elige cuál conocer en tu próximo viaje</x:v>
      </x:c>
      <x:c r="D32" s="17" t="d">
        <x:v>2026-07-27T00:00:00.000Z</x:v>
      </x:c>
      <x:c r="E32" s="17" t="d">
        <x:v>2026-07-22T00:00:00.000Z</x:v>
      </x:c>
      <x:c r="F32" s="4" t="str">
        <x:v>Destinos</x:v>
      </x:c>
      <x:c r="G32" s="11" t="n">
        <x:v>983</x:v>
      </x:c>
      <x:c r="H32" s="11" t="n">
        <x:v>200</x:v>
      </x:c>
      <x:c r="I32" s="11" t="n">
        <x:v>1</x:v>
      </x:c>
      <x:c r="J32" s="4" t="str">
        <x:v>https://blog.skyairline.com/ciudades-cercanas-rio-de-janeiro/</x:v>
      </x:c>
      <x:c r="K32" s="16" t="b">
        <x:v>0</x:v>
      </x:c>
      <x:c r="L32" s="11" t="n">
        <x:v>0</x:v>
      </x:c>
      <x:c r="M32" s="11" t="n">
        <x:v>0</x:v>
      </x:c>
      <x:c r="N32" s="4"/>
      <x:c r="O32" s="4"/>
      <x:c r="P32" s="11" t="n">
        <x:v>137</x:v>
      </x:c>
      <x:c r="Q32" s="11" t="n">
        <x:v>161</x:v>
      </x:c>
      <x:c r="R32" s="11" t="n">
        <x:f>IF(OR(P32="",Q32=""),"",Q32-P32)</x:f>
        <x:v>24</x:v>
      </x:c>
      <x:c r="S32" s="13" t="n">
        <x:f>IF(OR(P32="",Q32="",P32=0),"",((Q32/30)/(P32/31))-1)</x:f>
        <x:v>0.21435523114355237</x:v>
      </x:c>
      <x:c r="T32" s="11" t="n">
        <x:v>4324</x:v>
      </x:c>
      <x:c r="U32" s="11" t="n">
        <x:v>3969</x:v>
      </x:c>
      <x:c r="V32" s="14" t="n">
        <x:v>0.04056437389770723</x:v>
      </x:c>
      <x:c r="W32" s="12" t="n">
        <x:v>4.714033761652809</x:v>
      </x:c>
      <x:c r="X32" s="11" t="n">
        <x:v>197</x:v>
      </x:c>
      <x:c r="Y32" s="11" t="n">
        <x:v>239</x:v>
      </x:c>
      <x:c r="Z32" s="4" t="str">
        <x:v>https://blog.skyairline.com/ciudades-cercanas-rio-de-janeiro/</x:v>
      </x:c>
      <x:c r="AA32" s="4" t="str">
        <x:v>https://blog.skyairline.com/ciudades-cercanas-rio-de-janeiro/
https://blog.skyairline.com/ciudades-cercanas-rio-de-janeiro</x:v>
      </x:c>
      <x:c r="AB32" s="4" t="str">
        <x:v>Alias slash agregado</x:v>
      </x:c>
      <x:c r="AC32" s="4" t="str">
        <x:v>Publicado hasta septiembre</x:v>
      </x:c>
      <x:c r="AD32" s="4" t="str">
        <x:v>/ciudades-cercanas-rio-de-janeiro/</x:v>
      </x:c>
      <x:c r="AE32" s="4"/>
      <x:c r="AF32" s="16" t="b">
        <x:v>0</x:v>
      </x:c>
    </x:row>
    <x:row r="33" ht="44" customHeight="1">
      <x:c r="A33" s="4" t="n">
        <x:v>2994</x:v>
      </x:c>
      <x:c r="B33" s="4" t="str">
        <x:v>https://blog.skyairline.com/pasaje-en-linea/</x:v>
      </x:c>
      <x:c r="C33" s="9" t="str">
        <x:v>Cómo comprar pasajes en línea en SKY: guía clara y sin letra chica</x:v>
      </x:c>
      <x:c r="D33" s="17" t="d">
        <x:v>2026-05-06T00:00:00.000Z</x:v>
      </x:c>
      <x:c r="E33" s="17" t="d">
        <x:v>2026-05-05T00:00:00.000Z</x:v>
      </x:c>
      <x:c r="F33" s="4" t="str">
        <x:v>Planificación de Viaje</x:v>
      </x:c>
      <x:c r="G33" s="11" t="n">
        <x:v>1144</x:v>
      </x:c>
      <x:c r="H33" s="11" t="n">
        <x:v>200</x:v>
      </x:c>
      <x:c r="I33" s="11" t="n">
        <x:v>1</x:v>
      </x:c>
      <x:c r="J33" s="4" t="str">
        <x:v>https://blog.skyairline.com/pasaje-en-linea/</x:v>
      </x:c>
      <x:c r="K33" s="16" t="b">
        <x:v>0</x:v>
      </x:c>
      <x:c r="L33" s="11" t="n">
        <x:v>0</x:v>
      </x:c>
      <x:c r="M33" s="11" t="n">
        <x:v>0</x:v>
      </x:c>
      <x:c r="N33" s="4"/>
      <x:c r="O33" s="4"/>
      <x:c r="P33" s="11" t="n">
        <x:v>171</x:v>
      </x:c>
      <x:c r="Q33" s="11" t="n">
        <x:v>156</x:v>
      </x:c>
      <x:c r="R33" s="11" t="n">
        <x:f>IF(OR(P33="",Q33=""),"",Q33-P33)</x:f>
        <x:v>-15</x:v>
      </x:c>
      <x:c r="S33" s="13" t="n">
        <x:f>IF(OR(P33="",Q33="",P33=0),"",((Q33/30)/(P33/31))-1)</x:f>
        <x:v>-0.057309941520467866</x:v>
      </x:c>
      <x:c r="T33" s="11" t="n">
        <x:v>13100</x:v>
      </x:c>
      <x:c r="U33" s="11" t="n">
        <x:v>13534</x:v>
      </x:c>
      <x:c r="V33" s="14" t="n">
        <x:v>0.01152652578690705</x:v>
      </x:c>
      <x:c r="W33" s="12" t="n">
        <x:v>6.298655238658194</x:v>
      </x:c>
      <x:c r="X33" s="11" t="n">
        <x:v>146</x:v>
      </x:c>
      <x:c r="Y33" s="11" t="n">
        <x:v>200</x:v>
      </x:c>
      <x:c r="Z33" s="4" t="str">
        <x:v>https://blog.skyairline.com/pasaje-en-linea/</x:v>
      </x:c>
      <x:c r="AA33" s="4" t="str">
        <x:v>https://blog.skyairline.com/pasaje-en-linea/</x:v>
      </x:c>
      <x:c r="AB33" s="4" t="str">
        <x:v>Coincidencia URL</x:v>
      </x:c>
      <x:c r="AC33" s="4" t="str">
        <x:v>Publicado hasta septiembre</x:v>
      </x:c>
      <x:c r="AD33" s="4" t="str">
        <x:v>/pasaje-en-linea/</x:v>
      </x:c>
      <x:c r="AE33" s="4"/>
      <x:c r="AF33" s="16" t="b">
        <x:v>0</x:v>
      </x:c>
    </x:row>
    <x:row r="34" ht="44" customHeight="1">
      <x:c r="A34" s="4" t="n">
        <x:v>1473</x:v>
      </x:c>
      <x:c r="B34" s="4" t="str">
        <x:v>https://blog.skyairline.com/normas-para-viajar-en-avion/</x:v>
      </x:c>
      <x:c r="C34" s="9" t="str">
        <x:v>5 normas para viajar en avión que debes cumplir sí o sí</x:v>
      </x:c>
      <x:c r="D34" s="17" t="d">
        <x:v>2022-02-28T00:00:00.000Z</x:v>
      </x:c>
      <x:c r="E34" s="17" t="d">
        <x:v>2022-02-28T00:00:00.000Z</x:v>
      </x:c>
      <x:c r="F34" s="4" t="str">
        <x:v>Planificación de Viaje</x:v>
      </x:c>
      <x:c r="G34" s="11" t="n">
        <x:v>968</x:v>
      </x:c>
      <x:c r="H34" s="11" t="n">
        <x:v>200</x:v>
      </x:c>
      <x:c r="I34" s="11" t="n">
        <x:v>1</x:v>
      </x:c>
      <x:c r="J34" s="4" t="str">
        <x:v>https://blog.skyairline.com/normas-para-viajar-en-avion/</x:v>
      </x:c>
      <x:c r="K34" s="16" t="b">
        <x:v>0</x:v>
      </x:c>
      <x:c r="L34" s="11" t="n">
        <x:v>0</x:v>
      </x:c>
      <x:c r="M34" s="11" t="n">
        <x:v>4</x:v>
      </x:c>
      <x:c r="N34" s="4"/>
      <x:c r="O34" s="4"/>
      <x:c r="P34" s="11" t="n">
        <x:v>131</x:v>
      </x:c>
      <x:c r="Q34" s="11" t="n">
        <x:v>153</x:v>
      </x:c>
      <x:c r="R34" s="11" t="n">
        <x:f>IF(OR(P34="",Q34=""),"",Q34-P34)</x:f>
        <x:v>22</x:v>
      </x:c>
      <x:c r="S34" s="13" t="n">
        <x:f>IF(OR(P34="",Q34="",P34=0),"",((Q34/30)/(P34/31))-1)</x:f>
        <x:v>0.20687022900763363</x:v>
      </x:c>
      <x:c r="T34" s="11" t="n">
        <x:v>4829</x:v>
      </x:c>
      <x:c r="U34" s="11" t="n">
        <x:v>4369</x:v>
      </x:c>
      <x:c r="V34" s="14" t="n">
        <x:v>0.03501945525291829</x:v>
      </x:c>
      <x:c r="W34" s="12" t="n">
        <x:v>5.615930418860151</x:v>
      </x:c>
      <x:c r="X34" s="11" t="n">
        <x:v>173</x:v>
      </x:c>
      <x:c r="Y34" s="11" t="n">
        <x:v>231</x:v>
      </x:c>
      <x:c r="Z34" s="4" t="str">
        <x:v>https://blog.skyairline.com/normas-para-viajar-en-avion/</x:v>
      </x:c>
      <x:c r="AA34" s="4" t="str">
        <x:v>https://blog.skyairline.com/normas-para-viajar-en-avion/</x:v>
      </x:c>
      <x:c r="AB34" s="4" t="str">
        <x:v>Coincidencia URL</x:v>
      </x:c>
      <x:c r="AC34" s="4" t="str">
        <x:v>Publicado hasta septiembre</x:v>
      </x:c>
      <x:c r="AD34" s="4" t="str">
        <x:v>/normas-para-viajar-en-avion/</x:v>
      </x:c>
      <x:c r="AE34" s="4"/>
      <x:c r="AF34" s="16" t="b">
        <x:v>0</x:v>
      </x:c>
    </x:row>
    <x:row r="35" ht="44" customHeight="1">
      <x:c r="A35" s="4" t="n">
        <x:v>3882</x:v>
      </x:c>
      <x:c r="B35" s="4" t="str">
        <x:v>https://blog.skyairline.com/tiempo-de-chile-a-brasil/</x:v>
      </x:c>
      <x:c r="C35" s="9" t="str">
        <x:v>Chile a Brasil en avión: tiempos de vuelo a São Paulo, Río y otros destinos</x:v>
      </x:c>
      <x:c r="D35" s="17" t="d">
        <x:v>2026-01-06T00:00:00.000Z</x:v>
      </x:c>
      <x:c r="E35" s="17" t="d">
        <x:v>2026-01-06T00:00:00.000Z</x:v>
      </x:c>
      <x:c r="F35" s="4" t="str">
        <x:v>Destinos</x:v>
      </x:c>
      <x:c r="G35" s="11" t="n">
        <x:v>999</x:v>
      </x:c>
      <x:c r="H35" s="11" t="n">
        <x:v>200</x:v>
      </x:c>
      <x:c r="I35" s="11" t="n">
        <x:v>1</x:v>
      </x:c>
      <x:c r="J35" s="4" t="str">
        <x:v>https://blog.skyairline.com/tiempo-de-chile-a-brasil/</x:v>
      </x:c>
      <x:c r="K35" s="16" t="b">
        <x:v>0</x:v>
      </x:c>
      <x:c r="L35" s="11" t="n">
        <x:v>0</x:v>
      </x:c>
      <x:c r="M35" s="11" t="n">
        <x:v>0</x:v>
      </x:c>
      <x:c r="N35" s="4"/>
      <x:c r="O35" s="4"/>
      <x:c r="P35" s="11" t="n">
        <x:v>117</x:v>
      </x:c>
      <x:c r="Q35" s="11" t="n">
        <x:v>149</x:v>
      </x:c>
      <x:c r="R35" s="11" t="n">
        <x:f>IF(OR(P35="",Q35=""),"",Q35-P35)</x:f>
        <x:v>32</x:v>
      </x:c>
      <x:c r="S35" s="13" t="n">
        <x:f>IF(OR(P35="",Q35="",P35=0),"",((Q35/30)/(P35/31))-1)</x:f>
        <x:v>0.31595441595441587</x:v>
      </x:c>
      <x:c r="T35" s="11" t="n">
        <x:v>20491</x:v>
      </x:c>
      <x:c r="U35" s="11" t="n">
        <x:v>21471</x:v>
      </x:c>
      <x:c r="V35" s="14" t="n">
        <x:v>0.006939592939313493</x:v>
      </x:c>
      <x:c r="W35" s="12" t="n">
        <x:v>4.61617996367193</x:v>
      </x:c>
      <x:c r="X35" s="11" t="n">
        <x:v>139</x:v>
      </x:c>
      <x:c r="Y35" s="11" t="n">
        <x:v>170</x:v>
      </x:c>
      <x:c r="Z35" s="4" t="str">
        <x:v>https://blog.skyairline.com/tiempo-de-chile-a-brasil/</x:v>
      </x:c>
      <x:c r="AA35" s="4" t="str">
        <x:v>https://blog.skyairline.com/tiempo-de-chile-a-brasil/</x:v>
      </x:c>
      <x:c r="AB35" s="4" t="str">
        <x:v>Coincidencia URL</x:v>
      </x:c>
      <x:c r="AC35" s="4" t="str">
        <x:v>Publicado hasta septiembre</x:v>
      </x:c>
      <x:c r="AD35" s="4" t="str">
        <x:v>/tiempo-de-chile-a-brasil/</x:v>
      </x:c>
      <x:c r="AE35" s="4"/>
      <x:c r="AF35" s="16" t="b">
        <x:v>0</x:v>
      </x:c>
    </x:row>
    <x:row r="36" ht="44" customHeight="1">
      <x:c r="A36" s="4" t="n">
        <x:v>3833</x:v>
      </x:c>
      <x:c r="B36" s="4" t="str">
        <x:v>https://blog.skyairline.com/viaje-a-brasil-3/</x:v>
      </x:c>
      <x:c r="C36" s="9" t="str">
        <x:v>Prepara tu viaje a Brasil: Requisitos para entrar al país de la alegría</x:v>
      </x:c>
      <x:c r="D36" s="17" t="d">
        <x:v>2025-12-15T00:00:00.000Z</x:v>
      </x:c>
      <x:c r="E36" s="17" t="d">
        <x:v>2025-12-15T00:00:00.000Z</x:v>
      </x:c>
      <x:c r="F36" s="4" t="str">
        <x:v>Destinos</x:v>
      </x:c>
      <x:c r="G36" s="11" t="n">
        <x:v>1053</x:v>
      </x:c>
      <x:c r="H36" s="11" t="n">
        <x:v>200</x:v>
      </x:c>
      <x:c r="I36" s="11" t="n">
        <x:v>1</x:v>
      </x:c>
      <x:c r="J36" s="4" t="str">
        <x:v>https://blog.skyairline.com/viaje-a-brasil-3/</x:v>
      </x:c>
      <x:c r="K36" s="16" t="b">
        <x:v>0</x:v>
      </x:c>
      <x:c r="L36" s="11" t="n">
        <x:v>0</x:v>
      </x:c>
      <x:c r="M36" s="11" t="n">
        <x:v>0</x:v>
      </x:c>
      <x:c r="N36" s="4"/>
      <x:c r="O36" s="4"/>
      <x:c r="P36" s="11" t="n">
        <x:v>157</x:v>
      </x:c>
      <x:c r="Q36" s="11" t="n">
        <x:v>138</x:v>
      </x:c>
      <x:c r="R36" s="11" t="n">
        <x:f>IF(OR(P36="",Q36=""),"",Q36-P36)</x:f>
        <x:v>-19</x:v>
      </x:c>
      <x:c r="S36" s="13" t="n">
        <x:f>IF(OR(P36="",Q36="",P36=0),"",((Q36/30)/(P36/31))-1)</x:f>
        <x:v>-0.09171974522293003</x:v>
      </x:c>
      <x:c r="T36" s="11" t="n">
        <x:v>20505</x:v>
      </x:c>
      <x:c r="U36" s="11" t="n">
        <x:v>17498</x:v>
      </x:c>
      <x:c r="V36" s="14" t="n">
        <x:v>0.007886615613212938</x:v>
      </x:c>
      <x:c r="W36" s="12" t="n">
        <x:v>6.79517659161047</x:v>
      </x:c>
      <x:c r="X36" s="11" t="n">
        <x:v>157</x:v>
      </x:c>
      <x:c r="Y36" s="11" t="n">
        <x:v>183</x:v>
      </x:c>
      <x:c r="Z36" s="4" t="str">
        <x:v>https://blog.skyairline.com/viaje-a-brasil-3/</x:v>
      </x:c>
      <x:c r="AA36" s="4" t="str">
        <x:v>https://blog.skyairline.com/viaje-a-brasil-3/</x:v>
      </x:c>
      <x:c r="AB36" s="4" t="str">
        <x:v>Coincidencia URL</x:v>
      </x:c>
      <x:c r="AC36" s="4" t="str">
        <x:v>Publicado hasta septiembre</x:v>
      </x:c>
      <x:c r="AD36" s="4" t="str">
        <x:v>/viaje-a-brasil-3/</x:v>
      </x:c>
      <x:c r="AE36" s="4"/>
      <x:c r="AF36" s="16" t="b">
        <x:v>0</x:v>
      </x:c>
    </x:row>
    <x:row r="37" ht="44" customHeight="1">
      <x:c r="A37" s="4" t="n">
        <x:v>3872</x:v>
      </x:c>
      <x:c r="B37" s="4" t="str">
        <x:v>https://blog.skyairline.com/vacunas-brasil/</x:v>
      </x:c>
      <x:c r="C37" s="9" t="str">
        <x:v>¿Hay que vacunarse para ir a Brasil?</x:v>
      </x:c>
      <x:c r="D37" s="17" t="d">
        <x:v>2026-07-30T00:00:00.000Z</x:v>
      </x:c>
      <x:c r="E37" s="17" t="d">
        <x:v>2026-07-28T00:00:00.000Z</x:v>
      </x:c>
      <x:c r="F37" s="4" t="str">
        <x:v>Planificación de Viaje</x:v>
      </x:c>
      <x:c r="G37" s="11" t="n">
        <x:v>1070</x:v>
      </x:c>
      <x:c r="H37" s="11" t="n">
        <x:v>200</x:v>
      </x:c>
      <x:c r="I37" s="11" t="n">
        <x:v>1</x:v>
      </x:c>
      <x:c r="J37" s="4" t="str">
        <x:v>https://blog.skyairline.com/vacunas-brasil/</x:v>
      </x:c>
      <x:c r="K37" s="16" t="b">
        <x:v>0</x:v>
      </x:c>
      <x:c r="L37" s="11" t="n">
        <x:v>0</x:v>
      </x:c>
      <x:c r="M37" s="11" t="n">
        <x:v>0</x:v>
      </x:c>
      <x:c r="N37" s="4"/>
      <x:c r="O37" s="4"/>
      <x:c r="P37" s="11" t="n">
        <x:v>128</x:v>
      </x:c>
      <x:c r="Q37" s="11" t="n">
        <x:v>125</x:v>
      </x:c>
      <x:c r="R37" s="11" t="n">
        <x:f>IF(OR(P37="",Q37=""),"",Q37-P37)</x:f>
        <x:v>-3</x:v>
      </x:c>
      <x:c r="S37" s="13" t="n">
        <x:f>IF(OR(P37="",Q37="",P37=0),"",((Q37/30)/(P37/31))-1)</x:f>
        <x:v>0.009114583333333481</x:v>
      </x:c>
      <x:c r="T37" s="11" t="n">
        <x:v>8549</x:v>
      </x:c>
      <x:c r="U37" s="11" t="n">
        <x:v>8110</x:v>
      </x:c>
      <x:c r="V37" s="14" t="n">
        <x:v>0.015413070283600493</x:v>
      </x:c>
      <x:c r="W37" s="12" t="n">
        <x:v>5.757583230579532</x:v>
      </x:c>
      <x:c r="X37" s="11" t="n">
        <x:v>162</x:v>
      </x:c>
      <x:c r="Y37" s="11" t="n">
        <x:v>216</x:v>
      </x:c>
      <x:c r="Z37" s="4" t="str">
        <x:v>https://blog.skyairline.com/vacunas-brasil/</x:v>
      </x:c>
      <x:c r="AA37" s="4" t="str">
        <x:v>https://blog.skyairline.com/vacunas-brasil/
https://blog.skyairline.com/vacunas-brasil</x:v>
      </x:c>
      <x:c r="AB37" s="4" t="str">
        <x:v>Alias slash agregado</x:v>
      </x:c>
      <x:c r="AC37" s="4" t="str">
        <x:v>Publicado hasta septiembre</x:v>
      </x:c>
      <x:c r="AD37" s="4" t="str">
        <x:v>/vacunas-brasil/</x:v>
      </x:c>
      <x:c r="AE37" s="4"/>
      <x:c r="AF37" s="16" t="b">
        <x:v>0</x:v>
      </x:c>
    </x:row>
    <x:row r="38" ht="44" customHeight="1">
      <x:c r="A38" s="4" t="n">
        <x:v>3005</x:v>
      </x:c>
      <x:c r="B38" s="4" t="str">
        <x:v>https://blog.skyairline.com/check-in-automatico/</x:v>
      </x:c>
      <x:c r="C38" s="9" t="str">
        <x:v>¿Qué necesitas para hacer Check-in automático?</x:v>
      </x:c>
      <x:c r="D38" s="17" t="d">
        <x:v>2023-05-19T00:00:00.000Z</x:v>
      </x:c>
      <x:c r="E38" s="17" t="d">
        <x:v>2023-05-19T00:00:00.000Z</x:v>
      </x:c>
      <x:c r="F38" s="4" t="str">
        <x:v>Planificación de Viaje</x:v>
      </x:c>
      <x:c r="G38" s="11" t="n">
        <x:v>1025</x:v>
      </x:c>
      <x:c r="H38" s="11" t="n">
        <x:v>200</x:v>
      </x:c>
      <x:c r="I38" s="11" t="n">
        <x:v>1</x:v>
      </x:c>
      <x:c r="J38" s="4" t="str">
        <x:v>https://blog.skyairline.com/check-in-automatico/</x:v>
      </x:c>
      <x:c r="K38" s="16" t="b">
        <x:v>0</x:v>
      </x:c>
      <x:c r="L38" s="11" t="n">
        <x:v>0</x:v>
      </x:c>
      <x:c r="M38" s="11" t="n">
        <x:v>3</x:v>
      </x:c>
      <x:c r="N38" s="4"/>
      <x:c r="O38" s="4"/>
      <x:c r="P38" s="11" t="n">
        <x:v>118</x:v>
      </x:c>
      <x:c r="Q38" s="11" t="n">
        <x:v>124</x:v>
      </x:c>
      <x:c r="R38" s="11" t="n">
        <x:f>IF(OR(P38="",Q38=""),"",Q38-P38)</x:f>
        <x:v>6</x:v>
      </x:c>
      <x:c r="S38" s="13" t="n">
        <x:f>IF(OR(P38="",Q38="",P38=0),"",((Q38/30)/(P38/31))-1)</x:f>
        <x:v>0.08587570621468932</x:v>
      </x:c>
      <x:c r="T38" s="11" t="n">
        <x:v>31861</x:v>
      </x:c>
      <x:c r="U38" s="11" t="n">
        <x:v>25017</x:v>
      </x:c>
      <x:c r="V38" s="14" t="n">
        <x:v>0.004956629491945477</x:v>
      </x:c>
      <x:c r="W38" s="12" t="n">
        <x:v>6.656273733860974</x:v>
      </x:c>
      <x:c r="X38" s="11" t="n">
        <x:v>134</x:v>
      </x:c>
      <x:c r="Y38" s="11" t="n">
        <x:v>167</x:v>
      </x:c>
      <x:c r="Z38" s="4" t="str">
        <x:v>https://blog.skyairline.com/check-in-automatico/</x:v>
      </x:c>
      <x:c r="AA38" s="4" t="str">
        <x:v>https://blog.skyairline.com/check-in-automatico/</x:v>
      </x:c>
      <x:c r="AB38" s="4" t="str">
        <x:v>Coincidencia URL</x:v>
      </x:c>
      <x:c r="AC38" s="4" t="str">
        <x:v>Publicado hasta septiembre</x:v>
      </x:c>
      <x:c r="AD38" s="4" t="str">
        <x:v>/check-in-automatico/</x:v>
      </x:c>
      <x:c r="AE38" s="4"/>
      <x:c r="AF38" s="16" t="b">
        <x:v>0</x:v>
      </x:c>
    </x:row>
    <x:row r="39" ht="44" customHeight="1">
      <x:c r="A39" s="4" t="n">
        <x:v>2364</x:v>
      </x:c>
      <x:c r="B39" s="4" t="str">
        <x:v>https://blog.skyairline.com/se-pueden-cambiar-los-pasajes-de-avion/</x:v>
      </x:c>
      <x:c r="C39" s="9" t="str">
        <x:v>¿Se pueden cambiar los pasajes de avión? ¡Descubre si es posible!</x:v>
      </x:c>
      <x:c r="D39" s="17" t="d">
        <x:v>2022-10-07T00:00:00.000Z</x:v>
      </x:c>
      <x:c r="E39" s="17" t="d">
        <x:v>2022-10-07T00:00:00.000Z</x:v>
      </x:c>
      <x:c r="F39" s="4" t="str">
        <x:v>Planificación de Viaje</x:v>
      </x:c>
      <x:c r="G39" s="11" t="n">
        <x:v>578</x:v>
      </x:c>
      <x:c r="H39" s="11" t="n">
        <x:v>200</x:v>
      </x:c>
      <x:c r="I39" s="11" t="n">
        <x:v>1</x:v>
      </x:c>
      <x:c r="J39" s="4" t="str">
        <x:v>https://blog.skyairline.com/se-pueden-cambiar-los-pasajes-de-avion/</x:v>
      </x:c>
      <x:c r="K39" s="16" t="b">
        <x:v>0</x:v>
      </x:c>
      <x:c r="L39" s="11" t="n">
        <x:v>0</x:v>
      </x:c>
      <x:c r="M39" s="11" t="n">
        <x:v>4</x:v>
      </x:c>
      <x:c r="N39" s="4"/>
      <x:c r="O39" s="4"/>
      <x:c r="P39" s="11" t="n">
        <x:v>143</x:v>
      </x:c>
      <x:c r="Q39" s="11" t="n">
        <x:v>120</x:v>
      </x:c>
      <x:c r="R39" s="11" t="n">
        <x:f>IF(OR(P39="",Q39=""),"",Q39-P39)</x:f>
        <x:v>-23</x:v>
      </x:c>
      <x:c r="S39" s="13" t="n">
        <x:f>IF(OR(P39="",Q39="",P39=0),"",((Q39/30)/(P39/31))-1)</x:f>
        <x:v>-0.13286713286713292</x:v>
      </x:c>
      <x:c r="T39" s="11" t="n">
        <x:v>11961</x:v>
      </x:c>
      <x:c r="U39" s="11" t="n">
        <x:v>10647</x:v>
      </x:c>
      <x:c r="V39" s="14" t="n">
        <x:v>0.011270780501549732</x:v>
      </x:c>
      <x:c r="W39" s="12" t="n">
        <x:v>7.042922889076735</x:v>
      </x:c>
      <x:c r="X39" s="11" t="n">
        <x:v>124</x:v>
      </x:c>
      <x:c r="Y39" s="11" t="n">
        <x:v>172</x:v>
      </x:c>
      <x:c r="Z39" s="4" t="str">
        <x:v>https://blog.skyairline.com/se-pueden-cambiar-los-pasajes-de-avion/</x:v>
      </x:c>
      <x:c r="AA39" s="4" t="str">
        <x:v>https://blog.skyairline.com/se-pueden-cambiar-los-pasajes-de-avion/</x:v>
      </x:c>
      <x:c r="AB39" s="4" t="str">
        <x:v>Coincidencia URL</x:v>
      </x:c>
      <x:c r="AC39" s="4" t="str">
        <x:v>Publicado hasta septiembre</x:v>
      </x:c>
      <x:c r="AD39" s="4" t="str">
        <x:v>/se-pueden-cambiar-los-pasajes-de-avion/</x:v>
      </x:c>
      <x:c r="AE39" s="4"/>
      <x:c r="AF39" s="16" t="b">
        <x:v>0</x:v>
      </x:c>
    </x:row>
    <x:row r="40" ht="44" customHeight="1">
      <x:c r="A40" s="4" t="n">
        <x:v>634</x:v>
      </x:c>
      <x:c r="B40" s="4" t="str">
        <x:v>https://blog.skyairline.com/que-hacer-si-mi-vuelo-fue-cancelado/</x:v>
      </x:c>
      <x:c r="C40" s="9" t="str">
        <x:v>¿Qué hacer si mi vuelo fue cancelado o reprogramado? ¡Conoce las posibilidades que te ofrece SKY!</x:v>
      </x:c>
      <x:c r="D40" s="17" t="d">
        <x:v>2021-08-04T00:00:00.000Z</x:v>
      </x:c>
      <x:c r="E40" s="17" t="d">
        <x:v>2025-10-08T00:00:00.000Z</x:v>
      </x:c>
      <x:c r="F40" s="4" t="str">
        <x:v>Planificación de Viaje</x:v>
      </x:c>
      <x:c r="G40" s="11" t="n">
        <x:v>945</x:v>
      </x:c>
      <x:c r="H40" s="11" t="n">
        <x:v>200</x:v>
      </x:c>
      <x:c r="I40" s="11" t="n">
        <x:v>1</x:v>
      </x:c>
      <x:c r="J40" s="4" t="str">
        <x:v>https://blog.skyairline.com/que-hacer-si-mi-vuelo-fue-cancelado/</x:v>
      </x:c>
      <x:c r="K40" s="16" t="b">
        <x:v>0</x:v>
      </x:c>
      <x:c r="L40" s="11" t="n">
        <x:v>0</x:v>
      </x:c>
      <x:c r="M40" s="11" t="n">
        <x:v>0</x:v>
      </x:c>
      <x:c r="N40" s="4"/>
      <x:c r="O40" s="4"/>
      <x:c r="P40" s="11" t="n">
        <x:v>167</x:v>
      </x:c>
      <x:c r="Q40" s="11" t="n">
        <x:v>117</x:v>
      </x:c>
      <x:c r="R40" s="11" t="n">
        <x:f>IF(OR(P40="",Q40=""),"",Q40-P40)</x:f>
        <x:v>-50</x:v>
      </x:c>
      <x:c r="S40" s="13" t="n">
        <x:f>IF(OR(P40="",Q40="",P40=0),"",((Q40/30)/(P40/31))-1)</x:f>
        <x:v>-0.27604790419161673</x:v>
      </x:c>
      <x:c r="T40" s="11" t="n">
        <x:v>9468</x:v>
      </x:c>
      <x:c r="U40" s="11" t="n">
        <x:v>7500</x:v>
      </x:c>
      <x:c r="V40" s="14" t="n">
        <x:v>0.0156</x:v>
      </x:c>
      <x:c r="W40" s="12" t="n">
        <x:v>5.905733333333333</x:v>
      </x:c>
      <x:c r="X40" s="11" t="n">
        <x:v>105</x:v>
      </x:c>
      <x:c r="Y40" s="11" t="n">
        <x:v>130</x:v>
      </x:c>
      <x:c r="Z40" s="4" t="str">
        <x:v>https://blog.skyairline.com/que-hacer-si-mi-vuelo-fue-cancelado/</x:v>
      </x:c>
      <x:c r="AA40" s="4" t="str">
        <x:v>https://blog.skyairline.com/que-hacer-si-mi-vuelo-fue-cancelado/</x:v>
      </x:c>
      <x:c r="AB40" s="4" t="str">
        <x:v>Coincidencia URL</x:v>
      </x:c>
      <x:c r="AC40" s="4" t="str">
        <x:v>Publicado hasta septiembre</x:v>
      </x:c>
      <x:c r="AD40" s="4" t="str">
        <x:v>/que-hacer-si-mi-vuelo-fue-cancelado/</x:v>
      </x:c>
      <x:c r="AE40" s="4"/>
      <x:c r="AF40" s="16" t="b">
        <x:v>0</x:v>
      </x:c>
    </x:row>
    <x:row r="41" ht="44" customHeight="1">
      <x:c r="A41" s="4" t="n">
        <x:v>1130</x:v>
      </x:c>
      <x:c r="B41" s="4" t="str">
        <x:v>https://blog.skyairline.com/comprar-pasajes-baratos/</x:v>
      </x:c>
      <x:c r="C41" s="9" t="str">
        <x:v>Días ideales, épocas y tips para comprar pasajes baratos</x:v>
      </x:c>
      <x:c r="D41" s="17" t="d">
        <x:v>2021-12-02T00:00:00.000Z</x:v>
      </x:c>
      <x:c r="E41" s="17" t="d">
        <x:v>2021-12-02T00:00:00.000Z</x:v>
      </x:c>
      <x:c r="F41" s="4" t="str">
        <x:v>Planificación de Viaje</x:v>
      </x:c>
      <x:c r="G41" s="11" t="n">
        <x:v>2070</x:v>
      </x:c>
      <x:c r="H41" s="11" t="n">
        <x:v>200</x:v>
      </x:c>
      <x:c r="I41" s="11" t="n">
        <x:v>1</x:v>
      </x:c>
      <x:c r="J41" s="4" t="str">
        <x:v>https://blog.skyairline.com/comprar-pasajes-baratos/</x:v>
      </x:c>
      <x:c r="K41" s="16" t="b">
        <x:v>0</x:v>
      </x:c>
      <x:c r="L41" s="11" t="n">
        <x:v>0</x:v>
      </x:c>
      <x:c r="M41" s="11" t="n">
        <x:v>3</x:v>
      </x:c>
      <x:c r="N41" s="4"/>
      <x:c r="O41" s="4"/>
      <x:c r="P41" s="11" t="n">
        <x:v>97</x:v>
      </x:c>
      <x:c r="Q41" s="11" t="n">
        <x:v>112</x:v>
      </x:c>
      <x:c r="R41" s="11" t="n">
        <x:f>IF(OR(P41="",Q41=""),"",Q41-P41)</x:f>
        <x:v>15</x:v>
      </x:c>
      <x:c r="S41" s="13" t="n">
        <x:f>IF(OR(P41="",Q41="",P41=0),"",((Q41/30)/(P41/31))-1)</x:f>
        <x:v>0.193127147766323</x:v>
      </x:c>
      <x:c r="T41" s="11" t="n">
        <x:v>12102</x:v>
      </x:c>
      <x:c r="U41" s="11" t="n">
        <x:v>12400</x:v>
      </x:c>
      <x:c r="V41" s="14" t="n">
        <x:v>0.00903225806451613</x:v>
      </x:c>
      <x:c r="W41" s="12" t="n">
        <x:v>5.853951612903225</x:v>
      </x:c>
      <x:c r="X41" s="11" t="n">
        <x:v>107</x:v>
      </x:c>
      <x:c r="Y41" s="11" t="n">
        <x:v>127</x:v>
      </x:c>
      <x:c r="Z41" s="4" t="str">
        <x:v>https://blog.skyairline.com/comprar-pasajes-baratos/</x:v>
      </x:c>
      <x:c r="AA41" s="4" t="str">
        <x:v>https://blog.skyairline.com/comprar-pasajes-baratos/</x:v>
      </x:c>
      <x:c r="AB41" s="4" t="str">
        <x:v>Coincidencia URL</x:v>
      </x:c>
      <x:c r="AC41" s="4" t="str">
        <x:v>Publicado hasta septiembre</x:v>
      </x:c>
      <x:c r="AD41" s="4" t="str">
        <x:v>/comprar-pasajes-baratos/</x:v>
      </x:c>
      <x:c r="AE41" s="4"/>
      <x:c r="AF41" s="16" t="b">
        <x:v>0</x:v>
      </x:c>
    </x:row>
    <x:row r="42" ht="44" customHeight="1">
      <x:c r="A42" s="4" t="n">
        <x:v>7375</x:v>
      </x:c>
      <x:c r="B42" s="4" t="str">
        <x:v>https://blog.skyairline.com/enchufe-brasil/</x:v>
      </x:c>
      <x:c r="C42" s="9" t="str">
        <x:v>¿Qué tipo de enchufe se usa en Brasil?</x:v>
      </x:c>
      <x:c r="D42" s="17" t="d">
        <x:v>2025-10-31T00:00:00.000Z</x:v>
      </x:c>
      <x:c r="E42" s="17" t="d">
        <x:v>2025-10-27T00:00:00.000Z</x:v>
      </x:c>
      <x:c r="F42" s="4" t="str">
        <x:v>Destinos</x:v>
      </x:c>
      <x:c r="G42" s="11" t="n">
        <x:v>1011</x:v>
      </x:c>
      <x:c r="H42" s="11" t="n">
        <x:v>200</x:v>
      </x:c>
      <x:c r="I42" s="11" t="n">
        <x:v>1</x:v>
      </x:c>
      <x:c r="J42" s="4" t="str">
        <x:v>https://blog.skyairline.com/enchufe-brasil/</x:v>
      </x:c>
      <x:c r="K42" s="16" t="b">
        <x:v>0</x:v>
      </x:c>
      <x:c r="L42" s="11" t="n">
        <x:v>0</x:v>
      </x:c>
      <x:c r="M42" s="11" t="n">
        <x:v>1</x:v>
      </x:c>
      <x:c r="N42" s="4"/>
      <x:c r="O42" s="4"/>
      <x:c r="P42" s="11" t="n">
        <x:v>90</x:v>
      </x:c>
      <x:c r="Q42" s="11" t="n">
        <x:v>112</x:v>
      </x:c>
      <x:c r="R42" s="11" t="n">
        <x:f>IF(OR(P42="",Q42=""),"",Q42-P42)</x:f>
        <x:v>22</x:v>
      </x:c>
      <x:c r="S42" s="13" t="n">
        <x:f>IF(OR(P42="",Q42="",P42=0),"",((Q42/30)/(P42/31))-1)</x:f>
        <x:v>0.2859259259259259</x:v>
      </x:c>
      <x:c r="T42" s="11" t="n">
        <x:v>7065</x:v>
      </x:c>
      <x:c r="U42" s="11" t="n">
        <x:v>7887</x:v>
      </x:c>
      <x:c r="V42" s="14" t="n">
        <x:v>0.014200583238240142</x:v>
      </x:c>
      <x:c r="W42" s="12" t="n">
        <x:v>6.541650817801445</x:v>
      </x:c>
      <x:c r="X42" s="11" t="n">
        <x:v>153</x:v>
      </x:c>
      <x:c r="Y42" s="11" t="n">
        <x:v>169</x:v>
      </x:c>
      <x:c r="Z42" s="4" t="str">
        <x:v>https://blog.skyairline.com/enchufe-brasil/</x:v>
      </x:c>
      <x:c r="AA42" s="4" t="str">
        <x:v>https://blog.skyairline.com/enchufe-brasil/</x:v>
      </x:c>
      <x:c r="AB42" s="4" t="str">
        <x:v>Coincidencia URL</x:v>
      </x:c>
      <x:c r="AC42" s="4" t="str">
        <x:v>Publicado hasta septiembre</x:v>
      </x:c>
      <x:c r="AD42" s="4" t="str">
        <x:v>/enchufe-brasil/</x:v>
      </x:c>
      <x:c r="AE42" s="4"/>
      <x:c r="AF42" s="16" t="b">
        <x:v>0</x:v>
      </x:c>
    </x:row>
    <x:row r="43" ht="44" customHeight="1">
      <x:c r="A43" s="4" t="n">
        <x:v>6147</x:v>
      </x:c>
      <x:c r="B43" s="4" t="str">
        <x:v>https://blog.skyairline.com/paises-baratos-para-viajar-desde-chile-con-sky/</x:v>
      </x:c>
      <x:c r="C43" s="9" t="str">
        <x:v>Países baratos para viajar desde Chile con SKY</x:v>
      </x:c>
      <x:c r="D43" s="17" t="d">
        <x:v>2025-06-03T00:00:00.000Z</x:v>
      </x:c>
      <x:c r="E43" s="17" t="d">
        <x:v>2025-06-03T00:00:00.000Z</x:v>
      </x:c>
      <x:c r="F43" s="4" t="str">
        <x:v>Destinos</x:v>
      </x:c>
      <x:c r="G43" s="11" t="n">
        <x:v>1255</x:v>
      </x:c>
      <x:c r="H43" s="11" t="n">
        <x:v>200</x:v>
      </x:c>
      <x:c r="I43" s="11" t="n">
        <x:v>1</x:v>
      </x:c>
      <x:c r="J43" s="4" t="str">
        <x:v>https://blog.skyairline.com/paises-baratos-para-viajar-desde-chile-con-sky/</x:v>
      </x:c>
      <x:c r="K43" s="16" t="b">
        <x:v>0</x:v>
      </x:c>
      <x:c r="L43" s="11" t="n">
        <x:v>0</x:v>
      </x:c>
      <x:c r="M43" s="11" t="n">
        <x:v>7</x:v>
      </x:c>
      <x:c r="N43" s="4"/>
      <x:c r="O43" s="4"/>
      <x:c r="P43" s="11" t="n">
        <x:v>105</x:v>
      </x:c>
      <x:c r="Q43" s="11" t="n">
        <x:v>106</x:v>
      </x:c>
      <x:c r="R43" s="11" t="n">
        <x:f>IF(OR(P43="",Q43=""),"",Q43-P43)</x:f>
        <x:v>1</x:v>
      </x:c>
      <x:c r="S43" s="13" t="n">
        <x:f>IF(OR(P43="",Q43="",P43=0),"",((Q43/30)/(P43/31))-1)</x:f>
        <x:v>0.0431746031746032</x:v>
      </x:c>
      <x:c r="T43" s="11" t="n">
        <x:v>21087</x:v>
      </x:c>
      <x:c r="U43" s="11" t="n">
        <x:v>13462</x:v>
      </x:c>
      <x:c r="V43" s="14" t="n">
        <x:v>0.007874015748031496</x:v>
      </x:c>
      <x:c r="W43" s="12" t="n">
        <x:v>3.0427871044421333</x:v>
      </x:c>
      <x:c r="X43" s="11" t="n">
        <x:v>112</x:v>
      </x:c>
      <x:c r="Y43" s="11" t="n">
        <x:v>138</x:v>
      </x:c>
      <x:c r="Z43" s="4" t="str">
        <x:v>https://blog.skyairline.com/paises-baratos-para-viajar-desde-chile-con-sky/</x:v>
      </x:c>
      <x:c r="AA43" s="4" t="str">
        <x:v>https://blog.skyairline.com/paises-baratos-para-viajar-desde-chile-con-sky/
https://blog.skyairline.com/paises-baratos-para-viajar-desde-chile-con-sky</x:v>
      </x:c>
      <x:c r="AB43" s="4" t="str">
        <x:v>Alias slash agregado</x:v>
      </x:c>
      <x:c r="AC43" s="4" t="str">
        <x:v>Publicado hasta septiembre</x:v>
      </x:c>
      <x:c r="AD43" s="4" t="str">
        <x:v>/paises-baratos-para-viajar-desde-chile-con-sky/</x:v>
      </x:c>
      <x:c r="AE43" s="4"/>
      <x:c r="AF43" s="16" t="b">
        <x:v>0</x:v>
      </x:c>
    </x:row>
    <x:row r="44" ht="44" customHeight="1">
      <x:c r="A44" s="4" t="n">
        <x:v>7752</x:v>
      </x:c>
      <x:c r="B44" s="4" t="str">
        <x:v>https://blog.skyairline.com/panoramas-para-ninos-en-santiago/</x:v>
      </x:c>
      <x:c r="C44" s="9" t="str">
        <x:v>10 Panoramas para Niños en Santiago: Guía para Una Aventura Familiar Inolvidable</x:v>
      </x:c>
      <x:c r="D44" s="17" t="d">
        <x:v>2025-12-04T00:00:00.000Z</x:v>
      </x:c>
      <x:c r="E44" s="17" t="d">
        <x:v>2025-11-17T00:00:00.000Z</x:v>
      </x:c>
      <x:c r="F44" s="4" t="str">
        <x:v>Cultura</x:v>
      </x:c>
      <x:c r="G44" s="11" t="n">
        <x:v>1121</x:v>
      </x:c>
      <x:c r="H44" s="11" t="n">
        <x:v>200</x:v>
      </x:c>
      <x:c r="I44" s="11" t="n">
        <x:v>1</x:v>
      </x:c>
      <x:c r="J44" s="4" t="str">
        <x:v>https://blog.skyairline.com/panoramas-para-ninos-en-santiago/</x:v>
      </x:c>
      <x:c r="K44" s="16" t="b">
        <x:v>0</x:v>
      </x:c>
      <x:c r="L44" s="11" t="n">
        <x:v>0</x:v>
      </x:c>
      <x:c r="M44" s="11" t="n">
        <x:v>1</x:v>
      </x:c>
      <x:c r="N44" s="4"/>
      <x:c r="O44" s="4"/>
      <x:c r="P44" s="11" t="n">
        <x:v>230</x:v>
      </x:c>
      <x:c r="Q44" s="11" t="n">
        <x:v>106</x:v>
      </x:c>
      <x:c r="R44" s="11" t="n">
        <x:f>IF(OR(P44="",Q44=""),"",Q44-P44)</x:f>
        <x:v>-124</x:v>
      </x:c>
      <x:c r="S44" s="13" t="n">
        <x:f>IF(OR(P44="",Q44="",P44=0),"",((Q44/30)/(P44/31))-1)</x:f>
        <x:v>-0.523768115942029</x:v>
      </x:c>
      <x:c r="T44" s="11" t="n">
        <x:v>14795</x:v>
      </x:c>
      <x:c r="U44" s="11" t="n">
        <x:v>7875</x:v>
      </x:c>
      <x:c r="V44" s="14" t="n">
        <x:v>0.01346031746031746</x:v>
      </x:c>
      <x:c r="W44" s="12" t="n">
        <x:v>10.25815873015873</x:v>
      </x:c>
      <x:c r="X44" s="11" t="n">
        <x:v>144</x:v>
      </x:c>
      <x:c r="Y44" s="11" t="n">
        <x:v>188</x:v>
      </x:c>
      <x:c r="Z44" s="4" t="str">
        <x:v>https://blog.skyairline.com/panoramas-para-ninos-en-santiago/</x:v>
      </x:c>
      <x:c r="AA44" s="4" t="str">
        <x:v>https://blog.skyairline.com/panoramas-para-ninos-en-santiago/</x:v>
      </x:c>
      <x:c r="AB44" s="4" t="str">
        <x:v>Coincidencia URL</x:v>
      </x:c>
      <x:c r="AC44" s="4" t="str">
        <x:v>Publicado hasta septiembre</x:v>
      </x:c>
      <x:c r="AD44" s="4" t="str">
        <x:v>/panoramas-para-ninos-en-santiago/</x:v>
      </x:c>
      <x:c r="AE44" s="4"/>
      <x:c r="AF44" s="16" t="b">
        <x:v>0</x:v>
      </x:c>
    </x:row>
    <x:row r="45" ht="44" customHeight="1">
      <x:c r="A45" s="4" t="n">
        <x:v>9201</x:v>
      </x:c>
      <x:c r="B45" s="4" t="str">
        <x:v>https://blog.skyairline.com/descubre-economy-premier-la-nueva-experiencia-para-viajar-mas-comodo/</x:v>
      </x:c>
      <x:c r="C45" s="9" t="str">
        <x:v>Descubre Economy Premier, la nueva experiencia para viajar más cómodo</x:v>
      </x:c>
      <x:c r="D45" s="17" t="d">
        <x:v>2026-08-31T00:00:00.000Z</x:v>
      </x:c>
      <x:c r="E45" s="17" t="d">
        <x:v>2026-08-31T00:00:00.000Z</x:v>
      </x:c>
      <x:c r="F45" s="4" t="str">
        <x:v>Noticias</x:v>
      </x:c>
      <x:c r="G45" s="11" t="n">
        <x:v>121</x:v>
      </x:c>
      <x:c r="H45" s="11" t="n">
        <x:v>200</x:v>
      </x:c>
      <x:c r="I45" s="11" t="n">
        <x:v>1</x:v>
      </x:c>
      <x:c r="J45" s="4" t="str">
        <x:v>https://blog.skyairline.com/descubre-economy-premier-la-nueva-experiencia-para-viajar-mas-comodo/</x:v>
      </x:c>
      <x:c r="K45" s="16" t="b">
        <x:v>0</x:v>
      </x:c>
      <x:c r="L45" s="11" t="n">
        <x:v>0</x:v>
      </x:c>
      <x:c r="M45" s="11" t="n">
        <x:v>0</x:v>
      </x:c>
      <x:c r="N45" s="4"/>
      <x:c r="O45" s="4"/>
      <x:c r="P45" s="11" t="n">
        <x:v>4</x:v>
      </x:c>
      <x:c r="Q45" s="11" t="n">
        <x:v>106</x:v>
      </x:c>
      <x:c r="R45" s="11" t="n">
        <x:f>IF(OR(P45="",Q45=""),"",Q45-P45)</x:f>
        <x:v>102</x:v>
      </x:c>
      <x:c r="S45" s="13" t="n">
        <x:f>IF(OR(P45="",Q45="",P45=0),"",((Q45/30)/(P45/31))-1)</x:f>
        <x:v>26.383333333333333</x:v>
      </x:c>
      <x:c r="T45" s="11" t="n">
        <x:v>17</x:v>
      </x:c>
      <x:c r="U45" s="11" t="n">
        <x:v>1748</x:v>
      </x:c>
      <x:c r="V45" s="14" t="n">
        <x:v>0.06064073226544622</x:v>
      </x:c>
      <x:c r="W45" s="12" t="n">
        <x:v>3.845537757437071</x:v>
      </x:c>
      <x:c r="X45" s="11" t="n">
        <x:v>126</x:v>
      </x:c>
      <x:c r="Y45" s="11" t="n">
        <x:v>134</x:v>
      </x:c>
      <x:c r="Z45" s="4" t="str">
        <x:v>https://blog.skyairline.com/descubre-economy-premier-la-nueva-experiencia-para-viajar-mas-comodo/</x:v>
      </x:c>
      <x:c r="AA45" s="4" t="str">
        <x:v>https://blog.skyairline.com/descubre-economy-premier-la-nueva-experiencia-para-viajar-mas-comodo/
https://blog.skyairline.com/descubre-economy-premier-la-nueva-experiencia-para-viajar-mas-comodo</x:v>
      </x:c>
      <x:c r="AB45" s="4" t="str">
        <x:v>Alias slash agregado</x:v>
      </x:c>
      <x:c r="AC45" s="4" t="str">
        <x:v>Publicado hasta septiembre</x:v>
      </x:c>
      <x:c r="AD45" s="4" t="str">
        <x:v>/descubre-economy-premier-la-nueva-experiencia-para-viajar-mas-comodo/</x:v>
      </x:c>
      <x:c r="AE45" s="4"/>
      <x:c r="AF45" s="16" t="b">
        <x:v>0</x:v>
      </x:c>
    </x:row>
    <x:row r="46" ht="44" customHeight="1">
      <x:c r="A46" s="4" t="n">
        <x:v>6234</x:v>
      </x:c>
      <x:c r="B46" s="4" t="str">
        <x:v>https://blog.skyairline.com/aeropuertos-en-buenos-aires/</x:v>
      </x:c>
      <x:c r="C46" s="9" t="str">
        <x:v>Aeropuertos en Buenos Aires: ¿a cuál te conviene llegar?</x:v>
      </x:c>
      <x:c r="D46" s="17" t="d">
        <x:v>2025-06-22T00:00:00.000Z</x:v>
      </x:c>
      <x:c r="E46" s="17" t="d">
        <x:v>2025-06-22T00:00:00.000Z</x:v>
      </x:c>
      <x:c r="F46" s="4" t="str">
        <x:v>Planificación de Viaje</x:v>
      </x:c>
      <x:c r="G46" s="11" t="n">
        <x:v>1080</x:v>
      </x:c>
      <x:c r="H46" s="11" t="n">
        <x:v>200</x:v>
      </x:c>
      <x:c r="I46" s="11" t="n">
        <x:v>1</x:v>
      </x:c>
      <x:c r="J46" s="4" t="str">
        <x:v>https://blog.skyairline.com/aeropuertos-en-buenos-aires/</x:v>
      </x:c>
      <x:c r="K46" s="16" t="b">
        <x:v>0</x:v>
      </x:c>
      <x:c r="L46" s="11" t="n">
        <x:v>0</x:v>
      </x:c>
      <x:c r="M46" s="11" t="n">
        <x:v>0</x:v>
      </x:c>
      <x:c r="N46" s="4"/>
      <x:c r="O46" s="4"/>
      <x:c r="P46" s="11" t="n">
        <x:v>122</x:v>
      </x:c>
      <x:c r="Q46" s="11" t="n">
        <x:v>105</x:v>
      </x:c>
      <x:c r="R46" s="11" t="n">
        <x:f>IF(OR(P46="",Q46=""),"",Q46-P46)</x:f>
        <x:v>-17</x:v>
      </x:c>
      <x:c r="S46" s="13" t="n">
        <x:f>IF(OR(P46="",Q46="",P46=0),"",((Q46/30)/(P46/31))-1)</x:f>
        <x:v>-0.1106557377049181</x:v>
      </x:c>
      <x:c r="T46" s="11" t="n">
        <x:v>18841</x:v>
      </x:c>
      <x:c r="U46" s="11" t="n">
        <x:v>16346</x:v>
      </x:c>
      <x:c r="V46" s="14" t="n">
        <x:v>0.006423589869081121</x:v>
      </x:c>
      <x:c r="W46" s="12" t="n">
        <x:v>4.980178636975406</x:v>
      </x:c>
      <x:c r="X46" s="11" t="n">
        <x:v>146</x:v>
      </x:c>
      <x:c r="Y46" s="11" t="n">
        <x:v>165</x:v>
      </x:c>
      <x:c r="Z46" s="4" t="str">
        <x:v>https://blog.skyairline.com/aeropuertos-en-buenos-aires/</x:v>
      </x:c>
      <x:c r="AA46" s="4" t="str">
        <x:v>https://blog.skyairline.com/aeropuertos-en-buenos-aires/</x:v>
      </x:c>
      <x:c r="AB46" s="4" t="str">
        <x:v>Coincidencia URL</x:v>
      </x:c>
      <x:c r="AC46" s="4" t="str">
        <x:v>Publicado hasta septiembre</x:v>
      </x:c>
      <x:c r="AD46" s="4" t="str">
        <x:v>/aeropuertos-en-buenos-aires/</x:v>
      </x:c>
      <x:c r="AE46" s="4"/>
      <x:c r="AF46" s="16" t="b">
        <x:v>0</x:v>
      </x:c>
    </x:row>
    <x:row r="47" ht="44" customHeight="1">
      <x:c r="A47" s="4" t="n">
        <x:v>6138</x:v>
      </x:c>
      <x:c r="B47" s="4" t="str">
        <x:v>https://blog.skyairline.com/documentos-que-necesitas-para-viajar-a-argentina-desde-chile/</x:v>
      </x:c>
      <x:c r="C47" s="9" t="str">
        <x:v>Documentos que necesitas para viajar a Argentina desde Chile</x:v>
      </x:c>
      <x:c r="D47" s="17" t="d">
        <x:v>2026-07-22T00:00:00.000Z</x:v>
      </x:c>
      <x:c r="E47" s="17" t="d">
        <x:v>2026-07-22T00:00:00.000Z</x:v>
      </x:c>
      <x:c r="F47" s="4" t="str">
        <x:v>Destinos</x:v>
      </x:c>
      <x:c r="G47" s="11" t="n">
        <x:v>1076</x:v>
      </x:c>
      <x:c r="H47" s="11" t="n">
        <x:v>200</x:v>
      </x:c>
      <x:c r="I47" s="11" t="n">
        <x:v>1</x:v>
      </x:c>
      <x:c r="J47" s="4" t="str">
        <x:v>https://blog.skyairline.com/documentos-que-necesitas-para-viajar-a-argentina-desde-chile/</x:v>
      </x:c>
      <x:c r="K47" s="16" t="b">
        <x:v>0</x:v>
      </x:c>
      <x:c r="L47" s="11" t="n">
        <x:v>0</x:v>
      </x:c>
      <x:c r="M47" s="11" t="n">
        <x:v>0</x:v>
      </x:c>
      <x:c r="N47" s="4"/>
      <x:c r="O47" s="4"/>
      <x:c r="P47" s="11" t="n">
        <x:v>128</x:v>
      </x:c>
      <x:c r="Q47" s="11" t="n">
        <x:v>102</x:v>
      </x:c>
      <x:c r="R47" s="11" t="n">
        <x:f>IF(OR(P47="",Q47=""),"",Q47-P47)</x:f>
        <x:v>-26</x:v>
      </x:c>
      <x:c r="S47" s="13" t="n">
        <x:f>IF(OR(P47="",Q47="",P47=0),"",((Q47/30)/(P47/31))-1)</x:f>
        <x:v>-0.17656249999999996</x:v>
      </x:c>
      <x:c r="T47" s="11" t="n">
        <x:v>7867</x:v>
      </x:c>
      <x:c r="U47" s="11" t="n">
        <x:v>7271</x:v>
      </x:c>
      <x:c r="V47" s="14" t="n">
        <x:v>0.014028331728785587</x:v>
      </x:c>
      <x:c r="W47" s="12" t="n">
        <x:v>7.59785449044148</x:v>
      </x:c>
      <x:c r="X47" s="11" t="n">
        <x:v>134</x:v>
      </x:c>
      <x:c r="Y47" s="11" t="n">
        <x:v>165</x:v>
      </x:c>
      <x:c r="Z47" s="4" t="str">
        <x:v>https://blog.skyairline.com/documentos-que-necesitas-para-viajar-a-argentina-desde-chile/</x:v>
      </x:c>
      <x:c r="AA47" s="4" t="str">
        <x:v>https://blog.skyairline.com/documentos-que-necesitas-para-viajar-a-argentina-desde-chile/
https://blog.skyairline.com/documentos-que-necesitas-para-viajar-a-argentina-desde-chile</x:v>
      </x:c>
      <x:c r="AB47" s="4" t="str">
        <x:v>Alias slash agregado</x:v>
      </x:c>
      <x:c r="AC47" s="4" t="str">
        <x:v>Publicado hasta septiembre</x:v>
      </x:c>
      <x:c r="AD47" s="4" t="str">
        <x:v>/documentos-que-necesitas-para-viajar-a-argentina-desde-chile/</x:v>
      </x:c>
      <x:c r="AE47" s="4"/>
      <x:c r="AF47" s="16" t="b">
        <x:v>0</x:v>
      </x:c>
    </x:row>
    <x:row r="48" ht="44" customHeight="1">
      <x:c r="A48" s="4" t="n">
        <x:v>2247</x:v>
      </x:c>
      <x:c r="B48" s="4" t="str">
        <x:v>https://blog.skyairline.com/10-cosas-que-hacer-en-caminito/</x:v>
      </x:c>
      <x:c r="C48" s="9" t="str">
        <x:v>10 cosas para hacer en Caminito, Buenos Aires</x:v>
      </x:c>
      <x:c r="D48" s="17" t="d">
        <x:v>2026-06-29T00:00:00.000Z</x:v>
      </x:c>
      <x:c r="E48" s="17" t="d">
        <x:v>2026-06-25T00:00:00.000Z</x:v>
      </x:c>
      <x:c r="F48" s="4" t="str">
        <x:v>Destinos</x:v>
      </x:c>
      <x:c r="G48" s="11" t="n">
        <x:v>1186</x:v>
      </x:c>
      <x:c r="H48" s="11" t="n">
        <x:v>200</x:v>
      </x:c>
      <x:c r="I48" s="11" t="n">
        <x:v>1</x:v>
      </x:c>
      <x:c r="J48" s="4" t="str">
        <x:v>https://blog.skyairline.com/10-cosas-que-hacer-en-caminito/</x:v>
      </x:c>
      <x:c r="K48" s="16" t="b">
        <x:v>0</x:v>
      </x:c>
      <x:c r="L48" s="11" t="n">
        <x:v>0</x:v>
      </x:c>
      <x:c r="M48" s="11" t="n">
        <x:v>0</x:v>
      </x:c>
      <x:c r="N48" s="4"/>
      <x:c r="O48" s="4"/>
      <x:c r="P48" s="11" t="n">
        <x:v>152</x:v>
      </x:c>
      <x:c r="Q48" s="11" t="n">
        <x:v>101</x:v>
      </x:c>
      <x:c r="R48" s="11" t="n">
        <x:f>IF(OR(P48="",Q48=""),"",Q48-P48)</x:f>
        <x:v>-51</x:v>
      </x:c>
      <x:c r="S48" s="13" t="n">
        <x:f>IF(OR(P48="",Q48="",P48=0),"",((Q48/30)/(P48/31))-1)</x:f>
        <x:v>-0.31337719298245614</x:v>
      </x:c>
      <x:c r="T48" s="11" t="n">
        <x:v>9714</x:v>
      </x:c>
      <x:c r="U48" s="11" t="n">
        <x:v>7386</x:v>
      </x:c>
      <x:c r="V48" s="14" t="n">
        <x:v>0.013674519360953154</x:v>
      </x:c>
      <x:c r="W48" s="12" t="n">
        <x:v>7.905632277281343</x:v>
      </x:c>
      <x:c r="X48" s="11" t="n">
        <x:v>128</x:v>
      </x:c>
      <x:c r="Y48" s="11" t="n">
        <x:v>165</x:v>
      </x:c>
      <x:c r="Z48" s="4" t="str">
        <x:v>https://blog.skyairline.com/10-cosas-que-hacer-en-caminito/</x:v>
      </x:c>
      <x:c r="AA48" s="4" t="str">
        <x:v>https://blog.skyairline.com/10-cosas-que-hacer-en-caminito/</x:v>
      </x:c>
      <x:c r="AB48" s="4" t="str">
        <x:v>Coincidencia URL</x:v>
      </x:c>
      <x:c r="AC48" s="4" t="str">
        <x:v>Publicado hasta septiembre</x:v>
      </x:c>
      <x:c r="AD48" s="4" t="str">
        <x:v>/10-cosas-que-hacer-en-caminito/</x:v>
      </x:c>
      <x:c r="AE48" s="4"/>
      <x:c r="AF48" s="16" t="b">
        <x:v>0</x:v>
      </x:c>
    </x:row>
    <x:row r="49" ht="44" customHeight="1">
      <x:c r="A49" s="4" t="n">
        <x:v>9041</x:v>
      </x:c>
      <x:c r="B49" s="4" t="str">
        <x:v>https://blog.skyairline.com/enchufe-argentina/</x:v>
      </x:c>
      <x:c r="C49" s="9" t="str">
        <x:v>¿Qué tipo de enchufe se usa en Argentina?</x:v>
      </x:c>
      <x:c r="D49" s="17" t="d">
        <x:v>2026-07-20T00:00:00.000Z</x:v>
      </x:c>
      <x:c r="E49" s="17" t="d">
        <x:v>2026-07-20T00:00:00.000Z</x:v>
      </x:c>
      <x:c r="F49" s="4" t="str">
        <x:v>Planificación de Viaje</x:v>
      </x:c>
      <x:c r="G49" s="11" t="n">
        <x:v>1017</x:v>
      </x:c>
      <x:c r="H49" s="11" t="n">
        <x:v>200</x:v>
      </x:c>
      <x:c r="I49" s="11" t="n">
        <x:v>1</x:v>
      </x:c>
      <x:c r="J49" s="4" t="str">
        <x:v>https://blog.skyairline.com/enchufe-argentina/</x:v>
      </x:c>
      <x:c r="K49" s="16" t="b">
        <x:v>0</x:v>
      </x:c>
      <x:c r="L49" s="11" t="n">
        <x:v>0</x:v>
      </x:c>
      <x:c r="M49" s="11" t="n">
        <x:v>0</x:v>
      </x:c>
      <x:c r="N49" s="4"/>
      <x:c r="O49" s="4"/>
      <x:c r="P49" s="11" t="n">
        <x:v>23</x:v>
      </x:c>
      <x:c r="Q49" s="11" t="n">
        <x:v>99</x:v>
      </x:c>
      <x:c r="R49" s="11" t="n">
        <x:f>IF(OR(P49="",Q49=""),"",Q49-P49)</x:f>
        <x:v>76</x:v>
      </x:c>
      <x:c r="S49" s="13" t="n">
        <x:f>IF(OR(P49="",Q49="",P49=0),"",((Q49/30)/(P49/31))-1)</x:f>
        <x:v>3.447826086956521</x:v>
      </x:c>
      <x:c r="T49" s="11" t="n">
        <x:v>6745</x:v>
      </x:c>
      <x:c r="U49" s="11" t="n">
        <x:v>11348</x:v>
      </x:c>
      <x:c r="V49" s="14" t="n">
        <x:v>0.008724004229820233</x:v>
      </x:c>
      <x:c r="W49" s="12" t="n">
        <x:v>7.4540888262248854</x:v>
      </x:c>
      <x:c r="X49" s="11" t="n">
        <x:v>128</x:v>
      </x:c>
      <x:c r="Y49" s="11" t="n">
        <x:v>165</x:v>
      </x:c>
      <x:c r="Z49" s="4" t="str">
        <x:v>https://blog.skyairline.com/enchufe-argentina/</x:v>
      </x:c>
      <x:c r="AA49" s="4" t="str">
        <x:v>https://blog.skyairline.com/enchufe-argentina/</x:v>
      </x:c>
      <x:c r="AB49" s="4" t="str">
        <x:v>Coincidencia URL</x:v>
      </x:c>
      <x:c r="AC49" s="4" t="str">
        <x:v>Publicado hasta septiembre</x:v>
      </x:c>
      <x:c r="AD49" s="4" t="str">
        <x:v>/enchufe-argentina/</x:v>
      </x:c>
      <x:c r="AE49" s="4"/>
      <x:c r="AF49" s="16" t="b">
        <x:v>0</x:v>
      </x:c>
    </x:row>
    <x:row r="50" ht="44" customHeight="1">
      <x:c r="A50" s="4" t="n">
        <x:v>4898</x:v>
      </x:c>
      <x:c r="B50" s="4" t="str">
        <x:v>https://blog.skyairline.com/santiago-lima-duracion-vuelo/</x:v>
      </x:c>
      <x:c r="C50" s="9" t="str">
        <x:v>¿Cuál es la duración de un vuelo Santiago-Lima?</x:v>
      </x:c>
      <x:c r="D50" s="17" t="d">
        <x:v>2024-08-14T00:00:00.000Z</x:v>
      </x:c>
      <x:c r="E50" s="17" t="d">
        <x:v>2024-08-14T00:00:00.000Z</x:v>
      </x:c>
      <x:c r="F50" s="4" t="str">
        <x:v>Sin categoría</x:v>
      </x:c>
      <x:c r="G50" s="11" t="n">
        <x:v>554</x:v>
      </x:c>
      <x:c r="H50" s="11" t="n">
        <x:v>200</x:v>
      </x:c>
      <x:c r="I50" s="11" t="n">
        <x:v>1</x:v>
      </x:c>
      <x:c r="J50" s="4" t="str">
        <x:v>https://blog.skyairline.com/santiago-lima-duracion-vuelo/</x:v>
      </x:c>
      <x:c r="K50" s="16" t="b">
        <x:v>0</x:v>
      </x:c>
      <x:c r="L50" s="11" t="n">
        <x:v>0</x:v>
      </x:c>
      <x:c r="M50" s="11" t="n">
        <x:v>3</x:v>
      </x:c>
      <x:c r="N50" s="4"/>
      <x:c r="O50" s="4"/>
      <x:c r="P50" s="11" t="n">
        <x:v>78</x:v>
      </x:c>
      <x:c r="Q50" s="11" t="n">
        <x:v>95</x:v>
      </x:c>
      <x:c r="R50" s="11" t="n">
        <x:f>IF(OR(P50="",Q50=""),"",Q50-P50)</x:f>
        <x:v>17</x:v>
      </x:c>
      <x:c r="S50" s="13" t="n">
        <x:f>IF(OR(P50="",Q50="",P50=0),"",((Q50/30)/(P50/31))-1)</x:f>
        <x:v>0.2585470085470085</x:v>
      </x:c>
      <x:c r="T50" s="11" t="n">
        <x:v>19870</x:v>
      </x:c>
      <x:c r="U50" s="11" t="n">
        <x:v>16974</x:v>
      </x:c>
      <x:c r="V50" s="14" t="n">
        <x:v>0.0055967950983857664</x:v>
      </x:c>
      <x:c r="W50" s="12" t="n">
        <x:v>4.688464710734063</x:v>
      </x:c>
      <x:c r="X50" s="11" t="n">
        <x:v>87</x:v>
      </x:c>
      <x:c r="Y50" s="11" t="n">
        <x:v>105</x:v>
      </x:c>
      <x:c r="Z50" s="4" t="str">
        <x:v>https://blog.skyairline.com/santiago-lima-duracion-vuelo/</x:v>
      </x:c>
      <x:c r="AA50" s="4" t="str">
        <x:v>https://blog.skyairline.com/santiago-lima-duracion-vuelo/</x:v>
      </x:c>
      <x:c r="AB50" s="4" t="str">
        <x:v>Coincidencia URL</x:v>
      </x:c>
      <x:c r="AC50" s="4" t="str">
        <x:v>Publicado hasta septiembre</x:v>
      </x:c>
      <x:c r="AD50" s="4" t="str">
        <x:v>/santiago-lima-duracion-vuelo/</x:v>
      </x:c>
      <x:c r="AE50" s="4"/>
      <x:c r="AF50" s="16" t="b">
        <x:v>0</x:v>
      </x:c>
    </x:row>
    <x:row r="51" ht="44" customHeight="1">
      <x:c r="A51" s="4" t="n">
        <x:v>1965</x:v>
      </x:c>
      <x:c r="B51" s="4" t="str">
        <x:v>https://blog.skyairline.com/maquillaje-en-avion/</x:v>
      </x:c>
      <x:c r="C51" s="9" t="str">
        <x:v>Aprende cómo llevar maquillaje en el avión</x:v>
      </x:c>
      <x:c r="D51" s="17" t="d">
        <x:v>2022-06-17T00:00:00.000Z</x:v>
      </x:c>
      <x:c r="E51" s="17" t="d">
        <x:v>2022-06-17T00:00:00.000Z</x:v>
      </x:c>
      <x:c r="F51" s="4" t="str">
        <x:v>Planificación de Viaje</x:v>
      </x:c>
      <x:c r="G51" s="11" t="n">
        <x:v>1046</x:v>
      </x:c>
      <x:c r="H51" s="11" t="n">
        <x:v>200</x:v>
      </x:c>
      <x:c r="I51" s="11" t="n">
        <x:v>1</x:v>
      </x:c>
      <x:c r="J51" s="4" t="str">
        <x:v>https://blog.skyairline.com/maquillaje-en-avion/</x:v>
      </x:c>
      <x:c r="K51" s="16" t="b">
        <x:v>0</x:v>
      </x:c>
      <x:c r="L51" s="11" t="n">
        <x:v>0</x:v>
      </x:c>
      <x:c r="M51" s="11" t="n">
        <x:v>3</x:v>
      </x:c>
      <x:c r="N51" s="4"/>
      <x:c r="O51" s="4"/>
      <x:c r="P51" s="11" t="n">
        <x:v>63</x:v>
      </x:c>
      <x:c r="Q51" s="11" t="n">
        <x:v>94</x:v>
      </x:c>
      <x:c r="R51" s="11" t="n">
        <x:f>IF(OR(P51="",Q51=""),"",Q51-P51)</x:f>
        <x:v>31</x:v>
      </x:c>
      <x:c r="S51" s="13" t="n">
        <x:f>IF(OR(P51="",Q51="",P51=0),"",((Q51/30)/(P51/31))-1)</x:f>
        <x:v>0.5417989417989417</x:v>
      </x:c>
      <x:c r="T51" s="11" t="n">
        <x:v>4205</x:v>
      </x:c>
      <x:c r="U51" s="11" t="n">
        <x:v>3938</x:v>
      </x:c>
      <x:c r="V51" s="14" t="n">
        <x:v>0.023869984763839513</x:v>
      </x:c>
      <x:c r="W51" s="12" t="n">
        <x:v>5.488318943626206</x:v>
      </x:c>
      <x:c r="X51" s="11" t="n">
        <x:v>117</x:v>
      </x:c>
      <x:c r="Y51" s="11" t="n">
        <x:v>132</x:v>
      </x:c>
      <x:c r="Z51" s="4" t="str">
        <x:v>https://blog.skyairline.com/maquillaje-en-avion/</x:v>
      </x:c>
      <x:c r="AA51" s="4" t="str">
        <x:v>https://blog.skyairline.com/maquillaje-en-avion/</x:v>
      </x:c>
      <x:c r="AB51" s="4" t="str">
        <x:v>Coincidencia URL</x:v>
      </x:c>
      <x:c r="AC51" s="4" t="str">
        <x:v>Publicado hasta septiembre</x:v>
      </x:c>
      <x:c r="AD51" s="4" t="str">
        <x:v>/maquillaje-en-avion/</x:v>
      </x:c>
      <x:c r="AE51" s="4"/>
      <x:c r="AF51" s="16" t="b">
        <x:v>0</x:v>
      </x:c>
    </x:row>
    <x:row r="52" ht="44" customHeight="1">
      <x:c r="A52" s="4" t="n">
        <x:v>5576</x:v>
      </x:c>
      <x:c r="B52" s="4" t="str">
        <x:v>https://blog.skyairline.com/se-puede-llegar-en-avion-a-pucon/</x:v>
      </x:c>
      <x:c r="C52" s="9" t="str">
        <x:v>¿Se puede llegar en avión a Pucón?</x:v>
      </x:c>
      <x:c r="D52" s="17" t="d">
        <x:v>2025-01-31T00:00:00.000Z</x:v>
      </x:c>
      <x:c r="E52" s="17" t="d">
        <x:v>2025-01-31T00:00:00.000Z</x:v>
      </x:c>
      <x:c r="F52" s="4" t="str">
        <x:v>Sin categoría</x:v>
      </x:c>
      <x:c r="G52" s="11" t="n">
        <x:v>979</x:v>
      </x:c>
      <x:c r="H52" s="11" t="n">
        <x:v>200</x:v>
      </x:c>
      <x:c r="I52" s="11" t="n">
        <x:v>1</x:v>
      </x:c>
      <x:c r="J52" s="4" t="str">
        <x:v>https://blog.skyairline.com/se-puede-llegar-en-avion-a-pucon/</x:v>
      </x:c>
      <x:c r="K52" s="16" t="b">
        <x:v>0</x:v>
      </x:c>
      <x:c r="L52" s="11" t="n">
        <x:v>0</x:v>
      </x:c>
      <x:c r="M52" s="11" t="n">
        <x:v>3</x:v>
      </x:c>
      <x:c r="N52" s="4"/>
      <x:c r="O52" s="4"/>
      <x:c r="P52" s="11" t="n">
        <x:v>115</x:v>
      </x:c>
      <x:c r="Q52" s="11" t="n">
        <x:v>89</x:v>
      </x:c>
      <x:c r="R52" s="11" t="n">
        <x:f>IF(OR(P52="",Q52=""),"",Q52-P52)</x:f>
        <x:v>-26</x:v>
      </x:c>
      <x:c r="S52" s="13" t="n">
        <x:f>IF(OR(P52="",Q52="",P52=0),"",((Q52/30)/(P52/31))-1)</x:f>
        <x:v>-0.20028985507246366</x:v>
      </x:c>
      <x:c r="T52" s="11" t="n">
        <x:v>3553</x:v>
      </x:c>
      <x:c r="U52" s="11" t="n">
        <x:v>2898</x:v>
      </x:c>
      <x:c r="V52" s="14" t="n">
        <x:v>0.030710835058661144</x:v>
      </x:c>
      <x:c r="W52" s="12" t="n">
        <x:v>5.190476190476191</x:v>
      </x:c>
      <x:c r="X52" s="11" t="n">
        <x:v>100</x:v>
      </x:c>
      <x:c r="Y52" s="11" t="n">
        <x:v>123</x:v>
      </x:c>
      <x:c r="Z52" s="4" t="str">
        <x:v>https://blog.skyairline.com/se-puede-llegar-en-avion-a-pucon/</x:v>
      </x:c>
      <x:c r="AA52" s="4" t="str">
        <x:v>https://blog.skyairline.com/se-puede-llegar-en-avion-a-pucon/</x:v>
      </x:c>
      <x:c r="AB52" s="4" t="str">
        <x:v>Coincidencia URL</x:v>
      </x:c>
      <x:c r="AC52" s="4" t="str">
        <x:v>Publicado hasta septiembre</x:v>
      </x:c>
      <x:c r="AD52" s="4" t="str">
        <x:v>/se-puede-llegar-en-avion-a-pucon/</x:v>
      </x:c>
      <x:c r="AE52" s="4"/>
      <x:c r="AF52" s="16" t="b">
        <x:v>0</x:v>
      </x:c>
    </x:row>
    <x:row r="53" ht="44" customHeight="1">
      <x:c r="A53" s="4" t="n">
        <x:v>6336</x:v>
      </x:c>
      <x:c r="B53" s="4" t="str">
        <x:v>https://blog.skyairline.com/aeropuerto-chiloe/</x:v>
      </x:c>
      <x:c r="C53" s="9" t="str">
        <x:v>Lo que necesitas saber del aeropuerto de Chiloé antes de volar</x:v>
      </x:c>
      <x:c r="D53" s="17" t="d">
        <x:v>2025-07-18T00:00:00.000Z</x:v>
      </x:c>
      <x:c r="E53" s="17" t="d">
        <x:v>2025-07-18T00:00:00.000Z</x:v>
      </x:c>
      <x:c r="F53" s="4" t="str">
        <x:v>Destinos</x:v>
      </x:c>
      <x:c r="G53" s="11" t="n">
        <x:v>976</x:v>
      </x:c>
      <x:c r="H53" s="11" t="n">
        <x:v>200</x:v>
      </x:c>
      <x:c r="I53" s="11" t="n">
        <x:v>1</x:v>
      </x:c>
      <x:c r="J53" s="4" t="str">
        <x:v>https://blog.skyairline.com/aeropuerto-chiloe/</x:v>
      </x:c>
      <x:c r="K53" s="16" t="b">
        <x:v>0</x:v>
      </x:c>
      <x:c r="L53" s="11" t="n">
        <x:v>0</x:v>
      </x:c>
      <x:c r="M53" s="11" t="n">
        <x:v>3</x:v>
      </x:c>
      <x:c r="N53" s="4"/>
      <x:c r="O53" s="4"/>
      <x:c r="P53" s="11" t="n">
        <x:v>88</x:v>
      </x:c>
      <x:c r="Q53" s="11" t="n">
        <x:v>88</x:v>
      </x:c>
      <x:c r="R53" s="11" t="n">
        <x:f>IF(OR(P53="",Q53=""),"",Q53-P53)</x:f>
        <x:v>0</x:v>
      </x:c>
      <x:c r="S53" s="13" t="n">
        <x:f>IF(OR(P53="",Q53="",P53=0),"",((Q53/30)/(P53/31))-1)</x:f>
        <x:v>0.033333333333333215</x:v>
      </x:c>
      <x:c r="T53" s="11" t="n">
        <x:v>4585</x:v>
      </x:c>
      <x:c r="U53" s="11" t="n">
        <x:v>4276</x:v>
      </x:c>
      <x:c r="V53" s="14" t="n">
        <x:v>0.0205799812909261</x:v>
      </x:c>
      <x:c r="W53" s="12" t="n">
        <x:v>5.05378858746492</x:v>
      </x:c>
      <x:c r="X53" s="11" t="n">
        <x:v>89</x:v>
      </x:c>
      <x:c r="Y53" s="11" t="n">
        <x:v>109</x:v>
      </x:c>
      <x:c r="Z53" s="4" t="str">
        <x:v>https://blog.skyairline.com/aeropuerto-chiloe/</x:v>
      </x:c>
      <x:c r="AA53" s="4" t="str">
        <x:v>https://blog.skyairline.com/aeropuerto-chiloe/</x:v>
      </x:c>
      <x:c r="AB53" s="4" t="str">
        <x:v>Coincidencia URL</x:v>
      </x:c>
      <x:c r="AC53" s="4" t="str">
        <x:v>Publicado hasta septiembre</x:v>
      </x:c>
      <x:c r="AD53" s="4" t="str">
        <x:v>/aeropuerto-chiloe/</x:v>
      </x:c>
      <x:c r="AE53" s="4"/>
      <x:c r="AF53" s="16" t="b">
        <x:v>0</x:v>
      </x:c>
    </x:row>
    <x:row r="54" ht="44" customHeight="1">
      <x:c r="A54" s="4" t="n">
        <x:v>2199</x:v>
      </x:c>
      <x:c r="B54" s="4" t="str">
        <x:v>https://blog.skyairline.com/bailes-tipicos-de-chile/</x:v>
      </x:c>
      <x:c r="C54" s="9" t="str">
        <x:v>Bailes típicos de Chile: cueca y otros ritmos que deberías conocer</x:v>
      </x:c>
      <x:c r="D54" s="17" t="d">
        <x:v>2026-01-06T00:00:00.000Z</x:v>
      </x:c>
      <x:c r="E54" s="17" t="d">
        <x:v>2026-01-06T00:00:00.000Z</x:v>
      </x:c>
      <x:c r="F54" s="4" t="str">
        <x:v>Cultura</x:v>
      </x:c>
      <x:c r="G54" s="11" t="n">
        <x:v>1098</x:v>
      </x:c>
      <x:c r="H54" s="11" t="n">
        <x:v>200</x:v>
      </x:c>
      <x:c r="I54" s="11" t="n">
        <x:v>1</x:v>
      </x:c>
      <x:c r="J54" s="4" t="str">
        <x:v>https://blog.skyairline.com/bailes-tipicos-de-chile/</x:v>
      </x:c>
      <x:c r="K54" s="16" t="b">
        <x:v>0</x:v>
      </x:c>
      <x:c r="L54" s="11" t="n">
        <x:v>0</x:v>
      </x:c>
      <x:c r="M54" s="11" t="n">
        <x:v>0</x:v>
      </x:c>
      <x:c r="N54" s="4"/>
      <x:c r="O54" s="4"/>
      <x:c r="P54" s="11" t="n">
        <x:v>103</x:v>
      </x:c>
      <x:c r="Q54" s="11" t="n">
        <x:v>85</x:v>
      </x:c>
      <x:c r="R54" s="11" t="n">
        <x:f>IF(OR(P54="",Q54=""),"",Q54-P54)</x:f>
        <x:v>-18</x:v>
      </x:c>
      <x:c r="S54" s="13" t="n">
        <x:f>IF(OR(P54="",Q54="",P54=0),"",((Q54/30)/(P54/31))-1)</x:f>
        <x:v>-0.1472491909385113</x:v>
      </x:c>
      <x:c r="T54" s="11" t="n">
        <x:v>31981</x:v>
      </x:c>
      <x:c r="U54" s="11" t="n">
        <x:v>27368</x:v>
      </x:c>
      <x:c r="V54" s="14" t="n">
        <x:v>0.003105817012569424</x:v>
      </x:c>
      <x:c r="W54" s="12" t="n">
        <x:v>7.340836012861736</x:v>
      </x:c>
      <x:c r="X54" s="11" t="n">
        <x:v>88</x:v>
      </x:c>
      <x:c r="Y54" s="11" t="n">
        <x:v>100</x:v>
      </x:c>
      <x:c r="Z54" s="4" t="str">
        <x:v>https://blog.skyairline.com/bailes-tipicos-de-chile/</x:v>
      </x:c>
      <x:c r="AA54" s="4" t="str">
        <x:v>https://blog.skyairline.com/bailes-tipicos-de-chile/
https://blog.skyairline.com/bailes-tipicos-de-chile</x:v>
      </x:c>
      <x:c r="AB54" s="4" t="str">
        <x:v>Alias slash agregado</x:v>
      </x:c>
      <x:c r="AC54" s="4" t="str">
        <x:v>Publicado hasta septiembre</x:v>
      </x:c>
      <x:c r="AD54" s="4" t="str">
        <x:v>/bailes-tipicos-de-chile/</x:v>
      </x:c>
      <x:c r="AE54" s="4"/>
      <x:c r="AF54" s="16" t="b">
        <x:v>0</x:v>
      </x:c>
    </x:row>
    <x:row r="55" ht="44" customHeight="1">
      <x:c r="A55" s="4" t="n">
        <x:v>2234</x:v>
      </x:c>
      <x:c r="B55" s="4" t="str">
        <x:v>https://blog.skyairline.com/cambiar-el-pasaje/</x:v>
      </x:c>
      <x:c r="C55" s="9" t="str">
        <x:v>Aprende cómo puedes cambiar el pasaje de tus vuelos</x:v>
      </x:c>
      <x:c r="D55" s="17" t="d">
        <x:v>2022-08-27T00:00:00.000Z</x:v>
      </x:c>
      <x:c r="E55" s="17" t="d">
        <x:v>2022-08-27T00:00:00.000Z</x:v>
      </x:c>
      <x:c r="F55" s="4" t="str">
        <x:v>Planificación de Viaje</x:v>
      </x:c>
      <x:c r="G55" s="11" t="n">
        <x:v>644</x:v>
      </x:c>
      <x:c r="H55" s="11" t="n">
        <x:v>200</x:v>
      </x:c>
      <x:c r="I55" s="11" t="n">
        <x:v>1</x:v>
      </x:c>
      <x:c r="J55" s="4" t="str">
        <x:v>https://blog.skyairline.com/cambiar-el-pasaje/</x:v>
      </x:c>
      <x:c r="K55" s="16" t="b">
        <x:v>0</x:v>
      </x:c>
      <x:c r="L55" s="11" t="n">
        <x:v>0</x:v>
      </x:c>
      <x:c r="M55" s="11" t="n">
        <x:v>3</x:v>
      </x:c>
      <x:c r="N55" s="4"/>
      <x:c r="O55" s="4"/>
      <x:c r="P55" s="11" t="n">
        <x:v>93</x:v>
      </x:c>
      <x:c r="Q55" s="11" t="n">
        <x:v>85</x:v>
      </x:c>
      <x:c r="R55" s="11" t="n">
        <x:f>IF(OR(P55="",Q55=""),"",Q55-P55)</x:f>
        <x:v>-8</x:v>
      </x:c>
      <x:c r="S55" s="13" t="n">
        <x:f>IF(OR(P55="",Q55="",P55=0),"",((Q55/30)/(P55/31))-1)</x:f>
        <x:v>-0.05555555555555547</x:v>
      </x:c>
      <x:c r="T55" s="11" t="n">
        <x:v>11881</x:v>
      </x:c>
      <x:c r="U55" s="11" t="n">
        <x:v>9664</x:v>
      </x:c>
      <x:c r="V55" s="14" t="n">
        <x:v>0.008795529801324503</x:v>
      </x:c>
      <x:c r="W55" s="12" t="n">
        <x:v>6.704366721854305</x:v>
      </x:c>
      <x:c r="X55" s="11" t="n">
        <x:v>91</x:v>
      </x:c>
      <x:c r="Y55" s="11" t="n">
        <x:v>121</x:v>
      </x:c>
      <x:c r="Z55" s="4" t="str">
        <x:v>https://blog.skyairline.com/cambiar-el-pasaje/</x:v>
      </x:c>
      <x:c r="AA55" s="4" t="str">
        <x:v>https://blog.skyairline.com/cambiar-el-pasaje/</x:v>
      </x:c>
      <x:c r="AB55" s="4" t="str">
        <x:v>Coincidencia URL</x:v>
      </x:c>
      <x:c r="AC55" s="4" t="str">
        <x:v>Publicado hasta septiembre</x:v>
      </x:c>
      <x:c r="AD55" s="4" t="str">
        <x:v>/cambiar-el-pasaje/</x:v>
      </x:c>
      <x:c r="AE55" s="4"/>
      <x:c r="AF55" s="16" t="b">
        <x:v>0</x:v>
      </x:c>
    </x:row>
    <x:row r="56" ht="44" customHeight="1">
      <x:c r="A56" s="4" t="n">
        <x:v>5028</x:v>
      </x:c>
      <x:c r="B56" s="4" t="str">
        <x:v>https://blog.skyairline.com/bicicleta-en-avion/</x:v>
      </x:c>
      <x:c r="C56" s="9" t="str">
        <x:v>Conoce los requisitos para llevar tu bicicleta en avión</x:v>
      </x:c>
      <x:c r="D56" s="17" t="d">
        <x:v>2024-09-24T00:00:00.000Z</x:v>
      </x:c>
      <x:c r="E56" s="17" t="d">
        <x:v>2024-09-24T00:00:00.000Z</x:v>
      </x:c>
      <x:c r="F56" s="4" t="str">
        <x:v>Planificación de Viaje</x:v>
      </x:c>
      <x:c r="G56" s="11" t="n">
        <x:v>1127</x:v>
      </x:c>
      <x:c r="H56" s="11" t="n">
        <x:v>200</x:v>
      </x:c>
      <x:c r="I56" s="11" t="n">
        <x:v>1</x:v>
      </x:c>
      <x:c r="J56" s="4" t="str">
        <x:v>https://blog.skyairline.com/bicicleta-en-avion/</x:v>
      </x:c>
      <x:c r="K56" s="16" t="b">
        <x:v>0</x:v>
      </x:c>
      <x:c r="L56" s="11" t="n">
        <x:v>0</x:v>
      </x:c>
      <x:c r="M56" s="11" t="n">
        <x:v>3</x:v>
      </x:c>
      <x:c r="N56" s="4"/>
      <x:c r="O56" s="4"/>
      <x:c r="P56" s="11" t="n">
        <x:v>77</x:v>
      </x:c>
      <x:c r="Q56" s="11" t="n">
        <x:v>83</x:v>
      </x:c>
      <x:c r="R56" s="11" t="n">
        <x:f>IF(OR(P56="",Q56=""),"",Q56-P56)</x:f>
        <x:v>6</x:v>
      </x:c>
      <x:c r="S56" s="13" t="n">
        <x:f>IF(OR(P56="",Q56="",P56=0),"",((Q56/30)/(P56/31))-1)</x:f>
        <x:v>0.11385281385281387</x:v>
      </x:c>
      <x:c r="T56" s="11" t="n">
        <x:v>2646</x:v>
      </x:c>
      <x:c r="U56" s="11" t="n">
        <x:v>2872</x:v>
      </x:c>
      <x:c r="V56" s="14" t="n">
        <x:v>0.028899721448467967</x:v>
      </x:c>
      <x:c r="W56" s="12" t="n">
        <x:v>6.1055013927576605</x:v>
      </x:c>
      <x:c r="X56" s="11" t="n">
        <x:v>87</x:v>
      </x:c>
      <x:c r="Y56" s="11" t="n">
        <x:v>101</x:v>
      </x:c>
      <x:c r="Z56" s="4" t="str">
        <x:v>https://blog.skyairline.com/bicicleta-en-avion/</x:v>
      </x:c>
      <x:c r="AA56" s="4" t="str">
        <x:v>https://blog.skyairline.com/bicicleta-en-avion/</x:v>
      </x:c>
      <x:c r="AB56" s="4" t="str">
        <x:v>Coincidencia URL</x:v>
      </x:c>
      <x:c r="AC56" s="4" t="str">
        <x:v>Publicado hasta septiembre</x:v>
      </x:c>
      <x:c r="AD56" s="4" t="str">
        <x:v>/bicicleta-en-avion/</x:v>
      </x:c>
      <x:c r="AE56" s="4"/>
      <x:c r="AF56" s="16" t="b">
        <x:v>0</x:v>
      </x:c>
    </x:row>
    <x:row r="57" ht="44" customHeight="1">
      <x:c r="A57" s="4" t="n">
        <x:v>5971</x:v>
      </x:c>
      <x:c r="B57" s="4" t="str">
        <x:v>https://blog.skyairline.com/auroras-australes-en-chile-cuando-y-donde-verlas/</x:v>
      </x:c>
      <x:c r="C57" s="9" t="str">
        <x:v>Auroras australes en Chile: cuándo y dónde verlas</x:v>
      </x:c>
      <x:c r="D57" s="17" t="d">
        <x:v>2025-06-26T00:00:00.000Z</x:v>
      </x:c>
      <x:c r="E57" s="17" t="d">
        <x:v>2026-01-08T00:00:00.000Z</x:v>
      </x:c>
      <x:c r="F57" s="4" t="str">
        <x:v>Destinos</x:v>
      </x:c>
      <x:c r="G57" s="11" t="n">
        <x:v>1166</x:v>
      </x:c>
      <x:c r="H57" s="11" t="n">
        <x:v>200</x:v>
      </x:c>
      <x:c r="I57" s="11" t="n">
        <x:v>1</x:v>
      </x:c>
      <x:c r="J57" s="4" t="str">
        <x:v>https://blog.skyairline.com/auroras-australes-en-chile-cuando-y-donde-verlas/</x:v>
      </x:c>
      <x:c r="K57" s="16" t="b">
        <x:v>0</x:v>
      </x:c>
      <x:c r="L57" s="11" t="n">
        <x:v>0</x:v>
      </x:c>
      <x:c r="M57" s="11" t="n">
        <x:v>7</x:v>
      </x:c>
      <x:c r="N57" s="4"/>
      <x:c r="O57" s="4"/>
      <x:c r="P57" s="11" t="n">
        <x:v>96</x:v>
      </x:c>
      <x:c r="Q57" s="11" t="n">
        <x:v>82</x:v>
      </x:c>
      <x:c r="R57" s="11" t="n">
        <x:f>IF(OR(P57="",Q57=""),"",Q57-P57)</x:f>
        <x:v>-14</x:v>
      </x:c>
      <x:c r="S57" s="13" t="n">
        <x:f>IF(OR(P57="",Q57="",P57=0),"",((Q57/30)/(P57/31))-1)</x:f>
        <x:v>-0.11736111111111103</x:v>
      </x:c>
      <x:c r="T57" s="11" t="n">
        <x:v>5578</x:v>
      </x:c>
      <x:c r="U57" s="11" t="n">
        <x:v>4759</x:v>
      </x:c>
      <x:c r="V57" s="14" t="n">
        <x:v>0.017230510611472998</x:v>
      </x:c>
      <x:c r="W57" s="12" t="n">
        <x:v>5.499894935910905</x:v>
      </x:c>
      <x:c r="X57" s="11" t="n">
        <x:v>89</x:v>
      </x:c>
      <x:c r="Y57" s="11" t="n">
        <x:v>125</x:v>
      </x:c>
      <x:c r="Z57" s="4" t="str">
        <x:v>https://blog.skyairline.com/auroras-australes-en-chile-cuando-y-donde-verlas/</x:v>
      </x:c>
      <x:c r="AA57" s="4" t="str">
        <x:v>https://blog.skyairline.com/auroras-australes-en-chile-cuando-y-donde-verlas/
https://blog.skyairline.com/auroras-australes-en-chile-cuando-y-donde-verlas</x:v>
      </x:c>
      <x:c r="AB57" s="4" t="str">
        <x:v>Alias slash agregado</x:v>
      </x:c>
      <x:c r="AC57" s="4" t="str">
        <x:v>Publicado hasta septiembre</x:v>
      </x:c>
      <x:c r="AD57" s="4" t="str">
        <x:v>/auroras-australes-en-chile-cuando-y-donde-verlas/</x:v>
      </x:c>
      <x:c r="AE57" s="4"/>
      <x:c r="AF57" s="16" t="b">
        <x:v>0</x:v>
      </x:c>
    </x:row>
    <x:row r="58" ht="44" customHeight="1">
      <x:c r="A58" s="4" t="n">
        <x:v>680</x:v>
      </x:c>
      <x:c r="B58" s="4" t="str">
        <x:v>https://blog.skyairline.com/viajar-con-bebe/</x:v>
      </x:c>
      <x:c r="C58" s="9" t="str">
        <x:v>¿Qué necesitas saber para viajar con un bebé en avión de forma segura?</x:v>
      </x:c>
      <x:c r="D58" s="17" t="d">
        <x:v>2021-08-17T00:00:00.000Z</x:v>
      </x:c>
      <x:c r="E58" s="17" t="d">
        <x:v>2021-08-17T00:00:00.000Z</x:v>
      </x:c>
      <x:c r="F58" s="4" t="str">
        <x:v>Planificación de Viaje</x:v>
      </x:c>
      <x:c r="G58" s="11" t="n">
        <x:v>987</x:v>
      </x:c>
      <x:c r="H58" s="11" t="n">
        <x:v>200</x:v>
      </x:c>
      <x:c r="I58" s="11" t="n">
        <x:v>1</x:v>
      </x:c>
      <x:c r="J58" s="4" t="str">
        <x:v>https://blog.skyairline.com/viajar-con-bebe/</x:v>
      </x:c>
      <x:c r="K58" s="16" t="b">
        <x:v>0</x:v>
      </x:c>
      <x:c r="L58" s="11" t="n">
        <x:v>0</x:v>
      </x:c>
      <x:c r="M58" s="11" t="n">
        <x:v>3</x:v>
      </x:c>
      <x:c r="N58" s="4"/>
      <x:c r="O58" s="4"/>
      <x:c r="P58" s="11" t="n">
        <x:v>90</x:v>
      </x:c>
      <x:c r="Q58" s="11" t="n">
        <x:v>79</x:v>
      </x:c>
      <x:c r="R58" s="11" t="n">
        <x:f>IF(OR(P58="",Q58=""),"",Q58-P58)</x:f>
        <x:v>-11</x:v>
      </x:c>
      <x:c r="S58" s="13" t="n">
        <x:f>IF(OR(P58="",Q58="",P58=0),"",((Q58/30)/(P58/31))-1)</x:f>
        <x:v>-0.09296296296296302</x:v>
      </x:c>
      <x:c r="T58" s="11" t="n">
        <x:v>3159</x:v>
      </x:c>
      <x:c r="U58" s="11" t="n">
        <x:v>3026</x:v>
      </x:c>
      <x:c r="V58" s="14" t="n">
        <x:v>0.026107072042300065</x:v>
      </x:c>
      <x:c r="W58" s="12" t="n">
        <x:v>5.685062789160608</x:v>
      </x:c>
      <x:c r="X58" s="11" t="n">
        <x:v>97</x:v>
      </x:c>
      <x:c r="Y58" s="11" t="n">
        <x:v>123</x:v>
      </x:c>
      <x:c r="Z58" s="4" t="str">
        <x:v>https://blog.skyairline.com/viajar-con-bebe/</x:v>
      </x:c>
      <x:c r="AA58" s="4" t="str">
        <x:v>https://blog.skyairline.com/viajar-con-bebe/</x:v>
      </x:c>
      <x:c r="AB58" s="4" t="str">
        <x:v>Coincidencia URL</x:v>
      </x:c>
      <x:c r="AC58" s="4" t="str">
        <x:v>Publicado hasta septiembre</x:v>
      </x:c>
      <x:c r="AD58" s="4" t="str">
        <x:v>/viajar-con-bebe/</x:v>
      </x:c>
      <x:c r="AE58" s="4"/>
      <x:c r="AF58" s="16" t="b">
        <x:v>0</x:v>
      </x:c>
    </x:row>
    <x:row r="59" ht="44" customHeight="1">
      <x:c r="A59" s="4" t="n">
        <x:v>7833</x:v>
      </x:c>
      <x:c r="B59" s="4" t="str">
        <x:v>https://blog.skyairline.com/zofri-iquique/</x:v>
      </x:c>
      <x:c r="C59" s="9" t="str">
        <x:v>Zofri Iquique: guía para aprovechar tus compras sin impuestos</x:v>
      </x:c>
      <x:c r="D59" s="17" t="d">
        <x:v>2025-12-13T00:00:00.000Z</x:v>
      </x:c>
      <x:c r="E59" s="17" t="d">
        <x:v>2025-12-04T00:00:00.000Z</x:v>
      </x:c>
      <x:c r="F59" s="4" t="str">
        <x:v>Destinos</x:v>
      </x:c>
      <x:c r="G59" s="11" t="n">
        <x:v>1060</x:v>
      </x:c>
      <x:c r="H59" s="11" t="n">
        <x:v>200</x:v>
      </x:c>
      <x:c r="I59" s="11" t="n">
        <x:v>1</x:v>
      </x:c>
      <x:c r="J59" s="4" t="str">
        <x:v>https://blog.skyairline.com/zofri-iquique/</x:v>
      </x:c>
      <x:c r="K59" s="16" t="b">
        <x:v>0</x:v>
      </x:c>
      <x:c r="L59" s="11" t="n">
        <x:v>0</x:v>
      </x:c>
      <x:c r="M59" s="11" t="n">
        <x:v>0</x:v>
      </x:c>
      <x:c r="N59" s="4"/>
      <x:c r="O59" s="4"/>
      <x:c r="P59" s="11" t="n">
        <x:v>110</x:v>
      </x:c>
      <x:c r="Q59" s="11" t="n">
        <x:v>79</x:v>
      </x:c>
      <x:c r="R59" s="11" t="n">
        <x:f>IF(OR(P59="",Q59=""),"",Q59-P59)</x:f>
        <x:v>-31</x:v>
      </x:c>
      <x:c r="S59" s="13" t="n">
        <x:f>IF(OR(P59="",Q59="",P59=0),"",((Q59/30)/(P59/31))-1)</x:f>
        <x:v>-0.25787878787878793</x:v>
      </x:c>
      <x:c r="T59" s="11" t="n">
        <x:v>9281</x:v>
      </x:c>
      <x:c r="U59" s="11" t="n">
        <x:v>5885</x:v>
      </x:c>
      <x:c r="V59" s="14" t="n">
        <x:v>0.013423959218351742</x:v>
      </x:c>
      <x:c r="W59" s="12" t="n">
        <x:v>7.362786745964316</x:v>
      </x:c>
      <x:c r="X59" s="11" t="n">
        <x:v>95</x:v>
      </x:c>
      <x:c r="Y59" s="11" t="n">
        <x:v>117</x:v>
      </x:c>
      <x:c r="Z59" s="4" t="str">
        <x:v>https://blog.skyairline.com/zofri-iquique/</x:v>
      </x:c>
      <x:c r="AA59" s="4" t="str">
        <x:v>https://blog.skyairline.com/zofri-iquique/</x:v>
      </x:c>
      <x:c r="AB59" s="4" t="str">
        <x:v>Coincidencia URL</x:v>
      </x:c>
      <x:c r="AC59" s="4" t="str">
        <x:v>Publicado hasta septiembre</x:v>
      </x:c>
      <x:c r="AD59" s="4" t="str">
        <x:v>/zofri-iquique/</x:v>
      </x:c>
      <x:c r="AE59" s="4"/>
      <x:c r="AF59" s="16" t="b">
        <x:v>0</x:v>
      </x:c>
    </x:row>
    <x:row r="60" ht="44" customHeight="1">
      <x:c r="A60" s="4" t="n">
        <x:v>8094</x:v>
      </x:c>
      <x:c r="B60" s="4" t="str">
        <x:v>https://blog.skyairline.com/punta-sal/</x:v>
      </x:c>
      <x:c r="C60" s="9" t="str">
        <x:v>Punta Sal, Perú: cómo llegar y por qué es una de las mejores playas del norte</x:v>
      </x:c>
      <x:c r="D60" s="17" t="d">
        <x:v>2026-01-07T00:00:00.000Z</x:v>
      </x:c>
      <x:c r="E60" s="17" t="d">
        <x:v>2025-12-29T00:00:00.000Z</x:v>
      </x:c>
      <x:c r="F60" s="4" t="str">
        <x:v>Destinos</x:v>
      </x:c>
      <x:c r="G60" s="11" t="n">
        <x:v>1050</x:v>
      </x:c>
      <x:c r="H60" s="11" t="n">
        <x:v>200</x:v>
      </x:c>
      <x:c r="I60" s="11" t="n">
        <x:v>1</x:v>
      </x:c>
      <x:c r="J60" s="4" t="str">
        <x:v>https://blog.skyairline.com/punta-sal/</x:v>
      </x:c>
      <x:c r="K60" s="16" t="b">
        <x:v>0</x:v>
      </x:c>
      <x:c r="L60" s="11" t="n">
        <x:v>0</x:v>
      </x:c>
      <x:c r="M60" s="11" t="n">
        <x:v>0</x:v>
      </x:c>
      <x:c r="N60" s="4"/>
      <x:c r="O60" s="4"/>
      <x:c r="P60" s="11" t="n">
        <x:v>78</x:v>
      </x:c>
      <x:c r="Q60" s="11" t="n">
        <x:v>69</x:v>
      </x:c>
      <x:c r="R60" s="11" t="n">
        <x:f>IF(OR(P60="",Q60=""),"",Q60-P60)</x:f>
        <x:v>-9</x:v>
      </x:c>
      <x:c r="S60" s="13" t="n">
        <x:f>IF(OR(P60="",Q60="",P60=0),"",((Q60/30)/(P60/31))-1)</x:f>
        <x:v>-0.08589743589743593</x:v>
      </x:c>
      <x:c r="T60" s="11" t="n">
        <x:v>14292</x:v>
      </x:c>
      <x:c r="U60" s="11" t="n">
        <x:v>12385</x:v>
      </x:c>
      <x:c r="V60" s="14" t="n">
        <x:v>0.005571255551069842</x:v>
      </x:c>
      <x:c r="W60" s="12" t="n">
        <x:v>6.950100928542592</x:v>
      </x:c>
      <x:c r="X60" s="11" t="n">
        <x:v>89</x:v>
      </x:c>
      <x:c r="Y60" s="11" t="n">
        <x:v>106</x:v>
      </x:c>
      <x:c r="Z60" s="4" t="str">
        <x:v>https://blog.skyairline.com/punta-sal/</x:v>
      </x:c>
      <x:c r="AA60" s="4" t="str">
        <x:v>https://blog.skyairline.com/punta-sal/
https://blog.skyairline.com/punta-sal</x:v>
      </x:c>
      <x:c r="AB60" s="4" t="str">
        <x:v>Alias slash agregado</x:v>
      </x:c>
      <x:c r="AC60" s="4" t="str">
        <x:v>Publicado hasta septiembre</x:v>
      </x:c>
      <x:c r="AD60" s="4" t="str">
        <x:v>/punta-sal/</x:v>
      </x:c>
      <x:c r="AE60" s="4"/>
      <x:c r="AF60" s="16" t="b">
        <x:v>0</x:v>
      </x:c>
    </x:row>
    <x:row r="61" ht="44" customHeight="1">
      <x:c r="A61" s="4" t="n">
        <x:v>9051</x:v>
      </x:c>
      <x:c r="B61" s="4" t="str">
        <x:v>https://blog.skyairline.com/enchufe-peru/</x:v>
      </x:c>
      <x:c r="C61" s="9" t="str">
        <x:v>¿Qué tipo de enchufe se usa en Perú?</x:v>
      </x:c>
      <x:c r="D61" s="17" t="d">
        <x:v>2026-07-21T00:00:00.000Z</x:v>
      </x:c>
      <x:c r="E61" s="17" t="d">
        <x:v>2026-07-20T00:00:00.000Z</x:v>
      </x:c>
      <x:c r="F61" s="4" t="str">
        <x:v>Planificación de Viaje</x:v>
      </x:c>
      <x:c r="G61" s="11" t="n">
        <x:v>1066</x:v>
      </x:c>
      <x:c r="H61" s="11" t="n">
        <x:v>200</x:v>
      </x:c>
      <x:c r="I61" s="11" t="n">
        <x:v>1</x:v>
      </x:c>
      <x:c r="J61" s="4" t="str">
        <x:v>https://blog.skyairline.com/enchufe-peru/</x:v>
      </x:c>
      <x:c r="K61" s="16" t="b">
        <x:v>0</x:v>
      </x:c>
      <x:c r="L61" s="11" t="n">
        <x:v>0</x:v>
      </x:c>
      <x:c r="M61" s="11" t="n">
        <x:v>0</x:v>
      </x:c>
      <x:c r="N61" s="4"/>
      <x:c r="O61" s="4"/>
      <x:c r="P61" s="11" t="n">
        <x:v>46</x:v>
      </x:c>
      <x:c r="Q61" s="11" t="n">
        <x:v>69</x:v>
      </x:c>
      <x:c r="R61" s="11" t="n">
        <x:f>IF(OR(P61="",Q61=""),"",Q61-P61)</x:f>
        <x:v>23</x:v>
      </x:c>
      <x:c r="S61" s="13" t="n">
        <x:f>IF(OR(P61="",Q61="",P61=0),"",((Q61/30)/(P61/31))-1)</x:f>
        <x:v>0.5499999999999998</x:v>
      </x:c>
      <x:c r="T61" s="11" t="n">
        <x:v>6621</x:v>
      </x:c>
      <x:c r="U61" s="11" t="n">
        <x:v>8089</x:v>
      </x:c>
      <x:c r="V61" s="14" t="n">
        <x:v>0.008530102608480652</x:v>
      </x:c>
      <x:c r="W61" s="12" t="n">
        <x:v>7.086537272839659</x:v>
      </x:c>
      <x:c r="X61" s="11" t="n">
        <x:v>91</x:v>
      </x:c>
      <x:c r="Y61" s="11" t="n">
        <x:v>109</x:v>
      </x:c>
      <x:c r="Z61" s="4" t="str">
        <x:v>https://blog.skyairline.com/enchufe-peru/</x:v>
      </x:c>
      <x:c r="AA61" s="4" t="str">
        <x:v>https://blog.skyairline.com/enchufe-peru/</x:v>
      </x:c>
      <x:c r="AB61" s="4" t="str">
        <x:v>Coincidencia URL</x:v>
      </x:c>
      <x:c r="AC61" s="4" t="str">
        <x:v>Publicado hasta septiembre</x:v>
      </x:c>
      <x:c r="AD61" s="4" t="str">
        <x:v>/enchufe-peru/</x:v>
      </x:c>
      <x:c r="AE61" s="4"/>
      <x:c r="AF61" s="16" t="b">
        <x:v>0</x:v>
      </x:c>
    </x:row>
    <x:row r="62" ht="44" customHeight="1">
      <x:c r="A62" s="4" t="n">
        <x:v>2608</x:v>
      </x:c>
      <x:c r="B62" s="4" t="str">
        <x:v>https://blog.skyairline.com/donde-viajar-con-ninos/</x:v>
      </x:c>
      <x:c r="C62" s="9" t="str">
        <x:v>Dónde ir de vacaciones con niños: destinos familiares</x:v>
      </x:c>
      <x:c r="D62" s="17" t="d">
        <x:v>2026-03-17T00:00:00.000Z</x:v>
      </x:c>
      <x:c r="E62" s="17" t="d">
        <x:v>2026-03-16T00:00:00.000Z</x:v>
      </x:c>
      <x:c r="F62" s="4" t="str">
        <x:v>Planificación de Viaje</x:v>
      </x:c>
      <x:c r="G62" s="11" t="n">
        <x:v>1044</x:v>
      </x:c>
      <x:c r="H62" s="11" t="n">
        <x:v>200</x:v>
      </x:c>
      <x:c r="I62" s="11" t="n">
        <x:v>1</x:v>
      </x:c>
      <x:c r="J62" s="4" t="str">
        <x:v>https://blog.skyairline.com/donde-viajar-con-ninos/</x:v>
      </x:c>
      <x:c r="K62" s="16" t="b">
        <x:v>0</x:v>
      </x:c>
      <x:c r="L62" s="11" t="n">
        <x:v>0</x:v>
      </x:c>
      <x:c r="M62" s="11" t="n">
        <x:v>0</x:v>
      </x:c>
      <x:c r="N62" s="4"/>
      <x:c r="O62" s="4"/>
      <x:c r="P62" s="11" t="n">
        <x:v>71</x:v>
      </x:c>
      <x:c r="Q62" s="11" t="n">
        <x:v>68</x:v>
      </x:c>
      <x:c r="R62" s="11" t="n">
        <x:f>IF(OR(P62="",Q62=""),"",Q62-P62)</x:f>
        <x:v>-3</x:v>
      </x:c>
      <x:c r="S62" s="13" t="n">
        <x:f>IF(OR(P62="",Q62="",P62=0),"",((Q62/30)/(P62/31))-1)</x:f>
        <x:v>-0.010328638497652642</x:v>
      </x:c>
      <x:c r="T62" s="11" t="n">
        <x:v>4693</x:v>
      </x:c>
      <x:c r="U62" s="11" t="n">
        <x:v>3851</x:v>
      </x:c>
      <x:c r="V62" s="14" t="n">
        <x:v>0.01765775123344586</x:v>
      </x:c>
      <x:c r="W62" s="12" t="n">
        <x:v>9.268761360685536</x:v>
      </x:c>
      <x:c r="X62" s="11" t="n">
        <x:v>68</x:v>
      </x:c>
      <x:c r="Y62" s="11" t="n">
        <x:v>87</x:v>
      </x:c>
      <x:c r="Z62" s="4" t="str">
        <x:v>https://blog.skyairline.com/donde-viajar-con-ninos/</x:v>
      </x:c>
      <x:c r="AA62" s="4" t="str">
        <x:v>https://blog.skyairline.com/donde-viajar-con-ninos/
https://blog.skyairline.com/donde-viajar-con-ninos</x:v>
      </x:c>
      <x:c r="AB62" s="4" t="str">
        <x:v>Alias slash agregado</x:v>
      </x:c>
      <x:c r="AC62" s="4" t="str">
        <x:v>Publicado hasta septiembre</x:v>
      </x:c>
      <x:c r="AD62" s="4" t="str">
        <x:v>/donde-viajar-con-ninos/</x:v>
      </x:c>
      <x:c r="AE62" s="4"/>
      <x:c r="AF62" s="16" t="b">
        <x:v>0</x:v>
      </x:c>
    </x:row>
    <x:row r="63" ht="44" customHeight="1">
      <x:c r="A63" s="4" t="n">
        <x:v>3571</x:v>
      </x:c>
      <x:c r="B63" s="4" t="str">
        <x:v>https://blog.skyairline.com/punta-del-este-montevideo/</x:v>
      </x:c>
      <x:c r="C63" s="9" t="str">
        <x:v>Cómo ir de Montevideo a Punta del Este</x:v>
      </x:c>
      <x:c r="D63" s="17" t="d">
        <x:v>2026-06-26T00:00:00.000Z</x:v>
      </x:c>
      <x:c r="E63" s="17" t="d">
        <x:v>2026-06-25T00:00:00.000Z</x:v>
      </x:c>
      <x:c r="F63" s="4" t="str">
        <x:v>Destinos</x:v>
      </x:c>
      <x:c r="G63" s="11" t="n">
        <x:v>1028</x:v>
      </x:c>
      <x:c r="H63" s="11" t="n">
        <x:v>200</x:v>
      </x:c>
      <x:c r="I63" s="11" t="n">
        <x:v>1</x:v>
      </x:c>
      <x:c r="J63" s="4" t="str">
        <x:v>https://blog.skyairline.com/punta-del-este-montevideo/</x:v>
      </x:c>
      <x:c r="K63" s="16" t="b">
        <x:v>0</x:v>
      </x:c>
      <x:c r="L63" s="11" t="n">
        <x:v>0</x:v>
      </x:c>
      <x:c r="M63" s="11" t="n">
        <x:v>0</x:v>
      </x:c>
      <x:c r="N63" s="4"/>
      <x:c r="O63" s="4"/>
      <x:c r="P63" s="11" t="n">
        <x:v>65</x:v>
      </x:c>
      <x:c r="Q63" s="11" t="n">
        <x:v>65</x:v>
      </x:c>
      <x:c r="R63" s="11" t="n">
        <x:f>IF(OR(P63="",Q63=""),"",Q63-P63)</x:f>
        <x:v>0</x:v>
      </x:c>
      <x:c r="S63" s="13" t="n">
        <x:f>IF(OR(P63="",Q63="",P63=0),"",((Q63/30)/(P63/31))-1)</x:f>
        <x:v>0.033333333333333215</x:v>
      </x:c>
      <x:c r="T63" s="11" t="n">
        <x:v>13901</x:v>
      </x:c>
      <x:c r="U63" s="11" t="n">
        <x:v>13093</x:v>
      </x:c>
      <x:c r="V63" s="14" t="n">
        <x:v>0.004964484839227068</x:v>
      </x:c>
      <x:c r="W63" s="12" t="n">
        <x:v>6.804552050714122</x:v>
      </x:c>
      <x:c r="X63" s="11" t="n">
        <x:v>91</x:v>
      </x:c>
      <x:c r="Y63" s="11" t="n">
        <x:v>103</x:v>
      </x:c>
      <x:c r="Z63" s="4" t="str">
        <x:v>https://blog.skyairline.com/punta-del-este-montevideo/</x:v>
      </x:c>
      <x:c r="AA63" s="4" t="str">
        <x:v>https://blog.skyairline.com/punta-del-este-montevideo/</x:v>
      </x:c>
      <x:c r="AB63" s="4" t="str">
        <x:v>Coincidencia URL</x:v>
      </x:c>
      <x:c r="AC63" s="4" t="str">
        <x:v>Publicado hasta septiembre</x:v>
      </x:c>
      <x:c r="AD63" s="4" t="str">
        <x:v>/punta-del-este-montevideo/</x:v>
      </x:c>
      <x:c r="AE63" s="4"/>
      <x:c r="AF63" s="16" t="b">
        <x:v>0</x:v>
      </x:c>
    </x:row>
    <x:row r="64" ht="44" customHeight="1">
      <x:c r="A64" s="4" t="n">
        <x:v>2898</x:v>
      </x:c>
      <x:c r="B64" s="4" t="str">
        <x:v>https://blog.skyairline.com/que-es-el-equipaje-documentado/</x:v>
      </x:c>
      <x:c r="C64" s="9" t="str">
        <x:v>¿Qué es el equipaje documentado y cuándo es realmente necesario?</x:v>
      </x:c>
      <x:c r="D64" s="17" t="d">
        <x:v>2023-05-02T00:00:00.000Z</x:v>
      </x:c>
      <x:c r="E64" s="17" t="d">
        <x:v>2023-05-02T00:00:00.000Z</x:v>
      </x:c>
      <x:c r="F64" s="4" t="str">
        <x:v>Planificación de Viaje</x:v>
      </x:c>
      <x:c r="G64" s="11" t="n">
        <x:v>1196</x:v>
      </x:c>
      <x:c r="H64" s="11" t="n">
        <x:v>200</x:v>
      </x:c>
      <x:c r="I64" s="11" t="n">
        <x:v>1</x:v>
      </x:c>
      <x:c r="J64" s="4" t="str">
        <x:v>https://blog.skyairline.com/que-es-el-equipaje-documentado/</x:v>
      </x:c>
      <x:c r="K64" s="16" t="b">
        <x:v>0</x:v>
      </x:c>
      <x:c r="L64" s="11" t="n">
        <x:v>0</x:v>
      </x:c>
      <x:c r="M64" s="11" t="n">
        <x:v>9</x:v>
      </x:c>
      <x:c r="N64" s="4"/>
      <x:c r="O64" s="4"/>
      <x:c r="P64" s="11" t="n">
        <x:v>56</x:v>
      </x:c>
      <x:c r="Q64" s="11" t="n">
        <x:v>64</x:v>
      </x:c>
      <x:c r="R64" s="11" t="n">
        <x:f>IF(OR(P64="",Q64=""),"",Q64-P64)</x:f>
        <x:v>8</x:v>
      </x:c>
      <x:c r="S64" s="13" t="n">
        <x:f>IF(OR(P64="",Q64="",P64=0),"",((Q64/30)/(P64/31))-1)</x:f>
        <x:v>0.18095238095238098</x:v>
      </x:c>
      <x:c r="T64" s="11" t="n">
        <x:v>9947</x:v>
      </x:c>
      <x:c r="U64" s="11" t="n">
        <x:v>13635</x:v>
      </x:c>
      <x:c r="V64" s="14" t="n">
        <x:v>0.004693802713604694</x:v>
      </x:c>
      <x:c r="W64" s="12" t="n">
        <x:v>5.462192885955262</x:v>
      </x:c>
      <x:c r="X64" s="11" t="n">
        <x:v>73</x:v>
      </x:c>
      <x:c r="Y64" s="11" t="n">
        <x:v>82</x:v>
      </x:c>
      <x:c r="Z64" s="4" t="str">
        <x:v>https://blog.skyairline.com/que-es-el-equipaje-documentado/</x:v>
      </x:c>
      <x:c r="AA64" s="4" t="str">
        <x:v>https://blog.skyairline.com/que-es-el-equipaje-documentado/</x:v>
      </x:c>
      <x:c r="AB64" s="4" t="str">
        <x:v>Coincidencia URL</x:v>
      </x:c>
      <x:c r="AC64" s="4" t="str">
        <x:v>Publicado hasta septiembre</x:v>
      </x:c>
      <x:c r="AD64" s="4" t="str">
        <x:v>/que-es-el-equipaje-documentado/</x:v>
      </x:c>
      <x:c r="AE64" s="4"/>
      <x:c r="AF64" s="16" t="b">
        <x:v>0</x:v>
      </x:c>
    </x:row>
    <x:row r="65" ht="44" customHeight="1">
      <x:c r="A65" s="4" t="n">
        <x:v>3475</x:v>
      </x:c>
      <x:c r="B65" s="4" t="str">
        <x:v>https://blog.skyairline.com/como-ir-de-punta-cana-a-santo-domingo/</x:v>
      </x:c>
      <x:c r="C65" s="9" t="str">
        <x:v>Cómo ir de Punta Cana a Santo Domingo y qué hacer allí</x:v>
      </x:c>
      <x:c r="D65" s="17" t="d">
        <x:v>2023-10-17T00:00:00.000Z</x:v>
      </x:c>
      <x:c r="E65" s="17" t="d">
        <x:v>2023-10-17T00:00:00.000Z</x:v>
      </x:c>
      <x:c r="F65" s="4" t="str">
        <x:v>Destinos</x:v>
      </x:c>
      <x:c r="G65" s="11" t="n">
        <x:v>964</x:v>
      </x:c>
      <x:c r="H65" s="11" t="n">
        <x:v>200</x:v>
      </x:c>
      <x:c r="I65" s="11" t="n">
        <x:v>1</x:v>
      </x:c>
      <x:c r="J65" s="4" t="str">
        <x:v>https://blog.skyairline.com/como-ir-de-punta-cana-a-santo-domingo/</x:v>
      </x:c>
      <x:c r="K65" s="16" t="b">
        <x:v>0</x:v>
      </x:c>
      <x:c r="L65" s="11" t="n">
        <x:v>0</x:v>
      </x:c>
      <x:c r="M65" s="11" t="n">
        <x:v>4</x:v>
      </x:c>
      <x:c r="N65" s="4"/>
      <x:c r="O65" s="4"/>
      <x:c r="P65" s="11" t="n">
        <x:v>87</x:v>
      </x:c>
      <x:c r="Q65" s="11" t="n">
        <x:v>63</x:v>
      </x:c>
      <x:c r="R65" s="11" t="n">
        <x:f>IF(OR(P65="",Q65=""),"",Q65-P65)</x:f>
        <x:v>-24</x:v>
      </x:c>
      <x:c r="S65" s="13" t="n">
        <x:f>IF(OR(P65="",Q65="",P65=0),"",((Q65/30)/(P65/31))-1)</x:f>
        <x:v>-0.25172413793103454</x:v>
      </x:c>
      <x:c r="T65" s="11" t="n">
        <x:v>17941</x:v>
      </x:c>
      <x:c r="U65" s="11" t="n">
        <x:v>12318</x:v>
      </x:c>
      <x:c r="V65" s="14" t="n">
        <x:v>0.005114466634193863</x:v>
      </x:c>
      <x:c r="W65" s="12" t="n">
        <x:v>8.059262867348595</x:v>
      </x:c>
      <x:c r="X65" s="11" t="n">
        <x:v>81</x:v>
      </x:c>
      <x:c r="Y65" s="11" t="n">
        <x:v>91</x:v>
      </x:c>
      <x:c r="Z65" s="4" t="str">
        <x:v>https://blog.skyairline.com/como-ir-de-punta-cana-a-santo-domingo/</x:v>
      </x:c>
      <x:c r="AA65" s="4" t="str">
        <x:v>https://blog.skyairline.com/como-ir-de-punta-cana-a-santo-domingo/
https://blog.skyairline.com/como-ir-de-punta-cana-a-santo-domingo</x:v>
      </x:c>
      <x:c r="AB65" s="4" t="str">
        <x:v>Alias slash agregado</x:v>
      </x:c>
      <x:c r="AC65" s="4" t="str">
        <x:v>Publicado hasta septiembre</x:v>
      </x:c>
      <x:c r="AD65" s="4" t="str">
        <x:v>/como-ir-de-punta-cana-a-santo-domingo/</x:v>
      </x:c>
      <x:c r="AE65" s="4"/>
      <x:c r="AF65" s="16" t="b">
        <x:v>0</x:v>
      </x:c>
    </x:row>
    <x:row r="66" ht="44" customHeight="1">
      <x:c r="A66" s="4" t="n">
        <x:v>5004</x:v>
      </x:c>
      <x:c r="B66" s="4" t="str">
        <x:v>https://blog.skyairline.com/aerolinea-moderna-y-flexible/</x:v>
      </x:c>
      <x:c r="C66" s="9" t="str">
        <x:v>3 características de una aerolínea moderna y flexible</x:v>
      </x:c>
      <x:c r="D66" s="17" t="d">
        <x:v>2024-09-17T00:00:00.000Z</x:v>
      </x:c>
      <x:c r="E66" s="17" t="d">
        <x:v>2024-09-17T00:00:00.000Z</x:v>
      </x:c>
      <x:c r="F66" s="4" t="str">
        <x:v>Planificación de Viaje</x:v>
      </x:c>
      <x:c r="G66" s="11" t="n">
        <x:v>897</x:v>
      </x:c>
      <x:c r="H66" s="11" t="n">
        <x:v>200</x:v>
      </x:c>
      <x:c r="I66" s="11" t="n">
        <x:v>1</x:v>
      </x:c>
      <x:c r="J66" s="4" t="str">
        <x:v>https://blog.skyairline.com/aerolinea-moderna-y-flexible/</x:v>
      </x:c>
      <x:c r="K66" s="16" t="b">
        <x:v>0</x:v>
      </x:c>
      <x:c r="L66" s="11" t="n">
        <x:v>0</x:v>
      </x:c>
      <x:c r="M66" s="11" t="n">
        <x:v>2</x:v>
      </x:c>
      <x:c r="N66" s="4"/>
      <x:c r="O66" s="4"/>
      <x:c r="P66" s="11" t="n">
        <x:v>54</x:v>
      </x:c>
      <x:c r="Q66" s="11" t="n">
        <x:v>62</x:v>
      </x:c>
      <x:c r="R66" s="11" t="n">
        <x:f>IF(OR(P66="",Q66=""),"",Q66-P66)</x:f>
        <x:v>8</x:v>
      </x:c>
      <x:c r="S66" s="13" t="n">
        <x:f>IF(OR(P66="",Q66="",P66=0),"",((Q66/30)/(P66/31))-1)</x:f>
        <x:v>0.18641975308641978</x:v>
      </x:c>
      <x:c r="T66" s="11" t="n">
        <x:v>6227</x:v>
      </x:c>
      <x:c r="U66" s="11" t="n">
        <x:v>4362</x:v>
      </x:c>
      <x:c r="V66" s="14" t="n">
        <x:v>0.014213663457129757</x:v>
      </x:c>
      <x:c r="W66" s="12" t="n">
        <x:v>4.9452086198991285</x:v>
      </x:c>
      <x:c r="X66" s="11" t="n">
        <x:v>58</x:v>
      </x:c>
      <x:c r="Y66" s="11" t="n">
        <x:v>80</x:v>
      </x:c>
      <x:c r="Z66" s="4" t="str">
        <x:v>https://blog.skyairline.com/aerolinea-moderna-y-flexible/</x:v>
      </x:c>
      <x:c r="AA66" s="4" t="str">
        <x:v>https://blog.skyairline.com/aerolinea-moderna-y-flexible/</x:v>
      </x:c>
      <x:c r="AB66" s="4" t="str">
        <x:v>Coincidencia URL</x:v>
      </x:c>
      <x:c r="AC66" s="4" t="str">
        <x:v>Publicado hasta septiembre</x:v>
      </x:c>
      <x:c r="AD66" s="4" t="str">
        <x:v>/aerolinea-moderna-y-flexible/</x:v>
      </x:c>
      <x:c r="AE66" s="4"/>
      <x:c r="AF66" s="16" t="b">
        <x:v>0</x:v>
      </x:c>
    </x:row>
    <x:row r="67" ht="44" customHeight="1">
      <x:c r="A67" s="4" t="n">
        <x:v>893</x:v>
      </x:c>
      <x:c r="B67" s="4" t="str">
        <x:v>https://blog.skyairline.com/que-es-el-check-in/</x:v>
      </x:c>
      <x:c r="C67" s="9" t="str">
        <x:v>¿Qué es el Check-in y para qué sirve?</x:v>
      </x:c>
      <x:c r="D67" s="17" t="d">
        <x:v>2021-10-04T00:00:00.000Z</x:v>
      </x:c>
      <x:c r="E67" s="17" t="d">
        <x:v>2021-10-04T00:00:00.000Z</x:v>
      </x:c>
      <x:c r="F67" s="4" t="str">
        <x:v>Planificación de Viaje</x:v>
      </x:c>
      <x:c r="G67" s="11" t="n">
        <x:v>986</x:v>
      </x:c>
      <x:c r="H67" s="11" t="n">
        <x:v>200</x:v>
      </x:c>
      <x:c r="I67" s="11" t="n">
        <x:v>1</x:v>
      </x:c>
      <x:c r="J67" s="4" t="str">
        <x:v>https://blog.skyairline.com/que-es-el-check-in/</x:v>
      </x:c>
      <x:c r="K67" s="16" t="b">
        <x:v>0</x:v>
      </x:c>
      <x:c r="L67" s="11" t="n">
        <x:v>0</x:v>
      </x:c>
      <x:c r="M67" s="11" t="n">
        <x:v>3</x:v>
      </x:c>
      <x:c r="N67" s="4"/>
      <x:c r="O67" s="4"/>
      <x:c r="P67" s="11" t="n">
        <x:v>46</x:v>
      </x:c>
      <x:c r="Q67" s="11" t="n">
        <x:v>60</x:v>
      </x:c>
      <x:c r="R67" s="11" t="n">
        <x:f>IF(OR(P67="",Q67=""),"",Q67-P67)</x:f>
        <x:v>14</x:v>
      </x:c>
      <x:c r="S67" s="13" t="n">
        <x:f>IF(OR(P67="",Q67="",P67=0),"",((Q67/30)/(P67/31))-1)</x:f>
        <x:v>0.34782608695652173</x:v>
      </x:c>
      <x:c r="T67" s="11" t="n">
        <x:v>22704</x:v>
      </x:c>
      <x:c r="U67" s="11" t="n">
        <x:v>24636</x:v>
      </x:c>
      <x:c r="V67" s="14" t="n">
        <x:v>0.0024354603019970775</x:v>
      </x:c>
      <x:c r="W67" s="12" t="n">
        <x:v>9.223047572657899</x:v>
      </x:c>
      <x:c r="X67" s="11" t="n">
        <x:v>90</x:v>
      </x:c>
      <x:c r="Y67" s="11" t="n">
        <x:v>111</x:v>
      </x:c>
      <x:c r="Z67" s="4" t="str">
        <x:v>https://blog.skyairline.com/que-es-el-check-in/</x:v>
      </x:c>
      <x:c r="AA67" s="4" t="str">
        <x:v>https://blog.skyairline.com/que-es-el-check-in/</x:v>
      </x:c>
      <x:c r="AB67" s="4" t="str">
        <x:v>Coincidencia URL</x:v>
      </x:c>
      <x:c r="AC67" s="4" t="str">
        <x:v>Publicado hasta septiembre</x:v>
      </x:c>
      <x:c r="AD67" s="4" t="str">
        <x:v>/que-es-el-check-in/</x:v>
      </x:c>
      <x:c r="AE67" s="4"/>
      <x:c r="AF67" s="16" t="b">
        <x:v>1</x:v>
      </x:c>
    </x:row>
    <x:row r="68" ht="44" customHeight="1">
      <x:c r="A68" s="4" t="n">
        <x:v>1051</x:v>
      </x:c>
      <x:c r="B68" s="4" t="str">
        <x:v>https://blog.skyairline.com/botiquin-basico-de-viaje/</x:v>
      </x:c>
      <x:c r="C68" s="9" t="str">
        <x:v>Botiquín de viaje: checklist de qué llevar</x:v>
      </x:c>
      <x:c r="D68" s="17" t="d">
        <x:v>2026-05-26T00:00:00.000Z</x:v>
      </x:c>
      <x:c r="E68" s="17" t="d">
        <x:v>2026-05-20T00:00:00.000Z</x:v>
      </x:c>
      <x:c r="F68" s="4" t="str">
        <x:v>Planificación de Viaje</x:v>
      </x:c>
      <x:c r="G68" s="11" t="n">
        <x:v>1063</x:v>
      </x:c>
      <x:c r="H68" s="11" t="n">
        <x:v>200</x:v>
      </x:c>
      <x:c r="I68" s="11" t="n">
        <x:v>1</x:v>
      </x:c>
      <x:c r="J68" s="4" t="str">
        <x:v>https://blog.skyairline.com/botiquin-basico-de-viaje/</x:v>
      </x:c>
      <x:c r="K68" s="16" t="b">
        <x:v>0</x:v>
      </x:c>
      <x:c r="L68" s="11" t="n">
        <x:v>0</x:v>
      </x:c>
      <x:c r="M68" s="11" t="n">
        <x:v>0</x:v>
      </x:c>
      <x:c r="N68" s="4"/>
      <x:c r="O68" s="4"/>
      <x:c r="P68" s="11" t="n">
        <x:v>45</x:v>
      </x:c>
      <x:c r="Q68" s="11" t="n">
        <x:v>57</x:v>
      </x:c>
      <x:c r="R68" s="11" t="n">
        <x:f>IF(OR(P68="",Q68=""),"",Q68-P68)</x:f>
        <x:v>12</x:v>
      </x:c>
      <x:c r="S68" s="13" t="n">
        <x:f>IF(OR(P68="",Q68="",P68=0),"",((Q68/30)/(P68/31))-1)</x:f>
        <x:v>0.30888888888888877</x:v>
      </x:c>
      <x:c r="T68" s="11" t="n">
        <x:v>2829</x:v>
      </x:c>
      <x:c r="U68" s="11" t="n">
        <x:v>3096</x:v>
      </x:c>
      <x:c r="V68" s="14" t="n">
        <x:v>0.018410852713178296</x:v>
      </x:c>
      <x:c r="W68" s="12" t="n">
        <x:v>6.916343669250646</x:v>
      </x:c>
      <x:c r="X68" s="11" t="n">
        <x:v>73</x:v>
      </x:c>
      <x:c r="Y68" s="11" t="n">
        <x:v>86</x:v>
      </x:c>
      <x:c r="Z68" s="4" t="str">
        <x:v>https://blog.skyairline.com/botiquin-basico-de-viaje/</x:v>
      </x:c>
      <x:c r="AA68" s="4" t="str">
        <x:v>https://blog.skyairline.com/botiquin-basico-de-viaje/</x:v>
      </x:c>
      <x:c r="AB68" s="4" t="str">
        <x:v>Coincidencia URL</x:v>
      </x:c>
      <x:c r="AC68" s="4" t="str">
        <x:v>Publicado hasta septiembre</x:v>
      </x:c>
      <x:c r="AD68" s="4" t="str">
        <x:v>/botiquin-basico-de-viaje/</x:v>
      </x:c>
      <x:c r="AE68" s="4"/>
      <x:c r="AF68" s="16" t="b">
        <x:v>0</x:v>
      </x:c>
    </x:row>
    <x:row r="69" ht="44" customHeight="1">
      <x:c r="A69" s="4" t="n">
        <x:v>1070</x:v>
      </x:c>
      <x:c r="B69" s="4" t="str">
        <x:v>https://blog.skyairline.com/seguro-de-viaje/</x:v>
      </x:c>
      <x:c r="C69" s="9" t="str">
        <x:v>¿Necesito un seguro de viaje? ¡La respuesta definitiva!</x:v>
      </x:c>
      <x:c r="D69" s="17" t="d">
        <x:v>2025-06-18T00:00:00.000Z</x:v>
      </x:c>
      <x:c r="E69" s="17" t="d">
        <x:v>2025-12-19T00:00:00.000Z</x:v>
      </x:c>
      <x:c r="F69" s="4" t="str">
        <x:v>Planificación de Viaje</x:v>
      </x:c>
      <x:c r="G69" s="11" t="n">
        <x:v>1178</x:v>
      </x:c>
      <x:c r="H69" s="11" t="n">
        <x:v>200</x:v>
      </x:c>
      <x:c r="I69" s="11" t="n">
        <x:v>1</x:v>
      </x:c>
      <x:c r="J69" s="4" t="str">
        <x:v>https://blog.skyairline.com/seguro-de-viaje/</x:v>
      </x:c>
      <x:c r="K69" s="16" t="b">
        <x:v>0</x:v>
      </x:c>
      <x:c r="L69" s="11" t="n">
        <x:v>0</x:v>
      </x:c>
      <x:c r="M69" s="11" t="n">
        <x:v>1</x:v>
      </x:c>
      <x:c r="N69" s="4"/>
      <x:c r="O69" s="4"/>
      <x:c r="P69" s="11" t="n">
        <x:v>51</x:v>
      </x:c>
      <x:c r="Q69" s="11" t="n">
        <x:v>57</x:v>
      </x:c>
      <x:c r="R69" s="11" t="n">
        <x:f>IF(OR(P69="",Q69=""),"",Q69-P69)</x:f>
        <x:v>6</x:v>
      </x:c>
      <x:c r="S69" s="13" t="n">
        <x:f>IF(OR(P69="",Q69="",P69=0),"",((Q69/30)/(P69/31))-1)</x:f>
        <x:v>0.15490196078431362</x:v>
      </x:c>
      <x:c r="T69" s="11" t="n">
        <x:v>526</x:v>
      </x:c>
      <x:c r="U69" s="11" t="n">
        <x:v>435</x:v>
      </x:c>
      <x:c r="V69" s="14" t="n">
        <x:v>0.1310344827586207</x:v>
      </x:c>
      <x:c r="W69" s="12" t="n">
        <x:v>4.289655172413793</x:v>
      </x:c>
      <x:c r="X69" s="11" t="n">
        <x:v>54</x:v>
      </x:c>
      <x:c r="Y69" s="11" t="n">
        <x:v>57</x:v>
      </x:c>
      <x:c r="Z69" s="4" t="str">
        <x:v>https://blog.skyairline.com/seguro-de-viaje/</x:v>
      </x:c>
      <x:c r="AA69" s="4" t="str">
        <x:v>https://blog.skyairline.com/seguro-de-viaje/</x:v>
      </x:c>
      <x:c r="AB69" s="4" t="str">
        <x:v>Coincidencia URL</x:v>
      </x:c>
      <x:c r="AC69" s="4" t="str">
        <x:v>Publicado hasta septiembre</x:v>
      </x:c>
      <x:c r="AD69" s="4" t="str">
        <x:v>/seguro-de-viaje/</x:v>
      </x:c>
      <x:c r="AE69" s="4"/>
      <x:c r="AF69" s="16" t="b">
        <x:v>0</x:v>
      </x:c>
    </x:row>
    <x:row r="70" ht="44" customHeight="1">
      <x:c r="A70" s="4" t="n">
        <x:v>5386</x:v>
      </x:c>
      <x:c r="B70" s="4" t="str">
        <x:v>https://blog.skyairline.com/como-identificar-fraudes-en-la-compra-de-boletos-de-avion/</x:v>
      </x:c>
      <x:c r="C70" s="9" t="str">
        <x:v>Fraudes en la compra de boletos de avión: cómo identificarlos y evitarlos</x:v>
      </x:c>
      <x:c r="D70" s="17" t="d">
        <x:v>2024-11-28T00:00:00.000Z</x:v>
      </x:c>
      <x:c r="E70" s="17" t="d">
        <x:v>2024-11-28T00:00:00.000Z</x:v>
      </x:c>
      <x:c r="F70" s="4" t="str">
        <x:v>Planificación de Viaje</x:v>
      </x:c>
      <x:c r="G70" s="11" t="n">
        <x:v>1274</x:v>
      </x:c>
      <x:c r="H70" s="11" t="n">
        <x:v>200</x:v>
      </x:c>
      <x:c r="I70" s="11" t="n">
        <x:v>1</x:v>
      </x:c>
      <x:c r="J70" s="4" t="str">
        <x:v>https://blog.skyairline.com/como-identificar-fraudes-en-la-compra-de-boletos-de-avion/</x:v>
      </x:c>
      <x:c r="K70" s="16" t="b">
        <x:v>0</x:v>
      </x:c>
      <x:c r="L70" s="11" t="n">
        <x:v>0</x:v>
      </x:c>
      <x:c r="M70" s="11" t="n">
        <x:v>5</x:v>
      </x:c>
      <x:c r="N70" s="4"/>
      <x:c r="O70" s="4"/>
      <x:c r="P70" s="11" t="n">
        <x:v>46</x:v>
      </x:c>
      <x:c r="Q70" s="11" t="n">
        <x:v>56</x:v>
      </x:c>
      <x:c r="R70" s="11" t="n">
        <x:f>IF(OR(P70="",Q70=""),"",Q70-P70)</x:f>
        <x:v>10</x:v>
      </x:c>
      <x:c r="S70" s="13" t="n">
        <x:f>IF(OR(P70="",Q70="",P70=0),"",((Q70/30)/(P70/31))-1)</x:f>
        <x:v>0.2579710144927536</x:v>
      </x:c>
      <x:c r="T70" s="11" t="n">
        <x:v>1642</x:v>
      </x:c>
      <x:c r="U70" s="11" t="n">
        <x:v>2070</x:v>
      </x:c>
      <x:c r="V70" s="14" t="n">
        <x:v>0.02705314009661836</x:v>
      </x:c>
      <x:c r="W70" s="12" t="n">
        <x:v>6.565217391304348</x:v>
      </x:c>
      <x:c r="X70" s="11" t="n">
        <x:v>56</x:v>
      </x:c>
      <x:c r="Y70" s="11" t="n">
        <x:v>74</x:v>
      </x:c>
      <x:c r="Z70" s="4" t="str">
        <x:v>https://blog.skyairline.com/como-identificar-fraudes-en-la-compra-de-boletos-de-avion/</x:v>
      </x:c>
      <x:c r="AA70" s="4" t="str">
        <x:v>https://blog.skyairline.com/como-identificar-fraudes-en-la-compra-de-boletos-de-avion/
https://blog.skyairline.com/como-identificar-fraudes-en-la-compra-de-boletos-de-avion</x:v>
      </x:c>
      <x:c r="AB70" s="4" t="str">
        <x:v>Alias slash agregado</x:v>
      </x:c>
      <x:c r="AC70" s="4" t="str">
        <x:v>Publicado hasta septiembre</x:v>
      </x:c>
      <x:c r="AD70" s="4" t="str">
        <x:v>/como-identificar-fraudes-en-la-compra-de-boletos-de-avion/</x:v>
      </x:c>
      <x:c r="AE70" s="4"/>
      <x:c r="AF70" s="16" t="b">
        <x:v>0</x:v>
      </x:c>
    </x:row>
    <x:row r="71" ht="44" customHeight="1">
      <x:c r="A71" s="4" t="n">
        <x:v>5854</x:v>
      </x:c>
      <x:c r="B71" s="4" t="str">
        <x:v>https://blog.skyairline.com/folklore-de-chile/</x:v>
      </x:c>
      <x:c r="C71" s="9" t="str">
        <x:v>Folklore de Chile: una mirada a nuestras tradiciones y dónde conocerlas</x:v>
      </x:c>
      <x:c r="D71" s="17" t="d">
        <x:v>2025-07-30T00:00:00.000Z</x:v>
      </x:c>
      <x:c r="E71" s="17" t="d">
        <x:v>2026-01-19T00:00:00.000Z</x:v>
      </x:c>
      <x:c r="F71" s="4" t="str">
        <x:v>Cultura</x:v>
      </x:c>
      <x:c r="G71" s="11" t="n">
        <x:v>1121</x:v>
      </x:c>
      <x:c r="H71" s="11" t="n">
        <x:v>200</x:v>
      </x:c>
      <x:c r="I71" s="11" t="n">
        <x:v>1</x:v>
      </x:c>
      <x:c r="J71" s="4" t="str">
        <x:v>https://blog.skyairline.com/folklore-de-chile/</x:v>
      </x:c>
      <x:c r="K71" s="16" t="b">
        <x:v>0</x:v>
      </x:c>
      <x:c r="L71" s="11" t="n">
        <x:v>0</x:v>
      </x:c>
      <x:c r="M71" s="11" t="n">
        <x:v>5</x:v>
      </x:c>
      <x:c r="N71" s="4"/>
      <x:c r="O71" s="4"/>
      <x:c r="P71" s="11" t="n">
        <x:v>63</x:v>
      </x:c>
      <x:c r="Q71" s="11" t="n">
        <x:v>52</x:v>
      </x:c>
      <x:c r="R71" s="11" t="n">
        <x:f>IF(OR(P71="",Q71=""),"",Q71-P71)</x:f>
        <x:v>-11</x:v>
      </x:c>
      <x:c r="S71" s="13" t="n">
        <x:f>IF(OR(P71="",Q71="",P71=0),"",((Q71/30)/(P71/31))-1)</x:f>
        <x:v>-0.14708994708994705</x:v>
      </x:c>
      <x:c r="T71" s="11" t="n">
        <x:v>8956</x:v>
      </x:c>
      <x:c r="U71" s="11" t="n">
        <x:v>8337</x:v>
      </x:c>
      <x:c r="V71" s="14" t="n">
        <x:v>0.006237255607532685</x:v>
      </x:c>
      <x:c r="W71" s="12" t="n">
        <x:v>7.708168405901404</x:v>
      </x:c>
      <x:c r="X71" s="11" t="n">
        <x:v>62</x:v>
      </x:c>
      <x:c r="Y71" s="11" t="n">
        <x:v>75</x:v>
      </x:c>
      <x:c r="Z71" s="4" t="str">
        <x:v>https://blog.skyairline.com/folklore-de-chile/</x:v>
      </x:c>
      <x:c r="AA71" s="4" t="str">
        <x:v>https://blog.skyairline.com/folklore-de-chile/</x:v>
      </x:c>
      <x:c r="AB71" s="4" t="str">
        <x:v>Coincidencia URL</x:v>
      </x:c>
      <x:c r="AC71" s="4" t="str">
        <x:v>Publicado hasta septiembre</x:v>
      </x:c>
      <x:c r="AD71" s="4" t="str">
        <x:v>/folklore-de-chile/</x:v>
      </x:c>
      <x:c r="AE71" s="4"/>
      <x:c r="AF71" s="16" t="b">
        <x:v>0</x:v>
      </x:c>
    </x:row>
    <x:row r="72" ht="44" customHeight="1">
      <x:c r="A72" s="4" t="n">
        <x:v>6397</x:v>
      </x:c>
      <x:c r="B72" s="4" t="str">
        <x:v>https://blog.skyairline.com/santiago-a-mendoza/</x:v>
      </x:c>
      <x:c r="C72" s="9" t="str">
        <x:v>De Santiago a Mendoza: ¿cuál es el mejor método para llegar?</x:v>
      </x:c>
      <x:c r="D72" s="17" t="d">
        <x:v>2025-06-13T00:00:00.000Z</x:v>
      </x:c>
      <x:c r="E72" s="17" t="d">
        <x:v>2025-12-19T00:00:00.000Z</x:v>
      </x:c>
      <x:c r="F72" s="4" t="str">
        <x:v>Destinos</x:v>
      </x:c>
      <x:c r="G72" s="11" t="n">
        <x:v>1128</x:v>
      </x:c>
      <x:c r="H72" s="11" t="n">
        <x:v>200</x:v>
      </x:c>
      <x:c r="I72" s="11" t="n">
        <x:v>1</x:v>
      </x:c>
      <x:c r="J72" s="4" t="str">
        <x:v>https://blog.skyairline.com/santiago-a-mendoza/</x:v>
      </x:c>
      <x:c r="K72" s="16" t="b">
        <x:v>0</x:v>
      </x:c>
      <x:c r="L72" s="11" t="n">
        <x:v>0</x:v>
      </x:c>
      <x:c r="M72" s="11" t="n">
        <x:v>0</x:v>
      </x:c>
      <x:c r="N72" s="4"/>
      <x:c r="O72" s="4"/>
      <x:c r="P72" s="11" t="n">
        <x:v>93</x:v>
      </x:c>
      <x:c r="Q72" s="11" t="n">
        <x:v>52</x:v>
      </x:c>
      <x:c r="R72" s="11" t="n">
        <x:f>IF(OR(P72="",Q72=""),"",Q72-P72)</x:f>
        <x:v>-41</x:v>
      </x:c>
      <x:c r="S72" s="13" t="n">
        <x:f>IF(OR(P72="",Q72="",P72=0),"",((Q72/30)/(P72/31))-1)</x:f>
        <x:v>-0.42222222222222217</x:v>
      </x:c>
      <x:c r="T72" s="11" t="n">
        <x:v>12311</x:v>
      </x:c>
      <x:c r="U72" s="11" t="n">
        <x:v>10092</x:v>
      </x:c>
      <x:c r="V72" s="14" t="n">
        <x:v>0.005152596115735236</x:v>
      </x:c>
      <x:c r="W72" s="12" t="n">
        <x:v>6.717796274276655</x:v>
      </x:c>
      <x:c r="X72" s="11" t="n">
        <x:v>57</x:v>
      </x:c>
      <x:c r="Y72" s="11" t="n">
        <x:v>66</x:v>
      </x:c>
      <x:c r="Z72" s="4" t="str">
        <x:v>https://blog.skyairline.com/santiago-a-mendoza/</x:v>
      </x:c>
      <x:c r="AA72" s="4" t="str">
        <x:v>https://blog.skyairline.com/santiago-a-mendoza/</x:v>
      </x:c>
      <x:c r="AB72" s="4" t="str">
        <x:v>Coincidencia URL</x:v>
      </x:c>
      <x:c r="AC72" s="4" t="str">
        <x:v>Publicado hasta septiembre</x:v>
      </x:c>
      <x:c r="AD72" s="4" t="str">
        <x:v>/santiago-a-mendoza/</x:v>
      </x:c>
      <x:c r="AE72" s="4"/>
      <x:c r="AF72" s="16" t="b">
        <x:v>0</x:v>
      </x:c>
    </x:row>
    <x:row r="73" ht="44" customHeight="1">
      <x:c r="A73" s="4" t="n">
        <x:v>6153</x:v>
      </x:c>
      <x:c r="B73" s="4" t="str">
        <x:v>https://blog.skyairline.com/requisitos-para-viajar-a-mexico-desde-chile/</x:v>
      </x:c>
      <x:c r="C73" s="9" t="str">
        <x:v>Requisitos para viajar a México desde Chile</x:v>
      </x:c>
      <x:c r="D73" s="17" t="d">
        <x:v>2025-06-05T00:00:00.000Z</x:v>
      </x:c>
      <x:c r="E73" s="17" t="d">
        <x:v>2025-06-05T00:00:00.000Z</x:v>
      </x:c>
      <x:c r="F73" s="4" t="str">
        <x:v>Planificación de Viaje</x:v>
      </x:c>
      <x:c r="G73" s="11" t="n">
        <x:v>942</x:v>
      </x:c>
      <x:c r="H73" s="11" t="n">
        <x:v>200</x:v>
      </x:c>
      <x:c r="I73" s="11" t="n">
        <x:v>1</x:v>
      </x:c>
      <x:c r="J73" s="4" t="str">
        <x:v>https://blog.skyairline.com/requisitos-para-viajar-a-mexico-desde-chile/</x:v>
      </x:c>
      <x:c r="K73" s="16" t="b">
        <x:v>0</x:v>
      </x:c>
      <x:c r="L73" s="11" t="n">
        <x:v>0</x:v>
      </x:c>
      <x:c r="M73" s="11" t="n">
        <x:v>0</x:v>
      </x:c>
      <x:c r="N73" s="4"/>
      <x:c r="O73" s="4"/>
      <x:c r="P73" s="11" t="n">
        <x:v>38</x:v>
      </x:c>
      <x:c r="Q73" s="11" t="n">
        <x:v>50</x:v>
      </x:c>
      <x:c r="R73" s="11" t="n">
        <x:f>IF(OR(P73="",Q73=""),"",Q73-P73)</x:f>
        <x:v>12</x:v>
      </x:c>
      <x:c r="S73" s="13" t="n">
        <x:f>IF(OR(P73="",Q73="",P73=0),"",((Q73/30)/(P73/31))-1)</x:f>
        <x:v>0.35964912280701755</x:v>
      </x:c>
      <x:c r="T73" s="11" t="n">
        <x:v>7198</x:v>
      </x:c>
      <x:c r="U73" s="11" t="n">
        <x:v>6493</x:v>
      </x:c>
      <x:c r="V73" s="14" t="n">
        <x:v>0.007700600646850454</x:v>
      </x:c>
      <x:c r="W73" s="12" t="n">
        <x:v>6.476975204065917</x:v>
      </x:c>
      <x:c r="X73" s="11" t="n">
        <x:v>55</x:v>
      </x:c>
      <x:c r="Y73" s="11" t="n">
        <x:v>63</x:v>
      </x:c>
      <x:c r="Z73" s="4" t="str">
        <x:v>https://blog.skyairline.com/requisitos-para-viajar-a-mexico-desde-chile/</x:v>
      </x:c>
      <x:c r="AA73" s="4" t="str">
        <x:v>https://blog.skyairline.com/requisitos-para-viajar-a-mexico-desde-chile/
https://blog.skyairline.com/requisitos-para-viajar-a-mexico-desde-chile</x:v>
      </x:c>
      <x:c r="AB73" s="4" t="str">
        <x:v>Alias slash agregado</x:v>
      </x:c>
      <x:c r="AC73" s="4" t="str">
        <x:v>Publicado hasta septiembre</x:v>
      </x:c>
      <x:c r="AD73" s="4" t="str">
        <x:v>/requisitos-para-viajar-a-mexico-desde-chile/</x:v>
      </x:c>
      <x:c r="AE73" s="4"/>
      <x:c r="AF73" s="16" t="b">
        <x:v>0</x:v>
      </x:c>
    </x:row>
    <x:row r="74" ht="44" customHeight="1">
      <x:c r="A74" s="4" t="n">
        <x:v>3557</x:v>
      </x:c>
      <x:c r="B74" s="4" t="str">
        <x:v>https://blog.skyairline.com/airbus-a320/</x:v>
      </x:c>
      <x:c r="C74" s="9" t="str">
        <x:v>Airbus A320: Conoce todo de los aviones que ponen el cielo a tu alcance</x:v>
      </x:c>
      <x:c r="D74" s="17" t="d">
        <x:v>2023-10-24T00:00:00.000Z</x:v>
      </x:c>
      <x:c r="E74" s="17" t="d">
        <x:v>2023-10-24T00:00:00.000Z</x:v>
      </x:c>
      <x:c r="F74" s="4" t="str">
        <x:v>Cultura</x:v>
      </x:c>
      <x:c r="G74" s="11" t="n">
        <x:v>1066</x:v>
      </x:c>
      <x:c r="H74" s="11" t="n">
        <x:v>200</x:v>
      </x:c>
      <x:c r="I74" s="11" t="n">
        <x:v>1</x:v>
      </x:c>
      <x:c r="J74" s="4" t="str">
        <x:v>https://blog.skyairline.com/airbus-a320/</x:v>
      </x:c>
      <x:c r="K74" s="16" t="b">
        <x:v>0</x:v>
      </x:c>
      <x:c r="L74" s="11" t="n">
        <x:v>0</x:v>
      </x:c>
      <x:c r="M74" s="11" t="n">
        <x:v>4</x:v>
      </x:c>
      <x:c r="N74" s="4"/>
      <x:c r="O74" s="4"/>
      <x:c r="P74" s="11" t="n">
        <x:v>54</x:v>
      </x:c>
      <x:c r="Q74" s="11" t="n">
        <x:v>49</x:v>
      </x:c>
      <x:c r="R74" s="11" t="n">
        <x:f>IF(OR(P74="",Q74=""),"",Q74-P74)</x:f>
        <x:v>-5</x:v>
      </x:c>
      <x:c r="S74" s="13" t="n">
        <x:f>IF(OR(P74="",Q74="",P74=0),"",((Q74/30)/(P74/31))-1)</x:f>
        <x:v>-0.06234567901234567</x:v>
      </x:c>
      <x:c r="T74" s="11" t="n">
        <x:v>5985</x:v>
      </x:c>
      <x:c r="U74" s="11" t="n">
        <x:v>4537</x:v>
      </x:c>
      <x:c r="V74" s="14" t="n">
        <x:v>0.010800088163985012</x:v>
      </x:c>
      <x:c r="W74" s="12" t="n">
        <x:v>13.195724046726912</x:v>
      </x:c>
      <x:c r="X74" s="11" t="n">
        <x:v>56</x:v>
      </x:c>
      <x:c r="Y74" s="11" t="n">
        <x:v>65</x:v>
      </x:c>
      <x:c r="Z74" s="4" t="str">
        <x:v>https://blog.skyairline.com/airbus-a320/</x:v>
      </x:c>
      <x:c r="AA74" s="4" t="str">
        <x:v>https://blog.skyairline.com/airbus-a320/</x:v>
      </x:c>
      <x:c r="AB74" s="4" t="str">
        <x:v>Coincidencia URL</x:v>
      </x:c>
      <x:c r="AC74" s="4" t="str">
        <x:v>Publicado hasta septiembre</x:v>
      </x:c>
      <x:c r="AD74" s="4" t="str">
        <x:v>/airbus-a320/</x:v>
      </x:c>
      <x:c r="AE74" s="4"/>
      <x:c r="AF74" s="16" t="b">
        <x:v>0</x:v>
      </x:c>
    </x:row>
    <x:row r="75" ht="44" customHeight="1">
      <x:c r="A75" s="4" t="n">
        <x:v>5488</x:v>
      </x:c>
      <x:c r="B75" s="4" t="str">
        <x:v>https://blog.skyairline.com/beto-carrero/</x:v>
      </x:c>
      <x:c r="C75" s="9" t="str">
        <x:v>Conoce Beto Carrero World: el Disney Sudamericano</x:v>
      </x:c>
      <x:c r="D75" s="17" t="d">
        <x:v>2025-12-17T00:00:00.000Z</x:v>
      </x:c>
      <x:c r="E75" s="17" t="d">
        <x:v>2026-01-12T00:00:00.000Z</x:v>
      </x:c>
      <x:c r="F75" s="4" t="str">
        <x:v>Destinos</x:v>
      </x:c>
      <x:c r="G75" s="11" t="n">
        <x:v>1034</x:v>
      </x:c>
      <x:c r="H75" s="11" t="n">
        <x:v>200</x:v>
      </x:c>
      <x:c r="I75" s="11" t="n">
        <x:v>1</x:v>
      </x:c>
      <x:c r="J75" s="4" t="str">
        <x:v>https://blog.skyairline.com/beto-carrero/</x:v>
      </x:c>
      <x:c r="K75" s="16" t="b">
        <x:v>0</x:v>
      </x:c>
      <x:c r="L75" s="11" t="n">
        <x:v>0</x:v>
      </x:c>
      <x:c r="M75" s="11" t="n">
        <x:v>1</x:v>
      </x:c>
      <x:c r="N75" s="4"/>
      <x:c r="O75" s="4"/>
      <x:c r="P75" s="11" t="n">
        <x:v>35</x:v>
      </x:c>
      <x:c r="Q75" s="11" t="n">
        <x:v>48</x:v>
      </x:c>
      <x:c r="R75" s="11" t="n">
        <x:f>IF(OR(P75="",Q75=""),"",Q75-P75)</x:f>
        <x:v>13</x:v>
      </x:c>
      <x:c r="S75" s="13" t="n">
        <x:f>IF(OR(P75="",Q75="",P75=0),"",((Q75/30)/(P75/31))-1)</x:f>
        <x:v>0.41714285714285704</x:v>
      </x:c>
      <x:c r="T75" s="11" t="n">
        <x:v>5420</x:v>
      </x:c>
      <x:c r="U75" s="11" t="n">
        <x:v>6103</x:v>
      </x:c>
      <x:c r="V75" s="14" t="n">
        <x:v>0.007864984433884975</x:v>
      </x:c>
      <x:c r="W75" s="12" t="n">
        <x:v>7.610355562837949</x:v>
      </x:c>
      <x:c r="X75" s="11" t="n">
        <x:v>55</x:v>
      </x:c>
      <x:c r="Y75" s="11" t="n">
        <x:v>67</x:v>
      </x:c>
      <x:c r="Z75" s="4" t="str">
        <x:v>https://blog.skyairline.com/beto-carrero/</x:v>
      </x:c>
      <x:c r="AA75" s="4" t="str">
        <x:v>https://blog.skyairline.com/beto-carrero/</x:v>
      </x:c>
      <x:c r="AB75" s="4" t="str">
        <x:v>Coincidencia URL</x:v>
      </x:c>
      <x:c r="AC75" s="4" t="str">
        <x:v>Publicado hasta septiembre</x:v>
      </x:c>
      <x:c r="AD75" s="4" t="str">
        <x:v>/beto-carrero/</x:v>
      </x:c>
      <x:c r="AE75" s="4"/>
      <x:c r="AF75" s="16" t="b">
        <x:v>0</x:v>
      </x:c>
    </x:row>
    <x:row r="76" ht="44" customHeight="1">
      <x:c r="A76" s="4" t="n">
        <x:v>1934</x:v>
      </x:c>
      <x:c r="B76" s="4" t="str">
        <x:v>https://blog.skyairline.com/escoger-una-maleta/</x:v>
      </x:c>
      <x:c r="C76" s="9" t="str">
        <x:v>Descubre cómo escoger una maleta ideal para ti</x:v>
      </x:c>
      <x:c r="D76" s="17" t="d">
        <x:v>2022-06-14T00:00:00.000Z</x:v>
      </x:c>
      <x:c r="E76" s="17" t="d">
        <x:v>2022-06-14T00:00:00.000Z</x:v>
      </x:c>
      <x:c r="F76" s="4" t="str">
        <x:v>Planificación de Viaje</x:v>
      </x:c>
      <x:c r="G76" s="11" t="n">
        <x:v>1089</x:v>
      </x:c>
      <x:c r="H76" s="11" t="n">
        <x:v>200</x:v>
      </x:c>
      <x:c r="I76" s="11" t="n">
        <x:v>1</x:v>
      </x:c>
      <x:c r="J76" s="4" t="str">
        <x:v>https://blog.skyairline.com/escoger-una-maleta/</x:v>
      </x:c>
      <x:c r="K76" s="16" t="b">
        <x:v>0</x:v>
      </x:c>
      <x:c r="L76" s="11" t="n">
        <x:v>0</x:v>
      </x:c>
      <x:c r="M76" s="11" t="n">
        <x:v>3</x:v>
      </x:c>
      <x:c r="N76" s="4"/>
      <x:c r="O76" s="4"/>
      <x:c r="P76" s="11" t="n">
        <x:v>45</x:v>
      </x:c>
      <x:c r="Q76" s="11" t="n">
        <x:v>47</x:v>
      </x:c>
      <x:c r="R76" s="11" t="n">
        <x:f>IF(OR(P76="",Q76=""),"",Q76-P76)</x:f>
        <x:v>2</x:v>
      </x:c>
      <x:c r="S76" s="13" t="n">
        <x:f>IF(OR(P76="",Q76="",P76=0),"",((Q76/30)/(P76/31))-1)</x:f>
        <x:v>0.07925925925925914</x:v>
      </x:c>
      <x:c r="T76" s="11" t="n">
        <x:v>4892</x:v>
      </x:c>
      <x:c r="U76" s="11" t="n">
        <x:v>7268</x:v>
      </x:c>
      <x:c r="V76" s="14" t="n">
        <x:v>0.006466703357182168</x:v>
      </x:c>
      <x:c r="W76" s="12" t="n">
        <x:v>7.4113924050632916</x:v>
      </x:c>
      <x:c r="X76" s="11" t="n">
        <x:v>58</x:v>
      </x:c>
      <x:c r="Y76" s="11" t="n">
        <x:v>62</x:v>
      </x:c>
      <x:c r="Z76" s="4" t="str">
        <x:v>https://blog.skyairline.com/escoger-una-maleta/</x:v>
      </x:c>
      <x:c r="AA76" s="4" t="str">
        <x:v>https://blog.skyairline.com/escoger-una-maleta/</x:v>
      </x:c>
      <x:c r="AB76" s="4" t="str">
        <x:v>Coincidencia URL</x:v>
      </x:c>
      <x:c r="AC76" s="4" t="str">
        <x:v>Publicado hasta septiembre</x:v>
      </x:c>
      <x:c r="AD76" s="4" t="str">
        <x:v>/escoger-una-maleta/</x:v>
      </x:c>
      <x:c r="AE76" s="4"/>
      <x:c r="AF76" s="16" t="b">
        <x:v>0</x:v>
      </x:c>
    </x:row>
    <x:row r="77" ht="44" customHeight="1">
      <x:c r="A77" s="4" t="n">
        <x:v>799</x:v>
      </x:c>
      <x:c r="B77" s="4" t="str">
        <x:v>https://blog.skyairline.com/servicios-de-aerolinea/</x:v>
      </x:c>
      <x:c r="C77" s="9" t="str">
        <x:v>Servicios de aerolíneas: ¿por cuáles vale la pena pagar un poco más?</x:v>
      </x:c>
      <x:c r="D77" s="17" t="d">
        <x:v>2021-09-03T00:00:00.000Z</x:v>
      </x:c>
      <x:c r="E77" s="17" t="d">
        <x:v>2021-09-03T00:00:00.000Z</x:v>
      </x:c>
      <x:c r="F77" s="4" t="str">
        <x:v>Planificación de Viaje</x:v>
      </x:c>
      <x:c r="G77" s="11" t="n">
        <x:v>1037</x:v>
      </x:c>
      <x:c r="H77" s="11" t="n">
        <x:v>200</x:v>
      </x:c>
      <x:c r="I77" s="11" t="n">
        <x:v>1</x:v>
      </x:c>
      <x:c r="J77" s="4" t="str">
        <x:v>https://blog.skyairline.com/servicios-de-aerolinea/</x:v>
      </x:c>
      <x:c r="K77" s="16" t="b">
        <x:v>0</x:v>
      </x:c>
      <x:c r="L77" s="11" t="n">
        <x:v>0</x:v>
      </x:c>
      <x:c r="M77" s="11" t="n">
        <x:v>3</x:v>
      </x:c>
      <x:c r="N77" s="4"/>
      <x:c r="O77" s="4"/>
      <x:c r="P77" s="11" t="n">
        <x:v>36</x:v>
      </x:c>
      <x:c r="Q77" s="11" t="n">
        <x:v>46</x:v>
      </x:c>
      <x:c r="R77" s="11" t="n">
        <x:f>IF(OR(P77="",Q77=""),"",Q77-P77)</x:f>
        <x:v>10</x:v>
      </x:c>
      <x:c r="S77" s="13" t="n">
        <x:f>IF(OR(P77="",Q77="",P77=0),"",((Q77/30)/(P77/31))-1)</x:f>
        <x:v>0.3203703703703704</x:v>
      </x:c>
      <x:c r="T77" s="11" t="n">
        <x:v>2464</x:v>
      </x:c>
      <x:c r="U77" s="11" t="n">
        <x:v>2127</x:v>
      </x:c>
      <x:c r="V77" s="14" t="n">
        <x:v>0.021626704278326282</x:v>
      </x:c>
      <x:c r="W77" s="12" t="n">
        <x:v>5.755054066760696</x:v>
      </x:c>
      <x:c r="X77" s="11" t="n">
        <x:v>44</x:v>
      </x:c>
      <x:c r="Y77" s="11" t="n">
        <x:v>58</x:v>
      </x:c>
      <x:c r="Z77" s="4" t="str">
        <x:v>https://blog.skyairline.com/servicios-de-aerolinea/</x:v>
      </x:c>
      <x:c r="AA77" s="4" t="str">
        <x:v>https://blog.skyairline.com/servicios-de-aerolinea/</x:v>
      </x:c>
      <x:c r="AB77" s="4" t="str">
        <x:v>Coincidencia URL</x:v>
      </x:c>
      <x:c r="AC77" s="4" t="str">
        <x:v>Publicado hasta septiembre</x:v>
      </x:c>
      <x:c r="AD77" s="4" t="str">
        <x:v>/servicios-de-aerolinea/</x:v>
      </x:c>
      <x:c r="AE77" s="4"/>
      <x:c r="AF77" s="16" t="b">
        <x:v>0</x:v>
      </x:c>
    </x:row>
    <x:row r="78" ht="44" customHeight="1">
      <x:c r="A78" s="4" t="n">
        <x:v>2360</x:v>
      </x:c>
      <x:c r="B78" s="4" t="str">
        <x:v>https://blog.skyairline.com/asistencia-al-viajero/</x:v>
      </x:c>
      <x:c r="C78" s="9" t="str">
        <x:v>¿Qué es la asistencia al viajero y qué derechos te da en tus viajes?</x:v>
      </x:c>
      <x:c r="D78" s="17" t="d">
        <x:v>2022-10-06T00:00:00.000Z</x:v>
      </x:c>
      <x:c r="E78" s="17" t="d">
        <x:v>2022-10-06T00:00:00.000Z</x:v>
      </x:c>
      <x:c r="F78" s="4" t="str">
        <x:v>Planificación de Viaje</x:v>
      </x:c>
      <x:c r="G78" s="11" t="n">
        <x:v>1065</x:v>
      </x:c>
      <x:c r="H78" s="11" t="n">
        <x:v>200</x:v>
      </x:c>
      <x:c r="I78" s="11" t="n">
        <x:v>1</x:v>
      </x:c>
      <x:c r="J78" s="4" t="str">
        <x:v>https://blog.skyairline.com/asistencia-al-viajero/</x:v>
      </x:c>
      <x:c r="K78" s="16" t="b">
        <x:v>0</x:v>
      </x:c>
      <x:c r="L78" s="11" t="n">
        <x:v>0</x:v>
      </x:c>
      <x:c r="M78" s="11" t="n">
        <x:v>7</x:v>
      </x:c>
      <x:c r="N78" s="4"/>
      <x:c r="O78" s="4"/>
      <x:c r="P78" s="11" t="n">
        <x:v>49</x:v>
      </x:c>
      <x:c r="Q78" s="11" t="n">
        <x:v>46</x:v>
      </x:c>
      <x:c r="R78" s="11" t="n">
        <x:f>IF(OR(P78="",Q78=""),"",Q78-P78)</x:f>
        <x:v>-3</x:v>
      </x:c>
      <x:c r="S78" s="13" t="n">
        <x:f>IF(OR(P78="",Q78="",P78=0),"",((Q78/30)/(P78/31))-1)</x:f>
        <x:v>-0.029931972789115524</x:v>
      </x:c>
      <x:c r="T78" s="11" t="n">
        <x:v>1937</x:v>
      </x:c>
      <x:c r="U78" s="11" t="n">
        <x:v>1678</x:v>
      </x:c>
      <x:c r="V78" s="14" t="n">
        <x:v>0.027413587604290822</x:v>
      </x:c>
      <x:c r="W78" s="12" t="n">
        <x:v>6.3319427890345645</x:v>
      </x:c>
      <x:c r="X78" s="11" t="n">
        <x:v>37</x:v>
      </x:c>
      <x:c r="Y78" s="11" t="n">
        <x:v>45</x:v>
      </x:c>
      <x:c r="Z78" s="4" t="str">
        <x:v>https://blog.skyairline.com/asistencia-al-viajero/</x:v>
      </x:c>
      <x:c r="AA78" s="4" t="str">
        <x:v>https://blog.skyairline.com/asistencia-al-viajero/</x:v>
      </x:c>
      <x:c r="AB78" s="4" t="str">
        <x:v>Coincidencia URL</x:v>
      </x:c>
      <x:c r="AC78" s="4" t="str">
        <x:v>Publicado hasta septiembre</x:v>
      </x:c>
      <x:c r="AD78" s="4" t="str">
        <x:v>/asistencia-al-viajero/</x:v>
      </x:c>
      <x:c r="AE78" s="4"/>
      <x:c r="AF78" s="16" t="b">
        <x:v>0</x:v>
      </x:c>
    </x:row>
    <x:row r="79" ht="44" customHeight="1">
      <x:c r="A79" s="4" t="n">
        <x:v>8039</x:v>
      </x:c>
      <x:c r="B79" s="4" t="str">
        <x:v>https://blog.skyairline.com/aeropuerto-temuco/</x:v>
      </x:c>
      <x:c r="C79" s="9" t="str">
        <x:v>Aeropuerto Temuco: tu puerta de entrada al corazón de la Araucanía</x:v>
      </x:c>
      <x:c r="D79" s="17" t="d">
        <x:v>2025-12-27T00:00:00.000Z</x:v>
      </x:c>
      <x:c r="E79" s="17" t="d">
        <x:v>2025-12-23T00:00:00.000Z</x:v>
      </x:c>
      <x:c r="F79" s="4" t="str">
        <x:v>Planificación de Viaje</x:v>
      </x:c>
      <x:c r="G79" s="11" t="n">
        <x:v>1065</x:v>
      </x:c>
      <x:c r="H79" s="11" t="n">
        <x:v>200</x:v>
      </x:c>
      <x:c r="I79" s="11" t="n">
        <x:v>1</x:v>
      </x:c>
      <x:c r="J79" s="4" t="str">
        <x:v>https://blog.skyairline.com/aeropuerto-temuco/</x:v>
      </x:c>
      <x:c r="K79" s="16" t="b">
        <x:v>0</x:v>
      </x:c>
      <x:c r="L79" s="11" t="n">
        <x:v>0</x:v>
      </x:c>
      <x:c r="M79" s="11" t="n">
        <x:v>0</x:v>
      </x:c>
      <x:c r="N79" s="4"/>
      <x:c r="O79" s="4"/>
      <x:c r="P79" s="11" t="n">
        <x:v>50</x:v>
      </x:c>
      <x:c r="Q79" s="11" t="n">
        <x:v>45</x:v>
      </x:c>
      <x:c r="R79" s="11" t="n">
        <x:f>IF(OR(P79="",Q79=""),"",Q79-P79)</x:f>
        <x:v>-5</x:v>
      </x:c>
      <x:c r="S79" s="13" t="n">
        <x:f>IF(OR(P79="",Q79="",P79=0),"",((Q79/30)/(P79/31))-1)</x:f>
        <x:v>-0.06999999999999995</x:v>
      </x:c>
      <x:c r="T79" s="11" t="n">
        <x:v>10712</x:v>
      </x:c>
      <x:c r="U79" s="11" t="n">
        <x:v>10772</x:v>
      </x:c>
      <x:c r="V79" s="14" t="n">
        <x:v>0.004177497215001857</x:v>
      </x:c>
      <x:c r="W79" s="12" t="n">
        <x:v>7.392684738210175</x:v>
      </x:c>
      <x:c r="X79" s="11" t="n">
        <x:v>56</x:v>
      </x:c>
      <x:c r="Y79" s="11" t="n">
        <x:v>69</x:v>
      </x:c>
      <x:c r="Z79" s="4" t="str">
        <x:v>https://blog.skyairline.com/aeropuerto-temuco/</x:v>
      </x:c>
      <x:c r="AA79" s="4" t="str">
        <x:v>https://blog.skyairline.com/aeropuerto-temuco/</x:v>
      </x:c>
      <x:c r="AB79" s="4" t="str">
        <x:v>Coincidencia URL</x:v>
      </x:c>
      <x:c r="AC79" s="4" t="str">
        <x:v>Publicado hasta septiembre</x:v>
      </x:c>
      <x:c r="AD79" s="4" t="str">
        <x:v>/aeropuerto-temuco/</x:v>
      </x:c>
      <x:c r="AE79" s="4"/>
      <x:c r="AF79" s="16" t="b">
        <x:v>0</x:v>
      </x:c>
    </x:row>
    <x:row r="80" ht="44" customHeight="1">
      <x:c r="A80" s="4" t="n">
        <x:v>8073</x:v>
      </x:c>
      <x:c r="B80" s="4" t="str">
        <x:v>https://blog.skyairline.com/donde-queda-punta-cana/</x:v>
      </x:c>
      <x:c r="C80" s="9" t="str">
        <x:v>¿Dónde queda Punta Cana y cómo llegar a este paraíso del Caribe?</x:v>
      </x:c>
      <x:c r="D80" s="17" t="d">
        <x:v>2026-01-02T00:00:00.000Z</x:v>
      </x:c>
      <x:c r="E80" s="17" t="d">
        <x:v>2025-12-29T00:00:00.000Z</x:v>
      </x:c>
      <x:c r="F80" s="4" t="str">
        <x:v>Destinos</x:v>
      </x:c>
      <x:c r="G80" s="11" t="n">
        <x:v>1023</x:v>
      </x:c>
      <x:c r="H80" s="11" t="n">
        <x:v>200</x:v>
      </x:c>
      <x:c r="I80" s="11" t="n">
        <x:v>1</x:v>
      </x:c>
      <x:c r="J80" s="4" t="str">
        <x:v>https://blog.skyairline.com/donde-queda-punta-cana/</x:v>
      </x:c>
      <x:c r="K80" s="16" t="b">
        <x:v>0</x:v>
      </x:c>
      <x:c r="L80" s="11" t="n">
        <x:v>0</x:v>
      </x:c>
      <x:c r="M80" s="11" t="n">
        <x:v>0</x:v>
      </x:c>
      <x:c r="N80" s="4"/>
      <x:c r="O80" s="4"/>
      <x:c r="P80" s="11" t="n">
        <x:v>142</x:v>
      </x:c>
      <x:c r="Q80" s="11" t="n">
        <x:v>45</x:v>
      </x:c>
      <x:c r="R80" s="11" t="n">
        <x:f>IF(OR(P80="",Q80=""),"",Q80-P80)</x:f>
        <x:v>-97</x:v>
      </x:c>
      <x:c r="S80" s="13" t="n">
        <x:f>IF(OR(P80="",Q80="",P80=0),"",((Q80/30)/(P80/31))-1)</x:f>
        <x:v>-0.6725352112676057</x:v>
      </x:c>
      <x:c r="T80" s="11" t="n">
        <x:v>39926</x:v>
      </x:c>
      <x:c r="U80" s="11" t="n">
        <x:v>21277</x:v>
      </x:c>
      <x:c r="V80" s="14" t="n">
        <x:v>0.0021149598157635006</x:v>
      </x:c>
      <x:c r="W80" s="12" t="n">
        <x:v>9.129905531794895</x:v>
      </x:c>
      <x:c r="X80" s="11" t="n">
        <x:v>62</x:v>
      </x:c>
      <x:c r="Y80" s="11" t="n">
        <x:v>74</x:v>
      </x:c>
      <x:c r="Z80" s="4" t="str">
        <x:v>https://blog.skyairline.com/donde-queda-punta-cana/</x:v>
      </x:c>
      <x:c r="AA80" s="4" t="str">
        <x:v>https://blog.skyairline.com/donde-queda-punta-cana/
https://blog.skyairline.com/donde-queda-punta-cana</x:v>
      </x:c>
      <x:c r="AB80" s="4" t="str">
        <x:v>Alias slash agregado</x:v>
      </x:c>
      <x:c r="AC80" s="4" t="str">
        <x:v>Publicado hasta septiembre</x:v>
      </x:c>
      <x:c r="AD80" s="4" t="str">
        <x:v>/donde-queda-punta-cana/</x:v>
      </x:c>
      <x:c r="AE80" s="4"/>
      <x:c r="AF80" s="16" t="b">
        <x:v>0</x:v>
      </x:c>
    </x:row>
    <x:row r="81" ht="44" customHeight="1">
      <x:c r="A81" s="4" t="n">
        <x:v>8878</x:v>
      </x:c>
      <x:c r="B81" s="4" t="str">
        <x:v>https://blog.skyairline.com/clima-florianopolis/</x:v>
      </x:c>
      <x:c r="C81" s="9" t="str">
        <x:v>Clima Florianópolis, cuál es la mejor época del año para viajar</x:v>
      </x:c>
      <x:c r="D81" s="17" t="d">
        <x:v>2026-06-12T00:00:00.000Z</x:v>
      </x:c>
      <x:c r="E81" s="17" t="d">
        <x:v>2026-06-05T00:00:00.000Z</x:v>
      </x:c>
      <x:c r="F81" s="4" t="str">
        <x:v>Destinos</x:v>
      </x:c>
      <x:c r="G81" s="11" t="n">
        <x:v>1006</x:v>
      </x:c>
      <x:c r="H81" s="11" t="n">
        <x:v>200</x:v>
      </x:c>
      <x:c r="I81" s="11" t="n">
        <x:v>1</x:v>
      </x:c>
      <x:c r="J81" s="4" t="str">
        <x:v>https://blog.skyairline.com/clima-florianopolis/</x:v>
      </x:c>
      <x:c r="K81" s="16" t="b">
        <x:v>0</x:v>
      </x:c>
      <x:c r="L81" s="11" t="n">
        <x:v>0</x:v>
      </x:c>
      <x:c r="M81" s="11" t="n">
        <x:v>0</x:v>
      </x:c>
      <x:c r="N81" s="4"/>
      <x:c r="O81" s="4"/>
      <x:c r="P81" s="11" t="n">
        <x:v>51</x:v>
      </x:c>
      <x:c r="Q81" s="11" t="n">
        <x:v>45</x:v>
      </x:c>
      <x:c r="R81" s="11" t="n">
        <x:f>IF(OR(P81="",Q81=""),"",Q81-P81)</x:f>
        <x:v>-6</x:v>
      </x:c>
      <x:c r="S81" s="13" t="n">
        <x:f>IF(OR(P81="",Q81="",P81=0),"",((Q81/30)/(P81/31))-1)</x:f>
        <x:v>-0.08823529411764708</x:v>
      </x:c>
      <x:c r="T81" s="11" t="n">
        <x:v>8554</x:v>
      </x:c>
      <x:c r="U81" s="11" t="n">
        <x:v>9950</x:v>
      </x:c>
      <x:c r="V81" s="14" t="n">
        <x:v>0.004522613065326633</x:v>
      </x:c>
      <x:c r="W81" s="12" t="n">
        <x:v>8.059597989949747</x:v>
      </x:c>
      <x:c r="X81" s="11" t="n">
        <x:v>62</x:v>
      </x:c>
      <x:c r="Y81" s="11" t="n">
        <x:v>71</x:v>
      </x:c>
      <x:c r="Z81" s="4" t="str">
        <x:v>https://blog.skyairline.com/clima-florianopolis/</x:v>
      </x:c>
      <x:c r="AA81" s="4" t="str">
        <x:v>https://blog.skyairline.com/clima-florianopolis/
https://blog.skyairline.com/clima-florianopolis</x:v>
      </x:c>
      <x:c r="AB81" s="4" t="str">
        <x:v>Alias slash agregado</x:v>
      </x:c>
      <x:c r="AC81" s="4" t="str">
        <x:v>Publicado hasta septiembre</x:v>
      </x:c>
      <x:c r="AD81" s="4" t="str">
        <x:v>/clima-florianopolis/</x:v>
      </x:c>
      <x:c r="AE81" s="4"/>
      <x:c r="AF81" s="16" t="b">
        <x:v>0</x:v>
      </x:c>
    </x:row>
    <x:row r="82" ht="44" customHeight="1">
      <x:c r="A82" s="4" t="n">
        <x:v>4287</x:v>
      </x:c>
      <x:c r="B82" s="4" t="str">
        <x:v>https://blog.skyairline.com/lugares-nieve-chile/</x:v>
      </x:c>
      <x:c r="C82" s="9" t="str">
        <x:v>¿Dónde se encuentran los mejores lugares de nieve en Chile?</x:v>
      </x:c>
      <x:c r="D82" s="17" t="d">
        <x:v>2026-09-29T00:00:00.000Z</x:v>
      </x:c>
      <x:c r="E82" s="17" t="d">
        <x:v>2026-09-21T00:00:00.000Z</x:v>
      </x:c>
      <x:c r="F82" s="4" t="str">
        <x:v>Destinos</x:v>
      </x:c>
      <x:c r="G82" s="11" t="n">
        <x:v>1014</x:v>
      </x:c>
      <x:c r="H82" s="11" t="n">
        <x:v>200</x:v>
      </x:c>
      <x:c r="I82" s="11" t="n">
        <x:v>1</x:v>
      </x:c>
      <x:c r="J82" s="4" t="str">
        <x:v>https://blog.skyairline.com/lugares-nieve-chile/</x:v>
      </x:c>
      <x:c r="K82" s="16" t="b">
        <x:v>0</x:v>
      </x:c>
      <x:c r="L82" s="11" t="n">
        <x:v>0</x:v>
      </x:c>
      <x:c r="M82" s="11" t="n">
        <x:v>0</x:v>
      </x:c>
      <x:c r="N82" s="4"/>
      <x:c r="O82" s="4"/>
      <x:c r="P82" s="11" t="n">
        <x:v>84</x:v>
      </x:c>
      <x:c r="Q82" s="11" t="n">
        <x:v>44</x:v>
      </x:c>
      <x:c r="R82" s="11" t="n">
        <x:f>IF(OR(P82="",Q82=""),"",Q82-P82)</x:f>
        <x:v>-40</x:v>
      </x:c>
      <x:c r="S82" s="13" t="n">
        <x:f>IF(OR(P82="",Q82="",P82=0),"",((Q82/30)/(P82/31))-1)</x:f>
        <x:v>-0.45873015873015877</x:v>
      </x:c>
      <x:c r="T82" s="11" t="n">
        <x:v>11067</x:v>
      </x:c>
      <x:c r="U82" s="11" t="n">
        <x:v>4339</x:v>
      </x:c>
      <x:c r="V82" s="14" t="n">
        <x:v>0.010140585388338327</x:v>
      </x:c>
      <x:c r="W82" s="12" t="n">
        <x:v>8.96658216178843</x:v>
      </x:c>
      <x:c r="X82" s="11" t="n">
        <x:v>54</x:v>
      </x:c>
      <x:c r="Y82" s="11" t="n">
        <x:v>57</x:v>
      </x:c>
      <x:c r="Z82" s="4" t="str">
        <x:v>https://blog.skyairline.com/lugares-nieve-chile/</x:v>
      </x:c>
      <x:c r="AA82" s="4" t="str">
        <x:v>https://blog.skyairline.com/lugares-nieve-chile/</x:v>
      </x:c>
      <x:c r="AB82" s="4" t="str">
        <x:v>Coincidencia URL</x:v>
      </x:c>
      <x:c r="AC82" s="4" t="str">
        <x:v>Publicado hasta septiembre</x:v>
      </x:c>
      <x:c r="AD82" s="4" t="str">
        <x:v>/lugares-nieve-chile/</x:v>
      </x:c>
      <x:c r="AE82" s="4"/>
      <x:c r="AF82" s="16" t="b">
        <x:v>0</x:v>
      </x:c>
    </x:row>
    <x:row r="83" ht="44" customHeight="1">
      <x:c r="A83" s="4" t="n">
        <x:v>4220</x:v>
      </x:c>
      <x:c r="B83" s="4" t="str">
        <x:v>https://blog.skyairline.com/aeropuerto-santiago/</x:v>
      </x:c>
      <x:c r="C83" s="9" t="str">
        <x:v>Guía práctica de cómo llegar al aeropuerto de Santiago</x:v>
      </x:c>
      <x:c r="D83" s="17" t="d">
        <x:v>2024-04-10T00:00:00.000Z</x:v>
      </x:c>
      <x:c r="E83" s="17" t="d">
        <x:v>2024-04-10T00:00:00.000Z</x:v>
      </x:c>
      <x:c r="F83" s="4" t="str">
        <x:v>Planificación de Viaje</x:v>
      </x:c>
      <x:c r="G83" s="11" t="n">
        <x:v>1096</x:v>
      </x:c>
      <x:c r="H83" s="11" t="n">
        <x:v>200</x:v>
      </x:c>
      <x:c r="I83" s="11" t="n">
        <x:v>1</x:v>
      </x:c>
      <x:c r="J83" s="4" t="str">
        <x:v>https://blog.skyairline.com/aeropuerto-santiago/</x:v>
      </x:c>
      <x:c r="K83" s="16" t="b">
        <x:v>0</x:v>
      </x:c>
      <x:c r="L83" s="11" t="n">
        <x:v>0</x:v>
      </x:c>
      <x:c r="M83" s="11" t="n">
        <x:v>3</x:v>
      </x:c>
      <x:c r="N83" s="4"/>
      <x:c r="O83" s="4"/>
      <x:c r="P83" s="11" t="n">
        <x:v>47</x:v>
      </x:c>
      <x:c r="Q83" s="11" t="n">
        <x:v>43</x:v>
      </x:c>
      <x:c r="R83" s="11" t="n">
        <x:f>IF(OR(P83="",Q83=""),"",Q83-P83)</x:f>
        <x:v>-4</x:v>
      </x:c>
      <x:c r="S83" s="13" t="n">
        <x:f>IF(OR(P83="",Q83="",P83=0),"",((Q83/30)/(P83/31))-1)</x:f>
        <x:v>-0.05460992907801421</x:v>
      </x:c>
      <x:c r="T83" s="11" t="n">
        <x:v>6547</x:v>
      </x:c>
      <x:c r="U83" s="11" t="n">
        <x:v>6285</x:v>
      </x:c>
      <x:c r="V83" s="14" t="n">
        <x:v>0.006841686555290374</x:v>
      </x:c>
      <x:c r="W83" s="12" t="n">
        <x:v>8.104216388225936</x:v>
      </x:c>
      <x:c r="X83" s="11" t="n">
        <x:v>50</x:v>
      </x:c>
      <x:c r="Y83" s="11" t="n">
        <x:v>53</x:v>
      </x:c>
      <x:c r="Z83" s="4" t="str">
        <x:v>https://blog.skyairline.com/aeropuerto-santiago/</x:v>
      </x:c>
      <x:c r="AA83" s="4" t="str">
        <x:v>https://blog.skyairline.com/aeropuerto-santiago/</x:v>
      </x:c>
      <x:c r="AB83" s="4" t="str">
        <x:v>Coincidencia URL</x:v>
      </x:c>
      <x:c r="AC83" s="4" t="str">
        <x:v>Publicado hasta septiembre</x:v>
      </x:c>
      <x:c r="AD83" s="4" t="str">
        <x:v>/aeropuerto-santiago/</x:v>
      </x:c>
      <x:c r="AE83" s="4"/>
      <x:c r="AF83" s="16" t="b">
        <x:v>1</x:v>
      </x:c>
    </x:row>
    <x:row r="84" ht="44" customHeight="1">
      <x:c r="A84" s="4" t="n">
        <x:v>8795</x:v>
      </x:c>
      <x:c r="B84" s="4" t="str">
        <x:v>https://blog.skyairline.com/viaje-a-peru/</x:v>
      </x:c>
      <x:c r="C84" s="9" t="str">
        <x:v>Viaje a Perú: ¿Cuáles son los requisitos para entrar al país?</x:v>
      </x:c>
      <x:c r="D84" s="17" t="d">
        <x:v>2026-05-29T00:00:00.000Z</x:v>
      </x:c>
      <x:c r="E84" s="17" t="d">
        <x:v>2026-05-27T00:00:00.000Z</x:v>
      </x:c>
      <x:c r="F84" s="4" t="str">
        <x:v>Planificación de Viaje</x:v>
      </x:c>
      <x:c r="G84" s="11" t="n">
        <x:v>1042</x:v>
      </x:c>
      <x:c r="H84" s="11" t="n">
        <x:v>200</x:v>
      </x:c>
      <x:c r="I84" s="11" t="n">
        <x:v>1</x:v>
      </x:c>
      <x:c r="J84" s="4" t="str">
        <x:v>https://blog.skyairline.com/viaje-a-peru/</x:v>
      </x:c>
      <x:c r="K84" s="16" t="b">
        <x:v>0</x:v>
      </x:c>
      <x:c r="L84" s="11" t="n">
        <x:v>0</x:v>
      </x:c>
      <x:c r="M84" s="11" t="n">
        <x:v>0</x:v>
      </x:c>
      <x:c r="N84" s="4"/>
      <x:c r="O84" s="4"/>
      <x:c r="P84" s="11" t="n">
        <x:v>21</x:v>
      </x:c>
      <x:c r="Q84" s="11" t="n">
        <x:v>42</x:v>
      </x:c>
      <x:c r="R84" s="11" t="n">
        <x:f>IF(OR(P84="",Q84=""),"",Q84-P84)</x:f>
        <x:v>21</x:v>
      </x:c>
      <x:c r="S84" s="13" t="n">
        <x:f>IF(OR(P84="",Q84="",P84=0),"",((Q84/30)/(P84/31))-1)</x:f>
        <x:v>1.0666666666666669</x:v>
      </x:c>
      <x:c r="T84" s="11" t="n">
        <x:v>4828</x:v>
      </x:c>
      <x:c r="U84" s="11" t="n">
        <x:v>4967</x:v>
      </x:c>
      <x:c r="V84" s="14" t="n">
        <x:v>0.008455808335011073</x:v>
      </x:c>
      <x:c r="W84" s="12" t="n">
        <x:v>6.983893698409503</x:v>
      </x:c>
      <x:c r="X84" s="11" t="n">
        <x:v>53</x:v>
      </x:c>
      <x:c r="Y84" s="11" t="n">
        <x:v>58</x:v>
      </x:c>
      <x:c r="Z84" s="4" t="str">
        <x:v>https://blog.skyairline.com/viaje-a-peru/</x:v>
      </x:c>
      <x:c r="AA84" s="4" t="str">
        <x:v>https://blog.skyairline.com/viaje-a-peru/</x:v>
      </x:c>
      <x:c r="AB84" s="4" t="str">
        <x:v>Coincidencia URL</x:v>
      </x:c>
      <x:c r="AC84" s="4" t="str">
        <x:v>Publicado hasta septiembre</x:v>
      </x:c>
      <x:c r="AD84" s="4" t="str">
        <x:v>/viaje-a-peru/</x:v>
      </x:c>
      <x:c r="AE84" s="4"/>
      <x:c r="AF84" s="16" t="b">
        <x:v>0</x:v>
      </x:c>
    </x:row>
    <x:row r="85" ht="44" customHeight="1">
      <x:c r="A85" s="4" t="n">
        <x:v>8653</x:v>
      </x:c>
      <x:c r="B85" s="4" t="str">
        <x:v>https://blog.skyairline.com/estacionamiento-aeropuerto-santiago/</x:v>
      </x:c>
      <x:c r="C85" s="9" t="str">
        <x:v>Estacionamiento en el Aeropuerto de Santiago: opciones, consejos y cómo elegir</x:v>
      </x:c>
      <x:c r="D85" s="17" t="d">
        <x:v>2026-04-16T00:00:00.000Z</x:v>
      </x:c>
      <x:c r="E85" s="17" t="d">
        <x:v>2026-04-14T00:00:00.000Z</x:v>
      </x:c>
      <x:c r="F85" s="4" t="str">
        <x:v>Planificación de Viaje</x:v>
      </x:c>
      <x:c r="G85" s="11" t="n">
        <x:v>948</x:v>
      </x:c>
      <x:c r="H85" s="11" t="n">
        <x:v>200</x:v>
      </x:c>
      <x:c r="I85" s="11" t="n">
        <x:v>1</x:v>
      </x:c>
      <x:c r="J85" s="4" t="str">
        <x:v>https://blog.skyairline.com/estacionamiento-aeropuerto-santiago/</x:v>
      </x:c>
      <x:c r="K85" s="16" t="b">
        <x:v>0</x:v>
      </x:c>
      <x:c r="L85" s="11" t="n">
        <x:v>0</x:v>
      </x:c>
      <x:c r="M85" s="11" t="n">
        <x:v>0</x:v>
      </x:c>
      <x:c r="N85" s="4"/>
      <x:c r="O85" s="4"/>
      <x:c r="P85" s="11" t="n">
        <x:v>32</x:v>
      </x:c>
      <x:c r="Q85" s="11" t="n">
        <x:v>41</x:v>
      </x:c>
      <x:c r="R85" s="11" t="n">
        <x:f>IF(OR(P85="",Q85=""),"",Q85-P85)</x:f>
        <x:v>9</x:v>
      </x:c>
      <x:c r="S85" s="13" t="n">
        <x:f>IF(OR(P85="",Q85="",P85=0),"",((Q85/30)/(P85/31))-1)</x:f>
        <x:v>0.32395833333333335</x:v>
      </x:c>
      <x:c r="T85" s="11" t="n">
        <x:v>4077</x:v>
      </x:c>
      <x:c r="U85" s="11" t="n">
        <x:v>6831</x:v>
      </x:c>
      <x:c r="V85" s="14" t="n">
        <x:v>0.00600204948031035</x:v>
      </x:c>
      <x:c r="W85" s="12" t="n">
        <x:v>9.39862392036305</x:v>
      </x:c>
      <x:c r="X85" s="11" t="n">
        <x:v>44</x:v>
      </x:c>
      <x:c r="Y85" s="11" t="n">
        <x:v>60</x:v>
      </x:c>
      <x:c r="Z85" s="4" t="str">
        <x:v>https://blog.skyairline.com/estacionamiento-aeropuerto-santiago/</x:v>
      </x:c>
      <x:c r="AA85" s="4" t="str">
        <x:v>https://blog.skyairline.com/estacionamiento-aeropuerto-santiago/</x:v>
      </x:c>
      <x:c r="AB85" s="4" t="str">
        <x:v>Coincidencia URL</x:v>
      </x:c>
      <x:c r="AC85" s="4" t="str">
        <x:v>Publicado hasta septiembre</x:v>
      </x:c>
      <x:c r="AD85" s="4" t="str">
        <x:v>/estacionamiento-aeropuerto-santiago/</x:v>
      </x:c>
      <x:c r="AE85" s="4"/>
      <x:c r="AF85" s="16" t="b">
        <x:v>0</x:v>
      </x:c>
    </x:row>
    <x:row r="86" ht="44" customHeight="1">
      <x:c r="A86" s="4" t="n">
        <x:v>2991</x:v>
      </x:c>
      <x:c r="B86" s="4" t="str">
        <x:v>https://blog.skyairline.com/estado-de-vuelo/</x:v>
      </x:c>
      <x:c r="C86" s="9" t="str">
        <x:v>Estado de vuelo: ¿qué es y cómo consultarlo?</x:v>
      </x:c>
      <x:c r="D86" s="17" t="d">
        <x:v>2024-12-19T00:00:00.000Z</x:v>
      </x:c>
      <x:c r="E86" s="17" t="d">
        <x:v>2024-12-19T00:00:00.000Z</x:v>
      </x:c>
      <x:c r="F86" s="4" t="str">
        <x:v>Planificación de Viaje</x:v>
      </x:c>
      <x:c r="G86" s="11" t="n">
        <x:v>2049</x:v>
      </x:c>
      <x:c r="H86" s="11" t="n">
        <x:v>200</x:v>
      </x:c>
      <x:c r="I86" s="11" t="n">
        <x:v>1</x:v>
      </x:c>
      <x:c r="J86" s="4" t="str">
        <x:v>https://blog.skyairline.com/estado-de-vuelo/</x:v>
      </x:c>
      <x:c r="K86" s="16" t="b">
        <x:v>0</x:v>
      </x:c>
      <x:c r="L86" s="11" t="n">
        <x:v>0</x:v>
      </x:c>
      <x:c r="M86" s="11" t="n">
        <x:v>3</x:v>
      </x:c>
      <x:c r="N86" s="4"/>
      <x:c r="O86" s="4"/>
      <x:c r="P86" s="11" t="n">
        <x:v>42</x:v>
      </x:c>
      <x:c r="Q86" s="11" t="n">
        <x:v>39</x:v>
      </x:c>
      <x:c r="R86" s="11" t="n">
        <x:f>IF(OR(P86="",Q86=""),"",Q86-P86)</x:f>
        <x:v>-3</x:v>
      </x:c>
      <x:c r="S86" s="13" t="n">
        <x:f>IF(OR(P86="",Q86="",P86=0),"",((Q86/30)/(P86/31))-1)</x:f>
        <x:v>-0.04047619047619033</x:v>
      </x:c>
      <x:c r="T86" s="11" t="n">
        <x:v>7044</x:v>
      </x:c>
      <x:c r="U86" s="11" t="n">
        <x:v>5412</x:v>
      </x:c>
      <x:c r="V86" s="14" t="n">
        <x:v>0.007206208425720621</x:v>
      </x:c>
      <x:c r="W86" s="12" t="n">
        <x:v>7.485218033998522</x:v>
      </x:c>
      <x:c r="X86" s="11" t="n">
        <x:v>37</x:v>
      </x:c>
      <x:c r="Y86" s="11" t="n">
        <x:v>59</x:v>
      </x:c>
      <x:c r="Z86" s="4" t="str">
        <x:v>https://blog.skyairline.com/estado-de-vuelo/</x:v>
      </x:c>
      <x:c r="AA86" s="4" t="str">
        <x:v>https://blog.skyairline.com/estado-de-vuelo/</x:v>
      </x:c>
      <x:c r="AB86" s="4" t="str">
        <x:v>Coincidencia URL</x:v>
      </x:c>
      <x:c r="AC86" s="4" t="str">
        <x:v>Publicado hasta septiembre</x:v>
      </x:c>
      <x:c r="AD86" s="4" t="str">
        <x:v>/estado-de-vuelo/</x:v>
      </x:c>
      <x:c r="AE86" s="4"/>
      <x:c r="AF86" s="16" t="b">
        <x:v>1</x:v>
      </x:c>
    </x:row>
    <x:row r="87" ht="44" customHeight="1">
      <x:c r="A87" s="4" t="n">
        <x:v>3878</x:v>
      </x:c>
      <x:c r="B87" s="4" t="str">
        <x:v>https://blog.skyairline.com/salvador-de-bahia/</x:v>
      </x:c>
      <x:c r="C87" s="9" t="str">
        <x:v>¿Salvador de Bahía es peligroso?: Consejos para visitarlo</x:v>
      </x:c>
      <x:c r="D87" s="17" t="d">
        <x:v>2023-12-24T00:00:00.000Z</x:v>
      </x:c>
      <x:c r="E87" s="17" t="d">
        <x:v>2023-12-24T00:00:00.000Z</x:v>
      </x:c>
      <x:c r="F87" s="4" t="str">
        <x:v>Destinos</x:v>
      </x:c>
      <x:c r="G87" s="11" t="n">
        <x:v>1211</x:v>
      </x:c>
      <x:c r="H87" s="11" t="n">
        <x:v>200</x:v>
      </x:c>
      <x:c r="I87" s="11" t="n">
        <x:v>1</x:v>
      </x:c>
      <x:c r="J87" s="4" t="str">
        <x:v>https://blog.skyairline.com/salvador-de-bahia/</x:v>
      </x:c>
      <x:c r="K87" s="16" t="b">
        <x:v>0</x:v>
      </x:c>
      <x:c r="L87" s="11" t="n">
        <x:v>0</x:v>
      </x:c>
      <x:c r="M87" s="11" t="n">
        <x:v>3</x:v>
      </x:c>
      <x:c r="N87" s="4"/>
      <x:c r="O87" s="4"/>
      <x:c r="P87" s="11" t="n">
        <x:v>56</x:v>
      </x:c>
      <x:c r="Q87" s="11" t="n">
        <x:v>39</x:v>
      </x:c>
      <x:c r="R87" s="11" t="n">
        <x:f>IF(OR(P87="",Q87=""),"",Q87-P87)</x:f>
        <x:v>-17</x:v>
      </x:c>
      <x:c r="S87" s="13" t="n">
        <x:f>IF(OR(P87="",Q87="",P87=0),"",((Q87/30)/(P87/31))-1)</x:f>
        <x:v>-0.28035714285714286</x:v>
      </x:c>
      <x:c r="T87" s="11" t="n">
        <x:v>2114</x:v>
      </x:c>
      <x:c r="U87" s="11" t="n">
        <x:v>2369</x:v>
      </x:c>
      <x:c r="V87" s="14" t="n">
        <x:v>0.01646264246517518</x:v>
      </x:c>
      <x:c r="W87" s="12" t="n">
        <x:v>6.81975517095821</x:v>
      </x:c>
      <x:c r="X87" s="11" t="n">
        <x:v>44</x:v>
      </x:c>
      <x:c r="Y87" s="11" t="n">
        <x:v>55</x:v>
      </x:c>
      <x:c r="Z87" s="4" t="str">
        <x:v>https://blog.skyairline.com/salvador-de-bahia/</x:v>
      </x:c>
      <x:c r="AA87" s="4" t="str">
        <x:v>https://blog.skyairline.com/salvador-de-bahia/</x:v>
      </x:c>
      <x:c r="AB87" s="4" t="str">
        <x:v>Coincidencia URL</x:v>
      </x:c>
      <x:c r="AC87" s="4" t="str">
        <x:v>Publicado hasta septiembre</x:v>
      </x:c>
      <x:c r="AD87" s="4" t="str">
        <x:v>/salvador-de-bahia/</x:v>
      </x:c>
      <x:c r="AE87" s="4"/>
      <x:c r="AF87" s="16" t="b">
        <x:v>0</x:v>
      </x:c>
    </x:row>
    <x:row r="88" ht="44" customHeight="1">
      <x:c r="A88" s="4" t="n">
        <x:v>7644</x:v>
      </x:c>
      <x:c r="B88" s="4" t="str">
        <x:v>https://blog.skyairline.com/copec-y-sky-se-unen-para-integrar-chile/</x:v>
      </x:c>
      <x:c r="C88" s="9" t="str">
        <x:v>COPEC y SKY se unen para integrar Chile</x:v>
      </x:c>
      <x:c r="D88" s="17" t="d">
        <x:v>2025-11-11T00:00:00.000Z</x:v>
      </x:c>
      <x:c r="E88" s="17" t="d">
        <x:v>2025-11-11T00:00:00.000Z</x:v>
      </x:c>
      <x:c r="F88" s="4" t="str">
        <x:v>Noticias</x:v>
      </x:c>
      <x:c r="G88" s="11" t="n">
        <x:v>188</x:v>
      </x:c>
      <x:c r="H88" s="11" t="n">
        <x:v>200</x:v>
      </x:c>
      <x:c r="I88" s="11" t="n">
        <x:v>1</x:v>
      </x:c>
      <x:c r="J88" s="4" t="str">
        <x:v>https://blog.skyairline.com/copec-y-sky-se-unen-para-integrar-chile/</x:v>
      </x:c>
      <x:c r="K88" s="16" t="b">
        <x:v>0</x:v>
      </x:c>
      <x:c r="L88" s="11" t="n">
        <x:v>0</x:v>
      </x:c>
      <x:c r="M88" s="11" t="n">
        <x:v>0</x:v>
      </x:c>
      <x:c r="N88" s="4"/>
      <x:c r="O88" s="4"/>
      <x:c r="P88" s="11" t="n">
        <x:v>19</x:v>
      </x:c>
      <x:c r="Q88" s="11" t="n">
        <x:v>39</x:v>
      </x:c>
      <x:c r="R88" s="11" t="n">
        <x:f>IF(OR(P88="",Q88=""),"",Q88-P88)</x:f>
        <x:v>20</x:v>
      </x:c>
      <x:c r="S88" s="13" t="n">
        <x:f>IF(OR(P88="",Q88="",P88=0),"",((Q88/30)/(P88/31))-1)</x:f>
        <x:v>1.1210526315789475</x:v>
      </x:c>
      <x:c r="T88" s="11" t="n">
        <x:v>1039</x:v>
      </x:c>
      <x:c r="U88" s="11" t="n">
        <x:v>963</x:v>
      </x:c>
      <x:c r="V88" s="14" t="n">
        <x:v>0.040498442367601244</x:v>
      </x:c>
      <x:c r="W88" s="12" t="n">
        <x:v>5.33748701973001</x:v>
      </x:c>
      <x:c r="X88" s="11" t="n">
        <x:v>48</x:v>
      </x:c>
      <x:c r="Y88" s="11" t="n">
        <x:v>54</x:v>
      </x:c>
      <x:c r="Z88" s="4" t="str">
        <x:v>https://blog.skyairline.com/copec-y-sky-se-unen-para-integrar-chile/</x:v>
      </x:c>
      <x:c r="AA88" s="4" t="str">
        <x:v>https://blog.skyairline.com/copec-y-sky-se-unen-para-integrar-chile/
https://blog.skyairline.com/copec-y-sky-se-unen-para-integrar-chile</x:v>
      </x:c>
      <x:c r="AB88" s="4" t="str">
        <x:v>Alias slash agregado</x:v>
      </x:c>
      <x:c r="AC88" s="4" t="str">
        <x:v>Publicado hasta septiembre</x:v>
      </x:c>
      <x:c r="AD88" s="4" t="str">
        <x:v>/copec-y-sky-se-unen-para-integrar-chile/</x:v>
      </x:c>
      <x:c r="AE88" s="4"/>
      <x:c r="AF88" s="16" t="b">
        <x:v>0</x:v>
      </x:c>
    </x:row>
    <x:row r="89" ht="44" customHeight="1">
      <x:c r="A89" s="4" t="n">
        <x:v>639</x:v>
      </x:c>
      <x:c r="B89" s="4" t="str">
        <x:v>https://blog.skyairline.com/vuelos-multidestino/</x:v>
      </x:c>
      <x:c r="C89" s="9" t="str">
        <x:v>¿Qué son los vuelos multidestino y cuándo te convienen?</x:v>
      </x:c>
      <x:c r="D89" s="17" t="d">
        <x:v>2021-08-08T00:00:00.000Z</x:v>
      </x:c>
      <x:c r="E89" s="17" t="d">
        <x:v>2021-08-08T00:00:00.000Z</x:v>
      </x:c>
      <x:c r="F89" s="4" t="str">
        <x:v>Destinos</x:v>
      </x:c>
      <x:c r="G89" s="11" t="n">
        <x:v>1008</x:v>
      </x:c>
      <x:c r="H89" s="11" t="n">
        <x:v>200</x:v>
      </x:c>
      <x:c r="I89" s="11" t="n">
        <x:v>1</x:v>
      </x:c>
      <x:c r="J89" s="4" t="str">
        <x:v>https://blog.skyairline.com/vuelos-multidestino/</x:v>
      </x:c>
      <x:c r="K89" s="16" t="b">
        <x:v>0</x:v>
      </x:c>
      <x:c r="L89" s="11" t="n">
        <x:v>0</x:v>
      </x:c>
      <x:c r="M89" s="11" t="n">
        <x:v>0</x:v>
      </x:c>
      <x:c r="N89" s="4"/>
      <x:c r="O89" s="4"/>
      <x:c r="P89" s="11" t="n">
        <x:v>30</x:v>
      </x:c>
      <x:c r="Q89" s="11" t="n">
        <x:v>38</x:v>
      </x:c>
      <x:c r="R89" s="11" t="n">
        <x:f>IF(OR(P89="",Q89=""),"",Q89-P89)</x:f>
        <x:v>8</x:v>
      </x:c>
      <x:c r="S89" s="13" t="n">
        <x:f>IF(OR(P89="",Q89="",P89=0),"",((Q89/30)/(P89/31))-1)</x:f>
        <x:v>0.30888888888888877</x:v>
      </x:c>
      <x:c r="T89" s="11" t="n">
        <x:v>1706</x:v>
      </x:c>
      <x:c r="U89" s="11" t="n">
        <x:v>1629</x:v>
      </x:c>
      <x:c r="V89" s="14" t="n">
        <x:v>0.02332719459791283</x:v>
      </x:c>
      <x:c r="W89" s="12" t="n">
        <x:v>8.954573357888275</x:v>
      </x:c>
      <x:c r="X89" s="11" t="n">
        <x:v>29</x:v>
      </x:c>
      <x:c r="Y89" s="11" t="n">
        <x:v>38</x:v>
      </x:c>
      <x:c r="Z89" s="4" t="str">
        <x:v>https://blog.skyairline.com/vuelos-multidestino/</x:v>
      </x:c>
      <x:c r="AA89" s="4" t="str">
        <x:v>https://blog.skyairline.com/vuelos-multidestino/</x:v>
      </x:c>
      <x:c r="AB89" s="4" t="str">
        <x:v>Coincidencia URL</x:v>
      </x:c>
      <x:c r="AC89" s="4" t="str">
        <x:v>Publicado hasta septiembre</x:v>
      </x:c>
      <x:c r="AD89" s="4" t="str">
        <x:v>/vuelos-multidestino/</x:v>
      </x:c>
      <x:c r="AE89" s="4"/>
      <x:c r="AF89" s="16" t="b">
        <x:v>0</x:v>
      </x:c>
    </x:row>
    <x:row r="90" ht="44" customHeight="1">
      <x:c r="A90" s="4" t="n">
        <x:v>6219</x:v>
      </x:c>
      <x:c r="B90" s="4" t="str">
        <x:v>https://blog.skyairline.com/aeropuertos-en-el-sur-de-chile/</x:v>
      </x:c>
      <x:c r="C90" s="9" t="str">
        <x:v>Aeropuertos en el sur de Chile: ¿dónde comenzar tu aventura?</x:v>
      </x:c>
      <x:c r="D90" s="17" t="d">
        <x:v>2025-06-17T00:00:00.000Z</x:v>
      </x:c>
      <x:c r="E90" s="17" t="d">
        <x:v>2026-01-19T00:00:00.000Z</x:v>
      </x:c>
      <x:c r="F90" s="4" t="str">
        <x:v>Planificación de Viaje</x:v>
      </x:c>
      <x:c r="G90" s="11" t="n">
        <x:v>1321</x:v>
      </x:c>
      <x:c r="H90" s="11" t="n">
        <x:v>200</x:v>
      </x:c>
      <x:c r="I90" s="11" t="n">
        <x:v>1</x:v>
      </x:c>
      <x:c r="J90" s="4" t="str">
        <x:v>https://blog.skyairline.com/aeropuertos-en-el-sur-de-chile/</x:v>
      </x:c>
      <x:c r="K90" s="16" t="b">
        <x:v>0</x:v>
      </x:c>
      <x:c r="L90" s="11" t="n">
        <x:v>0</x:v>
      </x:c>
      <x:c r="M90" s="11" t="n">
        <x:v>3</x:v>
      </x:c>
      <x:c r="N90" s="4"/>
      <x:c r="O90" s="4"/>
      <x:c r="P90" s="11" t="n">
        <x:v>55</x:v>
      </x:c>
      <x:c r="Q90" s="11" t="n">
        <x:v>37</x:v>
      </x:c>
      <x:c r="R90" s="11" t="n">
        <x:f>IF(OR(P90="",Q90=""),"",Q90-P90)</x:f>
        <x:v>-18</x:v>
      </x:c>
      <x:c r="S90" s="13" t="n">
        <x:f>IF(OR(P90="",Q90="",P90=0),"",((Q90/30)/(P90/31))-1)</x:f>
        <x:v>-0.3048484848484848</x:v>
      </x:c>
      <x:c r="T90" s="11" t="n">
        <x:v>4265</x:v>
      </x:c>
      <x:c r="U90" s="11" t="n">
        <x:v>3937</x:v>
      </x:c>
      <x:c r="V90" s="14" t="n">
        <x:v>0.009398018796037593</x:v>
      </x:c>
      <x:c r="W90" s="12" t="n">
        <x:v>6.0467360934721865</x:v>
      </x:c>
      <x:c r="X90" s="11" t="n">
        <x:v>44</x:v>
      </x:c>
      <x:c r="Y90" s="11" t="n">
        <x:v>50</x:v>
      </x:c>
      <x:c r="Z90" s="4" t="str">
        <x:v>https://blog.skyairline.com/aeropuertos-en-el-sur-de-chile/</x:v>
      </x:c>
      <x:c r="AA90" s="4" t="str">
        <x:v>https://blog.skyairline.com/aeropuertos-en-el-sur-de-chile/</x:v>
      </x:c>
      <x:c r="AB90" s="4" t="str">
        <x:v>Coincidencia URL</x:v>
      </x:c>
      <x:c r="AC90" s="4" t="str">
        <x:v>Publicado hasta septiembre</x:v>
      </x:c>
      <x:c r="AD90" s="4" t="str">
        <x:v>/aeropuertos-en-el-sur-de-chile/</x:v>
      </x:c>
      <x:c r="AE90" s="4"/>
      <x:c r="AF90" s="16" t="b">
        <x:v>0</x:v>
      </x:c>
    </x:row>
    <x:row r="91" ht="44" customHeight="1">
      <x:c r="A91" s="4" t="n">
        <x:v>6529</x:v>
      </x:c>
      <x:c r="B91" s="4" t="str">
        <x:v>https://blog.skyairline.com/florianopolis-a-rio-de-janeiro/</x:v>
      </x:c>
      <x:c r="C91" s="9" t="str">
        <x:v>Guía para viajar de Florianópolis a Río de Janeiro sin estrés</x:v>
      </x:c>
      <x:c r="D91" s="17" t="d">
        <x:v>2025-09-02T00:00:00.000Z</x:v>
      </x:c>
      <x:c r="E91" s="17" t="d">
        <x:v>2025-09-02T00:00:00.000Z</x:v>
      </x:c>
      <x:c r="F91" s="4" t="str">
        <x:v>Destinos</x:v>
      </x:c>
      <x:c r="G91" s="11" t="n">
        <x:v>1128</x:v>
      </x:c>
      <x:c r="H91" s="11" t="n">
        <x:v>200</x:v>
      </x:c>
      <x:c r="I91" s="11" t="n">
        <x:v>1</x:v>
      </x:c>
      <x:c r="J91" s="4" t="str">
        <x:v>https://blog.skyairline.com/florianopolis-a-rio-de-janeiro/</x:v>
      </x:c>
      <x:c r="K91" s="16" t="b">
        <x:v>0</x:v>
      </x:c>
      <x:c r="L91" s="11" t="n">
        <x:v>0</x:v>
      </x:c>
      <x:c r="M91" s="11" t="n">
        <x:v>3</x:v>
      </x:c>
      <x:c r="N91" s="4"/>
      <x:c r="O91" s="4"/>
      <x:c r="P91" s="11" t="n">
        <x:v>56</x:v>
      </x:c>
      <x:c r="Q91" s="11" t="n">
        <x:v>37</x:v>
      </x:c>
      <x:c r="R91" s="11" t="n">
        <x:f>IF(OR(P91="",Q91=""),"",Q91-P91)</x:f>
        <x:v>-19</x:v>
      </x:c>
      <x:c r="S91" s="13" t="n">
        <x:f>IF(OR(P91="",Q91="",P91=0),"",((Q91/30)/(P91/31))-1)</x:f>
        <x:v>-0.31726190476190474</x:v>
      </x:c>
      <x:c r="T91" s="11" t="n">
        <x:v>6090</x:v>
      </x:c>
      <x:c r="U91" s="11" t="n">
        <x:v>5690</x:v>
      </x:c>
      <x:c r="V91" s="14" t="n">
        <x:v>0.006502636203866432</x:v>
      </x:c>
      <x:c r="W91" s="12" t="n">
        <x:v>5.784885764499121</x:v>
      </x:c>
      <x:c r="X91" s="11" t="n">
        <x:v>39</x:v>
      </x:c>
      <x:c r="Y91" s="11" t="n">
        <x:v>52</x:v>
      </x:c>
      <x:c r="Z91" s="4" t="str">
        <x:v>https://blog.skyairline.com/florianopolis-a-rio-de-janeiro/</x:v>
      </x:c>
      <x:c r="AA91" s="4" t="str">
        <x:v>https://blog.skyairline.com/florianopolis-a-rio-de-janeiro/
https://blog.skyairline.com/florianopolis-a-rio-de-janeiro</x:v>
      </x:c>
      <x:c r="AB91" s="4" t="str">
        <x:v>Alias slash agregado</x:v>
      </x:c>
      <x:c r="AC91" s="4" t="str">
        <x:v>Publicado hasta septiembre</x:v>
      </x:c>
      <x:c r="AD91" s="4" t="str">
        <x:v>/florianopolis-a-rio-de-janeiro/</x:v>
      </x:c>
      <x:c r="AE91" s="4"/>
      <x:c r="AF91" s="16" t="b">
        <x:v>0</x:v>
      </x:c>
    </x:row>
    <x:row r="92" ht="44" customHeight="1">
      <x:c r="A92" s="4" t="n">
        <x:v>2289</x:v>
      </x:c>
      <x:c r="B92" s="4" t="str">
        <x:v>https://blog.skyairline.com/comidas-y-bebidas-tipicas-del-18-de-septiembre/</x:v>
      </x:c>
      <x:c r="C92" s="9" t="str">
        <x:v>Comidas y bebidas típicas que no pueden faltar el 18 de Septiembre</x:v>
      </x:c>
      <x:c r="D92" s="17" t="d">
        <x:v>2022-09-18T00:00:00.000Z</x:v>
      </x:c>
      <x:c r="E92" s="17" t="d">
        <x:v>2022-09-18T00:00:00.000Z</x:v>
      </x:c>
      <x:c r="F92" s="4" t="str">
        <x:v>Cultura</x:v>
      </x:c>
      <x:c r="G92" s="11" t="n">
        <x:v>1056</x:v>
      </x:c>
      <x:c r="H92" s="11" t="n">
        <x:v>200</x:v>
      </x:c>
      <x:c r="I92" s="11" t="n">
        <x:v>1</x:v>
      </x:c>
      <x:c r="J92" s="4" t="str">
        <x:v>https://blog.skyairline.com/comidas-y-bebidas-tipicas-del-18-de-septiembre/</x:v>
      </x:c>
      <x:c r="K92" s="16" t="b">
        <x:v>0</x:v>
      </x:c>
      <x:c r="L92" s="11" t="n">
        <x:v>0</x:v>
      </x:c>
      <x:c r="M92" s="11" t="n">
        <x:v>3</x:v>
      </x:c>
      <x:c r="N92" s="4"/>
      <x:c r="O92" s="4"/>
      <x:c r="P92" s="11" t="n">
        <x:v>19</x:v>
      </x:c>
      <x:c r="Q92" s="11" t="n">
        <x:v>36</x:v>
      </x:c>
      <x:c r="R92" s="11" t="n">
        <x:f>IF(OR(P92="",Q92=""),"",Q92-P92)</x:f>
        <x:v>17</x:v>
      </x:c>
      <x:c r="S92" s="13" t="n">
        <x:f>IF(OR(P92="",Q92="",P92=0),"",((Q92/30)/(P92/31))-1)</x:f>
        <x:v>0.9578947368421051</x:v>
      </x:c>
      <x:c r="T92" s="11" t="n">
        <x:v>4978</x:v>
      </x:c>
      <x:c r="U92" s="11" t="n">
        <x:v>11992</x:v>
      </x:c>
      <x:c r="V92" s="14" t="n">
        <x:v>0.003002001334222815</x:v>
      </x:c>
      <x:c r="W92" s="12" t="n">
        <x:v>5.712474983322215</x:v>
      </x:c>
      <x:c r="X92" s="11" t="n">
        <x:v>55</x:v>
      </x:c>
      <x:c r="Y92" s="11" t="n">
        <x:v>62</x:v>
      </x:c>
      <x:c r="Z92" s="4" t="str">
        <x:v>https://blog.skyairline.com/comidas-y-bebidas-tipicas-del-18-de-septiembre/</x:v>
      </x:c>
      <x:c r="AA92" s="4" t="str">
        <x:v>https://blog.skyairline.com/comidas-y-bebidas-tipicas-del-18-de-septiembre/
https://blog.skyairline.com/comidas-y-bebidas-tipicas-del-18-de-septiembre</x:v>
      </x:c>
      <x:c r="AB92" s="4" t="str">
        <x:v>Alias slash agregado</x:v>
      </x:c>
      <x:c r="AC92" s="4" t="str">
        <x:v>Publicado hasta septiembre</x:v>
      </x:c>
      <x:c r="AD92" s="4" t="str">
        <x:v>/comidas-y-bebidas-tipicas-del-18-de-septiembre/</x:v>
      </x:c>
      <x:c r="AE92" s="4"/>
      <x:c r="AF92" s="16" t="b">
        <x:v>1</x:v>
      </x:c>
    </x:row>
    <x:row r="93" ht="44" customHeight="1">
      <x:c r="A93" s="4" t="n">
        <x:v>6009</x:v>
      </x:c>
      <x:c r="B93" s="4" t="str">
        <x:v>https://blog.skyairline.com/caracteristicas-de-la-zona-sur-de-chile-geografia-y-biodiversidad/</x:v>
      </x:c>
      <x:c r="C93" s="9" t="str">
        <x:v>Características de la zona sur de Chile: geografía y biodiversidad</x:v>
      </x:c>
      <x:c r="D93" s="17" t="d">
        <x:v>2025-05-06T00:00:00.000Z</x:v>
      </x:c>
      <x:c r="E93" s="17" t="d">
        <x:v>2025-05-06T00:00:00.000Z</x:v>
      </x:c>
      <x:c r="F93" s="4" t="str">
        <x:v>Planificación de Viaje</x:v>
      </x:c>
      <x:c r="G93" s="11" t="n">
        <x:v>1100</x:v>
      </x:c>
      <x:c r="H93" s="11" t="n">
        <x:v>200</x:v>
      </x:c>
      <x:c r="I93" s="11" t="n">
        <x:v>1</x:v>
      </x:c>
      <x:c r="J93" s="4" t="str">
        <x:v>https://blog.skyairline.com/caracteristicas-de-la-zona-sur-de-chile-geografia-y-biodiversidad/</x:v>
      </x:c>
      <x:c r="K93" s="16" t="b">
        <x:v>0</x:v>
      </x:c>
      <x:c r="L93" s="11" t="n">
        <x:v>0</x:v>
      </x:c>
      <x:c r="M93" s="11" t="n">
        <x:v>6</x:v>
      </x:c>
      <x:c r="N93" s="4"/>
      <x:c r="O93" s="4"/>
      <x:c r="P93" s="11" t="n">
        <x:v>30</x:v>
      </x:c>
      <x:c r="Q93" s="11" t="n">
        <x:v>33</x:v>
      </x:c>
      <x:c r="R93" s="11" t="n">
        <x:f>IF(OR(P93="",Q93=""),"",Q93-P93)</x:f>
        <x:v>3</x:v>
      </x:c>
      <x:c r="S93" s="13" t="n">
        <x:f>IF(OR(P93="",Q93="",P93=0),"",((Q93/30)/(P93/31))-1)</x:f>
        <x:v>0.13666666666666671</x:v>
      </x:c>
      <x:c r="T93" s="11" t="n">
        <x:v>6598</x:v>
      </x:c>
      <x:c r="U93" s="11" t="n">
        <x:v>6000</x:v>
      </x:c>
      <x:c r="V93" s="14" t="n">
        <x:v>0.0055</x:v>
      </x:c>
      <x:c r="W93" s="12" t="n">
        <x:v>6.785333333333333</x:v>
      </x:c>
      <x:c r="X93" s="11" t="n">
        <x:v>56</x:v>
      </x:c>
      <x:c r="Y93" s="11" t="n">
        <x:v>62</x:v>
      </x:c>
      <x:c r="Z93" s="4" t="str">
        <x:v>https://blog.skyairline.com/caracteristicas-de-la-zona-sur-de-chile-geografia-y-biodiversidad/</x:v>
      </x:c>
      <x:c r="AA93" s="4" t="str">
        <x:v>https://blog.skyairline.com/caracteristicas-de-la-zona-sur-de-chile-geografia-y-biodiversidad/
https://blog.skyairline.com/caracteristicas-de-la-zona-sur-de-chile-geografia-y-biodiversidad</x:v>
      </x:c>
      <x:c r="AB93" s="4" t="str">
        <x:v>Alias slash agregado</x:v>
      </x:c>
      <x:c r="AC93" s="4" t="str">
        <x:v>Publicado hasta septiembre</x:v>
      </x:c>
      <x:c r="AD93" s="4" t="str">
        <x:v>/caracteristicas-de-la-zona-sur-de-chile-geografia-y-biodiversidad/</x:v>
      </x:c>
      <x:c r="AE93" s="4"/>
      <x:c r="AF93" s="16" t="b">
        <x:v>0</x:v>
      </x:c>
    </x:row>
    <x:row r="94" ht="44" customHeight="1">
      <x:c r="A94" s="4" t="n">
        <x:v>110</x:v>
      </x:c>
      <x:c r="B94" s="4" t="str">
        <x:v>https://blog.skyairline.com/mejores-asientos-avion/</x:v>
      </x:c>
      <x:c r="C94" s="9" t="str">
        <x:v>¿Cómo elegir las mejores direcciones en un avión?</x:v>
      </x:c>
      <x:c r="D94" s="17" t="d">
        <x:v>2021-07-05T00:00:00.000Z</x:v>
      </x:c>
      <x:c r="E94" s="17" t="d">
        <x:v>2021-07-05T00:00:00.000Z</x:v>
      </x:c>
      <x:c r="F94" s="4" t="str">
        <x:v>Planificación de Viaje</x:v>
      </x:c>
      <x:c r="G94" s="11" t="n">
        <x:v>960</x:v>
      </x:c>
      <x:c r="H94" s="11" t="n">
        <x:v>200</x:v>
      </x:c>
      <x:c r="I94" s="11" t="n">
        <x:v>1</x:v>
      </x:c>
      <x:c r="J94" s="4" t="str">
        <x:v>https://blog.skyairline.com/mejores-asientos-avion/</x:v>
      </x:c>
      <x:c r="K94" s="16" t="b">
        <x:v>0</x:v>
      </x:c>
      <x:c r="L94" s="11" t="n">
        <x:v>0</x:v>
      </x:c>
      <x:c r="M94" s="11" t="n">
        <x:v>0</x:v>
      </x:c>
      <x:c r="N94" s="4"/>
      <x:c r="O94" s="4"/>
      <x:c r="P94" s="11" t="n">
        <x:v>28</x:v>
      </x:c>
      <x:c r="Q94" s="11" t="n">
        <x:v>32</x:v>
      </x:c>
      <x:c r="R94" s="11" t="n">
        <x:f>IF(OR(P94="",Q94=""),"",Q94-P94)</x:f>
        <x:v>4</x:v>
      </x:c>
      <x:c r="S94" s="13" t="n">
        <x:f>IF(OR(P94="",Q94="",P94=0),"",((Q94/30)/(P94/31))-1)</x:f>
        <x:v>0.18095238095238098</x:v>
      </x:c>
      <x:c r="T94" s="11" t="n">
        <x:v>4812</x:v>
      </x:c>
      <x:c r="U94" s="11" t="n">
        <x:v>3972</x:v>
      </x:c>
      <x:c r="V94" s="14" t="n">
        <x:v>0.008056394763343404</x:v>
      </x:c>
      <x:c r="W94" s="12" t="n">
        <x:v>8.27920443101712</x:v>
      </x:c>
      <x:c r="X94" s="11" t="n">
        <x:v>33</x:v>
      </x:c>
      <x:c r="Y94" s="11" t="n">
        <x:v>37</x:v>
      </x:c>
      <x:c r="Z94" s="4" t="str">
        <x:v>https://blog.skyairline.com/mejores-asientos-avion/</x:v>
      </x:c>
      <x:c r="AA94" s="4" t="str">
        <x:v>https://blog.skyairline.com/mejores-asientos-avion/</x:v>
      </x:c>
      <x:c r="AB94" s="4" t="str">
        <x:v>Coincidencia URL</x:v>
      </x:c>
      <x:c r="AC94" s="4" t="str">
        <x:v>Publicado hasta septiembre</x:v>
      </x:c>
      <x:c r="AD94" s="4" t="str">
        <x:v>/mejores-asientos-avion/</x:v>
      </x:c>
      <x:c r="AE94" s="4"/>
      <x:c r="AF94" s="16" t="b">
        <x:v>0</x:v>
      </x:c>
    </x:row>
    <x:row r="95" ht="44" customHeight="1">
      <x:c r="A95" s="4" t="n">
        <x:v>2400</x:v>
      </x:c>
      <x:c r="B95" s="4" t="str">
        <x:v>https://blog.skyairline.com/musica-tipica-de-brasil/</x:v>
      </x:c>
      <x:c r="C95" s="9" t="str">
        <x:v>¿Cuál es la música típica de Brasil? ¡Oído al tambor!</x:v>
      </x:c>
      <x:c r="D95" s="17" t="d">
        <x:v>2022-10-19T00:00:00.000Z</x:v>
      </x:c>
      <x:c r="E95" s="17" t="d">
        <x:v>2022-10-19T00:00:00.000Z</x:v>
      </x:c>
      <x:c r="F95" s="4" t="str">
        <x:v>Destinos</x:v>
      </x:c>
      <x:c r="G95" s="11" t="n">
        <x:v>1231</x:v>
      </x:c>
      <x:c r="H95" s="11" t="n">
        <x:v>200</x:v>
      </x:c>
      <x:c r="I95" s="11" t="n">
        <x:v>1</x:v>
      </x:c>
      <x:c r="J95" s="4" t="str">
        <x:v>https://blog.skyairline.com/musica-tipica-de-brasil/</x:v>
      </x:c>
      <x:c r="K95" s="16" t="b">
        <x:v>0</x:v>
      </x:c>
      <x:c r="L95" s="11" t="n">
        <x:v>0</x:v>
      </x:c>
      <x:c r="M95" s="11" t="n">
        <x:v>4</x:v>
      </x:c>
      <x:c r="N95" s="4"/>
      <x:c r="O95" s="4"/>
      <x:c r="P95" s="11" t="n">
        <x:v>40</x:v>
      </x:c>
      <x:c r="Q95" s="11" t="n">
        <x:v>31</x:v>
      </x:c>
      <x:c r="R95" s="11" t="n">
        <x:f>IF(OR(P95="",Q95=""),"",Q95-P95)</x:f>
        <x:v>-9</x:v>
      </x:c>
      <x:c r="S95" s="13" t="n">
        <x:f>IF(OR(P95="",Q95="",P95=0),"",((Q95/30)/(P95/31))-1)</x:f>
        <x:v>-0.1991666666666666</x:v>
      </x:c>
      <x:c r="T95" s="11" t="n">
        <x:v>5810</x:v>
      </x:c>
      <x:c r="U95" s="11" t="n">
        <x:v>4715</x:v>
      </x:c>
      <x:c r="V95" s="14" t="n">
        <x:v>0.006574761399787911</x:v>
      </x:c>
      <x:c r="W95" s="12" t="n">
        <x:v>4.902651113467656</x:v>
      </x:c>
      <x:c r="X95" s="11" t="n">
        <x:v>28</x:v>
      </x:c>
      <x:c r="Y95" s="11" t="n">
        <x:v>33</x:v>
      </x:c>
      <x:c r="Z95" s="4" t="str">
        <x:v>https://blog.skyairline.com/musica-tipica-de-brasil/</x:v>
      </x:c>
      <x:c r="AA95" s="4" t="str">
        <x:v>https://blog.skyairline.com/musica-tipica-de-brasil/</x:v>
      </x:c>
      <x:c r="AB95" s="4" t="str">
        <x:v>Coincidencia URL</x:v>
      </x:c>
      <x:c r="AC95" s="4" t="str">
        <x:v>Publicado hasta septiembre</x:v>
      </x:c>
      <x:c r="AD95" s="4" t="str">
        <x:v>/musica-tipica-de-brasil/</x:v>
      </x:c>
      <x:c r="AE95" s="4"/>
      <x:c r="AF95" s="16" t="b">
        <x:v>0</x:v>
      </x:c>
    </x:row>
    <x:row r="96" ht="44" customHeight="1">
      <x:c r="A96" s="4" t="n">
        <x:v>3353</x:v>
      </x:c>
      <x:c r="B96" s="4" t="str">
        <x:v>https://blog.skyairline.com/centros-comerciales-en-mendoza/</x:v>
      </x:c>
      <x:c r="C96" s="9" t="str">
        <x:v>5 centros comerciales en Mendoza para caminar, hacer compras y distraerte</x:v>
      </x:c>
      <x:c r="D96" s="17" t="d">
        <x:v>2023-09-14T00:00:00.000Z</x:v>
      </x:c>
      <x:c r="E96" s="17" t="d">
        <x:v>2023-09-14T00:00:00.000Z</x:v>
      </x:c>
      <x:c r="F96" s="4" t="str">
        <x:v>Destinos</x:v>
      </x:c>
      <x:c r="G96" s="11" t="n">
        <x:v>1235</x:v>
      </x:c>
      <x:c r="H96" s="11" t="n">
        <x:v>200</x:v>
      </x:c>
      <x:c r="I96" s="11" t="n">
        <x:v>1</x:v>
      </x:c>
      <x:c r="J96" s="4" t="str">
        <x:v>https://blog.skyairline.com/centros-comerciales-en-mendoza/</x:v>
      </x:c>
      <x:c r="K96" s="16" t="b">
        <x:v>0</x:v>
      </x:c>
      <x:c r="L96" s="11" t="n">
        <x:v>0</x:v>
      </x:c>
      <x:c r="M96" s="11" t="n">
        <x:v>5</x:v>
      </x:c>
      <x:c r="N96" s="4"/>
      <x:c r="O96" s="4"/>
      <x:c r="P96" s="11" t="n">
        <x:v>18</x:v>
      </x:c>
      <x:c r="Q96" s="11" t="n">
        <x:v>31</x:v>
      </x:c>
      <x:c r="R96" s="11" t="n">
        <x:f>IF(OR(P96="",Q96=""),"",Q96-P96)</x:f>
        <x:v>13</x:v>
      </x:c>
      <x:c r="S96" s="13" t="n">
        <x:f>IF(OR(P96="",Q96="",P96=0),"",((Q96/30)/(P96/31))-1)</x:f>
        <x:v>0.7796296296296297</x:v>
      </x:c>
      <x:c r="T96" s="11" t="n">
        <x:v>5974</x:v>
      </x:c>
      <x:c r="U96" s="11" t="n">
        <x:v>7473</x:v>
      </x:c>
      <x:c r="V96" s="14" t="n">
        <x:v>0.004148267094874883</x:v>
      </x:c>
      <x:c r="W96" s="12" t="n">
        <x:v>8.745216111334136</x:v>
      </x:c>
      <x:c r="X96" s="11" t="n">
        <x:v>33</x:v>
      </x:c>
      <x:c r="Y96" s="11" t="n">
        <x:v>37</x:v>
      </x:c>
      <x:c r="Z96" s="4" t="str">
        <x:v>https://blog.skyairline.com/centros-comerciales-en-mendoza/</x:v>
      </x:c>
      <x:c r="AA96" s="4" t="str">
        <x:v>https://blog.skyairline.com/centros-comerciales-en-mendoza/</x:v>
      </x:c>
      <x:c r="AB96" s="4" t="str">
        <x:v>Coincidencia URL</x:v>
      </x:c>
      <x:c r="AC96" s="4" t="str">
        <x:v>Publicado hasta septiembre</x:v>
      </x:c>
      <x:c r="AD96" s="4" t="str">
        <x:v>/centros-comerciales-en-mendoza/</x:v>
      </x:c>
      <x:c r="AE96" s="4"/>
      <x:c r="AF96" s="16" t="b">
        <x:v>0</x:v>
      </x:c>
    </x:row>
    <x:row r="97" ht="44" customHeight="1">
      <x:c r="A97" s="4" t="n">
        <x:v>8530</x:v>
      </x:c>
      <x:c r="B97" s="4" t="str">
        <x:v>https://blog.skyairline.com/angra-dos-reis/</x:v>
      </x:c>
      <x:c r="C97" s="9" t="str">
        <x:v>Angra dos Reis: qué hacer, islas imperdibles y cómo planificar un viaje entre mar y naturaleza</x:v>
      </x:c>
      <x:c r="D97" s="17" t="d">
        <x:v>2026-03-18T00:00:00.000Z</x:v>
      </x:c>
      <x:c r="E97" s="17" t="d">
        <x:v>2026-03-16T00:00:00.000Z</x:v>
      </x:c>
      <x:c r="F97" s="4" t="str">
        <x:v>Destinos</x:v>
      </x:c>
      <x:c r="G97" s="11" t="n">
        <x:v>1071</x:v>
      </x:c>
      <x:c r="H97" s="11" t="n">
        <x:v>200</x:v>
      </x:c>
      <x:c r="I97" s="11" t="n">
        <x:v>1</x:v>
      </x:c>
      <x:c r="J97" s="4" t="str">
        <x:v>https://blog.skyairline.com/angra-dos-reis/</x:v>
      </x:c>
      <x:c r="K97" s="16" t="b">
        <x:v>0</x:v>
      </x:c>
      <x:c r="L97" s="11" t="n">
        <x:v>0</x:v>
      </x:c>
      <x:c r="M97" s="11" t="n">
        <x:v>0</x:v>
      </x:c>
      <x:c r="N97" s="4"/>
      <x:c r="O97" s="4"/>
      <x:c r="P97" s="11" t="n">
        <x:v>32</x:v>
      </x:c>
      <x:c r="Q97" s="11" t="n">
        <x:v>31</x:v>
      </x:c>
      <x:c r="R97" s="11" t="n">
        <x:f>IF(OR(P97="",Q97=""),"",Q97-P97)</x:f>
        <x:v>-1</x:v>
      </x:c>
      <x:c r="S97" s="13" t="n">
        <x:f>IF(OR(P97="",Q97="",P97=0),"",((Q97/30)/(P97/31))-1)</x:f>
        <x:v>0.0010416666666668295</x:v>
      </x:c>
      <x:c r="T97" s="11" t="n">
        <x:v>9150</x:v>
      </x:c>
      <x:c r="U97" s="11" t="n">
        <x:v>7613</x:v>
      </x:c>
      <x:c r="V97" s="14" t="n">
        <x:v>0.004071982135820307</x:v>
      </x:c>
      <x:c r="W97" s="12" t="n">
        <x:v>9.837514777354524</x:v>
      </x:c>
      <x:c r="X97" s="11" t="n">
        <x:v>37</x:v>
      </x:c>
      <x:c r="Y97" s="11" t="n">
        <x:v>50</x:v>
      </x:c>
      <x:c r="Z97" s="4" t="str">
        <x:v>https://blog.skyairline.com/angra-dos-reis/</x:v>
      </x:c>
      <x:c r="AA97" s="4" t="str">
        <x:v>https://blog.skyairline.com/angra-dos-reis/</x:v>
      </x:c>
      <x:c r="AB97" s="4" t="str">
        <x:v>Coincidencia URL</x:v>
      </x:c>
      <x:c r="AC97" s="4" t="str">
        <x:v>Publicado hasta septiembre</x:v>
      </x:c>
      <x:c r="AD97" s="4" t="str">
        <x:v>/angra-dos-reis/</x:v>
      </x:c>
      <x:c r="AE97" s="4"/>
      <x:c r="AF97" s="16" t="b">
        <x:v>0</x:v>
      </x:c>
    </x:row>
    <x:row r="98" ht="44" customHeight="1">
      <x:c r="A98" s="4" t="n">
        <x:v>3568</x:v>
      </x:c>
      <x:c r="B98" s="4" t="str">
        <x:v>https://blog.skyairline.com/que-estudia-tripulante-cabina/</x:v>
      </x:c>
      <x:c r="C98" s="9" t="str">
        <x:v>¿Qué se estudia para ser tripulante de cabina? ¡Descúbrelo aquí!</x:v>
      </x:c>
      <x:c r="D98" s="17" t="d">
        <x:v>2023-10-25T00:00:00.000Z</x:v>
      </x:c>
      <x:c r="E98" s="17" t="d">
        <x:v>2023-10-25T00:00:00.000Z</x:v>
      </x:c>
      <x:c r="F98" s="4" t="str">
        <x:v>Oportunidades</x:v>
      </x:c>
      <x:c r="G98" s="11" t="n">
        <x:v>1134</x:v>
      </x:c>
      <x:c r="H98" s="11" t="n">
        <x:v>200</x:v>
      </x:c>
      <x:c r="I98" s="11" t="n">
        <x:v>1</x:v>
      </x:c>
      <x:c r="J98" s="4" t="str">
        <x:v>https://blog.skyairline.com/que-estudia-tripulante-cabina/</x:v>
      </x:c>
      <x:c r="K98" s="16" t="b">
        <x:v>0</x:v>
      </x:c>
      <x:c r="L98" s="11" t="n">
        <x:v>0</x:v>
      </x:c>
      <x:c r="M98" s="11" t="n">
        <x:v>4</x:v>
      </x:c>
      <x:c r="N98" s="4"/>
      <x:c r="O98" s="4"/>
      <x:c r="P98" s="11" t="n">
        <x:v>39</x:v>
      </x:c>
      <x:c r="Q98" s="11" t="n">
        <x:v>30</x:v>
      </x:c>
      <x:c r="R98" s="11" t="n">
        <x:f>IF(OR(P98="",Q98=""),"",Q98-P98)</x:f>
        <x:v>-9</x:v>
      </x:c>
      <x:c r="S98" s="13" t="n">
        <x:f>IF(OR(P98="",Q98="",P98=0),"",((Q98/30)/(P98/31))-1)</x:f>
        <x:v>-0.20512820512820518</x:v>
      </x:c>
      <x:c r="T98" s="11" t="n">
        <x:v>3527</x:v>
      </x:c>
      <x:c r="U98" s="11" t="n">
        <x:v>2587</x:v>
      </x:c>
      <x:c r="V98" s="14" t="n">
        <x:v>0.011596443757247778</x:v>
      </x:c>
      <x:c r="W98" s="12" t="n">
        <x:v>11.968303053730189</x:v>
      </x:c>
      <x:c r="X98" s="11" t="n">
        <x:v>100</x:v>
      </x:c>
      <x:c r="Y98" s="11" t="n">
        <x:v>124</x:v>
      </x:c>
      <x:c r="Z98" s="4" t="str">
        <x:v>https://blog.skyairline.com/que-estudia-tripulante-cabina/</x:v>
      </x:c>
      <x:c r="AA98" s="4" t="str">
        <x:v>https://blog.skyairline.com/que-estudia-tripulante-cabina/</x:v>
      </x:c>
      <x:c r="AB98" s="4" t="str">
        <x:v>Coincidencia URL</x:v>
      </x:c>
      <x:c r="AC98" s="4" t="str">
        <x:v>Publicado hasta septiembre</x:v>
      </x:c>
      <x:c r="AD98" s="4" t="str">
        <x:v>/que-estudia-tripulante-cabina/</x:v>
      </x:c>
      <x:c r="AE98" s="4"/>
      <x:c r="AF98" s="16" t="b">
        <x:v>1</x:v>
      </x:c>
    </x:row>
    <x:row r="99" ht="44" customHeight="1">
      <x:c r="A99" s="4" t="n">
        <x:v>3746</x:v>
      </x:c>
      <x:c r="B99" s="4" t="str">
        <x:v>https://blog.skyairline.com/lugares-polanco/</x:v>
      </x:c>
      <x:c r="C99" s="9" t="str">
        <x:v>12 lugares en San Gregorio de Polanco que tienes que conocer</x:v>
      </x:c>
      <x:c r="D99" s="17" t="d">
        <x:v>2023-12-09T00:00:00.000Z</x:v>
      </x:c>
      <x:c r="E99" s="17" t="d">
        <x:v>2023-12-09T00:00:00.000Z</x:v>
      </x:c>
      <x:c r="F99" s="4" t="str">
        <x:v>Destinos</x:v>
      </x:c>
      <x:c r="G99" s="11" t="n">
        <x:v>1257</x:v>
      </x:c>
      <x:c r="H99" s="11" t="n">
        <x:v>200</x:v>
      </x:c>
      <x:c r="I99" s="11" t="n">
        <x:v>1</x:v>
      </x:c>
      <x:c r="J99" s="4" t="str">
        <x:v>https://blog.skyairline.com/lugares-polanco/</x:v>
      </x:c>
      <x:c r="K99" s="16" t="b">
        <x:v>0</x:v>
      </x:c>
      <x:c r="L99" s="11" t="n">
        <x:v>0</x:v>
      </x:c>
      <x:c r="M99" s="11" t="n">
        <x:v>3</x:v>
      </x:c>
      <x:c r="N99" s="4"/>
      <x:c r="O99" s="4"/>
      <x:c r="P99" s="11" t="n">
        <x:v>16</x:v>
      </x:c>
      <x:c r="Q99" s="11" t="n">
        <x:v>29</x:v>
      </x:c>
      <x:c r="R99" s="11" t="n">
        <x:f>IF(OR(P99="",Q99=""),"",Q99-P99)</x:f>
        <x:v>13</x:v>
      </x:c>
      <x:c r="S99" s="13" t="n">
        <x:f>IF(OR(P99="",Q99="",P99=0),"",((Q99/30)/(P99/31))-1)</x:f>
        <x:v>0.8729166666666668</x:v>
      </x:c>
      <x:c r="T99" s="11" t="n">
        <x:v>438</x:v>
      </x:c>
      <x:c r="U99" s="11" t="n">
        <x:v>515</x:v>
      </x:c>
      <x:c r="V99" s="14" t="n">
        <x:v>0.05631067961165048</x:v>
      </x:c>
      <x:c r="W99" s="12" t="n">
        <x:v>5.94368932038835</x:v>
      </x:c>
      <x:c r="X99" s="11" t="n">
        <x:v>37</x:v>
      </x:c>
      <x:c r="Y99" s="11" t="n">
        <x:v>45</x:v>
      </x:c>
      <x:c r="Z99" s="4" t="str">
        <x:v>https://blog.skyairline.com/lugares-polanco/</x:v>
      </x:c>
      <x:c r="AA99" s="4" t="str">
        <x:v>https://blog.skyairline.com/lugares-polanco/</x:v>
      </x:c>
      <x:c r="AB99" s="4" t="str">
        <x:v>Coincidencia URL</x:v>
      </x:c>
      <x:c r="AC99" s="4" t="str">
        <x:v>Publicado hasta septiembre</x:v>
      </x:c>
      <x:c r="AD99" s="4" t="str">
        <x:v>/lugares-polanco/</x:v>
      </x:c>
      <x:c r="AE99" s="4"/>
      <x:c r="AF99" s="16" t="b">
        <x:v>0</x:v>
      </x:c>
    </x:row>
    <x:row r="100" ht="44" customHeight="1">
      <x:c r="A100" s="4" t="n">
        <x:v>5154</x:v>
      </x:c>
      <x:c r="B100" s="4" t="str">
        <x:v>https://blog.skyairline.com/comprar-recuerdos-cancun/</x:v>
      </x:c>
      <x:c r="C100" s="9" t="str">
        <x:v>5 mejores sitios para comprar recuerdos en Cancún</x:v>
      </x:c>
      <x:c r="D100" s="17" t="d">
        <x:v>2024-10-16T00:00:00.000Z</x:v>
      </x:c>
      <x:c r="E100" s="17" t="d">
        <x:v>2024-10-16T00:00:00.000Z</x:v>
      </x:c>
      <x:c r="F100" s="4" t="str">
        <x:v>Cancún, Planificación de Viaje</x:v>
      </x:c>
      <x:c r="G100" s="11" t="n">
        <x:v>1183</x:v>
      </x:c>
      <x:c r="H100" s="11" t="n">
        <x:v>200</x:v>
      </x:c>
      <x:c r="I100" s="11" t="n">
        <x:v>1</x:v>
      </x:c>
      <x:c r="J100" s="4" t="str">
        <x:v>https://blog.skyairline.com/comprar-recuerdos-cancun/</x:v>
      </x:c>
      <x:c r="K100" s="16" t="b">
        <x:v>0</x:v>
      </x:c>
      <x:c r="L100" s="11" t="n">
        <x:v>0</x:v>
      </x:c>
      <x:c r="M100" s="11" t="n">
        <x:v>3</x:v>
      </x:c>
      <x:c r="N100" s="4"/>
      <x:c r="O100" s="4"/>
      <x:c r="P100" s="11" t="n">
        <x:v>29</x:v>
      </x:c>
      <x:c r="Q100" s="11" t="n">
        <x:v>28</x:v>
      </x:c>
      <x:c r="R100" s="11" t="n">
        <x:f>IF(OR(P100="",Q100=""),"",Q100-P100)</x:f>
        <x:v>-1</x:v>
      </x:c>
      <x:c r="S100" s="13" t="n">
        <x:f>IF(OR(P100="",Q100="",P100=0),"",((Q100/30)/(P100/31))-1)</x:f>
        <x:v>-0.0022988505747125743</x:v>
      </x:c>
      <x:c r="T100" s="11" t="n">
        <x:v>2105</x:v>
      </x:c>
      <x:c r="U100" s="11" t="n">
        <x:v>1497</x:v>
      </x:c>
      <x:c r="V100" s="14" t="n">
        <x:v>0.018704074816299265</x:v>
      </x:c>
      <x:c r="W100" s="12" t="n">
        <x:v>8.282565130260522</x:v>
      </x:c>
      <x:c r="X100" s="11" t="n">
        <x:v>30</x:v>
      </x:c>
      <x:c r="Y100" s="11" t="n">
        <x:v>41</x:v>
      </x:c>
      <x:c r="Z100" s="4" t="str">
        <x:v>https://blog.skyairline.com/comprar-recuerdos-cancun/</x:v>
      </x:c>
      <x:c r="AA100" s="4" t="str">
        <x:v>https://blog.skyairline.com/comprar-recuerdos-cancun/</x:v>
      </x:c>
      <x:c r="AB100" s="4" t="str">
        <x:v>Coincidencia URL</x:v>
      </x:c>
      <x:c r="AC100" s="4" t="str">
        <x:v>Publicado hasta septiembre</x:v>
      </x:c>
      <x:c r="AD100" s="4" t="str">
        <x:v>/comprar-recuerdos-cancun/</x:v>
      </x:c>
      <x:c r="AE100" s="4"/>
      <x:c r="AF100" s="16" t="b">
        <x:v>0</x:v>
      </x:c>
    </x:row>
    <x:row r="101" ht="44" customHeight="1">
      <x:c r="A101" s="4" t="n">
        <x:v>5564</x:v>
      </x:c>
      <x:c r="B101" s="4" t="str">
        <x:v>https://blog.skyairline.com/como-ir-de-santiago-a-pucon-sin-preocupaciones/</x:v>
      </x:c>
      <x:c r="C101" s="9" t="str">
        <x:v>¿Cómo ir de Santiago a Pucón sin preocupaciones?</x:v>
      </x:c>
      <x:c r="D101" s="17" t="d">
        <x:v>2025-01-27T00:00:00.000Z</x:v>
      </x:c>
      <x:c r="E101" s="17" t="d">
        <x:v>2025-01-27T00:00:00.000Z</x:v>
      </x:c>
      <x:c r="F101" s="4" t="str">
        <x:v>Sin categoría</x:v>
      </x:c>
      <x:c r="G101" s="11" t="n">
        <x:v>1207</x:v>
      </x:c>
      <x:c r="H101" s="11" t="n">
        <x:v>200</x:v>
      </x:c>
      <x:c r="I101" s="11" t="n">
        <x:v>1</x:v>
      </x:c>
      <x:c r="J101" s="4" t="str">
        <x:v>https://blog.skyairline.com/como-ir-de-santiago-a-pucon-sin-preocupaciones/</x:v>
      </x:c>
      <x:c r="K101" s="16" t="b">
        <x:v>0</x:v>
      </x:c>
      <x:c r="L101" s="11" t="n">
        <x:v>0</x:v>
      </x:c>
      <x:c r="M101" s="11" t="n">
        <x:v>3</x:v>
      </x:c>
      <x:c r="N101" s="4"/>
      <x:c r="O101" s="4"/>
      <x:c r="P101" s="11" t="n">
        <x:v>30</x:v>
      </x:c>
      <x:c r="Q101" s="11" t="n">
        <x:v>28</x:v>
      </x:c>
      <x:c r="R101" s="11" t="n">
        <x:f>IF(OR(P101="",Q101=""),"",Q101-P101)</x:f>
        <x:v>-2</x:v>
      </x:c>
      <x:c r="S101" s="13" t="n">
        <x:f>IF(OR(P101="",Q101="",P101=0),"",((Q101/30)/(P101/31))-1)</x:f>
        <x:v>-0.03555555555555556</x:v>
      </x:c>
      <x:c r="T101" s="11" t="n">
        <x:v>5485</x:v>
      </x:c>
      <x:c r="U101" s="11" t="n">
        <x:v>5158</x:v>
      </x:c>
      <x:c r="V101" s="14" t="n">
        <x:v>0.005428460643660334</x:v>
      </x:c>
      <x:c r="W101" s="12" t="n">
        <x:v>6.663241566498643</x:v>
      </x:c>
      <x:c r="X101" s="11" t="n">
        <x:v>31</x:v>
      </x:c>
      <x:c r="Y101" s="11" t="n">
        <x:v>38</x:v>
      </x:c>
      <x:c r="Z101" s="4" t="str">
        <x:v>https://blog.skyairline.com/como-ir-de-santiago-a-pucon-sin-preocupaciones/</x:v>
      </x:c>
      <x:c r="AA101" s="4" t="str">
        <x:v>https://blog.skyairline.com/como-ir-de-santiago-a-pucon-sin-preocupaciones/</x:v>
      </x:c>
      <x:c r="AB101" s="4" t="str">
        <x:v>Coincidencia URL</x:v>
      </x:c>
      <x:c r="AC101" s="4" t="str">
        <x:v>Publicado hasta septiembre</x:v>
      </x:c>
      <x:c r="AD101" s="4" t="str">
        <x:v>/como-ir-de-santiago-a-pucon-sin-preocupaciones/</x:v>
      </x:c>
      <x:c r="AE101" s="4"/>
      <x:c r="AF101" s="16" t="b">
        <x:v>0</x:v>
      </x:c>
    </x:row>
    <x:row r="102" ht="44" customHeight="1">
      <x:c r="A102" s="4" t="n">
        <x:v>9169</x:v>
      </x:c>
      <x:c r="B102" s="4" t="str">
        <x:v>https://blog.skyairline.com/terminal-sur-santiago/</x:v>
      </x:c>
      <x:c r="C102" s="9" t="str">
        <x:v>Terminal Sur de Santiago: todo lo que necesitas saber del mayor terminal de buses de la capital</x:v>
      </x:c>
      <x:c r="D102" s="17" t="d">
        <x:v>2026-08-20T00:00:00.000Z</x:v>
      </x:c>
      <x:c r="E102" s="17" t="d">
        <x:v>2026-08-20T00:00:00.000Z</x:v>
      </x:c>
      <x:c r="F102" s="4" t="str">
        <x:v>Planificación de Viaje</x:v>
      </x:c>
      <x:c r="G102" s="11" t="n">
        <x:v>1039</x:v>
      </x:c>
      <x:c r="H102" s="11" t="n">
        <x:v>200</x:v>
      </x:c>
      <x:c r="I102" s="11" t="n">
        <x:v>1</x:v>
      </x:c>
      <x:c r="J102" s="4" t="str">
        <x:v>https://blog.skyairline.com/terminal-sur-santiago/</x:v>
      </x:c>
      <x:c r="K102" s="16" t="b">
        <x:v>0</x:v>
      </x:c>
      <x:c r="L102" s="11" t="n">
        <x:v>0</x:v>
      </x:c>
      <x:c r="M102" s="11" t="n">
        <x:v>0</x:v>
      </x:c>
      <x:c r="N102" s="4"/>
      <x:c r="O102" s="4"/>
      <x:c r="P102" s="11" t="n">
        <x:v>8</x:v>
      </x:c>
      <x:c r="Q102" s="11" t="n">
        <x:v>28</x:v>
      </x:c>
      <x:c r="R102" s="11" t="n">
        <x:f>IF(OR(P102="",Q102=""),"",Q102-P102)</x:f>
        <x:v>20</x:v>
      </x:c>
      <x:c r="S102" s="13" t="n">
        <x:f>IF(OR(P102="",Q102="",P102=0),"",((Q102/30)/(P102/31))-1)</x:f>
        <x:v>2.6166666666666667</x:v>
      </x:c>
      <x:c r="T102" s="11" t="n">
        <x:v>6448</x:v>
      </x:c>
      <x:c r="U102" s="11" t="n">
        <x:v>15547</x:v>
      </x:c>
      <x:c r="V102" s="14" t="n">
        <x:v>0.0018009905447996398</x:v>
      </x:c>
      <x:c r="W102" s="12" t="n">
        <x:v>7.920756416028816</x:v>
      </x:c>
      <x:c r="X102" s="11" t="n">
        <x:v>31</x:v>
      </x:c>
      <x:c r="Y102" s="11" t="n">
        <x:v>39</x:v>
      </x:c>
      <x:c r="Z102" s="4" t="str">
        <x:v>https://blog.skyairline.com/terminal-sur-santiago/</x:v>
      </x:c>
      <x:c r="AA102" s="4" t="str">
        <x:v>https://blog.skyairline.com/terminal-sur-santiago/</x:v>
      </x:c>
      <x:c r="AB102" s="4" t="str">
        <x:v>Coincidencia URL</x:v>
      </x:c>
      <x:c r="AC102" s="4" t="str">
        <x:v>Publicado hasta septiembre</x:v>
      </x:c>
      <x:c r="AD102" s="4" t="str">
        <x:v>/terminal-sur-santiago/</x:v>
      </x:c>
      <x:c r="AE102" s="4"/>
      <x:c r="AF102" s="16" t="b">
        <x:v>0</x:v>
      </x:c>
    </x:row>
    <x:row r="103" ht="44" customHeight="1">
      <x:c r="A103" s="4" t="n">
        <x:v>8834</x:v>
      </x:c>
      <x:c r="B103" s="4" t="str">
        <x:v>https://blog.skyairline.com/sky-consolida-su-crecimiento-con-avances-en-sostenibilidad-puntualidad-e-inclusion/</x:v>
      </x:c>
      <x:c r="C103" s="9" t="str">
        <x:v>SKY consolida su crecimiento con avances en sostenibilidad, puntualidad e inclusión</x:v>
      </x:c>
      <x:c r="D103" s="17" t="d">
        <x:v>2026-06-02T00:00:00.000Z</x:v>
      </x:c>
      <x:c r="E103" s="17" t="d">
        <x:v>2026-06-02T00:00:00.000Z</x:v>
      </x:c>
      <x:c r="F103" s="4" t="str">
        <x:v>Noticias</x:v>
      </x:c>
      <x:c r="G103" s="11" t="n">
        <x:v>237</x:v>
      </x:c>
      <x:c r="H103" s="11" t="n">
        <x:v>200</x:v>
      </x:c>
      <x:c r="I103" s="11" t="n">
        <x:v>1</x:v>
      </x:c>
      <x:c r="J103" s="4" t="str">
        <x:v>https://blog.skyairline.com/sky-consolida-su-crecimiento-con-avances-en-sostenibilidad-puntualidad-e-inclusion/</x:v>
      </x:c>
      <x:c r="K103" s="16" t="b">
        <x:v>0</x:v>
      </x:c>
      <x:c r="L103" s="11" t="n">
        <x:v>0</x:v>
      </x:c>
      <x:c r="M103" s="11" t="n">
        <x:v>0</x:v>
      </x:c>
      <x:c r="N103" s="4" t="str">
        <x:v>T01</x:v>
      </x:c>
      <x:c r="O103" s="4"/>
      <x:c r="P103" s="11" t="n">
        <x:v>18</x:v>
      </x:c>
      <x:c r="Q103" s="11" t="n">
        <x:v>26</x:v>
      </x:c>
      <x:c r="R103" s="11" t="n">
        <x:f>IF(OR(P103="",Q103=""),"",Q103-P103)</x:f>
        <x:v>8</x:v>
      </x:c>
      <x:c r="S103" s="13" t="n">
        <x:f>IF(OR(P103="",Q103="",P103=0),"",((Q103/30)/(P103/31))-1)</x:f>
        <x:v>0.49259259259259247</x:v>
      </x:c>
      <x:c r="T103" s="11" t="n">
        <x:v>109</x:v>
      </x:c>
      <x:c r="U103" s="11" t="n">
        <x:v>112</x:v>
      </x:c>
      <x:c r="V103" s="14" t="n">
        <x:v>0.23214285714285715</x:v>
      </x:c>
      <x:c r="W103" s="12" t="n">
        <x:v>2.6964285714285716</x:v>
      </x:c>
      <x:c r="X103" s="11" t="n">
        <x:v>26</x:v>
      </x:c>
      <x:c r="Y103" s="11" t="n">
        <x:v>40</x:v>
      </x:c>
      <x:c r="Z103" s="4" t="str">
        <x:v>https://blog.skyairline.com/sky-consolida-su-crecimiento-con-avances-en-sostenibilidad-puntualidad-e-inclusion/</x:v>
      </x:c>
      <x:c r="AA103" s="4" t="str">
        <x:v>https://blog.skyairline.com/sky-consolida-su-crecimiento-con-avances-en-sostenibilidad-puntualidad-e-inclusion/</x:v>
      </x:c>
      <x:c r="AB103" s="4" t="str">
        <x:v>Coincidencia URL</x:v>
      </x:c>
      <x:c r="AC103" s="4" t="str">
        <x:v>Publicado hasta septiembre</x:v>
      </x:c>
      <x:c r="AD103" s="4" t="str">
        <x:v>/sky-consolida-su-crecimiento-con-avances-en-sostenibilidad-puntualidad-e-inclusion/</x:v>
      </x:c>
      <x:c r="AE103" s="4"/>
      <x:c r="AF103" s="16" t="b">
        <x:v>0</x:v>
      </x:c>
    </x:row>
    <x:row r="104" ht="44" customHeight="1">
      <x:c r="A104" s="4" t="n">
        <x:v>4282</x:v>
      </x:c>
      <x:c r="B104" s="4" t="str">
        <x:v>https://blog.skyairline.com/comprar-pasajes-sky/</x:v>
      </x:c>
      <x:c r="C104" s="9" t="str">
        <x:v>Cómo comprar y gestionar tus pasajes con SKY desde la APP</x:v>
      </x:c>
      <x:c r="D104" s="17" t="d">
        <x:v>2026-03-02T00:00:00.000Z</x:v>
      </x:c>
      <x:c r="E104" s="17" t="d">
        <x:v>2026-03-02T00:00:00.000Z</x:v>
      </x:c>
      <x:c r="F104" s="4" t="str">
        <x:v>Planificación de Viaje</x:v>
      </x:c>
      <x:c r="G104" s="11" t="n">
        <x:v>993</x:v>
      </x:c>
      <x:c r="H104" s="11" t="n">
        <x:v>200</x:v>
      </x:c>
      <x:c r="I104" s="11" t="n">
        <x:v>1</x:v>
      </x:c>
      <x:c r="J104" s="4" t="str">
        <x:v>https://blog.skyairline.com/comprar-pasajes-sky/</x:v>
      </x:c>
      <x:c r="K104" s="16" t="b">
        <x:v>0</x:v>
      </x:c>
      <x:c r="L104" s="11" t="n">
        <x:v>0</x:v>
      </x:c>
      <x:c r="M104" s="11" t="n">
        <x:v>0</x:v>
      </x:c>
      <x:c r="N104" s="4"/>
      <x:c r="O104" s="4"/>
      <x:c r="P104" s="11" t="n">
        <x:v>11</x:v>
      </x:c>
      <x:c r="Q104" s="11" t="n">
        <x:v>25</x:v>
      </x:c>
      <x:c r="R104" s="11" t="n">
        <x:f>IF(OR(P104="",Q104=""),"",Q104-P104)</x:f>
        <x:v>14</x:v>
      </x:c>
      <x:c r="S104" s="13" t="n">
        <x:f>IF(OR(P104="",Q104="",P104=0),"",((Q104/30)/(P104/31))-1)</x:f>
        <x:v>1.3484848484848486</x:v>
      </x:c>
      <x:c r="T104" s="11" t="n">
        <x:v>2323</x:v>
      </x:c>
      <x:c r="U104" s="11" t="n">
        <x:v>2347</x:v>
      </x:c>
      <x:c r="V104" s="14" t="n">
        <x:v>0.010651896037494673</x:v>
      </x:c>
      <x:c r="W104" s="12" t="n">
        <x:v>6.914358755858543</x:v>
      </x:c>
      <x:c r="X104" s="11" t="n">
        <x:v>26</x:v>
      </x:c>
      <x:c r="Y104" s="11" t="n">
        <x:v>31</x:v>
      </x:c>
      <x:c r="Z104" s="4" t="str">
        <x:v>https://blog.skyairline.com/comprar-pasajes-sky/</x:v>
      </x:c>
      <x:c r="AA104" s="4" t="str">
        <x:v>https://blog.skyairline.com/comprar-pasajes-sky/</x:v>
      </x:c>
      <x:c r="AB104" s="4" t="str">
        <x:v>Coincidencia URL</x:v>
      </x:c>
      <x:c r="AC104" s="4" t="str">
        <x:v>Publicado hasta septiembre</x:v>
      </x:c>
      <x:c r="AD104" s="4" t="str">
        <x:v>/comprar-pasajes-sky/</x:v>
      </x:c>
      <x:c r="AE104" s="4"/>
      <x:c r="AF104" s="16" t="b">
        <x:v>0</x:v>
      </x:c>
    </x:row>
    <x:row r="105" ht="44" customHeight="1">
      <x:c r="A105" s="4" t="n">
        <x:v>4382</x:v>
      </x:c>
      <x:c r="B105" s="4" t="str">
        <x:v>https://blog.skyairline.com/sky-lanza-nuevo-programa-de-fidelidad-sky-plus/</x:v>
      </x:c>
      <x:c r="C105" s="9" t="str">
        <x:v>SKY lanza nuevo programa de fidelidad “SKY Plus”</x:v>
      </x:c>
      <x:c r="D105" s="17" t="d">
        <x:v>2024-04-25T00:00:00.000Z</x:v>
      </x:c>
      <x:c r="E105" s="17" t="d">
        <x:v>2024-04-25T00:00:00.000Z</x:v>
      </x:c>
      <x:c r="F105" s="4" t="str">
        <x:v>Noticias, Sin categoría</x:v>
      </x:c>
      <x:c r="G105" s="11" t="n">
        <x:v>531</x:v>
      </x:c>
      <x:c r="H105" s="11" t="n">
        <x:v>200</x:v>
      </x:c>
      <x:c r="I105" s="11" t="n">
        <x:v>1</x:v>
      </x:c>
      <x:c r="J105" s="4" t="str">
        <x:v>https://blog.skyairline.com/sky-lanza-nuevo-programa-de-fidelidad-sky-plus/</x:v>
      </x:c>
      <x:c r="K105" s="16" t="b">
        <x:v>0</x:v>
      </x:c>
      <x:c r="L105" s="11" t="n">
        <x:v>0</x:v>
      </x:c>
      <x:c r="M105" s="11" t="n">
        <x:v>0</x:v>
      </x:c>
      <x:c r="N105" s="4" t="str">
        <x:v>T12</x:v>
      </x:c>
      <x:c r="O105" s="4"/>
      <x:c r="P105" s="11" t="n">
        <x:v>15</x:v>
      </x:c>
      <x:c r="Q105" s="11" t="n">
        <x:v>25</x:v>
      </x:c>
      <x:c r="R105" s="11" t="n">
        <x:f>IF(OR(P105="",Q105=""),"",Q105-P105)</x:f>
        <x:v>10</x:v>
      </x:c>
      <x:c r="S105" s="13" t="n">
        <x:f>IF(OR(P105="",Q105="",P105=0),"",((Q105/30)/(P105/31))-1)</x:f>
        <x:v>0.7222222222222223</x:v>
      </x:c>
      <x:c r="T105" s="11" t="n">
        <x:v>2934</x:v>
      </x:c>
      <x:c r="U105" s="11" t="n">
        <x:v>2004</x:v>
      </x:c>
      <x:c r="V105" s="14" t="n">
        <x:v>0.0124750499001996</x:v>
      </x:c>
      <x:c r="W105" s="12" t="n">
        <x:v>7.076347305389222</x:v>
      </x:c>
      <x:c r="X105" s="11" t="n">
        <x:v>57</x:v>
      </x:c>
      <x:c r="Y105" s="11" t="n">
        <x:v>78</x:v>
      </x:c>
      <x:c r="Z105" s="4" t="str">
        <x:v>https://blog.skyairline.com/sky-lanza-nuevo-programa-de-fidelidad-sky-plus/</x:v>
      </x:c>
      <x:c r="AA105" s="4" t="str">
        <x:v>https://blog.skyairline.com/sky-lanza-nuevo-programa-de-fidelidad-sky-plus/</x:v>
      </x:c>
      <x:c r="AB105" s="4" t="str">
        <x:v>Coincidencia URL</x:v>
      </x:c>
      <x:c r="AC105" s="4" t="str">
        <x:v>Publicado hasta septiembre</x:v>
      </x:c>
      <x:c r="AD105" s="4" t="str">
        <x:v>/sky-lanza-nuevo-programa-de-fidelidad-sky-plus/</x:v>
      </x:c>
      <x:c r="AE105" s="4"/>
      <x:c r="AF105" s="16" t="b">
        <x:v>0</x:v>
      </x:c>
    </x:row>
    <x:row r="106" ht="44" customHeight="1">
      <x:c r="A106" s="4" t="n">
        <x:v>8088</x:v>
      </x:c>
      <x:c r="B106" s="4" t="str">
        <x:v>https://blog.skyairline.com/camboriu/</x:v>
      </x:c>
      <x:c r="C106" s="9" t="str">
        <x:v>Balneário Camboriú: qué hacer, cómo llegar y por qué enamora a los chilenos</x:v>
      </x:c>
      <x:c r="D106" s="17" t="d">
        <x:v>2026-01-06T00:00:00.000Z</x:v>
      </x:c>
      <x:c r="E106" s="17" t="d">
        <x:v>2025-12-29T00:00:00.000Z</x:v>
      </x:c>
      <x:c r="F106" s="4" t="str">
        <x:v>Destinos</x:v>
      </x:c>
      <x:c r="G106" s="11" t="n">
        <x:v>1281</x:v>
      </x:c>
      <x:c r="H106" s="11" t="n">
        <x:v>200</x:v>
      </x:c>
      <x:c r="I106" s="11" t="n">
        <x:v>1</x:v>
      </x:c>
      <x:c r="J106" s="4" t="str">
        <x:v>https://blog.skyairline.com/camboriu/</x:v>
      </x:c>
      <x:c r="K106" s="16" t="b">
        <x:v>0</x:v>
      </x:c>
      <x:c r="L106" s="11" t="n">
        <x:v>0</x:v>
      </x:c>
      <x:c r="M106" s="11" t="n">
        <x:v>0</x:v>
      </x:c>
      <x:c r="N106" s="4"/>
      <x:c r="O106" s="4"/>
      <x:c r="P106" s="11" t="n">
        <x:v>26</x:v>
      </x:c>
      <x:c r="Q106" s="11" t="n">
        <x:v>25</x:v>
      </x:c>
      <x:c r="R106" s="11" t="n">
        <x:f>IF(OR(P106="",Q106=""),"",Q106-P106)</x:f>
        <x:v>-1</x:v>
      </x:c>
      <x:c r="S106" s="13" t="n">
        <x:f>IF(OR(P106="",Q106="",P106=0),"",((Q106/30)/(P106/31))-1)</x:f>
        <x:v>-0.0064102564102563875</x:v>
      </x:c>
      <x:c r="T106" s="11" t="n">
        <x:v>4792</x:v>
      </x:c>
      <x:c r="U106" s="11" t="n">
        <x:v>5804</x:v>
      </x:c>
      <x:c r="V106" s="14" t="n">
        <x:v>0.00430737422467264</x:v>
      </x:c>
      <x:c r="W106" s="12" t="n">
        <x:v>8.80168849069607</x:v>
      </x:c>
      <x:c r="X106" s="11" t="n">
        <x:v>32</x:v>
      </x:c>
      <x:c r="Y106" s="11" t="n">
        <x:v>44</x:v>
      </x:c>
      <x:c r="Z106" s="4" t="str">
        <x:v>https://blog.skyairline.com/camboriu/</x:v>
      </x:c>
      <x:c r="AA106" s="4" t="str">
        <x:v>https://blog.skyairline.com/camboriu/
https://blog.skyairline.com/camboriu</x:v>
      </x:c>
      <x:c r="AB106" s="4" t="str">
        <x:v>Alias slash agregado</x:v>
      </x:c>
      <x:c r="AC106" s="4" t="str">
        <x:v>Publicado hasta septiembre</x:v>
      </x:c>
      <x:c r="AD106" s="4" t="str">
        <x:v>/camboriu/</x:v>
      </x:c>
      <x:c r="AE106" s="4"/>
      <x:c r="AF106" s="16" t="b">
        <x:v>0</x:v>
      </x:c>
    </x:row>
    <x:row r="107" ht="44" customHeight="1">
      <x:c r="A107" s="4" t="n">
        <x:v>8820</x:v>
      </x:c>
      <x:c r="B107" s="4" t="str">
        <x:v>https://blog.skyairline.com/playas-cerca-santiago/</x:v>
      </x:c>
      <x:c r="C107" s="9" t="str">
        <x:v>8 mejores playas cerca de Santiago: guía para tu escapada de fin de semana</x:v>
      </x:c>
      <x:c r="D107" s="17" t="d">
        <x:v>2026-06-04T00:00:00.000Z</x:v>
      </x:c>
      <x:c r="E107" s="17" t="d">
        <x:v>2026-05-27T00:00:00.000Z</x:v>
      </x:c>
      <x:c r="F107" s="4" t="str">
        <x:v>Destinos</x:v>
      </x:c>
      <x:c r="G107" s="11" t="n">
        <x:v>1051</x:v>
      </x:c>
      <x:c r="H107" s="11" t="n">
        <x:v>200</x:v>
      </x:c>
      <x:c r="I107" s="11" t="n">
        <x:v>1</x:v>
      </x:c>
      <x:c r="J107" s="4" t="str">
        <x:v>https://blog.skyairline.com/playas-cerca-santiago/</x:v>
      </x:c>
      <x:c r="K107" s="16" t="b">
        <x:v>0</x:v>
      </x:c>
      <x:c r="L107" s="11" t="n">
        <x:v>0</x:v>
      </x:c>
      <x:c r="M107" s="11" t="n">
        <x:v>0</x:v>
      </x:c>
      <x:c r="N107" s="4"/>
      <x:c r="O107" s="4"/>
      <x:c r="P107" s="11" t="n">
        <x:v>34</x:v>
      </x:c>
      <x:c r="Q107" s="11" t="n">
        <x:v>25</x:v>
      </x:c>
      <x:c r="R107" s="11" t="n">
        <x:f>IF(OR(P107="",Q107=""),"",Q107-P107)</x:f>
        <x:v>-9</x:v>
      </x:c>
      <x:c r="S107" s="13" t="n">
        <x:f>IF(OR(P107="",Q107="",P107=0),"",((Q107/30)/(P107/31))-1)</x:f>
        <x:v>-0.24019607843137247</x:v>
      </x:c>
      <x:c r="T107" s="11" t="n">
        <x:v>6731</x:v>
      </x:c>
      <x:c r="U107" s="11" t="n">
        <x:v>5765</x:v>
      </x:c>
      <x:c r="V107" s="14" t="n">
        <x:v>0.004336513443191674</x:v>
      </x:c>
      <x:c r="W107" s="12" t="n">
        <x:v>9.32784041630529</x:v>
      </x:c>
      <x:c r="X107" s="11" t="n">
        <x:v>31</x:v>
      </x:c>
      <x:c r="Y107" s="11" t="n">
        <x:v>45</x:v>
      </x:c>
      <x:c r="Z107" s="4" t="str">
        <x:v>https://blog.skyairline.com/playas-cerca-santiago/</x:v>
      </x:c>
      <x:c r="AA107" s="4" t="str">
        <x:v>https://blog.skyairline.com/playas-cerca-santiago/</x:v>
      </x:c>
      <x:c r="AB107" s="4" t="str">
        <x:v>Coincidencia URL</x:v>
      </x:c>
      <x:c r="AC107" s="4" t="str">
        <x:v>Publicado hasta septiembre</x:v>
      </x:c>
      <x:c r="AD107" s="4" t="str">
        <x:v>/playas-cerca-santiago/</x:v>
      </x:c>
      <x:c r="AE107" s="4"/>
      <x:c r="AF107" s="16" t="b">
        <x:v>0</x:v>
      </x:c>
    </x:row>
    <x:row r="108" ht="44" customHeight="1">
      <x:c r="A108" s="4" t="n">
        <x:v>9010</x:v>
      </x:c>
      <x:c r="B108" s="4" t="str">
        <x:v>https://blog.skyairline.com/sky-suma-a-cajamarca-y-talara-a-su-red-de-destinos/</x:v>
      </x:c>
      <x:c r="C108" s="9" t="str">
        <x:v>SKY suma a Cajamarca y Talara a su red de destinos</x:v>
      </x:c>
      <x:c r="D108" s="17" t="d">
        <x:v>2026-07-15T00:00:00.000Z</x:v>
      </x:c>
      <x:c r="E108" s="17" t="d">
        <x:v>2026-07-15T00:00:00.000Z</x:v>
      </x:c>
      <x:c r="F108" s="4" t="str">
        <x:v>Noticias</x:v>
      </x:c>
      <x:c r="G108" s="11" t="n">
        <x:v>205</x:v>
      </x:c>
      <x:c r="H108" s="11" t="n">
        <x:v>200</x:v>
      </x:c>
      <x:c r="I108" s="11" t="n">
        <x:v>1</x:v>
      </x:c>
      <x:c r="J108" s="4" t="str">
        <x:v>https://blog.skyairline.com/sky-suma-a-cajamarca-y-talara-a-su-red-de-destinos/</x:v>
      </x:c>
      <x:c r="K108" s="16" t="b">
        <x:v>0</x:v>
      </x:c>
      <x:c r="L108" s="11" t="n">
        <x:v>0</x:v>
      </x:c>
      <x:c r="M108" s="11" t="n">
        <x:v>0</x:v>
      </x:c>
      <x:c r="N108" s="4"/>
      <x:c r="O108" s="4"/>
      <x:c r="P108" s="11" t="n">
        <x:v>27</x:v>
      </x:c>
      <x:c r="Q108" s="11" t="n">
        <x:v>25</x:v>
      </x:c>
      <x:c r="R108" s="11" t="n">
        <x:f>IF(OR(P108="",Q108=""),"",Q108-P108)</x:f>
        <x:v>-2</x:v>
      </x:c>
      <x:c r="S108" s="13" t="n">
        <x:f>IF(OR(P108="",Q108="",P108=0),"",((Q108/30)/(P108/31))-1)</x:f>
        <x:v>-0.043209876543209846</x:v>
      </x:c>
      <x:c r="T108" s="11" t="n">
        <x:v>606</x:v>
      </x:c>
      <x:c r="U108" s="11" t="n">
        <x:v>558</x:v>
      </x:c>
      <x:c r="V108" s="14" t="n">
        <x:v>0.044802867383512544</x:v>
      </x:c>
      <x:c r="W108" s="12" t="n">
        <x:v>5.209677419354839</x:v>
      </x:c>
      <x:c r="X108" s="11" t="n">
        <x:v>27</x:v>
      </x:c>
      <x:c r="Y108" s="11" t="n">
        <x:v>31</x:v>
      </x:c>
      <x:c r="Z108" s="4" t="str">
        <x:v>https://blog.skyairline.com/sky-suma-a-cajamarca-y-talara-a-su-red-de-destinos/</x:v>
      </x:c>
      <x:c r="AA108" s="4" t="str">
        <x:v>https://blog.skyairline.com/sky-suma-a-cajamarca-y-talara-a-su-red-de-destinos/
https://blog.skyairline.com/sky-suma-a-cajamarca-y-talara-a-su-red-de-destinos</x:v>
      </x:c>
      <x:c r="AB108" s="4" t="str">
        <x:v>Alias slash agregado</x:v>
      </x:c>
      <x:c r="AC108" s="4" t="str">
        <x:v>Publicado hasta septiembre</x:v>
      </x:c>
      <x:c r="AD108" s="4" t="str">
        <x:v>/sky-suma-a-cajamarca-y-talara-a-su-red-de-destinos/</x:v>
      </x:c>
      <x:c r="AE108" s="4"/>
      <x:c r="AF108" s="16" t="b">
        <x:v>0</x:v>
      </x:c>
    </x:row>
    <x:row r="109" ht="44" customHeight="1">
      <x:c r="A109" s="4" t="n">
        <x:v>574</x:v>
      </x:c>
      <x:c r="B109" s="4" t="str">
        <x:v>https://blog.skyairline.com/perder-el-equipaje/</x:v>
      </x:c>
      <x:c r="C109" s="9" t="str">
        <x:v>Equipaje extraviado: cómo prevenirlo y qué hacer si tu maleta no aparece</x:v>
      </x:c>
      <x:c r="D109" s="17" t="d">
        <x:v>2026-03-30T00:00:00.000Z</x:v>
      </x:c>
      <x:c r="E109" s="17" t="d">
        <x:v>2026-03-24T00:00:00.000Z</x:v>
      </x:c>
      <x:c r="F109" s="4" t="str">
        <x:v>Planificación de Viaje</x:v>
      </x:c>
      <x:c r="G109" s="11" t="n">
        <x:v>1066</x:v>
      </x:c>
      <x:c r="H109" s="11" t="n">
        <x:v>200</x:v>
      </x:c>
      <x:c r="I109" s="11" t="n">
        <x:v>1</x:v>
      </x:c>
      <x:c r="J109" s="4" t="str">
        <x:v>https://blog.skyairline.com/perder-el-equipaje/</x:v>
      </x:c>
      <x:c r="K109" s="16" t="b">
        <x:v>0</x:v>
      </x:c>
      <x:c r="L109" s="11" t="n">
        <x:v>0</x:v>
      </x:c>
      <x:c r="M109" s="11" t="n">
        <x:v>0</x:v>
      </x:c>
      <x:c r="N109" s="4"/>
      <x:c r="O109" s="4"/>
      <x:c r="P109" s="11" t="n">
        <x:v>37</x:v>
      </x:c>
      <x:c r="Q109" s="11" t="n">
        <x:v>24</x:v>
      </x:c>
      <x:c r="R109" s="11" t="n">
        <x:f>IF(OR(P109="",Q109=""),"",Q109-P109)</x:f>
        <x:v>-13</x:v>
      </x:c>
      <x:c r="S109" s="13" t="n">
        <x:f>IF(OR(P109="",Q109="",P109=0),"",((Q109/30)/(P109/31))-1)</x:f>
        <x:v>-0.3297297297297297</x:v>
      </x:c>
      <x:c r="T109" s="11" t="n">
        <x:v>1332</x:v>
      </x:c>
      <x:c r="U109" s="11" t="n">
        <x:v>864</x:v>
      </x:c>
      <x:c r="V109" s="14" t="n">
        <x:v>0.027777777777777776</x:v>
      </x:c>
      <x:c r="W109" s="12" t="n">
        <x:v>6.787037037037037</x:v>
      </x:c>
      <x:c r="X109" s="11" t="n">
        <x:v>32</x:v>
      </x:c>
      <x:c r="Y109" s="11" t="n">
        <x:v>44</x:v>
      </x:c>
      <x:c r="Z109" s="4" t="str">
        <x:v>https://blog.skyairline.com/perder-el-equipaje/</x:v>
      </x:c>
      <x:c r="AA109" s="4" t="str">
        <x:v>https://blog.skyairline.com/perder-el-equipaje/</x:v>
      </x:c>
      <x:c r="AB109" s="4" t="str">
        <x:v>Coincidencia URL</x:v>
      </x:c>
      <x:c r="AC109" s="4" t="str">
        <x:v>Publicado hasta septiembre</x:v>
      </x:c>
      <x:c r="AD109" s="4" t="str">
        <x:v>/perder-el-equipaje/</x:v>
      </x:c>
      <x:c r="AE109" s="4"/>
      <x:c r="AF109" s="16" t="b">
        <x:v>0</x:v>
      </x:c>
    </x:row>
    <x:row r="110" ht="44" customHeight="1">
      <x:c r="A110" s="4" t="n">
        <x:v>6380</x:v>
      </x:c>
      <x:c r="B110" s="4" t="str">
        <x:v>https://blog.skyairline.com/punta-cana-en-temporada-baja/</x:v>
      </x:c>
      <x:c r="C110" s="9" t="str">
        <x:v>¿Conviene viajar a Punta Cana en temporada baja? Te lo contamos</x:v>
      </x:c>
      <x:c r="D110" s="17" t="d">
        <x:v>2025-07-30T00:00:00.000Z</x:v>
      </x:c>
      <x:c r="E110" s="17" t="d">
        <x:v>2025-07-30T00:00:00.000Z</x:v>
      </x:c>
      <x:c r="F110" s="4" t="str">
        <x:v>Destinos</x:v>
      </x:c>
      <x:c r="G110" s="11" t="n">
        <x:v>932</x:v>
      </x:c>
      <x:c r="H110" s="11" t="n">
        <x:v>200</x:v>
      </x:c>
      <x:c r="I110" s="11" t="n">
        <x:v>1</x:v>
      </x:c>
      <x:c r="J110" s="4" t="str">
        <x:v>https://blog.skyairline.com/punta-cana-en-temporada-baja/</x:v>
      </x:c>
      <x:c r="K110" s="16" t="b">
        <x:v>0</x:v>
      </x:c>
      <x:c r="L110" s="11" t="n">
        <x:v>0</x:v>
      </x:c>
      <x:c r="M110" s="11" t="n">
        <x:v>2</x:v>
      </x:c>
      <x:c r="N110" s="4"/>
      <x:c r="O110" s="4"/>
      <x:c r="P110" s="11" t="n">
        <x:v>19</x:v>
      </x:c>
      <x:c r="Q110" s="11" t="n">
        <x:v>24</x:v>
      </x:c>
      <x:c r="R110" s="11" t="n">
        <x:f>IF(OR(P110="",Q110=""),"",Q110-P110)</x:f>
        <x:v>5</x:v>
      </x:c>
      <x:c r="S110" s="13" t="n">
        <x:f>IF(OR(P110="",Q110="",P110=0),"",((Q110/30)/(P110/31))-1)</x:f>
        <x:v>0.3052631578947369</x:v>
      </x:c>
      <x:c r="T110" s="11" t="n">
        <x:v>3086</x:v>
      </x:c>
      <x:c r="U110" s="11" t="n">
        <x:v>2265</x:v>
      </x:c>
      <x:c r="V110" s="14" t="n">
        <x:v>0.010596026490066225</x:v>
      </x:c>
      <x:c r="W110" s="12" t="n">
        <x:v>6.164679911699779</x:v>
      </x:c>
      <x:c r="X110" s="11" t="n">
        <x:v>26</x:v>
      </x:c>
      <x:c r="Y110" s="11" t="n">
        <x:v>35</x:v>
      </x:c>
      <x:c r="Z110" s="4" t="str">
        <x:v>https://blog.skyairline.com/punta-cana-en-temporada-baja/</x:v>
      </x:c>
      <x:c r="AA110" s="4" t="str">
        <x:v>https://blog.skyairline.com/punta-cana-en-temporada-baja/
https://blog.skyairline.com/punta-cana-en-temporada-baja</x:v>
      </x:c>
      <x:c r="AB110" s="4" t="str">
        <x:v>Alias slash agregado</x:v>
      </x:c>
      <x:c r="AC110" s="4" t="str">
        <x:v>Publicado hasta septiembre</x:v>
      </x:c>
      <x:c r="AD110" s="4" t="str">
        <x:v>/punta-cana-en-temporada-baja/</x:v>
      </x:c>
      <x:c r="AE110" s="4"/>
      <x:c r="AF110" s="16" t="b">
        <x:v>0</x:v>
      </x:c>
    </x:row>
    <x:row r="111" ht="44" customHeight="1">
      <x:c r="A111" s="4" t="n">
        <x:v>5316</x:v>
      </x:c>
      <x:c r="B111" s="4" t="str">
        <x:v>https://blog.skyairline.com/bailes-tipicos-del-peru/</x:v>
      </x:c>
      <x:c r="C111" s="9" t="str">
        <x:v>Bailes típicos del Perú: un viaje cultural de música y danzas</x:v>
      </x:c>
      <x:c r="D111" s="17" t="d">
        <x:v>2024-11-13T00:00:00.000Z</x:v>
      </x:c>
      <x:c r="E111" s="17" t="d">
        <x:v>2024-11-13T00:00:00.000Z</x:v>
      </x:c>
      <x:c r="F111" s="4" t="str">
        <x:v>Sin categoría</x:v>
      </x:c>
      <x:c r="G111" s="11" t="n">
        <x:v>1018</x:v>
      </x:c>
      <x:c r="H111" s="11" t="n">
        <x:v>200</x:v>
      </x:c>
      <x:c r="I111" s="11" t="n">
        <x:v>1</x:v>
      </x:c>
      <x:c r="J111" s="4" t="str">
        <x:v>https://blog.skyairline.com/bailes-tipicos-del-peru/</x:v>
      </x:c>
      <x:c r="K111" s="16" t="b">
        <x:v>0</x:v>
      </x:c>
      <x:c r="L111" s="11" t="n">
        <x:v>0</x:v>
      </x:c>
      <x:c r="M111" s="11" t="n">
        <x:v>4</x:v>
      </x:c>
      <x:c r="N111" s="4"/>
      <x:c r="O111" s="4"/>
      <x:c r="P111" s="11" t="n">
        <x:v>21</x:v>
      </x:c>
      <x:c r="Q111" s="11" t="n">
        <x:v>23</x:v>
      </x:c>
      <x:c r="R111" s="11" t="n">
        <x:f>IF(OR(P111="",Q111=""),"",Q111-P111)</x:f>
        <x:v>2</x:v>
      </x:c>
      <x:c r="S111" s="13" t="n">
        <x:f>IF(OR(P111="",Q111="",P111=0),"",((Q111/30)/(P111/31))-1)</x:f>
        <x:v>0.13174603174603194</x:v>
      </x:c>
      <x:c r="T111" s="11" t="n">
        <x:v>5701</x:v>
      </x:c>
      <x:c r="U111" s="11" t="n">
        <x:v>5417</x:v>
      </x:c>
      <x:c r="V111" s="14" t="n">
        <x:v>0.0042458925604578176</x:v>
      </x:c>
      <x:c r="W111" s="12" t="n">
        <x:v>6.136053165959018</x:v>
      </x:c>
      <x:c r="X111" s="11" t="n">
        <x:v>30</x:v>
      </x:c>
      <x:c r="Y111" s="11" t="n">
        <x:v>40</x:v>
      </x:c>
      <x:c r="Z111" s="4" t="str">
        <x:v>https://blog.skyairline.com/bailes-tipicos-del-peru/</x:v>
      </x:c>
      <x:c r="AA111" s="4" t="str">
        <x:v>https://blog.skyairline.com/bailes-tipicos-del-peru/</x:v>
      </x:c>
      <x:c r="AB111" s="4" t="str">
        <x:v>Coincidencia URL</x:v>
      </x:c>
      <x:c r="AC111" s="4" t="str">
        <x:v>Publicado hasta septiembre</x:v>
      </x:c>
      <x:c r="AD111" s="4" t="str">
        <x:v>/bailes-tipicos-del-peru/</x:v>
      </x:c>
      <x:c r="AE111" s="4"/>
      <x:c r="AF111" s="16" t="b">
        <x:v>0</x:v>
      </x:c>
    </x:row>
    <x:row r="112" ht="44" customHeight="1">
      <x:c r="A112" s="4" t="n">
        <x:v>8775</x:v>
      </x:c>
      <x:c r="B112" s="4" t="str">
        <x:v>https://blog.skyairline.com/aeropuerto-lima/</x:v>
      </x:c>
      <x:c r="C112" s="9" t="str">
        <x:v>Aeropuerto de Lima (Jorge Chávez): cómo llegar, qué servicios considerar y tips antes del vuelo</x:v>
      </x:c>
      <x:c r="D112" s="17" t="d">
        <x:v>2026-05-25T00:00:00.000Z</x:v>
      </x:c>
      <x:c r="E112" s="17" t="d">
        <x:v>2026-05-20T00:00:00.000Z</x:v>
      </x:c>
      <x:c r="F112" s="4" t="str">
        <x:v>Planificación de Viaje</x:v>
      </x:c>
      <x:c r="G112" s="11" t="n">
        <x:v>1102</x:v>
      </x:c>
      <x:c r="H112" s="11" t="n">
        <x:v>200</x:v>
      </x:c>
      <x:c r="I112" s="11" t="n">
        <x:v>1</x:v>
      </x:c>
      <x:c r="J112" s="4" t="str">
        <x:v>https://blog.skyairline.com/aeropuerto-lima/</x:v>
      </x:c>
      <x:c r="K112" s="16" t="b">
        <x:v>0</x:v>
      </x:c>
      <x:c r="L112" s="11" t="n">
        <x:v>0</x:v>
      </x:c>
      <x:c r="M112" s="11" t="n">
        <x:v>0</x:v>
      </x:c>
      <x:c r="N112" s="4"/>
      <x:c r="O112" s="4"/>
      <x:c r="P112" s="11" t="n">
        <x:v>27</x:v>
      </x:c>
      <x:c r="Q112" s="11" t="n">
        <x:v>23</x:v>
      </x:c>
      <x:c r="R112" s="11" t="n">
        <x:f>IF(OR(P112="",Q112=""),"",Q112-P112)</x:f>
        <x:v>-4</x:v>
      </x:c>
      <x:c r="S112" s="13" t="n">
        <x:f>IF(OR(P112="",Q112="",P112=0),"",((Q112/30)/(P112/31))-1)</x:f>
        <x:v>-0.11975308641975302</x:v>
      </x:c>
      <x:c r="T112" s="11" t="n">
        <x:v>1805</x:v>
      </x:c>
      <x:c r="U112" s="11" t="n">
        <x:v>1822</x:v>
      </x:c>
      <x:c r="V112" s="14" t="n">
        <x:v>0.012623490669593854</x:v>
      </x:c>
      <x:c r="W112" s="12" t="n">
        <x:v>6.201975850713501</x:v>
      </x:c>
      <x:c r="X112" s="11" t="n">
        <x:v>22</x:v>
      </x:c>
      <x:c r="Y112" s="11" t="n">
        <x:v>29</x:v>
      </x:c>
      <x:c r="Z112" s="4" t="str">
        <x:v>https://blog.skyairline.com/aeropuerto-lima/</x:v>
      </x:c>
      <x:c r="AA112" s="4" t="str">
        <x:v>https://blog.skyairline.com/aeropuerto-lima/</x:v>
      </x:c>
      <x:c r="AB112" s="4" t="str">
        <x:v>Coincidencia URL</x:v>
      </x:c>
      <x:c r="AC112" s="4" t="str">
        <x:v>Publicado hasta septiembre</x:v>
      </x:c>
      <x:c r="AD112" s="4" t="str">
        <x:v>/aeropuerto-lima/</x:v>
      </x:c>
      <x:c r="AE112" s="4"/>
      <x:c r="AF112" s="16" t="b">
        <x:v>0</x:v>
      </x:c>
    </x:row>
    <x:row r="113" ht="44" customHeight="1">
      <x:c r="A113" s="4" t="n">
        <x:v>8800</x:v>
      </x:c>
      <x:c r="B113" s="4" t="str">
        <x:v>https://blog.skyairline.com/escapada-romantica-fin-de-semana/</x:v>
      </x:c>
      <x:c r="C113" s="9" t="str">
        <x:v>5 ideas para una escapada romántica en el fin de semana</x:v>
      </x:c>
      <x:c r="D113" s="17" t="d">
        <x:v>2026-06-02T00:00:00.000Z</x:v>
      </x:c>
      <x:c r="E113" s="17" t="d">
        <x:v>2026-05-27T00:00:00.000Z</x:v>
      </x:c>
      <x:c r="F113" s="4" t="str">
        <x:v>Planificación de Viaje</x:v>
      </x:c>
      <x:c r="G113" s="11" t="n">
        <x:v>1150</x:v>
      </x:c>
      <x:c r="H113" s="11" t="n">
        <x:v>200</x:v>
      </x:c>
      <x:c r="I113" s="11" t="n">
        <x:v>1</x:v>
      </x:c>
      <x:c r="J113" s="4" t="str">
        <x:v>https://blog.skyairline.com/escapada-romantica-fin-de-semana/</x:v>
      </x:c>
      <x:c r="K113" s="16" t="b">
        <x:v>0</x:v>
      </x:c>
      <x:c r="L113" s="11" t="n">
        <x:v>0</x:v>
      </x:c>
      <x:c r="M113" s="11" t="n">
        <x:v>0</x:v>
      </x:c>
      <x:c r="N113" s="4"/>
      <x:c r="O113" s="4"/>
      <x:c r="P113" s="11" t="n">
        <x:v>21</x:v>
      </x:c>
      <x:c r="Q113" s="11" t="n">
        <x:v>23</x:v>
      </x:c>
      <x:c r="R113" s="11" t="n">
        <x:f>IF(OR(P113="",Q113=""),"",Q113-P113)</x:f>
        <x:v>2</x:v>
      </x:c>
      <x:c r="S113" s="13" t="n">
        <x:f>IF(OR(P113="",Q113="",P113=0),"",((Q113/30)/(P113/31))-1)</x:f>
        <x:v>0.13174603174603194</x:v>
      </x:c>
      <x:c r="T113" s="11" t="n">
        <x:v>846</x:v>
      </x:c>
      <x:c r="U113" s="11" t="n">
        <x:v>659</x:v>
      </x:c>
      <x:c r="V113" s="14" t="n">
        <x:v>0.03490136570561457</x:v>
      </x:c>
      <x:c r="W113" s="12" t="n">
        <x:v>10.29742033383915</x:v>
      </x:c>
      <x:c r="X113" s="11" t="n">
        <x:v>24</x:v>
      </x:c>
      <x:c r="Y113" s="11" t="n">
        <x:v>32</x:v>
      </x:c>
      <x:c r="Z113" s="4" t="str">
        <x:v>https://blog.skyairline.com/escapada-romantica-fin-de-semana/</x:v>
      </x:c>
      <x:c r="AA113" s="4" t="str">
        <x:v>https://blog.skyairline.com/escapada-romantica-fin-de-semana/</x:v>
      </x:c>
      <x:c r="AB113" s="4" t="str">
        <x:v>Coincidencia URL</x:v>
      </x:c>
      <x:c r="AC113" s="4" t="str">
        <x:v>Publicado hasta septiembre</x:v>
      </x:c>
      <x:c r="AD113" s="4" t="str">
        <x:v>/escapada-romantica-fin-de-semana/</x:v>
      </x:c>
      <x:c r="AE113" s="4"/>
      <x:c r="AF113" s="16" t="b">
        <x:v>0</x:v>
      </x:c>
    </x:row>
    <x:row r="114" ht="44" customHeight="1">
      <x:c r="A114" s="4" t="n">
        <x:v>1630</x:v>
      </x:c>
      <x:c r="B114" s="4" t="str">
        <x:v>https://blog.skyairline.com/mejor-fecha-para-viajar-a-tarapoto/</x:v>
      </x:c>
      <x:c r="C114" s="9" t="str">
        <x:v>¿Cuál es la mejor fecha para viajar a Tarapoto y evitar los meses más lluviosos?</x:v>
      </x:c>
      <x:c r="D114" s="17" t="d">
        <x:v>2022-03-29T00:00:00.000Z</x:v>
      </x:c>
      <x:c r="E114" s="17" t="d">
        <x:v>2022-03-29T00:00:00.000Z</x:v>
      </x:c>
      <x:c r="F114" s="4" t="str">
        <x:v>Planificación de Viaje</x:v>
      </x:c>
      <x:c r="G114" s="11" t="n">
        <x:v>1047</x:v>
      </x:c>
      <x:c r="H114" s="11" t="n">
        <x:v>200</x:v>
      </x:c>
      <x:c r="I114" s="11" t="n">
        <x:v>1</x:v>
      </x:c>
      <x:c r="J114" s="4" t="str">
        <x:v>https://blog.skyairline.com/mejor-fecha-para-viajar-a-tarapoto/</x:v>
      </x:c>
      <x:c r="K114" s="16" t="b">
        <x:v>0</x:v>
      </x:c>
      <x:c r="L114" s="11" t="n">
        <x:v>0</x:v>
      </x:c>
      <x:c r="M114" s="11" t="n">
        <x:v>3</x:v>
      </x:c>
      <x:c r="N114" s="4"/>
      <x:c r="O114" s="4"/>
      <x:c r="P114" s="11" t="n">
        <x:v>35</x:v>
      </x:c>
      <x:c r="Q114" s="11" t="n">
        <x:v>22</x:v>
      </x:c>
      <x:c r="R114" s="11" t="n">
        <x:f>IF(OR(P114="",Q114=""),"",Q114-P114)</x:f>
        <x:v>-13</x:v>
      </x:c>
      <x:c r="S114" s="13" t="n">
        <x:f>IF(OR(P114="",Q114="",P114=0),"",((Q114/30)/(P114/31))-1)</x:f>
        <x:v>-0.3504761904761906</x:v>
      </x:c>
      <x:c r="T114" s="11" t="n">
        <x:v>3672</x:v>
      </x:c>
      <x:c r="U114" s="11" t="n">
        <x:v>3179</x:v>
      </x:c>
      <x:c r="V114" s="14" t="n">
        <x:v>0.006920415224913495</x:v>
      </x:c>
      <x:c r="W114" s="12" t="n">
        <x:v>5.695187165775401</x:v>
      </x:c>
      <x:c r="X114" s="11" t="n">
        <x:v>28</x:v>
      </x:c>
      <x:c r="Y114" s="11" t="n">
        <x:v>37</x:v>
      </x:c>
      <x:c r="Z114" s="4" t="str">
        <x:v>https://blog.skyairline.com/mejor-fecha-para-viajar-a-tarapoto/</x:v>
      </x:c>
      <x:c r="AA114" s="4" t="str">
        <x:v>https://blog.skyairline.com/mejor-fecha-para-viajar-a-tarapoto/
https://blog.skyairline.com/mejor-fecha-para-viajar-a-tarapoto</x:v>
      </x:c>
      <x:c r="AB114" s="4" t="str">
        <x:v>Alias slash agregado</x:v>
      </x:c>
      <x:c r="AC114" s="4" t="str">
        <x:v>Publicado hasta septiembre</x:v>
      </x:c>
      <x:c r="AD114" s="4" t="str">
        <x:v>/mejor-fecha-para-viajar-a-tarapoto/</x:v>
      </x:c>
      <x:c r="AE114" s="4"/>
      <x:c r="AF114" s="16" t="b">
        <x:v>0</x:v>
      </x:c>
    </x:row>
    <x:row r="115" ht="44" customHeight="1">
      <x:c r="A115" s="4" t="n">
        <x:v>4044</x:v>
      </x:c>
      <x:c r="B115" s="4" t="str">
        <x:v>https://blog.skyairline.com/que-es-hostal/</x:v>
      </x:c>
      <x:c r="C115" s="9" t="str">
        <x:v>¿Qué es un hostal y por qué es una opción económica para viajar?</x:v>
      </x:c>
      <x:c r="D115" s="17" t="d">
        <x:v>2026-05-06T00:00:00.000Z</x:v>
      </x:c>
      <x:c r="E115" s="17" t="d">
        <x:v>2026-04-30T00:00:00.000Z</x:v>
      </x:c>
      <x:c r="F115" s="4" t="str">
        <x:v>Planificación de Viaje</x:v>
      </x:c>
      <x:c r="G115" s="11" t="n">
        <x:v>961</x:v>
      </x:c>
      <x:c r="H115" s="11" t="n">
        <x:v>200</x:v>
      </x:c>
      <x:c r="I115" s="11" t="n">
        <x:v>1</x:v>
      </x:c>
      <x:c r="J115" s="4" t="str">
        <x:v>https://blog.skyairline.com/que-es-hostal/</x:v>
      </x:c>
      <x:c r="K115" s="16" t="b">
        <x:v>0</x:v>
      </x:c>
      <x:c r="L115" s="11" t="n">
        <x:v>0</x:v>
      </x:c>
      <x:c r="M115" s="11" t="n">
        <x:v>0</x:v>
      </x:c>
      <x:c r="N115" s="4"/>
      <x:c r="O115" s="4"/>
      <x:c r="P115" s="11" t="n">
        <x:v>26</x:v>
      </x:c>
      <x:c r="Q115" s="11" t="n">
        <x:v>22</x:v>
      </x:c>
      <x:c r="R115" s="11" t="n">
        <x:f>IF(OR(P115="",Q115=""),"",Q115-P115)</x:f>
        <x:v>-4</x:v>
      </x:c>
      <x:c r="S115" s="13" t="n">
        <x:f>IF(OR(P115="",Q115="",P115=0),"",((Q115/30)/(P115/31))-1)</x:f>
        <x:v>-0.12564102564102575</x:v>
      </x:c>
      <x:c r="T115" s="11" t="n">
        <x:v>12370</x:v>
      </x:c>
      <x:c r="U115" s="11" t="n">
        <x:v>12257</x:v>
      </x:c>
      <x:c r="V115" s="14" t="n">
        <x:v>0.0017948927143673003</x:v>
      </x:c>
      <x:c r="W115" s="12" t="n">
        <x:v>8.34192706208697</x:v>
      </x:c>
      <x:c r="X115" s="11" t="n">
        <x:v>27</x:v>
      </x:c>
      <x:c r="Y115" s="11" t="n">
        <x:v>33</x:v>
      </x:c>
      <x:c r="Z115" s="4" t="str">
        <x:v>https://blog.skyairline.com/que-es-hostal/</x:v>
      </x:c>
      <x:c r="AA115" s="4" t="str">
        <x:v>https://blog.skyairline.com/que-es-hostal/</x:v>
      </x:c>
      <x:c r="AB115" s="4" t="str">
        <x:v>Coincidencia URL</x:v>
      </x:c>
      <x:c r="AC115" s="4" t="str">
        <x:v>Publicado hasta septiembre</x:v>
      </x:c>
      <x:c r="AD115" s="4" t="str">
        <x:v>/que-es-hostal/</x:v>
      </x:c>
      <x:c r="AE115" s="4"/>
      <x:c r="AF115" s="16" t="b">
        <x:v>0</x:v>
      </x:c>
    </x:row>
    <x:row r="116" ht="44" customHeight="1">
      <x:c r="A116" s="4" t="n">
        <x:v>6001</x:v>
      </x:c>
      <x:c r="B116" s="4" t="str">
        <x:v>https://blog.skyairline.com/clima-de-la-zona-sur-de-chile-temperaturas-y-estaciones/</x:v>
      </x:c>
      <x:c r="C116" s="9" t="str">
        <x:v>Clima de la zona sur de Chile: temperaturas y estaciones</x:v>
      </x:c>
      <x:c r="D116" s="17" t="d">
        <x:v>2025-05-04T00:00:00.000Z</x:v>
      </x:c>
      <x:c r="E116" s="17" t="d">
        <x:v>2025-05-04T00:00:00.000Z</x:v>
      </x:c>
      <x:c r="F116" s="4" t="str">
        <x:v>Planificación de Viaje</x:v>
      </x:c>
      <x:c r="G116" s="11" t="n">
        <x:v>1153</x:v>
      </x:c>
      <x:c r="H116" s="11" t="n">
        <x:v>200</x:v>
      </x:c>
      <x:c r="I116" s="11" t="n">
        <x:v>1</x:v>
      </x:c>
      <x:c r="J116" s="4" t="str">
        <x:v>https://blog.skyairline.com/clima-de-la-zona-sur-de-chile-temperaturas-y-estaciones/</x:v>
      </x:c>
      <x:c r="K116" s="16" t="b">
        <x:v>0</x:v>
      </x:c>
      <x:c r="L116" s="11" t="n">
        <x:v>0</x:v>
      </x:c>
      <x:c r="M116" s="11" t="n">
        <x:v>0</x:v>
      </x:c>
      <x:c r="N116" s="4"/>
      <x:c r="O116" s="4"/>
      <x:c r="P116" s="11" t="n">
        <x:v>18</x:v>
      </x:c>
      <x:c r="Q116" s="11" t="n">
        <x:v>22</x:v>
      </x:c>
      <x:c r="R116" s="11" t="n">
        <x:f>IF(OR(P116="",Q116=""),"",Q116-P116)</x:f>
        <x:v>4</x:v>
      </x:c>
      <x:c r="S116" s="13" t="n">
        <x:f>IF(OR(P116="",Q116="",P116=0),"",((Q116/30)/(P116/31))-1)</x:f>
        <x:v>0.26296296296296284</x:v>
      </x:c>
      <x:c r="T116" s="11" t="n">
        <x:v>2374</x:v>
      </x:c>
      <x:c r="U116" s="11" t="n">
        <x:v>1778</x:v>
      </x:c>
      <x:c r="V116" s="14" t="n">
        <x:v>0.012373453318335208</x:v>
      </x:c>
      <x:c r="W116" s="12" t="n">
        <x:v>5.752530933633296</x:v>
      </x:c>
      <x:c r="X116" s="11" t="n">
        <x:v>26</x:v>
      </x:c>
      <x:c r="Y116" s="11" t="n">
        <x:v>30</x:v>
      </x:c>
      <x:c r="Z116" s="4" t="str">
        <x:v>https://blog.skyairline.com/clima-de-la-zona-sur-de-chile-temperaturas-y-estaciones/</x:v>
      </x:c>
      <x:c r="AA116" s="4" t="str">
        <x:v>https://blog.skyairline.com/clima-de-la-zona-sur-de-chile-temperaturas-y-estaciones/
https://blog.skyairline.com/clima-de-la-zona-sur-de-chile-temperaturas-y-estaciones</x:v>
      </x:c>
      <x:c r="AB116" s="4" t="str">
        <x:v>Alias slash agregado</x:v>
      </x:c>
      <x:c r="AC116" s="4" t="str">
        <x:v>Publicado hasta septiembre</x:v>
      </x:c>
      <x:c r="AD116" s="4" t="str">
        <x:v>/clima-de-la-zona-sur-de-chile-temperaturas-y-estaciones/</x:v>
      </x:c>
      <x:c r="AE116" s="4"/>
      <x:c r="AF116" s="16" t="b">
        <x:v>0</x:v>
      </x:c>
    </x:row>
    <x:row r="117" ht="44" customHeight="1">
      <x:c r="A117" s="4" t="n">
        <x:v>6048</x:v>
      </x:c>
      <x:c r="B117" s="4" t="str">
        <x:v>https://blog.skyairline.com/volcanes-en-puerto-montt-cuales-visitar-y-como-llegar/</x:v>
      </x:c>
      <x:c r="C117" s="9" t="str">
        <x:v>Volcanes en Puerto Montt: cuáles visitar y cómo llegar</x:v>
      </x:c>
      <x:c r="D117" s="17" t="d">
        <x:v>2025-05-18T00:00:00.000Z</x:v>
      </x:c>
      <x:c r="E117" s="17" t="d">
        <x:v>2025-05-18T00:00:00.000Z</x:v>
      </x:c>
      <x:c r="F117" s="4" t="str">
        <x:v>Destinos</x:v>
      </x:c>
      <x:c r="G117" s="11" t="n">
        <x:v>1381</x:v>
      </x:c>
      <x:c r="H117" s="11" t="n">
        <x:v>200</x:v>
      </x:c>
      <x:c r="I117" s="11" t="n">
        <x:v>1</x:v>
      </x:c>
      <x:c r="J117" s="4" t="str">
        <x:v>https://blog.skyairline.com/volcanes-en-puerto-montt-cuales-visitar-y-como-llegar/</x:v>
      </x:c>
      <x:c r="K117" s="16" t="b">
        <x:v>0</x:v>
      </x:c>
      <x:c r="L117" s="11" t="n">
        <x:v>0</x:v>
      </x:c>
      <x:c r="M117" s="11" t="n">
        <x:v>0</x:v>
      </x:c>
      <x:c r="N117" s="4"/>
      <x:c r="O117" s="4"/>
      <x:c r="P117" s="11" t="n">
        <x:v>18</x:v>
      </x:c>
      <x:c r="Q117" s="11" t="n">
        <x:v>22</x:v>
      </x:c>
      <x:c r="R117" s="11" t="n">
        <x:f>IF(OR(P117="",Q117=""),"",Q117-P117)</x:f>
        <x:v>4</x:v>
      </x:c>
      <x:c r="S117" s="13" t="n">
        <x:f>IF(OR(P117="",Q117="",P117=0),"",((Q117/30)/(P117/31))-1)</x:f>
        <x:v>0.26296296296296284</x:v>
      </x:c>
      <x:c r="T117" s="11" t="n">
        <x:v>1334</x:v>
      </x:c>
      <x:c r="U117" s="11" t="n">
        <x:v>1289</x:v>
      </x:c>
      <x:c r="V117" s="14" t="n">
        <x:v>0.017067494181536073</x:v>
      </x:c>
      <x:c r="W117" s="12" t="n">
        <x:v>5.517455391776571</x:v>
      </x:c>
      <x:c r="X117" s="11" t="n">
        <x:v>26</x:v>
      </x:c>
      <x:c r="Y117" s="11" t="n">
        <x:v>31</x:v>
      </x:c>
      <x:c r="Z117" s="4" t="str">
        <x:v>https://blog.skyairline.com/volcanes-en-puerto-montt-cuales-visitar-y-como-llegar/</x:v>
      </x:c>
      <x:c r="AA117" s="4" t="str">
        <x:v>https://blog.skyairline.com/volcanes-en-puerto-montt-cuales-visitar-y-como-llegar/
https://blog.skyairline.com/volcanes-en-puerto-montt-cuales-visitar-y-como-llegar</x:v>
      </x:c>
      <x:c r="AB117" s="4" t="str">
        <x:v>Alias slash agregado</x:v>
      </x:c>
      <x:c r="AC117" s="4" t="str">
        <x:v>Publicado hasta septiembre</x:v>
      </x:c>
      <x:c r="AD117" s="4" t="str">
        <x:v>/volcanes-en-puerto-montt-cuales-visitar-y-como-llegar/</x:v>
      </x:c>
      <x:c r="AE117" s="4"/>
      <x:c r="AF117" s="16" t="b">
        <x:v>0</x:v>
      </x:c>
    </x:row>
    <x:row r="118" ht="44" customHeight="1">
      <x:c r="A118" s="4" t="n">
        <x:v>5893</x:v>
      </x:c>
      <x:c r="B118" s="4" t="str">
        <x:v>https://blog.skyairline.com/frutas-del-sur-de-chile-variedades-y-beneficios/</x:v>
      </x:c>
      <x:c r="C118" s="9" t="str">
        <x:v>Frutas del sur de Chile: variedades y beneficios</x:v>
      </x:c>
      <x:c r="D118" s="17" t="d">
        <x:v>2025-07-09T00:00:00.000Z</x:v>
      </x:c>
      <x:c r="E118" s="17" t="d">
        <x:v>2026-01-08T00:00:00.000Z</x:v>
      </x:c>
      <x:c r="F118" s="4" t="str">
        <x:v>Destinos</x:v>
      </x:c>
      <x:c r="G118" s="11" t="n">
        <x:v>1166</x:v>
      </x:c>
      <x:c r="H118" s="11" t="n">
        <x:v>200</x:v>
      </x:c>
      <x:c r="I118" s="11" t="n">
        <x:v>1</x:v>
      </x:c>
      <x:c r="J118" s="4" t="str">
        <x:v>https://blog.skyairline.com/frutas-del-sur-de-chile-variedades-y-beneficios/</x:v>
      </x:c>
      <x:c r="K118" s="16" t="b">
        <x:v>0</x:v>
      </x:c>
      <x:c r="L118" s="11" t="n">
        <x:v>0</x:v>
      </x:c>
      <x:c r="M118" s="11" t="n">
        <x:v>4</x:v>
      </x:c>
      <x:c r="N118" s="4"/>
      <x:c r="O118" s="4"/>
      <x:c r="P118" s="11" t="n">
        <x:v>22</x:v>
      </x:c>
      <x:c r="Q118" s="11" t="n">
        <x:v>21</x:v>
      </x:c>
      <x:c r="R118" s="11" t="n">
        <x:f>IF(OR(P118="",Q118=""),"",Q118-P118)</x:f>
        <x:v>-1</x:v>
      </x:c>
      <x:c r="S118" s="13" t="n">
        <x:f>IF(OR(P118="",Q118="",P118=0),"",((Q118/30)/(P118/31))-1)</x:f>
        <x:v>-0.01363636363636378</x:v>
      </x:c>
      <x:c r="T118" s="11" t="n">
        <x:v>3241</x:v>
      </x:c>
      <x:c r="U118" s="11" t="n">
        <x:v>3369</x:v>
      </x:c>
      <x:c r="V118" s="14" t="n">
        <x:v>0.006233303650934996</x:v>
      </x:c>
      <x:c r="W118" s="12" t="n">
        <x:v>7.305431878895814</x:v>
      </x:c>
      <x:c r="X118" s="11" t="n">
        <x:v>25</x:v>
      </x:c>
      <x:c r="Y118" s="11" t="n">
        <x:v>34</x:v>
      </x:c>
      <x:c r="Z118" s="4" t="str">
        <x:v>https://blog.skyairline.com/frutas-del-sur-de-chile-variedades-y-beneficios/</x:v>
      </x:c>
      <x:c r="AA118" s="4" t="str">
        <x:v>https://blog.skyairline.com/frutas-del-sur-de-chile-variedades-y-beneficios/</x:v>
      </x:c>
      <x:c r="AB118" s="4" t="str">
        <x:v>Coincidencia URL</x:v>
      </x:c>
      <x:c r="AC118" s="4" t="str">
        <x:v>Publicado hasta septiembre</x:v>
      </x:c>
      <x:c r="AD118" s="4" t="str">
        <x:v>/frutas-del-sur-de-chile-variedades-y-beneficios/</x:v>
      </x:c>
      <x:c r="AE118" s="4"/>
      <x:c r="AF118" s="16" t="b">
        <x:v>0</x:v>
      </x:c>
    </x:row>
    <x:row r="119" ht="44" customHeight="1">
      <x:c r="A119" s="4" t="n">
        <x:v>5986</x:v>
      </x:c>
      <x:c r="B119" s="4" t="str">
        <x:v>https://blog.skyairline.com/a-que-paises-puedo-viajar-sin-pasaporte-desde-chile/</x:v>
      </x:c>
      <x:c r="C119" s="9" t="str">
        <x:v>¿A qué países puedo viajar sin pasaporte desde Chile?</x:v>
      </x:c>
      <x:c r="D119" s="17" t="d">
        <x:v>2025-04-30T00:00:00.000Z</x:v>
      </x:c>
      <x:c r="E119" s="17" t="d">
        <x:v>2025-04-30T00:00:00.000Z</x:v>
      </x:c>
      <x:c r="F119" s="4" t="str">
        <x:v>Destinos</x:v>
      </x:c>
      <x:c r="G119" s="11" t="n">
        <x:v>1372</x:v>
      </x:c>
      <x:c r="H119" s="11" t="n">
        <x:v>200</x:v>
      </x:c>
      <x:c r="I119" s="11" t="n">
        <x:v>1</x:v>
      </x:c>
      <x:c r="J119" s="4" t="str">
        <x:v>https://blog.skyairline.com/a-que-paises-puedo-viajar-sin-pasaporte-desde-chile/</x:v>
      </x:c>
      <x:c r="K119" s="16" t="b">
        <x:v>0</x:v>
      </x:c>
      <x:c r="L119" s="11" t="n">
        <x:v>0</x:v>
      </x:c>
      <x:c r="M119" s="11" t="n">
        <x:v>0</x:v>
      </x:c>
      <x:c r="N119" s="4"/>
      <x:c r="O119" s="4"/>
      <x:c r="P119" s="11" t="n">
        <x:v>28</x:v>
      </x:c>
      <x:c r="Q119" s="11" t="n">
        <x:v>21</x:v>
      </x:c>
      <x:c r="R119" s="11" t="n">
        <x:f>IF(OR(P119="",Q119=""),"",Q119-P119)</x:f>
        <x:v>-7</x:v>
      </x:c>
      <x:c r="S119" s="13" t="n">
        <x:f>IF(OR(P119="",Q119="",P119=0),"",((Q119/30)/(P119/31))-1)</x:f>
        <x:v>-0.22499999999999998</x:v>
      </x:c>
      <x:c r="T119" s="11" t="n">
        <x:v>5071</x:v>
      </x:c>
      <x:c r="U119" s="11" t="n">
        <x:v>3935</x:v>
      </x:c>
      <x:c r="V119" s="14" t="n">
        <x:v>0.005336721728081322</x:v>
      </x:c>
      <x:c r="W119" s="12" t="n">
        <x:v>6.450317662007624</x:v>
      </x:c>
      <x:c r="X119" s="11" t="n">
        <x:v>24</x:v>
      </x:c>
      <x:c r="Y119" s="11" t="n">
        <x:v>25</x:v>
      </x:c>
      <x:c r="Z119" s="4" t="str">
        <x:v>https://blog.skyairline.com/a-que-paises-puedo-viajar-sin-pasaporte-desde-chile/</x:v>
      </x:c>
      <x:c r="AA119" s="4" t="str">
        <x:v>https://blog.skyairline.com/a-que-paises-puedo-viajar-sin-pasaporte-desde-chile/
https://blog.skyairline.com/a-que-paises-puedo-viajar-sin-pasaporte-desde-chile</x:v>
      </x:c>
      <x:c r="AB119" s="4" t="str">
        <x:v>Alias slash agregado</x:v>
      </x:c>
      <x:c r="AC119" s="4" t="str">
        <x:v>Publicado hasta septiembre</x:v>
      </x:c>
      <x:c r="AD119" s="4" t="str">
        <x:v>/a-que-paises-puedo-viajar-sin-pasaporte-desde-chile/</x:v>
      </x:c>
      <x:c r="AE119" s="4"/>
      <x:c r="AF119" s="16" t="b">
        <x:v>0</x:v>
      </x:c>
    </x:row>
    <x:row r="120" ht="44" customHeight="1">
      <x:c r="A120" s="4" t="n">
        <x:v>8931</x:v>
      </x:c>
      <x:c r="B120" s="4" t="str">
        <x:v>https://blog.skyairline.com/como-llegar-chiclayo/</x:v>
      </x:c>
      <x:c r="C120" s="9" t="str">
        <x:v>¿Cómo llegar desde Lima a Chiclayo?</x:v>
      </x:c>
      <x:c r="D120" s="17" t="d">
        <x:v>2026-06-19T00:00:00.000Z</x:v>
      </x:c>
      <x:c r="E120" s="17" t="d">
        <x:v>2026-06-17T00:00:00.000Z</x:v>
      </x:c>
      <x:c r="F120" s="4" t="str">
        <x:v>Destinos, Planificación de Viaje</x:v>
      </x:c>
      <x:c r="G120" s="11" t="n">
        <x:v>1032</x:v>
      </x:c>
      <x:c r="H120" s="11" t="n">
        <x:v>200</x:v>
      </x:c>
      <x:c r="I120" s="11" t="n">
        <x:v>1</x:v>
      </x:c>
      <x:c r="J120" s="4" t="str">
        <x:v>https://blog.skyairline.com/como-llegar-chiclayo/</x:v>
      </x:c>
      <x:c r="K120" s="16" t="b">
        <x:v>0</x:v>
      </x:c>
      <x:c r="L120" s="11" t="n">
        <x:v>0</x:v>
      </x:c>
      <x:c r="M120" s="11" t="n">
        <x:v>0</x:v>
      </x:c>
      <x:c r="N120" s="4"/>
      <x:c r="O120" s="4"/>
      <x:c r="P120" s="11" t="n">
        <x:v>26</x:v>
      </x:c>
      <x:c r="Q120" s="11" t="n">
        <x:v>21</x:v>
      </x:c>
      <x:c r="R120" s="11" t="n">
        <x:f>IF(OR(P120="",Q120=""),"",Q120-P120)</x:f>
        <x:v>-5</x:v>
      </x:c>
      <x:c r="S120" s="13" t="n">
        <x:f>IF(OR(P120="",Q120="",P120=0),"",((Q120/30)/(P120/31))-1)</x:f>
        <x:v>-0.16538461538461546</x:v>
      </x:c>
      <x:c r="T120" s="11" t="n">
        <x:v>12480</x:v>
      </x:c>
      <x:c r="U120" s="11" t="n">
        <x:v>11308</x:v>
      </x:c>
      <x:c r="V120" s="14" t="n">
        <x:v>0.001857092324018394</x:v>
      </x:c>
      <x:c r="W120" s="12" t="n">
        <x:v>7.937301025822427</x:v>
      </x:c>
      <x:c r="X120" s="11" t="n">
        <x:v>14</x:v>
      </x:c>
      <x:c r="Y120" s="11" t="n">
        <x:v>15</x:v>
      </x:c>
      <x:c r="Z120" s="4" t="str">
        <x:v>https://blog.skyairline.com/como-llegar-chiclayo/</x:v>
      </x:c>
      <x:c r="AA120" s="4" t="str">
        <x:v>https://blog.skyairline.com/como-llegar-chiclayo/</x:v>
      </x:c>
      <x:c r="AB120" s="4" t="str">
        <x:v>Coincidencia URL</x:v>
      </x:c>
      <x:c r="AC120" s="4" t="str">
        <x:v>Publicado hasta septiembre</x:v>
      </x:c>
      <x:c r="AD120" s="4" t="str">
        <x:v>/como-llegar-chiclayo/</x:v>
      </x:c>
      <x:c r="AE120" s="4"/>
      <x:c r="AF120" s="16" t="b">
        <x:v>0</x:v>
      </x:c>
    </x:row>
    <x:row r="121" ht="44" customHeight="1">
      <x:c r="A121" s="4" t="n">
        <x:v>1349</x:v>
      </x:c>
      <x:c r="B121" s="4" t="str">
        <x:v>https://blog.skyairline.com/modo-avion-durante-los-vuelos/</x:v>
      </x:c>
      <x:c r="C121" s="9" t="str">
        <x:v>¿Por qué nos piden activar el Modo Avión durante los vuelos?</x:v>
      </x:c>
      <x:c r="D121" s="17" t="d">
        <x:v>2022-01-23T00:00:00.000Z</x:v>
      </x:c>
      <x:c r="E121" s="17" t="d">
        <x:v>2022-01-23T00:00:00.000Z</x:v>
      </x:c>
      <x:c r="F121" s="4" t="str">
        <x:v>Planificación de Viaje</x:v>
      </x:c>
      <x:c r="G121" s="11" t="n">
        <x:v>1050</x:v>
      </x:c>
      <x:c r="H121" s="11" t="n">
        <x:v>200</x:v>
      </x:c>
      <x:c r="I121" s="11" t="n">
        <x:v>1</x:v>
      </x:c>
      <x:c r="J121" s="4" t="str">
        <x:v>https://blog.skyairline.com/modo-avion-durante-los-vuelos/</x:v>
      </x:c>
      <x:c r="K121" s="16" t="b">
        <x:v>0</x:v>
      </x:c>
      <x:c r="L121" s="11" t="n">
        <x:v>0</x:v>
      </x:c>
      <x:c r="M121" s="11" t="n">
        <x:v>4</x:v>
      </x:c>
      <x:c r="N121" s="4"/>
      <x:c r="O121" s="4"/>
      <x:c r="P121" s="11" t="n">
        <x:v>23</x:v>
      </x:c>
      <x:c r="Q121" s="11" t="n">
        <x:v>20</x:v>
      </x:c>
      <x:c r="R121" s="11" t="n">
        <x:f>IF(OR(P121="",Q121=""),"",Q121-P121)</x:f>
        <x:v>-3</x:v>
      </x:c>
      <x:c r="S121" s="13" t="n">
        <x:f>IF(OR(P121="",Q121="",P121=0),"",((Q121/30)/(P121/31))-1)</x:f>
        <x:v>-0.10144927536231885</x:v>
      </x:c>
      <x:c r="T121" s="11" t="n">
        <x:v>2388</x:v>
      </x:c>
      <x:c r="U121" s="11" t="n">
        <x:v>2653</x:v>
      </x:c>
      <x:c r="V121" s="14" t="n">
        <x:v>0.007538635506973238</x:v>
      </x:c>
      <x:c r="W121" s="12" t="n">
        <x:v>5.877120241236336</x:v>
      </x:c>
      <x:c r="X121" s="11" t="n">
        <x:v>22</x:v>
      </x:c>
      <x:c r="Y121" s="11" t="n">
        <x:v>25</x:v>
      </x:c>
      <x:c r="Z121" s="4" t="str">
        <x:v>https://blog.skyairline.com/modo-avion-durante-los-vuelos/</x:v>
      </x:c>
      <x:c r="AA121" s="4" t="str">
        <x:v>https://blog.skyairline.com/modo-avion-durante-los-vuelos/</x:v>
      </x:c>
      <x:c r="AB121" s="4" t="str">
        <x:v>Coincidencia URL</x:v>
      </x:c>
      <x:c r="AC121" s="4" t="str">
        <x:v>Publicado hasta septiembre</x:v>
      </x:c>
      <x:c r="AD121" s="4" t="str">
        <x:v>/modo-avion-durante-los-vuelos/</x:v>
      </x:c>
      <x:c r="AE121" s="4"/>
      <x:c r="AF121" s="16" t="b">
        <x:v>1</x:v>
      </x:c>
    </x:row>
    <x:row r="122" ht="44" customHeight="1">
      <x:c r="A122" s="4" t="n">
        <x:v>2854</x:v>
      </x:c>
      <x:c r="B122" s="4" t="str">
        <x:v>https://blog.skyairline.com/que-hacer-en-talara/</x:v>
      </x:c>
      <x:c r="C122" s="9" t="str">
        <x:v>Talara, Perú: playas, paisajes y sabores únicos en la costa norte</x:v>
      </x:c>
      <x:c r="D122" s="17" t="d">
        <x:v>2026-10-13T00:00:00.000Z</x:v>
      </x:c>
      <x:c r="E122" s="17" t="d">
        <x:v>2026-10-05T00:00:00.000Z</x:v>
      </x:c>
      <x:c r="F122" s="4" t="str">
        <x:v>Destinos</x:v>
      </x:c>
      <x:c r="G122" s="11" t="n">
        <x:v>1085</x:v>
      </x:c>
      <x:c r="H122" s="11" t="n">
        <x:v>200</x:v>
      </x:c>
      <x:c r="I122" s="11" t="n">
        <x:v>1</x:v>
      </x:c>
      <x:c r="J122" s="4" t="str">
        <x:v>https://blog.skyairline.com/que-hacer-en-talara/</x:v>
      </x:c>
      <x:c r="K122" s="16" t="b">
        <x:v>0</x:v>
      </x:c>
      <x:c r="L122" s="11" t="n">
        <x:v>0</x:v>
      </x:c>
      <x:c r="M122" s="11" t="n">
        <x:v>0</x:v>
      </x:c>
      <x:c r="N122" s="4"/>
      <x:c r="O122" s="4"/>
      <x:c r="P122" s="11" t="n">
        <x:v>25</x:v>
      </x:c>
      <x:c r="Q122" s="11" t="n">
        <x:v>20</x:v>
      </x:c>
      <x:c r="R122" s="11" t="n">
        <x:f>IF(OR(P122="",Q122=""),"",Q122-P122)</x:f>
        <x:v>-5</x:v>
      </x:c>
      <x:c r="S122" s="13" t="n">
        <x:f>IF(OR(P122="",Q122="",P122=0),"",((Q122/30)/(P122/31))-1)</x:f>
        <x:v>-0.17333333333333334</x:v>
      </x:c>
      <x:c r="T122" s="11" t="n">
        <x:v>2539</x:v>
      </x:c>
      <x:c r="U122" s="11" t="n">
        <x:v>2199</x:v>
      </x:c>
      <x:c r="V122" s="14" t="n">
        <x:v>0.009095043201455207</x:v>
      </x:c>
      <x:c r="W122" s="12" t="n">
        <x:v>8.351978171896317</x:v>
      </x:c>
      <x:c r="X122" s="11" t="n">
        <x:v>30</x:v>
      </x:c>
      <x:c r="Y122" s="11" t="n">
        <x:v>37</x:v>
      </x:c>
      <x:c r="Z122" s="4" t="str">
        <x:v>https://blog.skyairline.com/que-hacer-en-talara/</x:v>
      </x:c>
      <x:c r="AA122" s="4" t="str">
        <x:v>https://blog.skyairline.com/que-hacer-en-talara/</x:v>
      </x:c>
      <x:c r="AB122" s="4" t="str">
        <x:v>Coincidencia URL</x:v>
      </x:c>
      <x:c r="AC122" s="4" t="str">
        <x:v>Publicado después del mes</x:v>
      </x:c>
      <x:c r="AD122" s="4" t="str">
        <x:v>/que-hacer-en-talara/</x:v>
      </x:c>
      <x:c r="AE122" s="4"/>
      <x:c r="AF122" s="16" t="b">
        <x:v>0</x:v>
      </x:c>
    </x:row>
    <x:row r="123" ht="44" customHeight="1">
      <x:c r="A123" s="4" t="n">
        <x:v>4272</x:v>
      </x:c>
      <x:c r="B123" s="4" t="str">
        <x:v>https://blog.skyairline.com/sky-app/</x:v>
      </x:c>
      <x:c r="C123" s="9" t="str">
        <x:v>SKY APP: la aplicación que necesitas tener si piensas viajar pronto</x:v>
      </x:c>
      <x:c r="D123" s="17" t="d">
        <x:v>2024-04-26T00:00:00.000Z</x:v>
      </x:c>
      <x:c r="E123" s="17" t="d">
        <x:v>2024-04-26T00:00:00.000Z</x:v>
      </x:c>
      <x:c r="F123" s="4" t="str">
        <x:v>Planificación de Viaje</x:v>
      </x:c>
      <x:c r="G123" s="11" t="n">
        <x:v>997</x:v>
      </x:c>
      <x:c r="H123" s="11" t="n">
        <x:v>200</x:v>
      </x:c>
      <x:c r="I123" s="11" t="n">
        <x:v>1</x:v>
      </x:c>
      <x:c r="J123" s="4" t="str">
        <x:v>https://blog.skyairline.com/sky-app/</x:v>
      </x:c>
      <x:c r="K123" s="16" t="b">
        <x:v>0</x:v>
      </x:c>
      <x:c r="L123" s="11" t="n">
        <x:v>0</x:v>
      </x:c>
      <x:c r="M123" s="11" t="n">
        <x:v>7</x:v>
      </x:c>
      <x:c r="N123" s="4"/>
      <x:c r="O123" s="4"/>
      <x:c r="P123" s="11" t="n">
        <x:v>15</x:v>
      </x:c>
      <x:c r="Q123" s="11" t="n">
        <x:v>20</x:v>
      </x:c>
      <x:c r="R123" s="11" t="n">
        <x:f>IF(OR(P123="",Q123=""),"",Q123-P123)</x:f>
        <x:v>5</x:v>
      </x:c>
      <x:c r="S123" s="13" t="n">
        <x:f>IF(OR(P123="",Q123="",P123=0),"",((Q123/30)/(P123/31))-1)</x:f>
        <x:v>0.37777777777777777</x:v>
      </x:c>
      <x:c r="T123" s="11" t="n">
        <x:v>1655</x:v>
      </x:c>
      <x:c r="U123" s="11" t="n">
        <x:v>1524</x:v>
      </x:c>
      <x:c r="V123" s="14" t="n">
        <x:v>0.013123359580052493</x:v>
      </x:c>
      <x:c r="W123" s="12" t="n">
        <x:v>6.807086614173229</x:v>
      </x:c>
      <x:c r="X123" s="11" t="n">
        <x:v>19</x:v>
      </x:c>
      <x:c r="Y123" s="11" t="n">
        <x:v>24</x:v>
      </x:c>
      <x:c r="Z123" s="4" t="str">
        <x:v>https://blog.skyairline.com/sky-app/</x:v>
      </x:c>
      <x:c r="AA123" s="4" t="str">
        <x:v>https://blog.skyairline.com/sky-app/</x:v>
      </x:c>
      <x:c r="AB123" s="4" t="str">
        <x:v>Coincidencia URL</x:v>
      </x:c>
      <x:c r="AC123" s="4" t="str">
        <x:v>Publicado hasta septiembre</x:v>
      </x:c>
      <x:c r="AD123" s="4" t="str">
        <x:v>/sky-app/</x:v>
      </x:c>
      <x:c r="AE123" s="4"/>
      <x:c r="AF123" s="16" t="b">
        <x:v>1</x:v>
      </x:c>
    </x:row>
    <x:row r="124" ht="44" customHeight="1">
      <x:c r="A124" s="4" t="n">
        <x:v>4934</x:v>
      </x:c>
      <x:c r="B124" s="4" t="str">
        <x:v>https://blog.skyairline.com/sky-airline-reporta-sus-resultados-al-primer-semestre-del-2024/</x:v>
      </x:c>
      <x:c r="C124" s="9" t="str">
        <x:v>SKY Airline reporta sus resultados al primer semestre del 2024</x:v>
      </x:c>
      <x:c r="D124" s="17" t="d">
        <x:v>2024-08-27T00:00:00.000Z</x:v>
      </x:c>
      <x:c r="E124" s="17" t="d">
        <x:v>2024-08-27T00:00:00.000Z</x:v>
      </x:c>
      <x:c r="F124" s="4" t="str">
        <x:v>Noticias</x:v>
      </x:c>
      <x:c r="G124" s="11" t="n">
        <x:v>474</x:v>
      </x:c>
      <x:c r="H124" s="11" t="n">
        <x:v>200</x:v>
      </x:c>
      <x:c r="I124" s="11" t="n">
        <x:v>1</x:v>
      </x:c>
      <x:c r="J124" s="4" t="str">
        <x:v>https://blog.skyairline.com/sky-airline-reporta-sus-resultados-al-primer-semestre-del-2024/</x:v>
      </x:c>
      <x:c r="K124" s="16" t="b">
        <x:v>0</x:v>
      </x:c>
      <x:c r="L124" s="11" t="n">
        <x:v>0</x:v>
      </x:c>
      <x:c r="M124" s="11" t="n">
        <x:v>0</x:v>
      </x:c>
      <x:c r="N124" s="4"/>
      <x:c r="O124" s="4"/>
      <x:c r="P124" s="11" t="n">
        <x:v>20</x:v>
      </x:c>
      <x:c r="Q124" s="11" t="n">
        <x:v>20</x:v>
      </x:c>
      <x:c r="R124" s="11" t="n">
        <x:f>IF(OR(P124="",Q124=""),"",Q124-P124)</x:f>
        <x:v>0</x:v>
      </x:c>
      <x:c r="S124" s="13" t="n">
        <x:f>IF(OR(P124="",Q124="",P124=0),"",((Q124/30)/(P124/31))-1)</x:f>
        <x:v>0.033333333333333215</x:v>
      </x:c>
      <x:c r="T124" s="11" t="n">
        <x:v>143</x:v>
      </x:c>
      <x:c r="U124" s="11" t="n">
        <x:v>139</x:v>
      </x:c>
      <x:c r="V124" s="14" t="n">
        <x:v>0.14388489208633093</x:v>
      </x:c>
      <x:c r="W124" s="12" t="n">
        <x:v>3.6402877697841727</x:v>
      </x:c>
      <x:c r="X124" s="11" t="n">
        <x:v>26</x:v>
      </x:c>
      <x:c r="Y124" s="11" t="n">
        <x:v>33</x:v>
      </x:c>
      <x:c r="Z124" s="4" t="str">
        <x:v>https://blog.skyairline.com/sky-airline-reporta-sus-resultados-al-primer-semestre-del-2024/</x:v>
      </x:c>
      <x:c r="AA124" s="4" t="str">
        <x:v>https://blog.skyairline.com/sky-airline-reporta-sus-resultados-al-primer-semestre-del-2024/</x:v>
      </x:c>
      <x:c r="AB124" s="4" t="str">
        <x:v>Coincidencia URL</x:v>
      </x:c>
      <x:c r="AC124" s="4" t="str">
        <x:v>Publicado hasta septiembre</x:v>
      </x:c>
      <x:c r="AD124" s="4" t="str">
        <x:v>/sky-airline-reporta-sus-resultados-al-primer-semestre-del-2024/</x:v>
      </x:c>
      <x:c r="AE124" s="4"/>
      <x:c r="AF124" s="16" t="b">
        <x:v>1</x:v>
      </x:c>
    </x:row>
    <x:row r="125" ht="44" customHeight="1">
      <x:c r="A125" s="4" t="n">
        <x:v>6028</x:v>
      </x:c>
      <x:c r="B125" s="4" t="str">
        <x:v>https://blog.skyairline.com/clima-en-salvador-de-bahia-temperatura-y-mejor-epoca-para-viajar/</x:v>
      </x:c>
      <x:c r="C125" s="9" t="str">
        <x:v>Clima en Salvador de Bahía: temperatura y mejor época para viajar</x:v>
      </x:c>
      <x:c r="D125" s="17" t="d">
        <x:v>2025-05-06T00:00:00.000Z</x:v>
      </x:c>
      <x:c r="E125" s="17" t="d">
        <x:v>2025-05-06T00:00:00.000Z</x:v>
      </x:c>
      <x:c r="F125" s="4" t="str">
        <x:v>Destinos</x:v>
      </x:c>
      <x:c r="G125" s="11" t="n">
        <x:v>1093</x:v>
      </x:c>
      <x:c r="H125" s="11" t="n">
        <x:v>200</x:v>
      </x:c>
      <x:c r="I125" s="11" t="n">
        <x:v>1</x:v>
      </x:c>
      <x:c r="J125" s="4" t="str">
        <x:v>https://blog.skyairline.com/clima-en-salvador-de-bahia-temperatura-y-mejor-epoca-para-viajar/</x:v>
      </x:c>
      <x:c r="K125" s="16" t="b">
        <x:v>0</x:v>
      </x:c>
      <x:c r="L125" s="11" t="n">
        <x:v>0</x:v>
      </x:c>
      <x:c r="M125" s="11" t="n">
        <x:v>0</x:v>
      </x:c>
      <x:c r="N125" s="4"/>
      <x:c r="O125" s="4"/>
      <x:c r="P125" s="11" t="n">
        <x:v>19</x:v>
      </x:c>
      <x:c r="Q125" s="11" t="n">
        <x:v>20</x:v>
      </x:c>
      <x:c r="R125" s="11" t="n">
        <x:f>IF(OR(P125="",Q125=""),"",Q125-P125)</x:f>
        <x:v>1</x:v>
      </x:c>
      <x:c r="S125" s="13" t="n">
        <x:f>IF(OR(P125="",Q125="",P125=0),"",((Q125/30)/(P125/31))-1)</x:f>
        <x:v>0.08771929824561386</x:v>
      </x:c>
      <x:c r="T125" s="11" t="n">
        <x:v>4356</x:v>
      </x:c>
      <x:c r="U125" s="11" t="n">
        <x:v>3003</x:v>
      </x:c>
      <x:c r="V125" s="14" t="n">
        <x:v>0.00666000666000666</x:v>
      </x:c>
      <x:c r="W125" s="12" t="n">
        <x:v>6.527805527805528</x:v>
      </x:c>
      <x:c r="X125" s="11" t="n">
        <x:v>21</x:v>
      </x:c>
      <x:c r="Y125" s="11" t="n">
        <x:v>25</x:v>
      </x:c>
      <x:c r="Z125" s="4" t="str">
        <x:v>https://blog.skyairline.com/clima-en-salvador-de-bahia-temperatura-y-mejor-epoca-para-viajar/</x:v>
      </x:c>
      <x:c r="AA125" s="4" t="str">
        <x:v>https://blog.skyairline.com/clima-en-salvador-de-bahia-temperatura-y-mejor-epoca-para-viajar/
https://blog.skyairline.com/clima-en-salvador-de-bahia-temperatura-y-mejor-epoca-para-viajar</x:v>
      </x:c>
      <x:c r="AB125" s="4" t="str">
        <x:v>Alias slash agregado</x:v>
      </x:c>
      <x:c r="AC125" s="4" t="str">
        <x:v>Publicado hasta septiembre</x:v>
      </x:c>
      <x:c r="AD125" s="4" t="str">
        <x:v>/clima-en-salvador-de-bahia-temperatura-y-mejor-epoca-para-viajar/</x:v>
      </x:c>
      <x:c r="AE125" s="4"/>
      <x:c r="AF125" s="16" t="b">
        <x:v>0</x:v>
      </x:c>
    </x:row>
    <x:row r="126" ht="44" customHeight="1">
      <x:c r="A126" s="4" t="n">
        <x:v>6118</x:v>
      </x:c>
      <x:c r="B126" s="4" t="str">
        <x:v>https://blog.skyairline.com/pueblos-originarios-del-norte-de-chile-historia-y-cultura/</x:v>
      </x:c>
      <x:c r="C126" s="9" t="str">
        <x:v>Pueblos originarios del norte de Chile: historia y cultura</x:v>
      </x:c>
      <x:c r="D126" s="17" t="d">
        <x:v>2025-06-25T00:00:00.000Z</x:v>
      </x:c>
      <x:c r="E126" s="17" t="d">
        <x:v>2026-01-08T00:00:00.000Z</x:v>
      </x:c>
      <x:c r="F126" s="4" t="str">
        <x:v>Cultura</x:v>
      </x:c>
      <x:c r="G126" s="11" t="n">
        <x:v>967</x:v>
      </x:c>
      <x:c r="H126" s="11" t="n">
        <x:v>200</x:v>
      </x:c>
      <x:c r="I126" s="11" t="n">
        <x:v>1</x:v>
      </x:c>
      <x:c r="J126" s="4" t="str">
        <x:v>https://blog.skyairline.com/pueblos-originarios-del-norte-de-chile-historia-y-cultura/</x:v>
      </x:c>
      <x:c r="K126" s="16" t="b">
        <x:v>0</x:v>
      </x:c>
      <x:c r="L126" s="11" t="n">
        <x:v>0</x:v>
      </x:c>
      <x:c r="M126" s="11" t="n">
        <x:v>0</x:v>
      </x:c>
      <x:c r="N126" s="4"/>
      <x:c r="O126" s="4"/>
      <x:c r="P126" s="11" t="n">
        <x:v>35</x:v>
      </x:c>
      <x:c r="Q126" s="11" t="n">
        <x:v>20</x:v>
      </x:c>
      <x:c r="R126" s="11" t="n">
        <x:f>IF(OR(P126="",Q126=""),"",Q126-P126)</x:f>
        <x:v>-15</x:v>
      </x:c>
      <x:c r="S126" s="13" t="n">
        <x:f>IF(OR(P126="",Q126="",P126=0),"",((Q126/30)/(P126/31))-1)</x:f>
        <x:v>-0.4095238095238096</x:v>
      </x:c>
      <x:c r="T126" s="11" t="n">
        <x:v>8005</x:v>
      </x:c>
      <x:c r="U126" s="11" t="n">
        <x:v>4692</x:v>
      </x:c>
      <x:c r="V126" s="14" t="n">
        <x:v>0.004262574595055414</x:v>
      </x:c>
      <x:c r="W126" s="12" t="n">
        <x:v>6.823955669224212</x:v>
      </x:c>
      <x:c r="X126" s="11" t="n">
        <x:v>30</x:v>
      </x:c>
      <x:c r="Y126" s="11" t="n">
        <x:v>32</x:v>
      </x:c>
      <x:c r="Z126" s="4" t="str">
        <x:v>https://blog.skyairline.com/pueblos-originarios-del-norte-de-chile-historia-y-cultura/</x:v>
      </x:c>
      <x:c r="AA126" s="4" t="str">
        <x:v>https://blog.skyairline.com/pueblos-originarios-del-norte-de-chile-historia-y-cultura/</x:v>
      </x:c>
      <x:c r="AB126" s="4" t="str">
        <x:v>Coincidencia URL</x:v>
      </x:c>
      <x:c r="AC126" s="4" t="str">
        <x:v>Publicado hasta septiembre</x:v>
      </x:c>
      <x:c r="AD126" s="4" t="str">
        <x:v>/pueblos-originarios-del-norte-de-chile-historia-y-cultura/</x:v>
      </x:c>
      <x:c r="AE126" s="4"/>
      <x:c r="AF126" s="16" t="b">
        <x:v>0</x:v>
      </x:c>
    </x:row>
    <x:row r="127" ht="44" customHeight="1">
      <x:c r="A127" s="4" t="n">
        <x:v>6711</x:v>
      </x:c>
      <x:c r="B127" s="4" t="str">
        <x:v>https://blog.skyairline.com/paquete-de-viaje-en-sky/</x:v>
      </x:c>
      <x:c r="C127" s="9" t="str">
        <x:v>Paquete de viaje en SKY: ¿cómo comprarlo?</x:v>
      </x:c>
      <x:c r="D127" s="17" t="d">
        <x:v>2023-07-14T00:00:00.000Z</x:v>
      </x:c>
      <x:c r="E127" s="17" t="d">
        <x:v>2023-07-14T00:00:00.000Z</x:v>
      </x:c>
      <x:c r="F127" s="4" t="str">
        <x:v>Destinos</x:v>
      </x:c>
      <x:c r="G127" s="11" t="n">
        <x:v>1038</x:v>
      </x:c>
      <x:c r="H127" s="11" t="n">
        <x:v>200</x:v>
      </x:c>
      <x:c r="I127" s="11" t="n">
        <x:v>1</x:v>
      </x:c>
      <x:c r="J127" s="4" t="str">
        <x:v>https://blog.skyairline.com/paquete-de-viaje-en-sky/</x:v>
      </x:c>
      <x:c r="K127" s="16" t="b">
        <x:v>0</x:v>
      </x:c>
      <x:c r="L127" s="11" t="n">
        <x:v>0</x:v>
      </x:c>
      <x:c r="M127" s="11" t="n">
        <x:v>5</x:v>
      </x:c>
      <x:c r="N127" s="4"/>
      <x:c r="O127" s="4"/>
      <x:c r="P127" s="11" t="n">
        <x:v>13</x:v>
      </x:c>
      <x:c r="Q127" s="11" t="n">
        <x:v>20</x:v>
      </x:c>
      <x:c r="R127" s="11" t="n">
        <x:f>IF(OR(P127="",Q127=""),"",Q127-P127)</x:f>
        <x:v>7</x:v>
      </x:c>
      <x:c r="S127" s="13" t="n">
        <x:f>IF(OR(P127="",Q127="",P127=0),"",((Q127/30)/(P127/31))-1)</x:f>
        <x:v>0.5897435897435896</x:v>
      </x:c>
      <x:c r="T127" s="11" t="n">
        <x:v>1002</x:v>
      </x:c>
      <x:c r="U127" s="11" t="n">
        <x:v>1005</x:v>
      </x:c>
      <x:c r="V127" s="14" t="n">
        <x:v>0.01990049751243781</x:v>
      </x:c>
      <x:c r="W127" s="12" t="n">
        <x:v>6.754228855721393</x:v>
      </x:c>
      <x:c r="X127" s="11" t="n">
        <x:v>13</x:v>
      </x:c>
      <x:c r="Y127" s="11" t="n">
        <x:v>18</x:v>
      </x:c>
      <x:c r="Z127" s="4" t="str">
        <x:v>https://blog.skyairline.com/paquete-de-viaje-en-sky/</x:v>
      </x:c>
      <x:c r="AA127" s="4" t="str">
        <x:v>https://blog.skyairline.com/paquete-de-viaje-en-sky/</x:v>
      </x:c>
      <x:c r="AB127" s="4" t="str">
        <x:v>Coincidencia URL</x:v>
      </x:c>
      <x:c r="AC127" s="4" t="str">
        <x:v>Publicado hasta septiembre</x:v>
      </x:c>
      <x:c r="AD127" s="4" t="str">
        <x:v>/paquete-de-viaje-en-sky/</x:v>
      </x:c>
      <x:c r="AE127" s="4"/>
      <x:c r="AF127" s="16" t="b">
        <x:v>0</x:v>
      </x:c>
    </x:row>
    <x:row r="128" ht="44" customHeight="1">
      <x:c r="A128" s="4" t="n">
        <x:v>7487</x:v>
      </x:c>
      <x:c r="B128" s="4" t="str">
        <x:v>https://blog.skyairline.com/comprar-en-chile/</x:v>
      </x:c>
      <x:c r="C128" s="9" t="str">
        <x:v>¿Conviene comprar en Chile? Qué productos, dónde y cómo aprovechar tu viaje</x:v>
      </x:c>
      <x:c r="D128" s="17" t="d">
        <x:v>2025-11-05T00:00:00.000Z</x:v>
      </x:c>
      <x:c r="E128" s="17" t="d">
        <x:v>2025-11-03T00:00:00.000Z</x:v>
      </x:c>
      <x:c r="F128" s="4" t="str">
        <x:v>Destinos</x:v>
      </x:c>
      <x:c r="G128" s="11" t="n">
        <x:v>954</x:v>
      </x:c>
      <x:c r="H128" s="11" t="n">
        <x:v>200</x:v>
      </x:c>
      <x:c r="I128" s="11" t="n">
        <x:v>1</x:v>
      </x:c>
      <x:c r="J128" s="4" t="str">
        <x:v>https://blog.skyairline.com/comprar-en-chile/</x:v>
      </x:c>
      <x:c r="K128" s="16" t="b">
        <x:v>0</x:v>
      </x:c>
      <x:c r="L128" s="11" t="n">
        <x:v>0</x:v>
      </x:c>
      <x:c r="M128" s="11" t="n">
        <x:v>3</x:v>
      </x:c>
      <x:c r="N128" s="4"/>
      <x:c r="O128" s="4"/>
      <x:c r="P128" s="11" t="n">
        <x:v>13</x:v>
      </x:c>
      <x:c r="Q128" s="11" t="n">
        <x:v>20</x:v>
      </x:c>
      <x:c r="R128" s="11" t="n">
        <x:f>IF(OR(P128="",Q128=""),"",Q128-P128)</x:f>
        <x:v>7</x:v>
      </x:c>
      <x:c r="S128" s="13" t="n">
        <x:f>IF(OR(P128="",Q128="",P128=0),"",((Q128/30)/(P128/31))-1)</x:f>
        <x:v>0.5897435897435896</x:v>
      </x:c>
      <x:c r="T128" s="11" t="n">
        <x:v>2303</x:v>
      </x:c>
      <x:c r="U128" s="11" t="n">
        <x:v>1499</x:v>
      </x:c>
      <x:c r="V128" s="14" t="n">
        <x:v>0.0133422281521014</x:v>
      </x:c>
      <x:c r="W128" s="12" t="n">
        <x:v>6.7051367578385594</x:v>
      </x:c>
      <x:c r="X128" s="11" t="n">
        <x:v>26</x:v>
      </x:c>
      <x:c r="Y128" s="11" t="n">
        <x:v>29</x:v>
      </x:c>
      <x:c r="Z128" s="4" t="str">
        <x:v>https://blog.skyairline.com/comprar-en-chile/</x:v>
      </x:c>
      <x:c r="AA128" s="4" t="str">
        <x:v>https://blog.skyairline.com/comprar-en-chile/</x:v>
      </x:c>
      <x:c r="AB128" s="4" t="str">
        <x:v>Coincidencia URL</x:v>
      </x:c>
      <x:c r="AC128" s="4" t="str">
        <x:v>Publicado hasta septiembre</x:v>
      </x:c>
      <x:c r="AD128" s="4" t="str">
        <x:v>/comprar-en-chile/</x:v>
      </x:c>
      <x:c r="AE128" s="4"/>
      <x:c r="AF128" s="16" t="b">
        <x:v>0</x:v>
      </x:c>
    </x:row>
    <x:row r="129" ht="44" customHeight="1">
      <x:c r="A129" s="4" t="n">
        <x:v>1662</x:v>
      </x:c>
      <x:c r="B129" s="4" t="str">
        <x:v>https://blog.skyairline.com/peliculas-para-ver-en-el-avion/</x:v>
      </x:c>
      <x:c r="C129" s="9" t="str">
        <x:v>7 películas divertidísimas para descargar y ver en el avión</x:v>
      </x:c>
      <x:c r="D129" s="17" t="d">
        <x:v>2022-04-04T00:00:00.000Z</x:v>
      </x:c>
      <x:c r="E129" s="17" t="d">
        <x:v>2022-04-04T00:00:00.000Z</x:v>
      </x:c>
      <x:c r="F129" s="4" t="str">
        <x:v>Planificación de Viaje</x:v>
      </x:c>
      <x:c r="G129" s="11" t="n">
        <x:v>1012</x:v>
      </x:c>
      <x:c r="H129" s="11" t="n">
        <x:v>200</x:v>
      </x:c>
      <x:c r="I129" s="11" t="n">
        <x:v>1</x:v>
      </x:c>
      <x:c r="J129" s="4" t="str">
        <x:v>https://blog.skyairline.com/peliculas-para-ver-en-el-avion/</x:v>
      </x:c>
      <x:c r="K129" s="16" t="b">
        <x:v>0</x:v>
      </x:c>
      <x:c r="L129" s="11" t="n">
        <x:v>0</x:v>
      </x:c>
      <x:c r="M129" s="11" t="n">
        <x:v>2</x:v>
      </x:c>
      <x:c r="N129" s="4"/>
      <x:c r="O129" s="4"/>
      <x:c r="P129" s="11" t="n">
        <x:v>12</x:v>
      </x:c>
      <x:c r="Q129" s="11" t="n">
        <x:v>19</x:v>
      </x:c>
      <x:c r="R129" s="11" t="n">
        <x:f>IF(OR(P129="",Q129=""),"",Q129-P129)</x:f>
        <x:v>7</x:v>
      </x:c>
      <x:c r="S129" s="13" t="n">
        <x:f>IF(OR(P129="",Q129="",P129=0),"",((Q129/30)/(P129/31))-1)</x:f>
        <x:v>0.6361111111111111</x:v>
      </x:c>
      <x:c r="T129" s="11" t="n">
        <x:v>266</x:v>
      </x:c>
      <x:c r="U129" s="11" t="n">
        <x:v>362</x:v>
      </x:c>
      <x:c r="V129" s="14" t="n">
        <x:v>0.052486187845303865</x:v>
      </x:c>
      <x:c r="W129" s="12" t="n">
        <x:v>8.745856353591162</x:v>
      </x:c>
      <x:c r="X129" s="11" t="n">
        <x:v>24</x:v>
      </x:c>
      <x:c r="Y129" s="11" t="n">
        <x:v>31</x:v>
      </x:c>
      <x:c r="Z129" s="4" t="str">
        <x:v>https://blog.skyairline.com/peliculas-para-ver-en-el-avion/</x:v>
      </x:c>
      <x:c r="AA129" s="4" t="str">
        <x:v>https://blog.skyairline.com/peliculas-para-ver-en-el-avion/</x:v>
      </x:c>
      <x:c r="AB129" s="4" t="str">
        <x:v>Coincidencia URL</x:v>
      </x:c>
      <x:c r="AC129" s="4" t="str">
        <x:v>Publicado hasta septiembre</x:v>
      </x:c>
      <x:c r="AD129" s="4" t="str">
        <x:v>/peliculas-para-ver-en-el-avion/</x:v>
      </x:c>
      <x:c r="AE129" s="4"/>
      <x:c r="AF129" s="16" t="b">
        <x:v>0</x:v>
      </x:c>
    </x:row>
    <x:row r="130" ht="44" customHeight="1">
      <x:c r="A130" s="4" t="n">
        <x:v>5887</x:v>
      </x:c>
      <x:c r="B130" s="4" t="str">
        <x:v>https://blog.skyairline.com/clima-de-la-zona-norte-de-chile-temperaturas-y-estaciones/</x:v>
      </x:c>
      <x:c r="C130" s="9" t="str">
        <x:v>Clima de la zona norte de Chile: temperaturas y estaciones</x:v>
      </x:c>
      <x:c r="D130" s="17" t="d">
        <x:v>2025-06-07T00:00:00.000Z</x:v>
      </x:c>
      <x:c r="E130" s="17" t="d">
        <x:v>2026-01-08T00:00:00.000Z</x:v>
      </x:c>
      <x:c r="F130" s="4" t="str">
        <x:v>Planificación de Viaje</x:v>
      </x:c>
      <x:c r="G130" s="11" t="n">
        <x:v>1230</x:v>
      </x:c>
      <x:c r="H130" s="11" t="n">
        <x:v>200</x:v>
      </x:c>
      <x:c r="I130" s="11" t="n">
        <x:v>1</x:v>
      </x:c>
      <x:c r="J130" s="4" t="str">
        <x:v>https://blog.skyairline.com/clima-de-la-zona-norte-de-chile-temperaturas-y-estaciones/</x:v>
      </x:c>
      <x:c r="K130" s="16" t="b">
        <x:v>0</x:v>
      </x:c>
      <x:c r="L130" s="11" t="n">
        <x:v>0</x:v>
      </x:c>
      <x:c r="M130" s="11" t="n">
        <x:v>0</x:v>
      </x:c>
      <x:c r="N130" s="4"/>
      <x:c r="O130" s="4"/>
      <x:c r="P130" s="11" t="n">
        <x:v>26</x:v>
      </x:c>
      <x:c r="Q130" s="11" t="n">
        <x:v>19</x:v>
      </x:c>
      <x:c r="R130" s="11" t="n">
        <x:f>IF(OR(P130="",Q130=""),"",Q130-P130)</x:f>
        <x:v>-7</x:v>
      </x:c>
      <x:c r="S130" s="13" t="n">
        <x:f>IF(OR(P130="",Q130="",P130=0),"",((Q130/30)/(P130/31))-1)</x:f>
        <x:v>-0.2448717948717949</x:v>
      </x:c>
      <x:c r="T130" s="11" t="n">
        <x:v>2394</x:v>
      </x:c>
      <x:c r="U130" s="11" t="n">
        <x:v>1630</x:v>
      </x:c>
      <x:c r="V130" s="14" t="n">
        <x:v>0.011656441717791411</x:v>
      </x:c>
      <x:c r="W130" s="12" t="n">
        <x:v>5.443558282208589</x:v>
      </x:c>
      <x:c r="X130" s="11" t="n">
        <x:v>26</x:v>
      </x:c>
      <x:c r="Y130" s="11" t="n">
        <x:v>30</x:v>
      </x:c>
      <x:c r="Z130" s="4" t="str">
        <x:v>https://blog.skyairline.com/clima-de-la-zona-norte-de-chile-temperaturas-y-estaciones/</x:v>
      </x:c>
      <x:c r="AA130" s="4" t="str">
        <x:v>https://blog.skyairline.com/clima-de-la-zona-norte-de-chile-temperaturas-y-estaciones/
https://blog.skyairline.com/clima-de-la-zona-norte-de-chile-temperaturas-y-estaciones</x:v>
      </x:c>
      <x:c r="AB130" s="4" t="str">
        <x:v>Alias slash agregado</x:v>
      </x:c>
      <x:c r="AC130" s="4" t="str">
        <x:v>Publicado hasta septiembre</x:v>
      </x:c>
      <x:c r="AD130" s="4" t="str">
        <x:v>/clima-de-la-zona-norte-de-chile-temperaturas-y-estaciones/</x:v>
      </x:c>
      <x:c r="AE130" s="4"/>
      <x:c r="AF130" s="16" t="b">
        <x:v>0</x:v>
      </x:c>
    </x:row>
    <x:row r="131" ht="44" customHeight="1">
      <x:c r="A131" s="4" t="n">
        <x:v>6242</x:v>
      </x:c>
      <x:c r="B131" s="4" t="str">
        <x:v>https://blog.skyairline.com/que-es-una-bitacora/</x:v>
      </x:c>
      <x:c r="C131" s="9" t="str">
        <x:v>¿Qué es una bitácora y cómo hacer la tuya para tu próximo viaje?</x:v>
      </x:c>
      <x:c r="D131" s="17" t="d">
        <x:v>2025-06-24T00:00:00.000Z</x:v>
      </x:c>
      <x:c r="E131" s="17" t="d">
        <x:v>2025-06-24T00:00:00.000Z</x:v>
      </x:c>
      <x:c r="F131" s="4" t="str">
        <x:v>Planificación de Viaje</x:v>
      </x:c>
      <x:c r="G131" s="11" t="n">
        <x:v>1064</x:v>
      </x:c>
      <x:c r="H131" s="11" t="n">
        <x:v>200</x:v>
      </x:c>
      <x:c r="I131" s="11" t="n">
        <x:v>1</x:v>
      </x:c>
      <x:c r="J131" s="4" t="str">
        <x:v>https://blog.skyairline.com/que-es-una-bitacora/</x:v>
      </x:c>
      <x:c r="K131" s="16" t="b">
        <x:v>0</x:v>
      </x:c>
      <x:c r="L131" s="11" t="n">
        <x:v>0</x:v>
      </x:c>
      <x:c r="M131" s="11" t="n">
        <x:v>0</x:v>
      </x:c>
      <x:c r="N131" s="4"/>
      <x:c r="O131" s="4"/>
      <x:c r="P131" s="11" t="n">
        <x:v>16</x:v>
      </x:c>
      <x:c r="Q131" s="11" t="n">
        <x:v>19</x:v>
      </x:c>
      <x:c r="R131" s="11" t="n">
        <x:f>IF(OR(P131="",Q131=""),"",Q131-P131)</x:f>
        <x:v>3</x:v>
      </x:c>
      <x:c r="S131" s="13" t="n">
        <x:f>IF(OR(P131="",Q131="",P131=0),"",((Q131/30)/(P131/31))-1)</x:f>
        <x:v>0.2270833333333333</x:v>
      </x:c>
      <x:c r="T131" s="11" t="n">
        <x:v>6056</x:v>
      </x:c>
      <x:c r="U131" s="11" t="n">
        <x:v>5201</x:v>
      </x:c>
      <x:c r="V131" s="14" t="n">
        <x:v>0.003653143626225726</x:v>
      </x:c>
      <x:c r="W131" s="12" t="n">
        <x:v>8.110171120938281</x:v>
      </x:c>
      <x:c r="X131" s="11" t="n">
        <x:v>27</x:v>
      </x:c>
      <x:c r="Y131" s="11" t="n">
        <x:v>32</x:v>
      </x:c>
      <x:c r="Z131" s="4" t="str">
        <x:v>https://blog.skyairline.com/que-es-una-bitacora/</x:v>
      </x:c>
      <x:c r="AA131" s="4" t="str">
        <x:v>https://blog.skyairline.com/que-es-una-bitacora/</x:v>
      </x:c>
      <x:c r="AB131" s="4" t="str">
        <x:v>Coincidencia URL</x:v>
      </x:c>
      <x:c r="AC131" s="4" t="str">
        <x:v>Publicado hasta septiembre</x:v>
      </x:c>
      <x:c r="AD131" s="4" t="str">
        <x:v>/que-es-una-bitacora/</x:v>
      </x:c>
      <x:c r="AE131" s="4"/>
      <x:c r="AF131" s="16" t="b">
        <x:v>0</x:v>
      </x:c>
    </x:row>
    <x:row r="132" ht="44" customHeight="1">
      <x:c r="A132" s="4" t="n">
        <x:v>5158</x:v>
      </x:c>
      <x:c r="B132" s="4" t="str">
        <x:v>https://blog.skyairline.com/portugues/</x:v>
      </x:c>
      <x:c r="C132" s="9" t="str">
        <x:v>Guía de portugués básico, para quien viaja a Brasil por primera vez</x:v>
      </x:c>
      <x:c r="D132" s="17" t="d">
        <x:v>2025-10-17T00:00:00.000Z</x:v>
      </x:c>
      <x:c r="E132" s="17" t="d">
        <x:v>2026-01-12T00:00:00.000Z</x:v>
      </x:c>
      <x:c r="F132" s="4" t="str">
        <x:v>Florianópolis, Planificación de Viaje</x:v>
      </x:c>
      <x:c r="G132" s="11" t="n">
        <x:v>1239</x:v>
      </x:c>
      <x:c r="H132" s="11" t="n">
        <x:v>200</x:v>
      </x:c>
      <x:c r="I132" s="11" t="n">
        <x:v>1</x:v>
      </x:c>
      <x:c r="J132" s="4" t="str">
        <x:v>https://blog.skyairline.com/portugues/</x:v>
      </x:c>
      <x:c r="K132" s="16" t="b">
        <x:v>0</x:v>
      </x:c>
      <x:c r="L132" s="11" t="n">
        <x:v>0</x:v>
      </x:c>
      <x:c r="M132" s="11" t="n">
        <x:v>0</x:v>
      </x:c>
      <x:c r="N132" s="4"/>
      <x:c r="O132" s="4"/>
      <x:c r="P132" s="11" t="n">
        <x:v>8</x:v>
      </x:c>
      <x:c r="Q132" s="11" t="n">
        <x:v>18</x:v>
      </x:c>
      <x:c r="R132" s="11" t="n">
        <x:f>IF(OR(P132="",Q132=""),"",Q132-P132)</x:f>
        <x:v>10</x:v>
      </x:c>
      <x:c r="S132" s="13" t="n">
        <x:f>IF(OR(P132="",Q132="",P132=0),"",((Q132/30)/(P132/31))-1)</x:f>
        <x:v>1.3250000000000002</x:v>
      </x:c>
      <x:c r="T132" s="11" t="n">
        <x:v>3813</x:v>
      </x:c>
      <x:c r="U132" s="11" t="n">
        <x:v>2678</x:v>
      </x:c>
      <x:c r="V132" s="14" t="n">
        <x:v>0.006721433905899925</x:v>
      </x:c>
      <x:c r="W132" s="12" t="n">
        <x:v>8.635175504107544</x:v>
      </x:c>
      <x:c r="X132" s="11" t="n">
        <x:v>20</x:v>
      </x:c>
      <x:c r="Y132" s="11" t="n">
        <x:v>20</x:v>
      </x:c>
      <x:c r="Z132" s="4" t="str">
        <x:v>https://blog.skyairline.com/portugues/</x:v>
      </x:c>
      <x:c r="AA132" s="4" t="str">
        <x:v>https://blog.skyairline.com/portugues/</x:v>
      </x:c>
      <x:c r="AB132" s="4" t="str">
        <x:v>Coincidencia URL</x:v>
      </x:c>
      <x:c r="AC132" s="4" t="str">
        <x:v>Publicado hasta septiembre</x:v>
      </x:c>
      <x:c r="AD132" s="4" t="str">
        <x:v>/portugues/</x:v>
      </x:c>
      <x:c r="AE132" s="4"/>
      <x:c r="AF132" s="16" t="b">
        <x:v>0</x:v>
      </x:c>
    </x:row>
    <x:row r="133" ht="44" customHeight="1">
      <x:c r="A133" s="4" t="n">
        <x:v>5595</x:v>
      </x:c>
      <x:c r="B133" s="4" t="str">
        <x:v>https://blog.skyairline.com/mitos-chilenos-cuentos-y-leyendas-de-nuestros-pueblos/</x:v>
      </x:c>
      <x:c r="C133" s="9" t="str">
        <x:v>Mitos chilenos: cuentos y leyendas de nuestros pueblos</x:v>
      </x:c>
      <x:c r="D133" s="17" t="d">
        <x:v>2025-02-05T00:00:00.000Z</x:v>
      </x:c>
      <x:c r="E133" s="17" t="d">
        <x:v>2025-02-05T00:00:00.000Z</x:v>
      </x:c>
      <x:c r="F133" s="4" t="str">
        <x:v>Sin categoría</x:v>
      </x:c>
      <x:c r="G133" s="11" t="n">
        <x:v>1179</x:v>
      </x:c>
      <x:c r="H133" s="11" t="n">
        <x:v>200</x:v>
      </x:c>
      <x:c r="I133" s="11" t="n">
        <x:v>1</x:v>
      </x:c>
      <x:c r="J133" s="4" t="str">
        <x:v>https://blog.skyairline.com/mitos-chilenos-cuentos-y-leyendas-de-nuestros-pueblos/</x:v>
      </x:c>
      <x:c r="K133" s="16" t="b">
        <x:v>0</x:v>
      </x:c>
      <x:c r="L133" s="11" t="n">
        <x:v>0</x:v>
      </x:c>
      <x:c r="M133" s="11" t="n">
        <x:v>5</x:v>
      </x:c>
      <x:c r="N133" s="4"/>
      <x:c r="O133" s="4"/>
      <x:c r="P133" s="11" t="n">
        <x:v>31</x:v>
      </x:c>
      <x:c r="Q133" s="11" t="n">
        <x:v>18</x:v>
      </x:c>
      <x:c r="R133" s="11" t="n">
        <x:f>IF(OR(P133="",Q133=""),"",Q133-P133)</x:f>
        <x:v>-13</x:v>
      </x:c>
      <x:c r="S133" s="13" t="n">
        <x:f>IF(OR(P133="",Q133="",P133=0),"",((Q133/30)/(P133/31))-1)</x:f>
        <x:v>-0.4</x:v>
      </x:c>
      <x:c r="T133" s="11" t="n">
        <x:v>3713</x:v>
      </x:c>
      <x:c r="U133" s="11" t="n">
        <x:v>2417</x:v>
      </x:c>
      <x:c r="V133" s="14" t="n">
        <x:v>0.007447248655357882</x:v>
      </x:c>
      <x:c r="W133" s="12" t="n">
        <x:v>8.261894911046754</x:v>
      </x:c>
      <x:c r="X133" s="11" t="n">
        <x:v>20</x:v>
      </x:c>
      <x:c r="Y133" s="11" t="n">
        <x:v>24</x:v>
      </x:c>
      <x:c r="Z133" s="4" t="str">
        <x:v>https://blog.skyairline.com/mitos-chilenos-cuentos-y-leyendas-de-nuestros-pueblos/</x:v>
      </x:c>
      <x:c r="AA133" s="4" t="str">
        <x:v>https://blog.skyairline.com/mitos-chilenos-cuentos-y-leyendas-de-nuestros-pueblos/
https://blog.skyairline.com/mitos-chilenos-cuentos-y-leyendas-de-nuestros-pueblos</x:v>
      </x:c>
      <x:c r="AB133" s="4" t="str">
        <x:v>Alias slash agregado</x:v>
      </x:c>
      <x:c r="AC133" s="4" t="str">
        <x:v>Publicado hasta septiembre</x:v>
      </x:c>
      <x:c r="AD133" s="4" t="str">
        <x:v>/mitos-chilenos-cuentos-y-leyendas-de-nuestros-pueblos/</x:v>
      </x:c>
      <x:c r="AE133" s="4"/>
      <x:c r="AF133" s="16" t="b">
        <x:v>0</x:v>
      </x:c>
    </x:row>
    <x:row r="134" ht="44" customHeight="1">
      <x:c r="A134" s="4" t="n">
        <x:v>6124</x:v>
      </x:c>
      <x:c r="B134" s="4" t="str">
        <x:v>https://blog.skyairline.com/viajar-a-coyhaique/</x:v>
      </x:c>
      <x:c r="C134" s="9" t="str">
        <x:v>Viajar a Coyhaique: qué ver y cómo llegar</x:v>
      </x:c>
      <x:c r="D134" s="17" t="d">
        <x:v>2025-07-27T00:00:00.000Z</x:v>
      </x:c>
      <x:c r="E134" s="17" t="d">
        <x:v>2026-01-08T00:00:00.000Z</x:v>
      </x:c>
      <x:c r="F134" s="4" t="str">
        <x:v>Destinos</x:v>
      </x:c>
      <x:c r="G134" s="11" t="n">
        <x:v>1085</x:v>
      </x:c>
      <x:c r="H134" s="11" t="n">
        <x:v>200</x:v>
      </x:c>
      <x:c r="I134" s="11" t="n">
        <x:v>1</x:v>
      </x:c>
      <x:c r="J134" s="4" t="str">
        <x:v>https://blog.skyairline.com/viajar-a-coyhaique/</x:v>
      </x:c>
      <x:c r="K134" s="16" t="b">
        <x:v>0</x:v>
      </x:c>
      <x:c r="L134" s="11" t="n">
        <x:v>0</x:v>
      </x:c>
      <x:c r="M134" s="11" t="n">
        <x:v>0</x:v>
      </x:c>
      <x:c r="N134" s="4"/>
      <x:c r="O134" s="4"/>
      <x:c r="P134" s="11" t="n">
        <x:v>26</x:v>
      </x:c>
      <x:c r="Q134" s="11" t="n">
        <x:v>18</x:v>
      </x:c>
      <x:c r="R134" s="11" t="n">
        <x:f>IF(OR(P134="",Q134=""),"",Q134-P134)</x:f>
        <x:v>-8</x:v>
      </x:c>
      <x:c r="S134" s="13" t="n">
        <x:f>IF(OR(P134="",Q134="",P134=0),"",((Q134/30)/(P134/31))-1)</x:f>
        <x:v>-0.2846153846153847</x:v>
      </x:c>
      <x:c r="T134" s="11" t="n">
        <x:v>2784</x:v>
      </x:c>
      <x:c r="U134" s="11" t="n">
        <x:v>2131</x:v>
      </x:c>
      <x:c r="V134" s="14" t="n">
        <x:v>0.008446738620366025</x:v>
      </x:c>
      <x:c r="W134" s="12" t="n">
        <x:v>7.2787423744720785</x:v>
      </x:c>
      <x:c r="X134" s="11" t="n">
        <x:v>19</x:v>
      </x:c>
      <x:c r="Y134" s="11" t="n">
        <x:v>22</x:v>
      </x:c>
      <x:c r="Z134" s="4" t="str">
        <x:v>https://blog.skyairline.com/viajar-a-coyhaique/</x:v>
      </x:c>
      <x:c r="AA134" s="4" t="str">
        <x:v>https://blog.skyairline.com/viajar-a-coyhaique/</x:v>
      </x:c>
      <x:c r="AB134" s="4" t="str">
        <x:v>Coincidencia URL</x:v>
      </x:c>
      <x:c r="AC134" s="4" t="str">
        <x:v>Publicado hasta septiembre</x:v>
      </x:c>
      <x:c r="AD134" s="4" t="str">
        <x:v>/viajar-a-coyhaique/</x:v>
      </x:c>
      <x:c r="AE134" s="4"/>
      <x:c r="AF134" s="16" t="b">
        <x:v>0</x:v>
      </x:c>
    </x:row>
    <x:row r="135" ht="44" customHeight="1">
      <x:c r="A135" s="4" t="n">
        <x:v>878</x:v>
      </x:c>
      <x:c r="B135" s="4" t="str">
        <x:v>https://blog.skyairline.com/pasajes-aereos-en-linea/</x:v>
      </x:c>
      <x:c r="C135" s="9" t="str">
        <x:v>¿Es seguro comprar pasajes aéreos en línea?</x:v>
      </x:c>
      <x:c r="D135" s="17" t="d">
        <x:v>2021-09-26T00:00:00.000Z</x:v>
      </x:c>
      <x:c r="E135" s="17" t="d">
        <x:v>2021-09-26T00:00:00.000Z</x:v>
      </x:c>
      <x:c r="F135" s="4" t="str">
        <x:v>Planificación de Viaje</x:v>
      </x:c>
      <x:c r="G135" s="11" t="n">
        <x:v>1062</x:v>
      </x:c>
      <x:c r="H135" s="11" t="n">
        <x:v>200</x:v>
      </x:c>
      <x:c r="I135" s="11" t="n">
        <x:v>1</x:v>
      </x:c>
      <x:c r="J135" s="4" t="str">
        <x:v>https://blog.skyairline.com/pasajes-aereos-en-linea/</x:v>
      </x:c>
      <x:c r="K135" s="16" t="b">
        <x:v>0</x:v>
      </x:c>
      <x:c r="L135" s="11" t="n">
        <x:v>0</x:v>
      </x:c>
      <x:c r="M135" s="11" t="n">
        <x:v>1</x:v>
      </x:c>
      <x:c r="N135" s="4"/>
      <x:c r="O135" s="4"/>
      <x:c r="P135" s="11" t="n">
        <x:v>17</x:v>
      </x:c>
      <x:c r="Q135" s="11" t="n">
        <x:v>17</x:v>
      </x:c>
      <x:c r="R135" s="11" t="n">
        <x:f>IF(OR(P135="",Q135=""),"",Q135-P135)</x:f>
        <x:v>0</x:v>
      </x:c>
      <x:c r="S135" s="13" t="n">
        <x:f>IF(OR(P135="",Q135="",P135=0),"",((Q135/30)/(P135/31))-1)</x:f>
        <x:v>0.03333333333333344</x:v>
      </x:c>
      <x:c r="T135" s="11" t="n">
        <x:v>631</x:v>
      </x:c>
      <x:c r="U135" s="11" t="n">
        <x:v>602</x:v>
      </x:c>
      <x:c r="V135" s="14" t="n">
        <x:v>0.02823920265780731</x:v>
      </x:c>
      <x:c r="W135" s="12" t="n">
        <x:v>4.7574750830564785</x:v>
      </x:c>
      <x:c r="X135" s="11" t="n">
        <x:v>14</x:v>
      </x:c>
      <x:c r="Y135" s="11" t="n">
        <x:v>17</x:v>
      </x:c>
      <x:c r="Z135" s="4" t="str">
        <x:v>https://blog.skyairline.com/pasajes-aereos-en-linea/</x:v>
      </x:c>
      <x:c r="AA135" s="4" t="str">
        <x:v>https://blog.skyairline.com/pasajes-aereos-en-linea/</x:v>
      </x:c>
      <x:c r="AB135" s="4" t="str">
        <x:v>Coincidencia URL</x:v>
      </x:c>
      <x:c r="AC135" s="4" t="str">
        <x:v>Publicado hasta septiembre</x:v>
      </x:c>
      <x:c r="AD135" s="4" t="str">
        <x:v>/pasajes-aereos-en-linea/</x:v>
      </x:c>
      <x:c r="AE135" s="4"/>
      <x:c r="AF135" s="16" t="b">
        <x:v>0</x:v>
      </x:c>
    </x:row>
    <x:row r="136" ht="44" customHeight="1">
      <x:c r="A136" s="4" t="n">
        <x:v>6127</x:v>
      </x:c>
      <x:c r="B136" s="4" t="str">
        <x:v>https://blog.skyairline.com/sargazo-en-playa-del-carmen-que-saber-antes-de-viajar/</x:v>
      </x:c>
      <x:c r="C136" s="9" t="str">
        <x:v>Sargazo en Playa del Carmen: qué saber antes de viajar</x:v>
      </x:c>
      <x:c r="D136" s="17" t="d">
        <x:v>2025-07-29T00:00:00.000Z</x:v>
      </x:c>
      <x:c r="E136" s="17" t="d">
        <x:v>2026-01-08T00:00:00.000Z</x:v>
      </x:c>
      <x:c r="F136" s="4" t="str">
        <x:v>Planificación de Viaje</x:v>
      </x:c>
      <x:c r="G136" s="11" t="n">
        <x:v>1097</x:v>
      </x:c>
      <x:c r="H136" s="11" t="n">
        <x:v>200</x:v>
      </x:c>
      <x:c r="I136" s="11" t="n">
        <x:v>1</x:v>
      </x:c>
      <x:c r="J136" s="4" t="str">
        <x:v>https://blog.skyairline.com/sargazo-en-playa-del-carmen-que-saber-antes-de-viajar/</x:v>
      </x:c>
      <x:c r="K136" s="16" t="b">
        <x:v>0</x:v>
      </x:c>
      <x:c r="L136" s="11" t="n">
        <x:v>0</x:v>
      </x:c>
      <x:c r="M136" s="11" t="n">
        <x:v>0</x:v>
      </x:c>
      <x:c r="N136" s="4"/>
      <x:c r="O136" s="4"/>
      <x:c r="P136" s="11" t="n">
        <x:v>24</x:v>
      </x:c>
      <x:c r="Q136" s="11" t="n">
        <x:v>17</x:v>
      </x:c>
      <x:c r="R136" s="11" t="n">
        <x:f>IF(OR(P136="",Q136=""),"",Q136-P136)</x:f>
        <x:v>-7</x:v>
      </x:c>
      <x:c r="S136" s="13" t="n">
        <x:f>IF(OR(P136="",Q136="",P136=0),"",((Q136/30)/(P136/31))-1)</x:f>
        <x:v>-0.2680555555555556</x:v>
      </x:c>
      <x:c r="T136" s="11" t="n">
        <x:v>2070</x:v>
      </x:c>
      <x:c r="U136" s="11" t="n">
        <x:v>1674</x:v>
      </x:c>
      <x:c r="V136" s="14" t="n">
        <x:v>0.01015531660692951</x:v>
      </x:c>
      <x:c r="W136" s="12" t="n">
        <x:v>7.301672640382318</x:v>
      </x:c>
      <x:c r="X136" s="11" t="n">
        <x:v>18</x:v>
      </x:c>
      <x:c r="Y136" s="11" t="n">
        <x:v>22</x:v>
      </x:c>
      <x:c r="Z136" s="4" t="str">
        <x:v>https://blog.skyairline.com/sargazo-en-playa-del-carmen-que-saber-antes-de-viajar/</x:v>
      </x:c>
      <x:c r="AA136" s="4" t="str">
        <x:v>https://blog.skyairline.com/sargazo-en-playa-del-carmen-que-saber-antes-de-viajar/
https://blog.skyairline.com/sargazo-en-playa-del-carmen-que-saber-antes-de-viajar</x:v>
      </x:c>
      <x:c r="AB136" s="4" t="str">
        <x:v>Alias slash agregado</x:v>
      </x:c>
      <x:c r="AC136" s="4" t="str">
        <x:v>Publicado hasta septiembre</x:v>
      </x:c>
      <x:c r="AD136" s="4" t="str">
        <x:v>/sargazo-en-playa-del-carmen-que-saber-antes-de-viajar/</x:v>
      </x:c>
      <x:c r="AE136" s="4"/>
      <x:c r="AF136" s="16" t="b">
        <x:v>0</x:v>
      </x:c>
    </x:row>
    <x:row r="137" ht="44" customHeight="1">
      <x:c r="A137" s="4" t="n">
        <x:v>9123</x:v>
      </x:c>
      <x:c r="B137" s="4" t="str">
        <x:v>https://blog.skyairline.com/nueva-plataforma-digital-simplificamos-el-envio-de-carga-aerea/</x:v>
      </x:c>
      <x:c r="C137" s="9" t="str">
        <x:v>Nueva plataforma digital: Simplificamos el envío de carga aérea</x:v>
      </x:c>
      <x:c r="D137" s="17" t="d">
        <x:v>2026-08-05T00:00:00.000Z</x:v>
      </x:c>
      <x:c r="E137" s="17" t="d">
        <x:v>2026-08-05T00:00:00.000Z</x:v>
      </x:c>
      <x:c r="F137" s="4" t="str">
        <x:v>Noticias</x:v>
      </x:c>
      <x:c r="G137" s="11" t="n">
        <x:v>156</x:v>
      </x:c>
      <x:c r="H137" s="11" t="n">
        <x:v>200</x:v>
      </x:c>
      <x:c r="I137" s="11" t="n">
        <x:v>1</x:v>
      </x:c>
      <x:c r="J137" s="4" t="str">
        <x:v>https://blog.skyairline.com/nueva-plataforma-digital-simplificamos-el-envio-de-carga-aerea/</x:v>
      </x:c>
      <x:c r="K137" s="16" t="b">
        <x:v>0</x:v>
      </x:c>
      <x:c r="L137" s="11" t="n">
        <x:v>0</x:v>
      </x:c>
      <x:c r="M137" s="11" t="n">
        <x:v>0</x:v>
      </x:c>
      <x:c r="N137" s="4"/>
      <x:c r="O137" s="4"/>
      <x:c r="P137" s="11" t="n">
        <x:v>19</x:v>
      </x:c>
      <x:c r="Q137" s="11" t="n">
        <x:v>17</x:v>
      </x:c>
      <x:c r="R137" s="11" t="n">
        <x:f>IF(OR(P137="",Q137=""),"",Q137-P137)</x:f>
        <x:v>-2</x:v>
      </x:c>
      <x:c r="S137" s="13" t="n">
        <x:f>IF(OR(P137="",Q137="",P137=0),"",((Q137/30)/(P137/31))-1)</x:f>
        <x:v>-0.07543859649122808</x:v>
      </x:c>
      <x:c r="T137" s="11" t="n">
        <x:v>888</x:v>
      </x:c>
      <x:c r="U137" s="11" t="n">
        <x:v>880</x:v>
      </x:c>
      <x:c r="V137" s="14" t="n">
        <x:v>0.019318181818181818</x:v>
      </x:c>
      <x:c r="W137" s="12" t="n">
        <x:v>6.240909090909091</x:v>
      </x:c>
      <x:c r="X137" s="11" t="n">
        <x:v>18</x:v>
      </x:c>
      <x:c r="Y137" s="11" t="n">
        <x:v>26</x:v>
      </x:c>
      <x:c r="Z137" s="4" t="str">
        <x:v>https://blog.skyairline.com/nueva-plataforma-digital-simplificamos-el-envio-de-carga-aerea/</x:v>
      </x:c>
      <x:c r="AA137" s="4" t="str">
        <x:v>https://blog.skyairline.com/nueva-plataforma-digital-simplificamos-el-envio-de-carga-aerea/</x:v>
      </x:c>
      <x:c r="AB137" s="4" t="str">
        <x:v>Coincidencia URL</x:v>
      </x:c>
      <x:c r="AC137" s="4" t="str">
        <x:v>Publicado hasta septiembre</x:v>
      </x:c>
      <x:c r="AD137" s="4" t="str">
        <x:v>/nueva-plataforma-digital-simplificamos-el-envio-de-carga-aerea/</x:v>
      </x:c>
      <x:c r="AE137" s="4"/>
      <x:c r="AF137" s="16" t="b">
        <x:v>0</x:v>
      </x:c>
    </x:row>
    <x:row r="138" ht="44" customHeight="1">
      <x:c r="A138" s="4" t="n">
        <x:v>9213</x:v>
      </x:c>
      <x:c r="B138" s="4" t="str">
        <x:v>https://blog.skyairline.com/sky-fortalece-su-red-internacional-desde-peru-con-nuevas-rutas-a-chile-y-brasil/</x:v>
      </x:c>
      <x:c r="C138" s="9" t="str">
        <x:v>SKY fortalece su red internacional desde Perú con nuevas rutas a Chile y Brasil</x:v>
      </x:c>
      <x:c r="D138" s="17" t="d">
        <x:v>2026-08-31T00:00:00.000Z</x:v>
      </x:c>
      <x:c r="E138" s="17" t="d">
        <x:v>2026-08-31T00:00:00.000Z</x:v>
      </x:c>
      <x:c r="F138" s="4" t="str">
        <x:v>Noticias</x:v>
      </x:c>
      <x:c r="G138" s="11" t="n">
        <x:v>231</x:v>
      </x:c>
      <x:c r="H138" s="11" t="n">
        <x:v>200</x:v>
      </x:c>
      <x:c r="I138" s="11" t="n">
        <x:v>1</x:v>
      </x:c>
      <x:c r="J138" s="4" t="str">
        <x:v>https://blog.skyairline.com/sky-fortalece-su-red-internacional-desde-peru-con-nuevas-rutas-a-chile-y-brasil/</x:v>
      </x:c>
      <x:c r="K138" s="16" t="b">
        <x:v>0</x:v>
      </x:c>
      <x:c r="L138" s="11" t="n">
        <x:v>0</x:v>
      </x:c>
      <x:c r="M138" s="11" t="n">
        <x:v>0</x:v>
      </x:c>
      <x:c r="N138" s="4"/>
      <x:c r="O138" s="4"/>
      <x:c r="P138" s="11" t="n">
        <x:v>0</x:v>
      </x:c>
      <x:c r="Q138" s="11" t="n">
        <x:v>17</x:v>
      </x:c>
      <x:c r="R138" s="11" t="str">
        <x:f>IF(OR(P138="",Q138=""),"",Q138-P138)</x:f>
      </x:c>
      <x:c r="S138" s="13" t="str">
        <x:f>IF(OR(P138="",Q138="",P138=0),"",((Q138/30)/(P138/31))-1)</x:f>
      </x:c>
      <x:c r="T138" s="11" t="n">
        <x:v>3</x:v>
      </x:c>
      <x:c r="U138" s="11" t="n">
        <x:v>275</x:v>
      </x:c>
      <x:c r="V138" s="14" t="n">
        <x:v>0.06181818181818182</x:v>
      </x:c>
      <x:c r="W138" s="12" t="n">
        <x:v>3.978181818181818</x:v>
      </x:c>
      <x:c r="X138" s="11" t="n">
        <x:v>30</x:v>
      </x:c>
      <x:c r="Y138" s="11" t="n">
        <x:v>35</x:v>
      </x:c>
      <x:c r="Z138" s="4" t="str">
        <x:v>https://blog.skyairline.com/sky-fortalece-su-red-internacional-desde-peru-con-nuevas-rutas-a-chile-y-brasil/</x:v>
      </x:c>
      <x:c r="AA138" s="4" t="str">
        <x:v>https://blog.skyairline.com/sky-fortalece-su-red-internacional-desde-peru-con-nuevas-rutas-a-chile-y-brasil/</x:v>
      </x:c>
      <x:c r="AB138" s="4" t="str">
        <x:v>Coincidencia URL</x:v>
      </x:c>
      <x:c r="AC138" s="4" t="str">
        <x:v>Publicado hasta septiembre</x:v>
      </x:c>
      <x:c r="AD138" s="4" t="str">
        <x:v>/sky-fortalece-su-red-internacional-desde-peru-con-nuevas-rutas-a-chile-y-brasil/</x:v>
      </x:c>
      <x:c r="AE138" s="4"/>
      <x:c r="AF138" s="16" t="b">
        <x:v>0</x:v>
      </x:c>
    </x:row>
    <x:row r="139" ht="44" customHeight="1">
      <x:c r="A139" s="4" t="n">
        <x:v>673</x:v>
      </x:c>
      <x:c r="B139" s="4" t="str">
        <x:v>https://blog.skyairline.com/arriendo-de-auto/</x:v>
      </x:c>
      <x:c r="C139" s="9" t="str">
        <x:v>Arriendo de auto: ¿Realmente necesitas hacerlo en tu próximo viaje?</x:v>
      </x:c>
      <x:c r="D139" s="17" t="d">
        <x:v>2021-08-15T00:00:00.000Z</x:v>
      </x:c>
      <x:c r="E139" s="17" t="d">
        <x:v>2021-08-15T00:00:00.000Z</x:v>
      </x:c>
      <x:c r="F139" s="4" t="str">
        <x:v>Planificación de Viaje</x:v>
      </x:c>
      <x:c r="G139" s="11" t="n">
        <x:v>982</x:v>
      </x:c>
      <x:c r="H139" s="11" t="n">
        <x:v>200</x:v>
      </x:c>
      <x:c r="I139" s="11" t="n">
        <x:v>1</x:v>
      </x:c>
      <x:c r="J139" s="4" t="str">
        <x:v>https://blog.skyairline.com/arriendo-de-auto/</x:v>
      </x:c>
      <x:c r="K139" s="16" t="b">
        <x:v>0</x:v>
      </x:c>
      <x:c r="L139" s="11" t="n">
        <x:v>0</x:v>
      </x:c>
      <x:c r="M139" s="11" t="n">
        <x:v>3</x:v>
      </x:c>
      <x:c r="N139" s="4"/>
      <x:c r="O139" s="4"/>
      <x:c r="P139" s="11" t="n">
        <x:v>15</x:v>
      </x:c>
      <x:c r="Q139" s="11" t="n">
        <x:v>16</x:v>
      </x:c>
      <x:c r="R139" s="11" t="n">
        <x:f>IF(OR(P139="",Q139=""),"",Q139-P139)</x:f>
        <x:v>1</x:v>
      </x:c>
      <x:c r="S139" s="13" t="n">
        <x:f>IF(OR(P139="",Q139="",P139=0),"",((Q139/30)/(P139/31))-1)</x:f>
        <x:v>0.10222222222222221</x:v>
      </x:c>
      <x:c r="T139" s="11" t="n">
        <x:v>118</x:v>
      </x:c>
      <x:c r="U139" s="11" t="n">
        <x:v>106</x:v>
      </x:c>
      <x:c r="V139" s="14" t="n">
        <x:v>0.1509433962264151</x:v>
      </x:c>
      <x:c r="W139" s="12" t="n">
        <x:v>7.216981132075472</x:v>
      </x:c>
      <x:c r="X139" s="11" t="n">
        <x:v>13</x:v>
      </x:c>
      <x:c r="Y139" s="11" t="n">
        <x:v>15</x:v>
      </x:c>
      <x:c r="Z139" s="4" t="str">
        <x:v>https://blog.skyairline.com/arriendo-de-auto/</x:v>
      </x:c>
      <x:c r="AA139" s="4" t="str">
        <x:v>https://blog.skyairline.com/arriendo-de-auto/</x:v>
      </x:c>
      <x:c r="AB139" s="4" t="str">
        <x:v>Coincidencia URL</x:v>
      </x:c>
      <x:c r="AC139" s="4" t="str">
        <x:v>Publicado hasta septiembre</x:v>
      </x:c>
      <x:c r="AD139" s="4" t="str">
        <x:v>/arriendo-de-auto/</x:v>
      </x:c>
      <x:c r="AE139" s="4"/>
      <x:c r="AF139" s="16" t="b">
        <x:v>0</x:v>
      </x:c>
    </x:row>
    <x:row r="140" ht="44" customHeight="1">
      <x:c r="A140" s="4" t="n">
        <x:v>2722</x:v>
      </x:c>
      <x:c r="B140" s="4" t="str">
        <x:v>https://blog.skyairline.com/aeropuestos-de-peru/</x:v>
      </x:c>
      <x:c r="C140" s="9" t="str">
        <x:v>Aeropuertos de Perú:  Los 5 más importantes</x:v>
      </x:c>
      <x:c r="D140" s="17" t="d">
        <x:v>2023-03-07T00:00:00.000Z</x:v>
      </x:c>
      <x:c r="E140" s="17" t="d">
        <x:v>2023-03-07T00:00:00.000Z</x:v>
      </x:c>
      <x:c r="F140" s="4" t="str">
        <x:v>Destinos</x:v>
      </x:c>
      <x:c r="G140" s="11" t="n">
        <x:v>1036</x:v>
      </x:c>
      <x:c r="H140" s="11" t="n">
        <x:v>200</x:v>
      </x:c>
      <x:c r="I140" s="11" t="n">
        <x:v>1</x:v>
      </x:c>
      <x:c r="J140" s="4" t="str">
        <x:v>https://blog.skyairline.com/aeropuestos-de-peru/</x:v>
      </x:c>
      <x:c r="K140" s="16" t="b">
        <x:v>0</x:v>
      </x:c>
      <x:c r="L140" s="11" t="n">
        <x:v>0</x:v>
      </x:c>
      <x:c r="M140" s="11" t="n">
        <x:v>11</x:v>
      </x:c>
      <x:c r="N140" s="4"/>
      <x:c r="O140" s="4"/>
      <x:c r="P140" s="11" t="n">
        <x:v>28</x:v>
      </x:c>
      <x:c r="Q140" s="11" t="n">
        <x:v>16</x:v>
      </x:c>
      <x:c r="R140" s="11" t="n">
        <x:f>IF(OR(P140="",Q140=""),"",Q140-P140)</x:f>
        <x:v>-12</x:v>
      </x:c>
      <x:c r="S140" s="13" t="n">
        <x:f>IF(OR(P140="",Q140="",P140=0),"",((Q140/30)/(P140/31))-1)</x:f>
        <x:v>-0.4095238095238095</x:v>
      </x:c>
      <x:c r="T140" s="11" t="n">
        <x:v>2183</x:v>
      </x:c>
      <x:c r="U140" s="11" t="n">
        <x:v>2048</x:v>
      </x:c>
      <x:c r="V140" s="14" t="n">
        <x:v>0.0078125</x:v>
      </x:c>
      <x:c r="W140" s="12" t="n">
        <x:v>6.45703125</x:v>
      </x:c>
      <x:c r="X140" s="11" t="n">
        <x:v>17</x:v>
      </x:c>
      <x:c r="Y140" s="11" t="n">
        <x:v>17</x:v>
      </x:c>
      <x:c r="Z140" s="4" t="str">
        <x:v>https://blog.skyairline.com/aeropuestos-de-peru/</x:v>
      </x:c>
      <x:c r="AA140" s="4" t="str">
        <x:v>https://blog.skyairline.com/aeropuestos-de-peru/</x:v>
      </x:c>
      <x:c r="AB140" s="4" t="str">
        <x:v>Coincidencia URL</x:v>
      </x:c>
      <x:c r="AC140" s="4" t="str">
        <x:v>Publicado hasta septiembre</x:v>
      </x:c>
      <x:c r="AD140" s="4" t="str">
        <x:v>/aeropuestos-de-peru/</x:v>
      </x:c>
      <x:c r="AE140" s="4"/>
      <x:c r="AF140" s="16" t="b">
        <x:v>0</x:v>
      </x:c>
    </x:row>
    <x:row r="141" ht="44" customHeight="1">
      <x:c r="A141" s="4" t="n">
        <x:v>2749</x:v>
      </x:c>
      <x:c r="B141" s="4" t="str">
        <x:v>https://blog.skyairline.com/norte-de-chile/</x:v>
      </x:c>
      <x:c r="C141" s="9" t="str">
        <x:v>8 lugares esenciales para visitar en el norte de Chile: ¡Te encantarán!</x:v>
      </x:c>
      <x:c r="D141" s="17" t="d">
        <x:v>2023-03-17T00:00:00.000Z</x:v>
      </x:c>
      <x:c r="E141" s="17" t="d">
        <x:v>2023-03-17T00:00:00.000Z</x:v>
      </x:c>
      <x:c r="F141" s="4" t="str">
        <x:v>Destinos</x:v>
      </x:c>
      <x:c r="G141" s="11" t="n">
        <x:v>1170</x:v>
      </x:c>
      <x:c r="H141" s="11" t="n">
        <x:v>200</x:v>
      </x:c>
      <x:c r="I141" s="11" t="n">
        <x:v>1</x:v>
      </x:c>
      <x:c r="J141" s="4" t="str">
        <x:v>https://blog.skyairline.com/norte-de-chile/</x:v>
      </x:c>
      <x:c r="K141" s="16" t="b">
        <x:v>0</x:v>
      </x:c>
      <x:c r="L141" s="11" t="n">
        <x:v>0</x:v>
      </x:c>
      <x:c r="M141" s="11" t="n">
        <x:v>3</x:v>
      </x:c>
      <x:c r="N141" s="4"/>
      <x:c r="O141" s="4"/>
      <x:c r="P141" s="11" t="n">
        <x:v>26</x:v>
      </x:c>
      <x:c r="Q141" s="11" t="n">
        <x:v>16</x:v>
      </x:c>
      <x:c r="R141" s="11" t="n">
        <x:f>IF(OR(P141="",Q141=""),"",Q141-P141)</x:f>
        <x:v>-10</x:v>
      </x:c>
      <x:c r="S141" s="13" t="n">
        <x:f>IF(OR(P141="",Q141="",P141=0),"",((Q141/30)/(P141/31))-1)</x:f>
        <x:v>-0.36410256410256414</x:v>
      </x:c>
      <x:c r="T141" s="11" t="n">
        <x:v>2069</x:v>
      </x:c>
      <x:c r="U141" s="11" t="n">
        <x:v>1760</x:v>
      </x:c>
      <x:c r="V141" s="14" t="n">
        <x:v>0.00909090909090909</x:v>
      </x:c>
      <x:c r="W141" s="12" t="n">
        <x:v>8.631818181818183</x:v>
      </x:c>
      <x:c r="X141" s="11" t="n">
        <x:v>23</x:v>
      </x:c>
      <x:c r="Y141" s="11" t="n">
        <x:v>27</x:v>
      </x:c>
      <x:c r="Z141" s="4" t="str">
        <x:v>https://blog.skyairline.com/norte-de-chile/</x:v>
      </x:c>
      <x:c r="AA141" s="4" t="str">
        <x:v>https://blog.skyairline.com/norte-de-chile/</x:v>
      </x:c>
      <x:c r="AB141" s="4" t="str">
        <x:v>Coincidencia URL</x:v>
      </x:c>
      <x:c r="AC141" s="4" t="str">
        <x:v>Publicado hasta septiembre</x:v>
      </x:c>
      <x:c r="AD141" s="4" t="str">
        <x:v>/norte-de-chile/</x:v>
      </x:c>
      <x:c r="AE141" s="4"/>
      <x:c r="AF141" s="16" t="b">
        <x:v>0</x:v>
      </x:c>
    </x:row>
    <x:row r="142" ht="44" customHeight="1">
      <x:c r="A142" s="4" t="n">
        <x:v>2913</x:v>
      </x:c>
      <x:c r="B142" s="4" t="str">
        <x:v>https://blog.skyairline.com/canon-de-shucto/</x:v>
      </x:c>
      <x:c r="C142" s="9" t="str">
        <x:v>Cañón de Shucto: cómo llegar y qué hacer en este destino natural peruano</x:v>
      </x:c>
      <x:c r="D142" s="17" t="d">
        <x:v>2024-11-12T00:00:00.000Z</x:v>
      </x:c>
      <x:c r="E142" s="17" t="d">
        <x:v>2024-11-12T00:00:00.000Z</x:v>
      </x:c>
      <x:c r="F142" s="4" t="str">
        <x:v>Destinos</x:v>
      </x:c>
      <x:c r="G142" s="11" t="n">
        <x:v>1200</x:v>
      </x:c>
      <x:c r="H142" s="11" t="n">
        <x:v>200</x:v>
      </x:c>
      <x:c r="I142" s="11" t="n">
        <x:v>1</x:v>
      </x:c>
      <x:c r="J142" s="4" t="str">
        <x:v>https://blog.skyairline.com/canon-de-shucto/</x:v>
      </x:c>
      <x:c r="K142" s="16" t="b">
        <x:v>0</x:v>
      </x:c>
      <x:c r="L142" s="11" t="n">
        <x:v>0</x:v>
      </x:c>
      <x:c r="M142" s="11" t="n">
        <x:v>3</x:v>
      </x:c>
      <x:c r="N142" s="4"/>
      <x:c r="O142" s="4"/>
      <x:c r="P142" s="11" t="n">
        <x:v>38</x:v>
      </x:c>
      <x:c r="Q142" s="11" t="n">
        <x:v>16</x:v>
      </x:c>
      <x:c r="R142" s="11" t="n">
        <x:f>IF(OR(P142="",Q142=""),"",Q142-P142)</x:f>
        <x:v>-22</x:v>
      </x:c>
      <x:c r="S142" s="13" t="n">
        <x:f>IF(OR(P142="",Q142="",P142=0),"",((Q142/30)/(P142/31))-1)</x:f>
        <x:v>-0.5649122807017544</x:v>
      </x:c>
      <x:c r="T142" s="11" t="n">
        <x:v>3869</x:v>
      </x:c>
      <x:c r="U142" s="11" t="n">
        <x:v>2353</x:v>
      </x:c>
      <x:c r="V142" s="14" t="n">
        <x:v>0.006799830004249894</x:v>
      </x:c>
      <x:c r="W142" s="12" t="n">
        <x:v>6.834679133021674</x:v>
      </x:c>
      <x:c r="X142" s="11" t="n">
        <x:v>15</x:v>
      </x:c>
      <x:c r="Y142" s="11" t="n">
        <x:v>18</x:v>
      </x:c>
      <x:c r="Z142" s="4" t="str">
        <x:v>https://blog.skyairline.com/canon-de-shucto/</x:v>
      </x:c>
      <x:c r="AA142" s="4" t="str">
        <x:v>https://blog.skyairline.com/canon-de-shucto/
https://blog.skyairline.com/canon-de-shucto</x:v>
      </x:c>
      <x:c r="AB142" s="4" t="str">
        <x:v>Alias slash agregado</x:v>
      </x:c>
      <x:c r="AC142" s="4" t="str">
        <x:v>Publicado hasta septiembre</x:v>
      </x:c>
      <x:c r="AD142" s="4" t="str">
        <x:v>/canon-de-shucto/</x:v>
      </x:c>
      <x:c r="AE142" s="4"/>
      <x:c r="AF142" s="16" t="b">
        <x:v>0</x:v>
      </x:c>
    </x:row>
    <x:row r="143" ht="44" customHeight="1">
      <x:c r="A143" s="4" t="n">
        <x:v>5598</x:v>
      </x:c>
      <x:c r="B143" s="4" t="str">
        <x:v>https://blog.skyairline.com/mejores-epocas-para-ir-de-puerto-montt-a-santiago-en-avion/</x:v>
      </x:c>
      <x:c r="C143" s="9" t="str">
        <x:v>Mejores épocas para ir de Puerto Montt a Santiago en avión</x:v>
      </x:c>
      <x:c r="D143" s="17" t="d">
        <x:v>2025-02-06T00:00:00.000Z</x:v>
      </x:c>
      <x:c r="E143" s="17" t="d">
        <x:v>2025-02-06T00:00:00.000Z</x:v>
      </x:c>
      <x:c r="F143" s="4" t="str">
        <x:v>Sin categoría</x:v>
      </x:c>
      <x:c r="G143" s="11" t="n">
        <x:v>1330</x:v>
      </x:c>
      <x:c r="H143" s="11" t="n">
        <x:v>200</x:v>
      </x:c>
      <x:c r="I143" s="11" t="n">
        <x:v>1</x:v>
      </x:c>
      <x:c r="J143" s="4" t="str">
        <x:v>https://blog.skyairline.com/mejores-epocas-para-ir-de-puerto-montt-a-santiago-en-avion/</x:v>
      </x:c>
      <x:c r="K143" s="16" t="b">
        <x:v>0</x:v>
      </x:c>
      <x:c r="L143" s="11" t="n">
        <x:v>0</x:v>
      </x:c>
      <x:c r="M143" s="11" t="n">
        <x:v>3</x:v>
      </x:c>
      <x:c r="N143" s="4"/>
      <x:c r="O143" s="4"/>
      <x:c r="P143" s="11" t="n">
        <x:v>22</x:v>
      </x:c>
      <x:c r="Q143" s="11" t="n">
        <x:v>16</x:v>
      </x:c>
      <x:c r="R143" s="11" t="n">
        <x:f>IF(OR(P143="",Q143=""),"",Q143-P143)</x:f>
        <x:v>-6</x:v>
      </x:c>
      <x:c r="S143" s="13" t="n">
        <x:f>IF(OR(P143="",Q143="",P143=0),"",((Q143/30)/(P143/31))-1)</x:f>
        <x:v>-0.24848484848484853</x:v>
      </x:c>
      <x:c r="T143" s="11" t="n">
        <x:v>6217</x:v>
      </x:c>
      <x:c r="U143" s="11" t="n">
        <x:v>6710</x:v>
      </x:c>
      <x:c r="V143" s="14" t="n">
        <x:v>0.002384500745156483</x:v>
      </x:c>
      <x:c r="W143" s="12" t="n">
        <x:v>5.908643815201192</x:v>
      </x:c>
      <x:c r="X143" s="11" t="n">
        <x:v>23</x:v>
      </x:c>
      <x:c r="Y143" s="11" t="n">
        <x:v>19</x:v>
      </x:c>
      <x:c r="Z143" s="4" t="str">
        <x:v>https://blog.skyairline.com/mejores-epocas-para-ir-de-puerto-montt-a-santiago-en-avion/</x:v>
      </x:c>
      <x:c r="AA143" s="4" t="str">
        <x:v>https://blog.skyairline.com/mejores-epocas-para-ir-de-puerto-montt-a-santiago-en-avion/
https://blog.skyairline.com/mejores-epocas-para-ir-de-puerto-montt-a-santiago-en-avion</x:v>
      </x:c>
      <x:c r="AB143" s="4" t="str">
        <x:v>Alias slash agregado</x:v>
      </x:c>
      <x:c r="AC143" s="4" t="str">
        <x:v>Publicado hasta septiembre</x:v>
      </x:c>
      <x:c r="AD143" s="4" t="str">
        <x:v>/mejores-epocas-para-ir-de-puerto-montt-a-santiago-en-avion/</x:v>
      </x:c>
      <x:c r="AE143" s="4"/>
      <x:c r="AF143" s="16" t="b">
        <x:v>0</x:v>
      </x:c>
    </x:row>
    <x:row r="144" ht="44" customHeight="1">
      <x:c r="A144" s="4" t="n">
        <x:v>9099</x:v>
      </x:c>
      <x:c r="B144" s="4" t="str">
        <x:v>https://blog.skyairline.com/cuatro-recomendaciones-para-viajar-con-ninos-sin-contratiempos/</x:v>
      </x:c>
      <x:c r="C144" s="9" t="str">
        <x:v>¡Sin contratiempos!: Cuatro recomendaciones para viajar con niños</x:v>
      </x:c>
      <x:c r="D144" s="17" t="d">
        <x:v>2026-08-05T00:00:00.000Z</x:v>
      </x:c>
      <x:c r="E144" s="17" t="d">
        <x:v>2026-08-05T00:00:00.000Z</x:v>
      </x:c>
      <x:c r="F144" s="4" t="str">
        <x:v>Noticias</x:v>
      </x:c>
      <x:c r="G144" s="11" t="n">
        <x:v>238</x:v>
      </x:c>
      <x:c r="H144" s="11" t="n">
        <x:v>200</x:v>
      </x:c>
      <x:c r="I144" s="11" t="n">
        <x:v>1</x:v>
      </x:c>
      <x:c r="J144" s="4" t="str">
        <x:v>https://blog.skyairline.com/cuatro-recomendaciones-para-viajar-con-ninos-sin-contratiempos/</x:v>
      </x:c>
      <x:c r="K144" s="16" t="b">
        <x:v>0</x:v>
      </x:c>
      <x:c r="L144" s="11" t="n">
        <x:v>0</x:v>
      </x:c>
      <x:c r="M144" s="11" t="n">
        <x:v>0</x:v>
      </x:c>
      <x:c r="N144" s="4"/>
      <x:c r="O144" s="4"/>
      <x:c r="P144" s="11" t="n">
        <x:v>9</x:v>
      </x:c>
      <x:c r="Q144" s="11" t="n">
        <x:v>16</x:v>
      </x:c>
      <x:c r="R144" s="11" t="n">
        <x:f>IF(OR(P144="",Q144=""),"",Q144-P144)</x:f>
        <x:v>7</x:v>
      </x:c>
      <x:c r="S144" s="13" t="n">
        <x:f>IF(OR(P144="",Q144="",P144=0),"",((Q144/30)/(P144/31))-1)</x:f>
        <x:v>0.8370370370370368</x:v>
      </x:c>
      <x:c r="T144" s="11" t="n">
        <x:v>424</x:v>
      </x:c>
      <x:c r="U144" s="11" t="n">
        <x:v>419</x:v>
      </x:c>
      <x:c r="V144" s="14" t="n">
        <x:v>0.03818615751789976</x:v>
      </x:c>
      <x:c r="W144" s="12" t="n">
        <x:v>6.152744630071599</x:v>
      </x:c>
      <x:c r="X144" s="11" t="n">
        <x:v>16</x:v>
      </x:c>
      <x:c r="Y144" s="11" t="n">
        <x:v>24</x:v>
      </x:c>
      <x:c r="Z144" s="4" t="str">
        <x:v>https://blog.skyairline.com/cuatro-recomendaciones-para-viajar-con-ninos-sin-contratiempos/</x:v>
      </x:c>
      <x:c r="AA144" s="4" t="str">
        <x:v>https://blog.skyairline.com/cuatro-recomendaciones-para-viajar-con-ninos-sin-contratiempos/</x:v>
      </x:c>
      <x:c r="AB144" s="4" t="str">
        <x:v>Coincidencia URL</x:v>
      </x:c>
      <x:c r="AC144" s="4" t="str">
        <x:v>Publicado hasta septiembre</x:v>
      </x:c>
      <x:c r="AD144" s="4" t="str">
        <x:v>/cuatro-recomendaciones-para-viajar-con-ninos-sin-contratiempos/</x:v>
      </x:c>
      <x:c r="AE144" s="4"/>
      <x:c r="AF144" s="16" t="b">
        <x:v>0</x:v>
      </x:c>
    </x:row>
    <x:row r="145" ht="44" customHeight="1">
      <x:c r="A145" s="4" t="n">
        <x:v>670</x:v>
      </x:c>
      <x:c r="B145" s="4" t="str">
        <x:v>https://blog.skyairline.com/preparativos-para-viajar/</x:v>
      </x:c>
      <x:c r="C145" s="9" t="str">
        <x:v>Preparativos para viajar: 8 cosas que no puedes olvidar</x:v>
      </x:c>
      <x:c r="D145" s="17" t="d">
        <x:v>2026-03-29T00:00:00.000Z</x:v>
      </x:c>
      <x:c r="E145" s="17" t="d">
        <x:v>2026-03-24T00:00:00.000Z</x:v>
      </x:c>
      <x:c r="F145" s="4" t="str">
        <x:v>Planificación de Viaje</x:v>
      </x:c>
      <x:c r="G145" s="11" t="n">
        <x:v>1075</x:v>
      </x:c>
      <x:c r="H145" s="11" t="n">
        <x:v>200</x:v>
      </x:c>
      <x:c r="I145" s="11" t="n">
        <x:v>2</x:v>
      </x:c>
      <x:c r="J145" s="4" t="str">
        <x:v>https://blog.skyairline.com/preparativos-para-viajar/</x:v>
      </x:c>
      <x:c r="K145" s="16" t="b">
        <x:v>0</x:v>
      </x:c>
      <x:c r="L145" s="11" t="n">
        <x:v>0</x:v>
      </x:c>
      <x:c r="M145" s="11" t="n">
        <x:v>0</x:v>
      </x:c>
      <x:c r="N145" s="4"/>
      <x:c r="O145" s="4"/>
      <x:c r="P145" s="11" t="n">
        <x:v>12</x:v>
      </x:c>
      <x:c r="Q145" s="11" t="n">
        <x:v>15</x:v>
      </x:c>
      <x:c r="R145" s="11" t="n">
        <x:f>IF(OR(P145="",Q145=""),"",Q145-P145)</x:f>
        <x:v>3</x:v>
      </x:c>
      <x:c r="S145" s="13" t="n">
        <x:f>IF(OR(P145="",Q145="",P145=0),"",((Q145/30)/(P145/31))-1)</x:f>
        <x:v>0.29166666666666674</x:v>
      </x:c>
      <x:c r="T145" s="11" t="n">
        <x:v>975</x:v>
      </x:c>
      <x:c r="U145" s="11" t="n">
        <x:v>1034</x:v>
      </x:c>
      <x:c r="V145" s="14" t="n">
        <x:v>0.014506769825918761</x:v>
      </x:c>
      <x:c r="W145" s="12" t="n">
        <x:v>7.252417794970986</x:v>
      </x:c>
      <x:c r="X145" s="11" t="n">
        <x:v>19</x:v>
      </x:c>
      <x:c r="Y145" s="11" t="n">
        <x:v>22</x:v>
      </x:c>
      <x:c r="Z145" s="4" t="str">
        <x:v>https://blog.skyairline.com/preparativos-para-viajar/</x:v>
      </x:c>
      <x:c r="AA145" s="4" t="str">
        <x:v>https://blog.skyairline.com/preparativos-para-viajar/</x:v>
      </x:c>
      <x:c r="AB145" s="4" t="str">
        <x:v>Coincidencia URL</x:v>
      </x:c>
      <x:c r="AC145" s="4" t="str">
        <x:v>Publicado hasta septiembre</x:v>
      </x:c>
      <x:c r="AD145" s="4" t="str">
        <x:v>/preparativos-para-viajar/</x:v>
      </x:c>
      <x:c r="AE145" s="4"/>
      <x:c r="AF145" s="16" t="b">
        <x:v>0</x:v>
      </x:c>
    </x:row>
    <x:row r="146" ht="44" customHeight="1">
      <x:c r="A146" s="4" t="n">
        <x:v>926</x:v>
      </x:c>
      <x:c r="B146" s="4" t="str">
        <x:v>https://blog.skyairline.com/a-donde-ir-en-balmaceda/</x:v>
      </x:c>
      <x:c r="C146" s="9" t="str">
        <x:v>¿A dónde ir en Balmaceda para aprovechar al máximo la estadía?</x:v>
      </x:c>
      <x:c r="D146" s="17" t="d">
        <x:v>2021-10-12T00:00:00.000Z</x:v>
      </x:c>
      <x:c r="E146" s="17" t="d">
        <x:v>2021-10-12T00:00:00.000Z</x:v>
      </x:c>
      <x:c r="F146" s="4" t="str">
        <x:v>Destinos</x:v>
      </x:c>
      <x:c r="G146" s="11" t="n">
        <x:v>1025</x:v>
      </x:c>
      <x:c r="H146" s="11" t="n">
        <x:v>200</x:v>
      </x:c>
      <x:c r="I146" s="11" t="n">
        <x:v>1</x:v>
      </x:c>
      <x:c r="J146" s="4" t="str">
        <x:v>https://blog.skyairline.com/a-donde-ir-en-balmaceda/</x:v>
      </x:c>
      <x:c r="K146" s="16" t="b">
        <x:v>0</x:v>
      </x:c>
      <x:c r="L146" s="11" t="n">
        <x:v>0</x:v>
      </x:c>
      <x:c r="M146" s="11" t="n">
        <x:v>0</x:v>
      </x:c>
      <x:c r="N146" s="4"/>
      <x:c r="O146" s="4"/>
      <x:c r="P146" s="11" t="n">
        <x:v>17</x:v>
      </x:c>
      <x:c r="Q146" s="11" t="n">
        <x:v>15</x:v>
      </x:c>
      <x:c r="R146" s="11" t="n">
        <x:f>IF(OR(P146="",Q146=""),"",Q146-P146)</x:f>
        <x:v>-2</x:v>
      </x:c>
      <x:c r="S146" s="13" t="n">
        <x:f>IF(OR(P146="",Q146="",P146=0),"",((Q146/30)/(P146/31))-1)</x:f>
        <x:v>-0.08823529411764697</x:v>
      </x:c>
      <x:c r="T146" s="11" t="n">
        <x:v>2455</x:v>
      </x:c>
      <x:c r="U146" s="11" t="n">
        <x:v>1704</x:v>
      </x:c>
      <x:c r="V146" s="14" t="n">
        <x:v>0.008802816901408451</x:v>
      </x:c>
      <x:c r="W146" s="12" t="n">
        <x:v>10.018779342723004</x:v>
      </x:c>
      <x:c r="X146" s="11" t="n">
        <x:v>28</x:v>
      </x:c>
      <x:c r="Y146" s="11" t="n">
        <x:v>31</x:v>
      </x:c>
      <x:c r="Z146" s="4" t="str">
        <x:v>https://blog.skyairline.com/a-donde-ir-en-balmaceda/</x:v>
      </x:c>
      <x:c r="AA146" s="4" t="str">
        <x:v>https://blog.skyairline.com/a-donde-ir-en-balmaceda/</x:v>
      </x:c>
      <x:c r="AB146" s="4" t="str">
        <x:v>Coincidencia URL</x:v>
      </x:c>
      <x:c r="AC146" s="4" t="str">
        <x:v>Publicado hasta septiembre</x:v>
      </x:c>
      <x:c r="AD146" s="4" t="str">
        <x:v>/a-donde-ir-en-balmaceda/</x:v>
      </x:c>
      <x:c r="AE146" s="4"/>
      <x:c r="AF146" s="16" t="b">
        <x:v>1</x:v>
      </x:c>
    </x:row>
    <x:row r="147" ht="44" customHeight="1">
      <x:c r="A147" s="4" t="n">
        <x:v>1626</x:v>
      </x:c>
      <x:c r="B147" s="4" t="str">
        <x:v>https://blog.skyairline.com/parques-y-atracciones-naturales-de-osorno/</x:v>
      </x:c>
      <x:c r="C147" s="9" t="str">
        <x:v>7 parques y atracciones naturales de Osorno que no te puedes perder</x:v>
      </x:c>
      <x:c r="D147" s="17" t="d">
        <x:v>2026-03-26T00:00:00.000Z</x:v>
      </x:c>
      <x:c r="E147" s="17" t="d">
        <x:v>2026-03-24T00:00:00.000Z</x:v>
      </x:c>
      <x:c r="F147" s="4" t="str">
        <x:v>Cultura</x:v>
      </x:c>
      <x:c r="G147" s="11" t="n">
        <x:v>1108</x:v>
      </x:c>
      <x:c r="H147" s="11" t="n">
        <x:v>200</x:v>
      </x:c>
      <x:c r="I147" s="11" t="n">
        <x:v>1</x:v>
      </x:c>
      <x:c r="J147" s="4" t="str">
        <x:v>https://blog.skyairline.com/parques-y-atracciones-naturales-de-osorno/</x:v>
      </x:c>
      <x:c r="K147" s="16" t="b">
        <x:v>0</x:v>
      </x:c>
      <x:c r="L147" s="11" t="n">
        <x:v>0</x:v>
      </x:c>
      <x:c r="M147" s="11" t="n">
        <x:v>0</x:v>
      </x:c>
      <x:c r="N147" s="4"/>
      <x:c r="O147" s="4"/>
      <x:c r="P147" s="11" t="n">
        <x:v>22</x:v>
      </x:c>
      <x:c r="Q147" s="11" t="n">
        <x:v>15</x:v>
      </x:c>
      <x:c r="R147" s="11" t="n">
        <x:f>IF(OR(P147="",Q147=""),"",Q147-P147)</x:f>
        <x:v>-7</x:v>
      </x:c>
      <x:c r="S147" s="13" t="n">
        <x:f>IF(OR(P147="",Q147="",P147=0),"",((Q147/30)/(P147/31))-1)</x:f>
        <x:v>-0.2954545454545455</x:v>
      </x:c>
      <x:c r="T147" s="11" t="n">
        <x:v>1913</x:v>
      </x:c>
      <x:c r="U147" s="11" t="n">
        <x:v>1689</x:v>
      </x:c>
      <x:c r="V147" s="14" t="n">
        <x:v>0.008880994671403197</x:v>
      </x:c>
      <x:c r="W147" s="12" t="n">
        <x:v>7.559502664298401</x:v>
      </x:c>
      <x:c r="X147" s="11" t="n">
        <x:v>19</x:v>
      </x:c>
      <x:c r="Y147" s="11" t="n">
        <x:v>26</x:v>
      </x:c>
      <x:c r="Z147" s="4" t="str">
        <x:v>https://blog.skyairline.com/parques-y-atracciones-naturales-de-osorno/</x:v>
      </x:c>
      <x:c r="AA147" s="4" t="str">
        <x:v>https://blog.skyairline.com/parques-y-atracciones-naturales-de-osorno/</x:v>
      </x:c>
      <x:c r="AB147" s="4" t="str">
        <x:v>Coincidencia URL</x:v>
      </x:c>
      <x:c r="AC147" s="4" t="str">
        <x:v>Publicado hasta septiembre</x:v>
      </x:c>
      <x:c r="AD147" s="4" t="str">
        <x:v>/parques-y-atracciones-naturales-de-osorno/</x:v>
      </x:c>
      <x:c r="AE147" s="4"/>
      <x:c r="AF147" s="16" t="b">
        <x:v>0</x:v>
      </x:c>
    </x:row>
    <x:row r="148" ht="44" customHeight="1">
      <x:c r="A148" s="4" t="n">
        <x:v>1817</x:v>
      </x:c>
      <x:c r="B148" s="4" t="str">
        <x:v>https://blog.skyairline.com/playas-mas-cercanas-desde-buenos-aires/</x:v>
      </x:c>
      <x:c r="C148" s="9" t="str">
        <x:v>¿Cuáles son las playas más cercanas desde Buenos Aires?</x:v>
      </x:c>
      <x:c r="D148" s="17" t="d">
        <x:v>2022-05-13T00:00:00.000Z</x:v>
      </x:c>
      <x:c r="E148" s="17" t="d">
        <x:v>2022-05-13T00:00:00.000Z</x:v>
      </x:c>
      <x:c r="F148" s="4" t="str">
        <x:v>Destinos</x:v>
      </x:c>
      <x:c r="G148" s="11" t="n">
        <x:v>1065</x:v>
      </x:c>
      <x:c r="H148" s="11" t="n">
        <x:v>200</x:v>
      </x:c>
      <x:c r="I148" s="11" t="n">
        <x:v>1</x:v>
      </x:c>
      <x:c r="J148" s="4" t="str">
        <x:v>https://blog.skyairline.com/playas-mas-cercanas-desde-buenos-aires/</x:v>
      </x:c>
      <x:c r="K148" s="16" t="b">
        <x:v>0</x:v>
      </x:c>
      <x:c r="L148" s="11" t="n">
        <x:v>0</x:v>
      </x:c>
      <x:c r="M148" s="11" t="n">
        <x:v>4</x:v>
      </x:c>
      <x:c r="N148" s="4"/>
      <x:c r="O148" s="4"/>
      <x:c r="P148" s="11" t="n">
        <x:v>13</x:v>
      </x:c>
      <x:c r="Q148" s="11" t="n">
        <x:v>15</x:v>
      </x:c>
      <x:c r="R148" s="11" t="n">
        <x:f>IF(OR(P148="",Q148=""),"",Q148-P148)</x:f>
        <x:v>2</x:v>
      </x:c>
      <x:c r="S148" s="13" t="n">
        <x:f>IF(OR(P148="",Q148="",P148=0),"",((Q148/30)/(P148/31))-1)</x:f>
        <x:v>0.1923076923076923</x:v>
      </x:c>
      <x:c r="T148" s="11" t="n">
        <x:v>3177</x:v>
      </x:c>
      <x:c r="U148" s="11" t="n">
        <x:v>3887</x:v>
      </x:c>
      <x:c r="V148" s="14" t="n">
        <x:v>0.0038590172369436584</x:v>
      </x:c>
      <x:c r="W148" s="12" t="n">
        <x:v>9.137381013635194</x:v>
      </x:c>
      <x:c r="X148" s="11" t="n">
        <x:v>17</x:v>
      </x:c>
      <x:c r="Y148" s="11" t="n">
        <x:v>24</x:v>
      </x:c>
      <x:c r="Z148" s="4" t="str">
        <x:v>https://blog.skyairline.com/playas-mas-cercanas-desde-buenos-aires/</x:v>
      </x:c>
      <x:c r="AA148" s="4" t="str">
        <x:v>https://blog.skyairline.com/playas-mas-cercanas-desde-buenos-aires/</x:v>
      </x:c>
      <x:c r="AB148" s="4" t="str">
        <x:v>Coincidencia URL</x:v>
      </x:c>
      <x:c r="AC148" s="4" t="str">
        <x:v>Publicado hasta septiembre</x:v>
      </x:c>
      <x:c r="AD148" s="4" t="str">
        <x:v>/playas-mas-cercanas-desde-buenos-aires/</x:v>
      </x:c>
      <x:c r="AE148" s="4"/>
      <x:c r="AF148" s="16" t="b">
        <x:v>0</x:v>
      </x:c>
    </x:row>
    <x:row r="149" ht="44" customHeight="1">
      <x:c r="A149" s="4" t="n">
        <x:v>3552</x:v>
      </x:c>
      <x:c r="B149" s="4" t="str">
        <x:v>https://blog.skyairline.com/velocidad-avion/</x:v>
      </x:c>
      <x:c r="C149" s="9" t="str">
        <x:v>Velocidad de un avión: Qué tan rápido es y otros datos que te sorprenderán</x:v>
      </x:c>
      <x:c r="D149" s="17" t="d">
        <x:v>2023-10-23T00:00:00.000Z</x:v>
      </x:c>
      <x:c r="E149" s="17" t="d">
        <x:v>2023-10-23T00:00:00.000Z</x:v>
      </x:c>
      <x:c r="F149" s="4" t="str">
        <x:v>Cultura</x:v>
      </x:c>
      <x:c r="G149" s="11" t="n">
        <x:v>1119</x:v>
      </x:c>
      <x:c r="H149" s="11" t="n">
        <x:v>200</x:v>
      </x:c>
      <x:c r="I149" s="11" t="n">
        <x:v>1</x:v>
      </x:c>
      <x:c r="J149" s="4" t="str">
        <x:v>https://blog.skyairline.com/velocidad-avion/</x:v>
      </x:c>
      <x:c r="K149" s="16" t="b">
        <x:v>0</x:v>
      </x:c>
      <x:c r="L149" s="11" t="n">
        <x:v>0</x:v>
      </x:c>
      <x:c r="M149" s="11" t="n">
        <x:v>4</x:v>
      </x:c>
      <x:c r="N149" s="4"/>
      <x:c r="O149" s="4"/>
      <x:c r="P149" s="11" t="n">
        <x:v>7</x:v>
      </x:c>
      <x:c r="Q149" s="11" t="n">
        <x:v>15</x:v>
      </x:c>
      <x:c r="R149" s="11" t="n">
        <x:f>IF(OR(P149="",Q149=""),"",Q149-P149)</x:f>
        <x:v>8</x:v>
      </x:c>
      <x:c r="S149" s="13" t="n">
        <x:f>IF(OR(P149="",Q149="",P149=0),"",((Q149/30)/(P149/31))-1)</x:f>
        <x:v>1.2142857142857144</x:v>
      </x:c>
      <x:c r="T149" s="11" t="n">
        <x:v>13844</x:v>
      </x:c>
      <x:c r="U149" s="11" t="n">
        <x:v>13452</x:v>
      </x:c>
      <x:c r="V149" s="14" t="n">
        <x:v>0.0011150758251561106</x:v>
      </x:c>
      <x:c r="W149" s="12" t="n">
        <x:v>9.446030330062444</x:v>
      </x:c>
      <x:c r="X149" s="11" t="n">
        <x:v>24</x:v>
      </x:c>
      <x:c r="Y149" s="11" t="n">
        <x:v>28</x:v>
      </x:c>
      <x:c r="Z149" s="4" t="str">
        <x:v>https://blog.skyairline.com/velocidad-avion/</x:v>
      </x:c>
      <x:c r="AA149" s="4" t="str">
        <x:v>https://blog.skyairline.com/velocidad-avion/
https://blog.skyairline.com/velocidad-avion</x:v>
      </x:c>
      <x:c r="AB149" s="4" t="str">
        <x:v>Alias slash agregado</x:v>
      </x:c>
      <x:c r="AC149" s="4" t="str">
        <x:v>Publicado hasta septiembre</x:v>
      </x:c>
      <x:c r="AD149" s="4" t="str">
        <x:v>/velocidad-avion/</x:v>
      </x:c>
      <x:c r="AE149" s="4"/>
      <x:c r="AF149" s="16" t="b">
        <x:v>0</x:v>
      </x:c>
    </x:row>
    <x:row r="150" ht="44" customHeight="1">
      <x:c r="A150" s="4" t="n">
        <x:v>5992</x:v>
      </x:c>
      <x:c r="B150" s="4" t="str">
        <x:v>https://blog.skyairline.com/auroras-boreales-en-chile-se-pueden-ver-en-el-pais/</x:v>
      </x:c>
      <x:c r="C150" s="9" t="str">
        <x:v>Auroras boreales en Chile: ¿se pueden ver en el país?</x:v>
      </x:c>
      <x:c r="D150" s="17" t="d">
        <x:v>2025-07-02T00:00:00.000Z</x:v>
      </x:c>
      <x:c r="E150" s="17" t="d">
        <x:v>2026-01-08T00:00:00.000Z</x:v>
      </x:c>
      <x:c r="F150" s="4" t="str">
        <x:v>Destinos</x:v>
      </x:c>
      <x:c r="G150" s="11" t="n">
        <x:v>1152</x:v>
      </x:c>
      <x:c r="H150" s="11" t="n">
        <x:v>200</x:v>
      </x:c>
      <x:c r="I150" s="11" t="n">
        <x:v>1</x:v>
      </x:c>
      <x:c r="J150" s="4" t="str">
        <x:v>https://blog.skyairline.com/auroras-boreales-en-chile-se-pueden-ver-en-el-pais/</x:v>
      </x:c>
      <x:c r="K150" s="16" t="b">
        <x:v>0</x:v>
      </x:c>
      <x:c r="L150" s="11" t="n">
        <x:v>0</x:v>
      </x:c>
      <x:c r="M150" s="11" t="n">
        <x:v>0</x:v>
      </x:c>
      <x:c r="N150" s="4"/>
      <x:c r="O150" s="4"/>
      <x:c r="P150" s="11" t="n">
        <x:v>13</x:v>
      </x:c>
      <x:c r="Q150" s="11" t="n">
        <x:v>15</x:v>
      </x:c>
      <x:c r="R150" s="11" t="n">
        <x:f>IF(OR(P150="",Q150=""),"",Q150-P150)</x:f>
        <x:v>2</x:v>
      </x:c>
      <x:c r="S150" s="13" t="n">
        <x:f>IF(OR(P150="",Q150="",P150=0),"",((Q150/30)/(P150/31))-1)</x:f>
        <x:v>0.1923076923076923</x:v>
      </x:c>
      <x:c r="T150" s="11" t="n">
        <x:v>1536</x:v>
      </x:c>
      <x:c r="U150" s="11" t="n">
        <x:v>1296</x:v>
      </x:c>
      <x:c r="V150" s="14" t="n">
        <x:v>0.011574074074074073</x:v>
      </x:c>
      <x:c r="W150" s="12" t="n">
        <x:v>7.006172839506172</x:v>
      </x:c>
      <x:c r="X150" s="11" t="n">
        <x:v>18</x:v>
      </x:c>
      <x:c r="Y150" s="11" t="n">
        <x:v>21</x:v>
      </x:c>
      <x:c r="Z150" s="4" t="str">
        <x:v>https://blog.skyairline.com/auroras-boreales-en-chile-se-pueden-ver-en-el-pais/</x:v>
      </x:c>
      <x:c r="AA150" s="4" t="str">
        <x:v>https://blog.skyairline.com/auroras-boreales-en-chile-se-pueden-ver-en-el-pais/</x:v>
      </x:c>
      <x:c r="AB150" s="4" t="str">
        <x:v>Coincidencia URL</x:v>
      </x:c>
      <x:c r="AC150" s="4" t="str">
        <x:v>Publicado hasta septiembre</x:v>
      </x:c>
      <x:c r="AD150" s="4" t="str">
        <x:v>/auroras-boreales-en-chile-se-pueden-ver-en-el-pais/</x:v>
      </x:c>
      <x:c r="AE150" s="4"/>
      <x:c r="AF150" s="16" t="b">
        <x:v>0</x:v>
      </x:c>
    </x:row>
    <x:row r="151" ht="44" customHeight="1">
      <x:c r="A151" s="4" t="n">
        <x:v>6292</x:v>
      </x:c>
      <x:c r="B151" s="4" t="str">
        <x:v>https://blog.skyairline.com/sky-revoluciona-la-aviacion-con-nuevos-uniformes-innovacion-y-confort-a-bordo/</x:v>
      </x:c>
      <x:c r="C151" s="9" t="str">
        <x:v>SKY revoluciona la aviación con nuevos uniformes: innovación y confort a bordo</x:v>
      </x:c>
      <x:c r="D151" s="17" t="d">
        <x:v>2025-07-07T00:00:00.000Z</x:v>
      </x:c>
      <x:c r="E151" s="17" t="d">
        <x:v>2025-07-07T00:00:00.000Z</x:v>
      </x:c>
      <x:c r="F151" s="4" t="str">
        <x:v>Noticias, Sin categoría</x:v>
      </x:c>
      <x:c r="G151" s="11" t="n">
        <x:v>537</x:v>
      </x:c>
      <x:c r="H151" s="11" t="n">
        <x:v>200</x:v>
      </x:c>
      <x:c r="I151" s="11" t="n">
        <x:v>1</x:v>
      </x:c>
      <x:c r="J151" s="4" t="str">
        <x:v>https://blog.skyairline.com/sky-revoluciona-la-aviacion-con-nuevos-uniformes-innovacion-y-confort-a-bordo/</x:v>
      </x:c>
      <x:c r="K151" s="16" t="b">
        <x:v>0</x:v>
      </x:c>
      <x:c r="L151" s="11" t="n">
        <x:v>0</x:v>
      </x:c>
      <x:c r="M151" s="11" t="n">
        <x:v>0</x:v>
      </x:c>
      <x:c r="N151" s="4" t="str">
        <x:v>T06</x:v>
      </x:c>
      <x:c r="O151" s="4"/>
      <x:c r="P151" s="11" t="n">
        <x:v>17</x:v>
      </x:c>
      <x:c r="Q151" s="11" t="n">
        <x:v>15</x:v>
      </x:c>
      <x:c r="R151" s="11" t="n">
        <x:f>IF(OR(P151="",Q151=""),"",Q151-P151)</x:f>
        <x:v>-2</x:v>
      </x:c>
      <x:c r="S151" s="13" t="n">
        <x:f>IF(OR(P151="",Q151="",P151=0),"",((Q151/30)/(P151/31))-1)</x:f>
        <x:v>-0.08823529411764697</x:v>
      </x:c>
      <x:c r="T151" s="11" t="n">
        <x:v>671</x:v>
      </x:c>
      <x:c r="U151" s="11" t="n">
        <x:v>628</x:v>
      </x:c>
      <x:c r="V151" s="14" t="n">
        <x:v>0.02388535031847134</x:v>
      </x:c>
      <x:c r="W151" s="12" t="n">
        <x:v>3.1321656050955413</x:v>
      </x:c>
      <x:c r="X151" s="11" t="n">
        <x:v>17</x:v>
      </x:c>
      <x:c r="Y151" s="11" t="n">
        <x:v>18</x:v>
      </x:c>
      <x:c r="Z151" s="4" t="str">
        <x:v>https://blog.skyairline.com/sky-revoluciona-la-aviacion-con-nuevos-uniformes-innovacion-y-confort-a-bordo/</x:v>
      </x:c>
      <x:c r="AA151" s="4" t="str">
        <x:v>https://blog.skyairline.com/sky-revoluciona-la-aviacion-con-nuevos-uniformes-innovacion-y-confort-a-bordo/</x:v>
      </x:c>
      <x:c r="AB151" s="4" t="str">
        <x:v>Coincidencia URL</x:v>
      </x:c>
      <x:c r="AC151" s="4" t="str">
        <x:v>Publicado hasta septiembre</x:v>
      </x:c>
      <x:c r="AD151" s="4" t="str">
        <x:v>/sky-revoluciona-la-aviacion-con-nuevos-uniformes-innovacion-y-confort-a-bordo/</x:v>
      </x:c>
      <x:c r="AE151" s="4"/>
      <x:c r="AF151" s="16" t="b">
        <x:v>0</x:v>
      </x:c>
    </x:row>
    <x:row r="152" ht="44" customHeight="1">
      <x:c r="A152" s="4" t="n">
        <x:v>7116</x:v>
      </x:c>
      <x:c r="B152" s="4" t="str">
        <x:v>https://blog.skyairline.com/pucon/</x:v>
      </x:c>
      <x:c r="C152" s="9" t="str">
        <x:v>Pucón: qué hacer y cuál es la mejor época para ir</x:v>
      </x:c>
      <x:c r="D152" s="17" t="d">
        <x:v>2025-10-25T00:00:00.000Z</x:v>
      </x:c>
      <x:c r="E152" s="17" t="d">
        <x:v>2025-10-24T00:00:00.000Z</x:v>
      </x:c>
      <x:c r="F152" s="4" t="str">
        <x:v>Destinos</x:v>
      </x:c>
      <x:c r="G152" s="11" t="n">
        <x:v>1069</x:v>
      </x:c>
      <x:c r="H152" s="11" t="n">
        <x:v>200</x:v>
      </x:c>
      <x:c r="I152" s="11" t="n">
        <x:v>1</x:v>
      </x:c>
      <x:c r="J152" s="4" t="str">
        <x:v>https://blog.skyairline.com/pucon/</x:v>
      </x:c>
      <x:c r="K152" s="16" t="b">
        <x:v>0</x:v>
      </x:c>
      <x:c r="L152" s="11" t="n">
        <x:v>0</x:v>
      </x:c>
      <x:c r="M152" s="11" t="n">
        <x:v>4</x:v>
      </x:c>
      <x:c r="N152" s="4"/>
      <x:c r="O152" s="4"/>
      <x:c r="P152" s="11" t="n">
        <x:v>12</x:v>
      </x:c>
      <x:c r="Q152" s="11" t="n">
        <x:v>15</x:v>
      </x:c>
      <x:c r="R152" s="11" t="n">
        <x:f>IF(OR(P152="",Q152=""),"",Q152-P152)</x:f>
        <x:v>3</x:v>
      </x:c>
      <x:c r="S152" s="13" t="n">
        <x:f>IF(OR(P152="",Q152="",P152=0),"",((Q152/30)/(P152/31))-1)</x:f>
        <x:v>0.29166666666666674</x:v>
      </x:c>
      <x:c r="T152" s="11" t="n">
        <x:v>830</x:v>
      </x:c>
      <x:c r="U152" s="11" t="n">
        <x:v>766</x:v>
      </x:c>
      <x:c r="V152" s="14" t="n">
        <x:v>0.0195822454308094</x:v>
      </x:c>
      <x:c r="W152" s="12" t="n">
        <x:v>6.660574412532637</x:v>
      </x:c>
      <x:c r="X152" s="11" t="n">
        <x:v>18</x:v>
      </x:c>
      <x:c r="Y152" s="11" t="n">
        <x:v>22</x:v>
      </x:c>
      <x:c r="Z152" s="4" t="str">
        <x:v>https://blog.skyairline.com/pucon/</x:v>
      </x:c>
      <x:c r="AA152" s="4" t="str">
        <x:v>https://blog.skyairline.com/pucon/</x:v>
      </x:c>
      <x:c r="AB152" s="4" t="str">
        <x:v>Coincidencia URL</x:v>
      </x:c>
      <x:c r="AC152" s="4" t="str">
        <x:v>Publicado hasta septiembre</x:v>
      </x:c>
      <x:c r="AD152" s="4" t="str">
        <x:v>/pucon/</x:v>
      </x:c>
      <x:c r="AE152" s="4"/>
      <x:c r="AF152" s="16" t="b">
        <x:v>0</x:v>
      </x:c>
    </x:row>
    <x:row r="153" ht="44" customHeight="1">
      <x:c r="A153" s="4" t="n">
        <x:v>8753</x:v>
      </x:c>
      <x:c r="B153" s="4" t="str">
        <x:v>https://blog.skyairline.com/barra-da-tijuca/</x:v>
      </x:c>
      <x:c r="C153" s="9" t="str">
        <x:v>Qué hacer y playas recomendadas en Barra da Tijuca</x:v>
      </x:c>
      <x:c r="D153" s="17" t="d">
        <x:v>2026-05-18T00:00:00.000Z</x:v>
      </x:c>
      <x:c r="E153" s="17" t="d">
        <x:v>2026-05-12T00:00:00.000Z</x:v>
      </x:c>
      <x:c r="F153" s="4" t="str">
        <x:v>Destinos</x:v>
      </x:c>
      <x:c r="G153" s="11" t="n">
        <x:v>1052</x:v>
      </x:c>
      <x:c r="H153" s="11" t="n">
        <x:v>200</x:v>
      </x:c>
      <x:c r="I153" s="11" t="n">
        <x:v>1</x:v>
      </x:c>
      <x:c r="J153" s="4" t="str">
        <x:v>https://blog.skyairline.com/barra-da-tijuca/</x:v>
      </x:c>
      <x:c r="K153" s="16" t="b">
        <x:v>0</x:v>
      </x:c>
      <x:c r="L153" s="11" t="n">
        <x:v>0</x:v>
      </x:c>
      <x:c r="M153" s="11" t="n">
        <x:v>0</x:v>
      </x:c>
      <x:c r="N153" s="4"/>
      <x:c r="O153" s="4"/>
      <x:c r="P153" s="11" t="n">
        <x:v>21</x:v>
      </x:c>
      <x:c r="Q153" s="11" t="n">
        <x:v>15</x:v>
      </x:c>
      <x:c r="R153" s="11" t="n">
        <x:f>IF(OR(P153="",Q153=""),"",Q153-P153)</x:f>
        <x:v>-6</x:v>
      </x:c>
      <x:c r="S153" s="13" t="n">
        <x:f>IF(OR(P153="",Q153="",P153=0),"",((Q153/30)/(P153/31))-1)</x:f>
        <x:v>-0.26190476190476186</x:v>
      </x:c>
      <x:c r="T153" s="11" t="n">
        <x:v>5256</x:v>
      </x:c>
      <x:c r="U153" s="11" t="n">
        <x:v>4025</x:v>
      </x:c>
      <x:c r="V153" s="14" t="n">
        <x:v>0.0037267080745341614</x:v>
      </x:c>
      <x:c r="W153" s="12" t="n">
        <x:v>10.088447204968944</x:v>
      </x:c>
      <x:c r="X153" s="11" t="n">
        <x:v>21</x:v>
      </x:c>
      <x:c r="Y153" s="11" t="n">
        <x:v>35</x:v>
      </x:c>
      <x:c r="Z153" s="4" t="str">
        <x:v>https://blog.skyairline.com/barra-da-tijuca/</x:v>
      </x:c>
      <x:c r="AA153" s="4" t="str">
        <x:v>https://blog.skyairline.com/barra-da-tijuca/</x:v>
      </x:c>
      <x:c r="AB153" s="4" t="str">
        <x:v>Coincidencia URL</x:v>
      </x:c>
      <x:c r="AC153" s="4" t="str">
        <x:v>Publicado hasta septiembre</x:v>
      </x:c>
      <x:c r="AD153" s="4" t="str">
        <x:v>/barra-da-tijuca/</x:v>
      </x:c>
      <x:c r="AE153" s="4"/>
      <x:c r="AF153" s="16" t="b">
        <x:v>0</x:v>
      </x:c>
    </x:row>
    <x:row r="154" ht="44" customHeight="1">
      <x:c r="A154" s="4" t="n">
        <x:v>8789</x:v>
      </x:c>
      <x:c r="B154" s="4" t="str">
        <x:v>https://blog.skyairline.com/comidas-tipicas-chilenas/</x:v>
      </x:c>
      <x:c r="C154" s="9" t="str">
        <x:v>Comidas tipicas chilenas: 6 platos con productos del mar</x:v>
      </x:c>
      <x:c r="D154" s="17" t="d">
        <x:v>2026-05-29T00:00:00.000Z</x:v>
      </x:c>
      <x:c r="E154" s="17" t="d">
        <x:v>2026-05-25T00:00:00.000Z</x:v>
      </x:c>
      <x:c r="F154" s="4" t="str">
        <x:v>Cultura</x:v>
      </x:c>
      <x:c r="G154" s="11" t="n">
        <x:v>1024</x:v>
      </x:c>
      <x:c r="H154" s="11" t="n">
        <x:v>200</x:v>
      </x:c>
      <x:c r="I154" s="11" t="n">
        <x:v>1</x:v>
      </x:c>
      <x:c r="J154" s="4" t="str">
        <x:v>https://blog.skyairline.com/comidas-tipicas-chilenas/</x:v>
      </x:c>
      <x:c r="K154" s="16" t="b">
        <x:v>0</x:v>
      </x:c>
      <x:c r="L154" s="11" t="n">
        <x:v>0</x:v>
      </x:c>
      <x:c r="M154" s="11" t="n">
        <x:v>0</x:v>
      </x:c>
      <x:c r="N154" s="4"/>
      <x:c r="O154" s="4"/>
      <x:c r="P154" s="11" t="n">
        <x:v>19</x:v>
      </x:c>
      <x:c r="Q154" s="11" t="n">
        <x:v>15</x:v>
      </x:c>
      <x:c r="R154" s="11" t="n">
        <x:f>IF(OR(P154="",Q154=""),"",Q154-P154)</x:f>
        <x:v>-4</x:v>
      </x:c>
      <x:c r="S154" s="13" t="n">
        <x:f>IF(OR(P154="",Q154="",P154=0),"",((Q154/30)/(P154/31))-1)</x:f>
        <x:v>-0.1842105263157895</x:v>
      </x:c>
      <x:c r="T154" s="11" t="n">
        <x:v>2020</x:v>
      </x:c>
      <x:c r="U154" s="11" t="n">
        <x:v>1875</x:v>
      </x:c>
      <x:c r="V154" s="14" t="n">
        <x:v>0.008</x:v>
      </x:c>
      <x:c r="W154" s="12" t="n">
        <x:v>10.273066666666667</x:v>
      </x:c>
      <x:c r="X154" s="11" t="n">
        <x:v>16</x:v>
      </x:c>
      <x:c r="Y154" s="11" t="n">
        <x:v>19</x:v>
      </x:c>
      <x:c r="Z154" s="4" t="str">
        <x:v>https://blog.skyairline.com/comidas-tipicas-chilenas/</x:v>
      </x:c>
      <x:c r="AA154" s="4" t="str">
        <x:v>https://blog.skyairline.com/comidas-tipicas-chilenas/</x:v>
      </x:c>
      <x:c r="AB154" s="4" t="str">
        <x:v>Coincidencia URL</x:v>
      </x:c>
      <x:c r="AC154" s="4" t="str">
        <x:v>Publicado hasta septiembre</x:v>
      </x:c>
      <x:c r="AD154" s="4" t="str">
        <x:v>/comidas-tipicas-chilenas/</x:v>
      </x:c>
      <x:c r="AE154" s="4"/>
      <x:c r="AF154" s="16" t="b">
        <x:v>0</x:v>
      </x:c>
    </x:row>
    <x:row r="155" ht="44" customHeight="1">
      <x:c r="A155" s="4" t="n">
        <x:v>9413</x:v>
      </x:c>
      <x:c r="B155" s="4" t="str">
        <x:v>https://blog.skyairline.com/viajar-con-ninos-y-bebes-recomendaciones-de-sky-para-un-trayecto-mas-comodo/</x:v>
      </x:c>
      <x:c r="C155" s="9" t="str">
        <x:v>Recomendaciones de SKY para viajar con niños y bebés</x:v>
      </x:c>
      <x:c r="D155" s="17" t="d">
        <x:v>2026-09-28T00:00:00.000Z</x:v>
      </x:c>
      <x:c r="E155" s="17" t="d">
        <x:v>2026-09-28T00:00:00.000Z</x:v>
      </x:c>
      <x:c r="F155" s="4" t="str">
        <x:v>Noticias</x:v>
      </x:c>
      <x:c r="G155" s="11" t="n">
        <x:v>276</x:v>
      </x:c>
      <x:c r="H155" s="11" t="n">
        <x:v>200</x:v>
      </x:c>
      <x:c r="I155" s="11" t="n">
        <x:v>1</x:v>
      </x:c>
      <x:c r="J155" s="4" t="str">
        <x:v>https://blog.skyairline.com/viajar-con-ninos-y-bebes-recomendaciones-de-sky-para-un-trayecto-mas-comodo/</x:v>
      </x:c>
      <x:c r="K155" s="16" t="b">
        <x:v>0</x:v>
      </x:c>
      <x:c r="L155" s="11" t="n">
        <x:v>0</x:v>
      </x:c>
      <x:c r="M155" s="11" t="n">
        <x:v>0</x:v>
      </x:c>
      <x:c r="N155" s="4"/>
      <x:c r="O155" s="4"/>
      <x:c r="P155" s="11"/>
      <x:c r="Q155" s="11" t="n">
        <x:v>15</x:v>
      </x:c>
      <x:c r="R155" s="11" t="str">
        <x:f>IF(OR(P155="",Q155=""),"",Q155-P155)</x:f>
      </x:c>
      <x:c r="S155" s="13" t="str">
        <x:f>IF(OR(P155="",Q155="",P155=0),"",((Q155/30)/(P155/31))-1)</x:f>
      </x:c>
      <x:c r="T155" s="11"/>
      <x:c r="U155" s="11" t="n">
        <x:v>245</x:v>
      </x:c>
      <x:c r="V155" s="14" t="n">
        <x:v>0.061224489795918366</x:v>
      </x:c>
      <x:c r="W155" s="12" t="n">
        <x:v>3.6448979591836737</x:v>
      </x:c>
      <x:c r="X155" s="11" t="n">
        <x:v>19</x:v>
      </x:c>
      <x:c r="Y155" s="11" t="n">
        <x:v>23</x:v>
      </x:c>
      <x:c r="Z155" s="4"/>
      <x:c r="AA155" s="4" t="str">
        <x:v>https://blog.skyairline.com/viajar-con-ninos-y-bebes-recomendaciones-de-sky-para-un-trayecto-mas-comodo/</x:v>
      </x:c>
      <x:c r="AB155" s="4" t="str">
        <x:v>Coincidencia URL</x:v>
      </x:c>
      <x:c r="AC155" s="4" t="str">
        <x:v>Publicado hasta septiembre</x:v>
      </x:c>
      <x:c r="AD155" s="4" t="str">
        <x:v>/viajar-con-ninos-y-bebes-recomendaciones-de-sky-para-un-trayecto-mas-comodo/</x:v>
      </x:c>
      <x:c r="AE155" s="4"/>
      <x:c r="AF155" s="16" t="b">
        <x:v>0</x:v>
      </x:c>
    </x:row>
    <x:row r="156" ht="44" customHeight="1">
      <x:c r="A156" s="4" t="n">
        <x:v>6267</x:v>
      </x:c>
      <x:c r="B156" s="4" t="str">
        <x:v>https://blog.skyairline.com/edificio-mas-alto-de-chile/</x:v>
      </x:c>
      <x:c r="C156" s="9" t="str">
        <x:v>¿Cuál es el edificio más alto de Chile?</x:v>
      </x:c>
      <x:c r="D156" s="17" t="d">
        <x:v>2025-07-01T00:00:00.000Z</x:v>
      </x:c>
      <x:c r="E156" s="17" t="d">
        <x:v>2025-07-01T00:00:00.000Z</x:v>
      </x:c>
      <x:c r="F156" s="4" t="str">
        <x:v>Planificación de Viaje</x:v>
      </x:c>
      <x:c r="G156" s="11" t="n">
        <x:v>1253</x:v>
      </x:c>
      <x:c r="H156" s="11" t="n">
        <x:v>200</x:v>
      </x:c>
      <x:c r="I156" s="11" t="n">
        <x:v>1</x:v>
      </x:c>
      <x:c r="J156" s="4" t="str">
        <x:v>https://blog.skyairline.com/edificio-mas-alto-de-chile/</x:v>
      </x:c>
      <x:c r="K156" s="16" t="b">
        <x:v>0</x:v>
      </x:c>
      <x:c r="L156" s="11" t="n">
        <x:v>0</x:v>
      </x:c>
      <x:c r="M156" s="11" t="n">
        <x:v>5</x:v>
      </x:c>
      <x:c r="N156" s="4"/>
      <x:c r="O156" s="4"/>
      <x:c r="P156" s="11" t="n">
        <x:v>13</x:v>
      </x:c>
      <x:c r="Q156" s="11" t="n">
        <x:v>14</x:v>
      </x:c>
      <x:c r="R156" s="11" t="n">
        <x:f>IF(OR(P156="",Q156=""),"",Q156-P156)</x:f>
        <x:v>1</x:v>
      </x:c>
      <x:c r="S156" s="13" t="n">
        <x:f>IF(OR(P156="",Q156="",P156=0),"",((Q156/30)/(P156/31))-1)</x:f>
        <x:v>0.11282051282051286</x:v>
      </x:c>
      <x:c r="T156" s="11" t="n">
        <x:v>6636</x:v>
      </x:c>
      <x:c r="U156" s="11" t="n">
        <x:v>3861</x:v>
      </x:c>
      <x:c r="V156" s="14" t="n">
        <x:v>0.003626003626003626</x:v>
      </x:c>
      <x:c r="W156" s="12" t="n">
        <x:v>8.109816109816109</x:v>
      </x:c>
      <x:c r="X156" s="11" t="n">
        <x:v>15</x:v>
      </x:c>
      <x:c r="Y156" s="11" t="n">
        <x:v>15</x:v>
      </x:c>
      <x:c r="Z156" s="4" t="str">
        <x:v>https://blog.skyairline.com/edificio-mas-alto-de-chile/</x:v>
      </x:c>
      <x:c r="AA156" s="4" t="str">
        <x:v>https://blog.skyairline.com/edificio-mas-alto-de-chile/</x:v>
      </x:c>
      <x:c r="AB156" s="4" t="str">
        <x:v>Coincidencia URL</x:v>
      </x:c>
      <x:c r="AC156" s="4" t="str">
        <x:v>Publicado hasta septiembre</x:v>
      </x:c>
      <x:c r="AD156" s="4" t="str">
        <x:v>/edificio-mas-alto-de-chile/</x:v>
      </x:c>
      <x:c r="AE156" s="4"/>
      <x:c r="AF156" s="16" t="b">
        <x:v>0</x:v>
      </x:c>
    </x:row>
    <x:row r="157" ht="44" customHeight="1">
      <x:c r="A157" s="4" t="n">
        <x:v>7472</x:v>
      </x:c>
      <x:c r="B157" s="4" t="str">
        <x:v>https://blog.skyairline.com/puerto-montt-a-puerto-varas/</x:v>
      </x:c>
      <x:c r="C157" s="9" t="str">
        <x:v>De Puerto Montt a Puerto Varas una ruta que encanta</x:v>
      </x:c>
      <x:c r="D157" s="17" t="d">
        <x:v>2025-11-04T00:00:00.000Z</x:v>
      </x:c>
      <x:c r="E157" s="17" t="d">
        <x:v>2025-11-03T00:00:00.000Z</x:v>
      </x:c>
      <x:c r="F157" s="4" t="str">
        <x:v>Destinos</x:v>
      </x:c>
      <x:c r="G157" s="11" t="n">
        <x:v>1134</x:v>
      </x:c>
      <x:c r="H157" s="11" t="n">
        <x:v>200</x:v>
      </x:c>
      <x:c r="I157" s="11" t="n">
        <x:v>1</x:v>
      </x:c>
      <x:c r="J157" s="4" t="str">
        <x:v>https://blog.skyairline.com/puerto-montt-a-puerto-varas/</x:v>
      </x:c>
      <x:c r="K157" s="16" t="b">
        <x:v>0</x:v>
      </x:c>
      <x:c r="L157" s="11" t="n">
        <x:v>0</x:v>
      </x:c>
      <x:c r="M157" s="11" t="n">
        <x:v>1</x:v>
      </x:c>
      <x:c r="N157" s="4"/>
      <x:c r="O157" s="4"/>
      <x:c r="P157" s="11" t="n">
        <x:v>14</x:v>
      </x:c>
      <x:c r="Q157" s="11" t="n">
        <x:v>14</x:v>
      </x:c>
      <x:c r="R157" s="11" t="n">
        <x:f>IF(OR(P157="",Q157=""),"",Q157-P157)</x:f>
        <x:v>0</x:v>
      </x:c>
      <x:c r="S157" s="13" t="n">
        <x:f>IF(OR(P157="",Q157="",P157=0),"",((Q157/30)/(P157/31))-1)</x:f>
        <x:v>0.03333333333333344</x:v>
      </x:c>
      <x:c r="T157" s="11" t="n">
        <x:v>4755</x:v>
      </x:c>
      <x:c r="U157" s="11" t="n">
        <x:v>4028</x:v>
      </x:c>
      <x:c r="V157" s="14" t="n">
        <x:v>0.003475670307845084</x:v>
      </x:c>
      <x:c r="W157" s="12" t="n">
        <x:v>6.839374379344588</x:v>
      </x:c>
      <x:c r="X157" s="11" t="n">
        <x:v>11</x:v>
      </x:c>
      <x:c r="Y157" s="11" t="n">
        <x:v>12</x:v>
      </x:c>
      <x:c r="Z157" s="4" t="str">
        <x:v>https://blog.skyairline.com/puerto-montt-a-puerto-varas/</x:v>
      </x:c>
      <x:c r="AA157" s="4" t="str">
        <x:v>https://blog.skyairline.com/puerto-montt-a-puerto-varas/
https://blog.skyairline.com/puerto-montt-a-puerto-varas</x:v>
      </x:c>
      <x:c r="AB157" s="4" t="str">
        <x:v>Alias slash agregado</x:v>
      </x:c>
      <x:c r="AC157" s="4" t="str">
        <x:v>Publicado hasta septiembre</x:v>
      </x:c>
      <x:c r="AD157" s="4" t="str">
        <x:v>/puerto-montt-a-puerto-varas/</x:v>
      </x:c>
      <x:c r="AE157" s="4"/>
      <x:c r="AF157" s="16" t="b">
        <x:v>0</x:v>
      </x:c>
    </x:row>
    <x:row r="158" ht="44" customHeight="1">
      <x:c r="A158" s="4" t="n">
        <x:v>991</x:v>
      </x:c>
      <x:c r="B158" s="4" t="str">
        <x:v>https://blog.skyairline.com/destinos-de-verano/</x:v>
      </x:c>
      <x:c r="C158" s="9" t="str">
        <x:v>Dónde viajar en verano: 12 destinos imperdibles en América del Sur</x:v>
      </x:c>
      <x:c r="D158" s="17" t="d">
        <x:v>2026-07-20T00:00:00.000Z</x:v>
      </x:c>
      <x:c r="E158" s="17" t="d">
        <x:v>2026-07-20T00:00:00.000Z</x:v>
      </x:c>
      <x:c r="F158" s="4" t="str">
        <x:v>Destinos</x:v>
      </x:c>
      <x:c r="G158" s="11" t="n">
        <x:v>2012</x:v>
      </x:c>
      <x:c r="H158" s="11" t="n">
        <x:v>200</x:v>
      </x:c>
      <x:c r="I158" s="11" t="n">
        <x:v>1</x:v>
      </x:c>
      <x:c r="J158" s="4" t="str">
        <x:v>https://blog.skyairline.com/destinos-de-verano/</x:v>
      </x:c>
      <x:c r="K158" s="16" t="b">
        <x:v>0</x:v>
      </x:c>
      <x:c r="L158" s="11" t="n">
        <x:v>0</x:v>
      </x:c>
      <x:c r="M158" s="11" t="n">
        <x:v>0</x:v>
      </x:c>
      <x:c r="N158" s="4"/>
      <x:c r="O158" s="4"/>
      <x:c r="P158" s="11" t="n">
        <x:v>16</x:v>
      </x:c>
      <x:c r="Q158" s="11" t="n">
        <x:v>13</x:v>
      </x:c>
      <x:c r="R158" s="11" t="n">
        <x:f>IF(OR(P158="",Q158=""),"",Q158-P158)</x:f>
        <x:v>-3</x:v>
      </x:c>
      <x:c r="S158" s="13" t="n">
        <x:f>IF(OR(P158="",Q158="",P158=0),"",((Q158/30)/(P158/31))-1)</x:f>
        <x:v>-0.16041666666666665</x:v>
      </x:c>
      <x:c r="T158" s="11" t="n">
        <x:v>12039</x:v>
      </x:c>
      <x:c r="U158" s="11" t="n">
        <x:v>19814</x:v>
      </x:c>
      <x:c r="V158" s="14" t="n">
        <x:v>0.0006561017462400323</x:v>
      </x:c>
      <x:c r="W158" s="12" t="n">
        <x:v>8.157363480367417</x:v>
      </x:c>
      <x:c r="X158" s="11" t="n">
        <x:v>14</x:v>
      </x:c>
      <x:c r="Y158" s="11" t="n">
        <x:v>15</x:v>
      </x:c>
      <x:c r="Z158" s="4" t="str">
        <x:v>https://blog.skyairline.com/destinos-de-verano/</x:v>
      </x:c>
      <x:c r="AA158" s="4" t="str">
        <x:v>https://blog.skyairline.com/destinos-de-verano/</x:v>
      </x:c>
      <x:c r="AB158" s="4" t="str">
        <x:v>Coincidencia URL</x:v>
      </x:c>
      <x:c r="AC158" s="4" t="str">
        <x:v>Publicado hasta septiembre</x:v>
      </x:c>
      <x:c r="AD158" s="4" t="str">
        <x:v>/destinos-de-verano/</x:v>
      </x:c>
      <x:c r="AE158" s="4"/>
      <x:c r="AF158" s="16" t="b">
        <x:v>0</x:v>
      </x:c>
    </x:row>
    <x:row r="159" ht="44" customHeight="1">
      <x:c r="A159" s="4" t="n">
        <x:v>1024</x:v>
      </x:c>
      <x:c r="B159" s="4" t="str">
        <x:v>https://blog.skyairline.com/que-hacer-en-sao-paulo/</x:v>
      </x:c>
      <x:c r="C159" s="9" t="str">
        <x:v>¿Qué hacer en São Paulo? 10 lugares imperdibles de la capital paulista</x:v>
      </x:c>
      <x:c r="D159" s="17" t="d">
        <x:v>2026-07-29T00:00:00.000Z</x:v>
      </x:c>
      <x:c r="E159" s="17" t="d">
        <x:v>2026-07-28T00:00:00.000Z</x:v>
      </x:c>
      <x:c r="F159" s="4" t="str">
        <x:v>Destinos</x:v>
      </x:c>
      <x:c r="G159" s="11" t="n">
        <x:v>981</x:v>
      </x:c>
      <x:c r="H159" s="11" t="n">
        <x:v>200</x:v>
      </x:c>
      <x:c r="I159" s="11" t="n">
        <x:v>1</x:v>
      </x:c>
      <x:c r="J159" s="4" t="str">
        <x:v>https://blog.skyairline.com/que-hacer-en-sao-paulo/</x:v>
      </x:c>
      <x:c r="K159" s="16" t="b">
        <x:v>0</x:v>
      </x:c>
      <x:c r="L159" s="11" t="n">
        <x:v>0</x:v>
      </x:c>
      <x:c r="M159" s="11" t="n">
        <x:v>0</x:v>
      </x:c>
      <x:c r="N159" s="4"/>
      <x:c r="O159" s="4"/>
      <x:c r="P159" s="11" t="n">
        <x:v>23</x:v>
      </x:c>
      <x:c r="Q159" s="11" t="n">
        <x:v>13</x:v>
      </x:c>
      <x:c r="R159" s="11" t="n">
        <x:f>IF(OR(P159="",Q159=""),"",Q159-P159)</x:f>
        <x:v>-10</x:v>
      </x:c>
      <x:c r="S159" s="13" t="n">
        <x:f>IF(OR(P159="",Q159="",P159=0),"",((Q159/30)/(P159/31))-1)</x:f>
        <x:v>-0.41594202898550725</x:v>
      </x:c>
      <x:c r="T159" s="11" t="n">
        <x:v>25440</x:v>
      </x:c>
      <x:c r="U159" s="11" t="n">
        <x:v>10462</x:v>
      </x:c>
      <x:c r="V159" s="14" t="n">
        <x:v>0.0012425922385777097</x:v>
      </x:c>
      <x:c r="W159" s="12" t="n">
        <x:v>9.863792773848212</x:v>
      </x:c>
      <x:c r="X159" s="11" t="n">
        <x:v>14</x:v>
      </x:c>
      <x:c r="Y159" s="11" t="n">
        <x:v>15</x:v>
      </x:c>
      <x:c r="Z159" s="4" t="str">
        <x:v>https://blog.skyairline.com/que-hacer-en-sao-paulo/</x:v>
      </x:c>
      <x:c r="AA159" s="4" t="str">
        <x:v>https://blog.skyairline.com/que-hacer-en-sao-paulo/
https://blog.skyairline.com/que-hacer-en-sao-paulo</x:v>
      </x:c>
      <x:c r="AB159" s="4" t="str">
        <x:v>Alias slash agregado</x:v>
      </x:c>
      <x:c r="AC159" s="4" t="str">
        <x:v>Publicado hasta septiembre</x:v>
      </x:c>
      <x:c r="AD159" s="4" t="str">
        <x:v>/que-hacer-en-sao-paulo/</x:v>
      </x:c>
      <x:c r="AE159" s="4"/>
      <x:c r="AF159" s="16" t="b">
        <x:v>0</x:v>
      </x:c>
    </x:row>
    <x:row r="160" ht="44" customHeight="1">
      <x:c r="A160" s="4" t="n">
        <x:v>2895</x:v>
      </x:c>
      <x:c r="B160" s="4" t="str">
        <x:v>https://blog.skyairline.com/musica-en-chile/</x:v>
      </x:c>
      <x:c r="C160" s="9" t="str">
        <x:v>Música en Chile: ¿cómo es y qué puedes encontrar?</x:v>
      </x:c>
      <x:c r="D160" s="17" t="d">
        <x:v>2023-04-22T00:00:00.000Z</x:v>
      </x:c>
      <x:c r="E160" s="17" t="d">
        <x:v>2023-04-22T00:00:00.000Z</x:v>
      </x:c>
      <x:c r="F160" s="4" t="str">
        <x:v>Cultura</x:v>
      </x:c>
      <x:c r="G160" s="11" t="n">
        <x:v>1033</x:v>
      </x:c>
      <x:c r="H160" s="11" t="n">
        <x:v>200</x:v>
      </x:c>
      <x:c r="I160" s="11" t="n">
        <x:v>1</x:v>
      </x:c>
      <x:c r="J160" s="4" t="str">
        <x:v>https://blog.skyairline.com/musica-en-chile/</x:v>
      </x:c>
      <x:c r="K160" s="16" t="b">
        <x:v>0</x:v>
      </x:c>
      <x:c r="L160" s="11" t="n">
        <x:v>0</x:v>
      </x:c>
      <x:c r="M160" s="11" t="n">
        <x:v>3</x:v>
      </x:c>
      <x:c r="N160" s="4"/>
      <x:c r="O160" s="4"/>
      <x:c r="P160" s="11" t="n">
        <x:v>10</x:v>
      </x:c>
      <x:c r="Q160" s="11" t="n">
        <x:v>13</x:v>
      </x:c>
      <x:c r="R160" s="11" t="n">
        <x:f>IF(OR(P160="",Q160=""),"",Q160-P160)</x:f>
        <x:v>3</x:v>
      </x:c>
      <x:c r="S160" s="13" t="n">
        <x:f>IF(OR(P160="",Q160="",P160=0),"",((Q160/30)/(P160/31))-1)</x:f>
        <x:v>0.3433333333333335</x:v>
      </x:c>
      <x:c r="T160" s="11" t="n">
        <x:v>4052</x:v>
      </x:c>
      <x:c r="U160" s="11" t="n">
        <x:v>3604</x:v>
      </x:c>
      <x:c r="V160" s="14" t="n">
        <x:v>0.003607103218645949</x:v>
      </x:c>
      <x:c r="W160" s="12" t="n">
        <x:v>7.036625971143175</x:v>
      </x:c>
      <x:c r="X160" s="11" t="n">
        <x:v>16</x:v>
      </x:c>
      <x:c r="Y160" s="11" t="n">
        <x:v>17</x:v>
      </x:c>
      <x:c r="Z160" s="4" t="str">
        <x:v>https://blog.skyairline.com/musica-en-chile/</x:v>
      </x:c>
      <x:c r="AA160" s="4" t="str">
        <x:v>https://blog.skyairline.com/musica-en-chile/</x:v>
      </x:c>
      <x:c r="AB160" s="4" t="str">
        <x:v>Coincidencia URL</x:v>
      </x:c>
      <x:c r="AC160" s="4" t="str">
        <x:v>Publicado hasta septiembre</x:v>
      </x:c>
      <x:c r="AD160" s="4" t="str">
        <x:v>/musica-en-chile/</x:v>
      </x:c>
      <x:c r="AE160" s="4"/>
      <x:c r="AF160" s="16" t="b">
        <x:v>0</x:v>
      </x:c>
    </x:row>
    <x:row r="161" ht="44" customHeight="1">
      <x:c r="A161" s="4" t="n">
        <x:v>3298</x:v>
      </x:c>
      <x:c r="B161" s="4" t="str">
        <x:v>https://blog.skyairline.com/playas-para-ir-con-ninos/</x:v>
      </x:c>
      <x:c r="C161" s="9" t="str">
        <x:v>5 playas de Miami para ir con niños</x:v>
      </x:c>
      <x:c r="D161" s="17" t="d">
        <x:v>2026-07-24T00:00:00.000Z</x:v>
      </x:c>
      <x:c r="E161" s="17" t="d">
        <x:v>2026-07-22T00:00:00.000Z</x:v>
      </x:c>
      <x:c r="F161" s="4" t="str">
        <x:v>Destinos</x:v>
      </x:c>
      <x:c r="G161" s="11" t="n">
        <x:v>993</x:v>
      </x:c>
      <x:c r="H161" s="11" t="n">
        <x:v>200</x:v>
      </x:c>
      <x:c r="I161" s="11" t="n">
        <x:v>1</x:v>
      </x:c>
      <x:c r="J161" s="4" t="str">
        <x:v>https://blog.skyairline.com/playas-para-ir-con-ninos/</x:v>
      </x:c>
      <x:c r="K161" s="16" t="b">
        <x:v>0</x:v>
      </x:c>
      <x:c r="L161" s="11" t="n">
        <x:v>0</x:v>
      </x:c>
      <x:c r="M161" s="11" t="n">
        <x:v>0</x:v>
      </x:c>
      <x:c r="N161" s="4"/>
      <x:c r="O161" s="4"/>
      <x:c r="P161" s="11" t="n">
        <x:v>30</x:v>
      </x:c>
      <x:c r="Q161" s="11" t="n">
        <x:v>13</x:v>
      </x:c>
      <x:c r="R161" s="11" t="n">
        <x:f>IF(OR(P161="",Q161=""),"",Q161-P161)</x:f>
        <x:v>-17</x:v>
      </x:c>
      <x:c r="S161" s="13" t="n">
        <x:f>IF(OR(P161="",Q161="",P161=0),"",((Q161/30)/(P161/31))-1)</x:f>
        <x:v>-0.5522222222222222</x:v>
      </x:c>
      <x:c r="T161" s="11" t="n">
        <x:v>1208</x:v>
      </x:c>
      <x:c r="U161" s="11" t="n">
        <x:v>493</x:v>
      </x:c>
      <x:c r="V161" s="14" t="n">
        <x:v>0.02636916835699797</x:v>
      </x:c>
      <x:c r="W161" s="12" t="n">
        <x:v>7.724137931034483</x:v>
      </x:c>
      <x:c r="X161" s="11" t="n">
        <x:v>18</x:v>
      </x:c>
      <x:c r="Y161" s="11" t="n">
        <x:v>21</x:v>
      </x:c>
      <x:c r="Z161" s="4" t="str">
        <x:v>https://blog.skyairline.com/playas-para-ir-con-ninos/</x:v>
      </x:c>
      <x:c r="AA161" s="4" t="str">
        <x:v>https://blog.skyairline.com/playas-para-ir-con-ninos/</x:v>
      </x:c>
      <x:c r="AB161" s="4" t="str">
        <x:v>Coincidencia URL</x:v>
      </x:c>
      <x:c r="AC161" s="4" t="str">
        <x:v>Publicado hasta septiembre</x:v>
      </x:c>
      <x:c r="AD161" s="4" t="str">
        <x:v>/playas-para-ir-con-ninos/</x:v>
      </x:c>
      <x:c r="AE161" s="4"/>
      <x:c r="AF161" s="16" t="b">
        <x:v>0</x:v>
      </x:c>
    </x:row>
    <x:row r="162" ht="44" customHeight="1">
      <x:c r="A162" s="4" t="n">
        <x:v>5166</x:v>
      </x:c>
      <x:c r="B162" s="4" t="str">
        <x:v>https://blog.skyairline.com/requisitos-para-entrar-a-chile/</x:v>
      </x:c>
      <x:c r="C162" s="9" t="str">
        <x:v>Guía de viajero: requisitos para entrar a Chile</x:v>
      </x:c>
      <x:c r="D162" s="17" t="d">
        <x:v>2024-10-19T00:00:00.000Z</x:v>
      </x:c>
      <x:c r="E162" s="17" t="d">
        <x:v>2024-10-19T00:00:00.000Z</x:v>
      </x:c>
      <x:c r="F162" s="4" t="str">
        <x:v>Planificación de Viaje</x:v>
      </x:c>
      <x:c r="G162" s="11" t="n">
        <x:v>1175</x:v>
      </x:c>
      <x:c r="H162" s="11" t="n">
        <x:v>200</x:v>
      </x:c>
      <x:c r="I162" s="11" t="n">
        <x:v>1</x:v>
      </x:c>
      <x:c r="J162" s="4" t="str">
        <x:v>https://blog.skyairline.com/requisitos-para-entrar-a-chile/</x:v>
      </x:c>
      <x:c r="K162" s="16" t="b">
        <x:v>0</x:v>
      </x:c>
      <x:c r="L162" s="11" t="n">
        <x:v>0</x:v>
      </x:c>
      <x:c r="M162" s="11" t="n">
        <x:v>3</x:v>
      </x:c>
      <x:c r="N162" s="4"/>
      <x:c r="O162" s="4"/>
      <x:c r="P162" s="11" t="n">
        <x:v>4</x:v>
      </x:c>
      <x:c r="Q162" s="11" t="n">
        <x:v>13</x:v>
      </x:c>
      <x:c r="R162" s="11" t="n">
        <x:f>IF(OR(P162="",Q162=""),"",Q162-P162)</x:f>
        <x:v>9</x:v>
      </x:c>
      <x:c r="S162" s="13" t="n">
        <x:f>IF(OR(P162="",Q162="",P162=0),"",((Q162/30)/(P162/31))-1)</x:f>
        <x:v>2.3583333333333334</x:v>
      </x:c>
      <x:c r="T162" s="11" t="n">
        <x:v>1009</x:v>
      </x:c>
      <x:c r="U162" s="11" t="n">
        <x:v>860</x:v>
      </x:c>
      <x:c r="V162" s="14" t="n">
        <x:v>0.015116279069767442</x:v>
      </x:c>
      <x:c r="W162" s="12" t="n">
        <x:v>6.976744186046512</x:v>
      </x:c>
      <x:c r="X162" s="11" t="n">
        <x:v>16</x:v>
      </x:c>
      <x:c r="Y162" s="11" t="n">
        <x:v>21</x:v>
      </x:c>
      <x:c r="Z162" s="4" t="str">
        <x:v>https://blog.skyairline.com/requisitos-para-entrar-a-chile/</x:v>
      </x:c>
      <x:c r="AA162" s="4" t="str">
        <x:v>https://blog.skyairline.com/requisitos-para-entrar-a-chile/
https://blog.skyairline.com/requisitos-para-entrar-a-chile</x:v>
      </x:c>
      <x:c r="AB162" s="4" t="str">
        <x:v>Alias slash agregado</x:v>
      </x:c>
      <x:c r="AC162" s="4" t="str">
        <x:v>Publicado hasta septiembre</x:v>
      </x:c>
      <x:c r="AD162" s="4" t="str">
        <x:v>/requisitos-para-entrar-a-chile/</x:v>
      </x:c>
      <x:c r="AE162" s="4"/>
      <x:c r="AF162" s="16" t="b">
        <x:v>0</x:v>
      </x:c>
    </x:row>
    <x:row r="163" ht="44" customHeight="1">
      <x:c r="A163" s="4" t="n">
        <x:v>6051</x:v>
      </x:c>
      <x:c r="B163" s="4" t="str">
        <x:v>https://blog.skyairline.com/zona-centro-sur-de-chile-geografia-clima-y-turismo/</x:v>
      </x:c>
      <x:c r="C163" s="9" t="str">
        <x:v>Zona centro sur de Chile: geografía, clima y turismo</x:v>
      </x:c>
      <x:c r="D163" s="17" t="d">
        <x:v>2025-05-19T00:00:00.000Z</x:v>
      </x:c>
      <x:c r="E163" s="17" t="d">
        <x:v>2025-05-19T00:00:00.000Z</x:v>
      </x:c>
      <x:c r="F163" s="4" t="str">
        <x:v>Planificación de Viaje</x:v>
      </x:c>
      <x:c r="G163" s="11" t="n">
        <x:v>1081</x:v>
      </x:c>
      <x:c r="H163" s="11" t="n">
        <x:v>200</x:v>
      </x:c>
      <x:c r="I163" s="11" t="n">
        <x:v>1</x:v>
      </x:c>
      <x:c r="J163" s="4" t="str">
        <x:v>https://blog.skyairline.com/zona-centro-sur-de-chile-geografia-clima-y-turismo/</x:v>
      </x:c>
      <x:c r="K163" s="16" t="b">
        <x:v>0</x:v>
      </x:c>
      <x:c r="L163" s="11" t="n">
        <x:v>0</x:v>
      </x:c>
      <x:c r="M163" s="11" t="n">
        <x:v>0</x:v>
      </x:c>
      <x:c r="N163" s="4"/>
      <x:c r="O163" s="4"/>
      <x:c r="P163" s="11" t="n">
        <x:v>32</x:v>
      </x:c>
      <x:c r="Q163" s="11" t="n">
        <x:v>13</x:v>
      </x:c>
      <x:c r="R163" s="11" t="n">
        <x:f>IF(OR(P163="",Q163=""),"",Q163-P163)</x:f>
        <x:v>-19</x:v>
      </x:c>
      <x:c r="S163" s="13" t="n">
        <x:f>IF(OR(P163="",Q163="",P163=0),"",((Q163/30)/(P163/31))-1)</x:f>
        <x:v>-0.5802083333333333</x:v>
      </x:c>
      <x:c r="T163" s="11" t="n">
        <x:v>5691</x:v>
      </x:c>
      <x:c r="U163" s="11" t="n">
        <x:v>2948</x:v>
      </x:c>
      <x:c r="V163" s="14" t="n">
        <x:v>0.004409769335142469</x:v>
      </x:c>
      <x:c r="W163" s="12" t="n">
        <x:v>6.935888738127544</x:v>
      </x:c>
      <x:c r="X163" s="11" t="n">
        <x:v>20</x:v>
      </x:c>
      <x:c r="Y163" s="11" t="n">
        <x:v>20</x:v>
      </x:c>
      <x:c r="Z163" s="4" t="str">
        <x:v>https://blog.skyairline.com/zona-centro-sur-de-chile-geografia-clima-y-turismo/</x:v>
      </x:c>
      <x:c r="AA163" s="4" t="str">
        <x:v>https://blog.skyairline.com/zona-centro-sur-de-chile-geografia-clima-y-turismo/</x:v>
      </x:c>
      <x:c r="AB163" s="4" t="str">
        <x:v>Coincidencia URL</x:v>
      </x:c>
      <x:c r="AC163" s="4" t="str">
        <x:v>Publicado hasta septiembre</x:v>
      </x:c>
      <x:c r="AD163" s="4" t="str">
        <x:v>/zona-centro-sur-de-chile-geografia-clima-y-turismo/</x:v>
      </x:c>
      <x:c r="AE163" s="4"/>
      <x:c r="AF163" s="16" t="b">
        <x:v>0</x:v>
      </x:c>
    </x:row>
    <x:row r="164" ht="44" customHeight="1">
      <x:c r="A164" s="4" t="n">
        <x:v>6203</x:v>
      </x:c>
      <x:c r="B164" s="4" t="str">
        <x:v>https://blog.skyairline.com/outfit-para-viajar-en-avion/</x:v>
      </x:c>
      <x:c r="C164" s="9" t="str">
        <x:v>Outfit para viajar en avión: consejos para estar cómodo en tu vuelo</x:v>
      </x:c>
      <x:c r="D164" s="17" t="d">
        <x:v>2025-06-12T00:00:00.000Z</x:v>
      </x:c>
      <x:c r="E164" s="17" t="d">
        <x:v>2025-06-12T00:00:00.000Z</x:v>
      </x:c>
      <x:c r="F164" s="4" t="str">
        <x:v>Planificación de Viaje</x:v>
      </x:c>
      <x:c r="G164" s="11" t="n">
        <x:v>949</x:v>
      </x:c>
      <x:c r="H164" s="11" t="n">
        <x:v>200</x:v>
      </x:c>
      <x:c r="I164" s="11" t="n">
        <x:v>1</x:v>
      </x:c>
      <x:c r="J164" s="4" t="str">
        <x:v>https://blog.skyairline.com/outfit-para-viajar-en-avion/</x:v>
      </x:c>
      <x:c r="K164" s="16" t="b">
        <x:v>0</x:v>
      </x:c>
      <x:c r="L164" s="11" t="n">
        <x:v>0</x:v>
      </x:c>
      <x:c r="M164" s="11" t="n">
        <x:v>0</x:v>
      </x:c>
      <x:c r="N164" s="4"/>
      <x:c r="O164" s="4"/>
      <x:c r="P164" s="11" t="n">
        <x:v>15</x:v>
      </x:c>
      <x:c r="Q164" s="11" t="n">
        <x:v>13</x:v>
      </x:c>
      <x:c r="R164" s="11" t="n">
        <x:f>IF(OR(P164="",Q164=""),"",Q164-P164)</x:f>
        <x:v>-2</x:v>
      </x:c>
      <x:c r="S164" s="13" t="n">
        <x:f>IF(OR(P164="",Q164="",P164=0),"",((Q164/30)/(P164/31))-1)</x:f>
        <x:v>-0.10444444444444445</x:v>
      </x:c>
      <x:c r="T164" s="11" t="n">
        <x:v>1344</x:v>
      </x:c>
      <x:c r="U164" s="11" t="n">
        <x:v>1260</x:v>
      </x:c>
      <x:c r="V164" s="14" t="n">
        <x:v>0.010317460317460317</x:v>
      </x:c>
      <x:c r="W164" s="12" t="n">
        <x:v>11.398412698412699</x:v>
      </x:c>
      <x:c r="X164" s="11" t="n">
        <x:v>13</x:v>
      </x:c>
      <x:c r="Y164" s="11" t="n">
        <x:v>17</x:v>
      </x:c>
      <x:c r="Z164" s="4" t="str">
        <x:v>https://blog.skyairline.com/outfit-para-viajar-en-avion/</x:v>
      </x:c>
      <x:c r="AA164" s="4" t="str">
        <x:v>https://blog.skyairline.com/outfit-para-viajar-en-avion/</x:v>
      </x:c>
      <x:c r="AB164" s="4" t="str">
        <x:v>Coincidencia URL</x:v>
      </x:c>
      <x:c r="AC164" s="4" t="str">
        <x:v>Publicado hasta septiembre</x:v>
      </x:c>
      <x:c r="AD164" s="4" t="str">
        <x:v>/outfit-para-viajar-en-avion/</x:v>
      </x:c>
      <x:c r="AE164" s="4"/>
      <x:c r="AF164" s="16" t="b">
        <x:v>0</x:v>
      </x:c>
    </x:row>
    <x:row r="165" ht="44" customHeight="1">
      <x:c r="A165" s="4" t="n">
        <x:v>6556</x:v>
      </x:c>
      <x:c r="B165" s="4" t="str">
        <x:v>https://blog.skyairline.com/ropa-para-viajar-en-avion/</x:v>
      </x:c>
      <x:c r="C165" s="9" t="str">
        <x:v>Tips sobre ropa para viajar en avión cómodamente</x:v>
      </x:c>
      <x:c r="D165" s="17" t="d">
        <x:v>2025-09-11T00:00:00.000Z</x:v>
      </x:c>
      <x:c r="E165" s="17" t="d">
        <x:v>2026-03-09T00:00:00.000Z</x:v>
      </x:c>
      <x:c r="F165" s="4" t="str">
        <x:v>Planificación de Viaje</x:v>
      </x:c>
      <x:c r="G165" s="11" t="n">
        <x:v>938</x:v>
      </x:c>
      <x:c r="H165" s="11" t="n">
        <x:v>200</x:v>
      </x:c>
      <x:c r="I165" s="11" t="n">
        <x:v>1</x:v>
      </x:c>
      <x:c r="J165" s="4" t="str">
        <x:v>https://blog.skyairline.com/ropa-para-viajar-en-avion/</x:v>
      </x:c>
      <x:c r="K165" s="16" t="b">
        <x:v>0</x:v>
      </x:c>
      <x:c r="L165" s="11" t="n">
        <x:v>0</x:v>
      </x:c>
      <x:c r="M165" s="11" t="n">
        <x:v>3</x:v>
      </x:c>
      <x:c r="N165" s="4"/>
      <x:c r="O165" s="4"/>
      <x:c r="P165" s="11" t="n">
        <x:v>19</x:v>
      </x:c>
      <x:c r="Q165" s="11" t="n">
        <x:v>13</x:v>
      </x:c>
      <x:c r="R165" s="11" t="n">
        <x:f>IF(OR(P165="",Q165=""),"",Q165-P165)</x:f>
        <x:v>-6</x:v>
      </x:c>
      <x:c r="S165" s="13" t="n">
        <x:f>IF(OR(P165="",Q165="",P165=0),"",((Q165/30)/(P165/31))-1)</x:f>
        <x:v>-0.2929824561403509</x:v>
      </x:c>
      <x:c r="T165" s="11" t="n">
        <x:v>1045</x:v>
      </x:c>
      <x:c r="U165" s="11" t="n">
        <x:v>469</x:v>
      </x:c>
      <x:c r="V165" s="14" t="n">
        <x:v>0.02771855010660981</x:v>
      </x:c>
      <x:c r="W165" s="12" t="n">
        <x:v>6.560767590618337</x:v>
      </x:c>
      <x:c r="X165" s="11" t="n">
        <x:v>22</x:v>
      </x:c>
      <x:c r="Y165" s="11" t="n">
        <x:v>28</x:v>
      </x:c>
      <x:c r="Z165" s="4" t="str">
        <x:v>https://blog.skyairline.com/ropa-para-viajar-en-avion/</x:v>
      </x:c>
      <x:c r="AA165" s="4" t="str">
        <x:v>https://blog.skyairline.com/ropa-para-viajar-en-avion/</x:v>
      </x:c>
      <x:c r="AB165" s="4" t="str">
        <x:v>Coincidencia URL</x:v>
      </x:c>
      <x:c r="AC165" s="4" t="str">
        <x:v>Publicado hasta septiembre</x:v>
      </x:c>
      <x:c r="AD165" s="4" t="str">
        <x:v>/ropa-para-viajar-en-avion/</x:v>
      </x:c>
      <x:c r="AE165" s="4"/>
      <x:c r="AF165" s="16" t="b">
        <x:v>0</x:v>
      </x:c>
    </x:row>
    <x:row r="166" ht="44" customHeight="1">
      <x:c r="A166" s="4" t="n">
        <x:v>6560</x:v>
      </x:c>
      <x:c r="B166" s="4" t="str">
        <x:v>https://blog.skyairline.com/retiros-espirituales/</x:v>
      </x:c>
      <x:c r="C166" s="9" t="str">
        <x:v>Los mejores retiros espirituales para desconectarte y recargar</x:v>
      </x:c>
      <x:c r="D166" s="17" t="d">
        <x:v>2025-09-12T00:00:00.000Z</x:v>
      </x:c>
      <x:c r="E166" s="17" t="d">
        <x:v>2025-09-12T00:00:00.000Z</x:v>
      </x:c>
      <x:c r="F166" s="4" t="str">
        <x:v>Planificación de Viaje</x:v>
      </x:c>
      <x:c r="G166" s="11" t="n">
        <x:v>1154</x:v>
      </x:c>
      <x:c r="H166" s="11" t="n">
        <x:v>200</x:v>
      </x:c>
      <x:c r="I166" s="11" t="n">
        <x:v>1</x:v>
      </x:c>
      <x:c r="J166" s="4" t="str">
        <x:v>https://blog.skyairline.com/retiros-espirituales/</x:v>
      </x:c>
      <x:c r="K166" s="16" t="b">
        <x:v>0</x:v>
      </x:c>
      <x:c r="L166" s="11" t="n">
        <x:v>0</x:v>
      </x:c>
      <x:c r="M166" s="11" t="n">
        <x:v>3</x:v>
      </x:c>
      <x:c r="N166" s="4"/>
      <x:c r="O166" s="4"/>
      <x:c r="P166" s="11" t="n">
        <x:v>12</x:v>
      </x:c>
      <x:c r="Q166" s="11" t="n">
        <x:v>13</x:v>
      </x:c>
      <x:c r="R166" s="11" t="n">
        <x:f>IF(OR(P166="",Q166=""),"",Q166-P166)</x:f>
        <x:v>1</x:v>
      </x:c>
      <x:c r="S166" s="13" t="n">
        <x:f>IF(OR(P166="",Q166="",P166=0),"",((Q166/30)/(P166/31))-1)</x:f>
        <x:v>0.11944444444444446</x:v>
      </x:c>
      <x:c r="T166" s="11" t="n">
        <x:v>1334</x:v>
      </x:c>
      <x:c r="U166" s="11" t="n">
        <x:v>949</x:v>
      </x:c>
      <x:c r="V166" s="14" t="n">
        <x:v>0.0136986301369863</x:v>
      </x:c>
      <x:c r="W166" s="12" t="n">
        <x:v>21.375131717597473</x:v>
      </x:c>
      <x:c r="X166" s="11" t="n">
        <x:v>17</x:v>
      </x:c>
      <x:c r="Y166" s="11" t="n">
        <x:v>16</x:v>
      </x:c>
      <x:c r="Z166" s="4" t="str">
        <x:v>https://blog.skyairline.com/retiros-espirituales/</x:v>
      </x:c>
      <x:c r="AA166" s="4" t="str">
        <x:v>https://blog.skyairline.com/retiros-espirituales/</x:v>
      </x:c>
      <x:c r="AB166" s="4" t="str">
        <x:v>Coincidencia URL</x:v>
      </x:c>
      <x:c r="AC166" s="4" t="str">
        <x:v>Publicado hasta septiembre</x:v>
      </x:c>
      <x:c r="AD166" s="4" t="str">
        <x:v>/retiros-espirituales/</x:v>
      </x:c>
      <x:c r="AE166" s="4"/>
      <x:c r="AF166" s="16" t="b">
        <x:v>0</x:v>
      </x:c>
    </x:row>
    <x:row r="167" ht="44" customHeight="1">
      <x:c r="A167" s="4" t="n">
        <x:v>8981</x:v>
      </x:c>
      <x:c r="B167" s="4" t="str">
        <x:v>https://blog.skyairline.com/viaje-a-uruguay/</x:v>
      </x:c>
      <x:c r="C167" s="9" t="str">
        <x:v>Viaje a Uruguay: itinerario de 3 dias</x:v>
      </x:c>
      <x:c r="D167" s="17" t="d">
        <x:v>2026-07-03T00:00:00.000Z</x:v>
      </x:c>
      <x:c r="E167" s="17" t="d">
        <x:v>2026-07-03T00:00:00.000Z</x:v>
      </x:c>
      <x:c r="F167" s="4" t="str">
        <x:v>Planificación de Viaje</x:v>
      </x:c>
      <x:c r="G167" s="11" t="n">
        <x:v>1093</x:v>
      </x:c>
      <x:c r="H167" s="11" t="n">
        <x:v>200</x:v>
      </x:c>
      <x:c r="I167" s="11" t="n">
        <x:v>1</x:v>
      </x:c>
      <x:c r="J167" s="4" t="str">
        <x:v>https://blog.skyairline.com/viaje-a-uruguay/</x:v>
      </x:c>
      <x:c r="K167" s="16" t="b">
        <x:v>0</x:v>
      </x:c>
      <x:c r="L167" s="11" t="n">
        <x:v>0</x:v>
      </x:c>
      <x:c r="M167" s="11" t="n">
        <x:v>0</x:v>
      </x:c>
      <x:c r="N167" s="4"/>
      <x:c r="O167" s="4"/>
      <x:c r="P167" s="11" t="n">
        <x:v>8</x:v>
      </x:c>
      <x:c r="Q167" s="11" t="n">
        <x:v>13</x:v>
      </x:c>
      <x:c r="R167" s="11" t="n">
        <x:f>IF(OR(P167="",Q167=""),"",Q167-P167)</x:f>
        <x:v>5</x:v>
      </x:c>
      <x:c r="S167" s="13" t="n">
        <x:f>IF(OR(P167="",Q167="",P167=0),"",((Q167/30)/(P167/31))-1)</x:f>
        <x:v>0.6791666666666667</x:v>
      </x:c>
      <x:c r="T167" s="11" t="n">
        <x:v>186</x:v>
      </x:c>
      <x:c r="U167" s="11" t="n">
        <x:v>272</x:v>
      </x:c>
      <x:c r="V167" s="14" t="n">
        <x:v>0.04779411764705882</x:v>
      </x:c>
      <x:c r="W167" s="12" t="n">
        <x:v>6.360294117647059</x:v>
      </x:c>
      <x:c r="X167" s="11" t="n">
        <x:v>15</x:v>
      </x:c>
      <x:c r="Y167" s="11" t="n">
        <x:v>17</x:v>
      </x:c>
      <x:c r="Z167" s="4" t="str">
        <x:v>https://blog.skyairline.com/viaje-a-uruguay/</x:v>
      </x:c>
      <x:c r="AA167" s="4" t="str">
        <x:v>https://blog.skyairline.com/viaje-a-uruguay/</x:v>
      </x:c>
      <x:c r="AB167" s="4" t="str">
        <x:v>Coincidencia URL</x:v>
      </x:c>
      <x:c r="AC167" s="4" t="str">
        <x:v>Publicado hasta septiembre</x:v>
      </x:c>
      <x:c r="AD167" s="4" t="str">
        <x:v>/viaje-a-uruguay/</x:v>
      </x:c>
      <x:c r="AE167" s="4"/>
      <x:c r="AF167" s="16" t="b">
        <x:v>0</x:v>
      </x:c>
    </x:row>
    <x:row r="168" ht="44" customHeight="1">
      <x:c r="A168" s="4" t="n">
        <x:v>1769</x:v>
      </x:c>
      <x:c r="B168" s="4" t="str">
        <x:v>https://blog.skyairline.com/check-in-en-linea/</x:v>
      </x:c>
      <x:c r="C168" s="9" t="str">
        <x:v>Check-in en línea: ¿Realmente funciona?</x:v>
      </x:c>
      <x:c r="D168" s="17" t="d">
        <x:v>2022-05-02T00:00:00.000Z</x:v>
      </x:c>
      <x:c r="E168" s="17" t="d">
        <x:v>2022-05-02T00:00:00.000Z</x:v>
      </x:c>
      <x:c r="F168" s="4" t="str">
        <x:v>Planificación de Viaje</x:v>
      </x:c>
      <x:c r="G168" s="11" t="n">
        <x:v>1042</x:v>
      </x:c>
      <x:c r="H168" s="11" t="n">
        <x:v>200</x:v>
      </x:c>
      <x:c r="I168" s="11" t="n">
        <x:v>1</x:v>
      </x:c>
      <x:c r="J168" s="4" t="str">
        <x:v>https://blog.skyairline.com/check-in-en-linea/</x:v>
      </x:c>
      <x:c r="K168" s="16" t="b">
        <x:v>0</x:v>
      </x:c>
      <x:c r="L168" s="11" t="n">
        <x:v>0</x:v>
      </x:c>
      <x:c r="M168" s="11" t="n">
        <x:v>4</x:v>
      </x:c>
      <x:c r="N168" s="4"/>
      <x:c r="O168" s="4"/>
      <x:c r="P168" s="11" t="n">
        <x:v>4</x:v>
      </x:c>
      <x:c r="Q168" s="11" t="n">
        <x:v>12</x:v>
      </x:c>
      <x:c r="R168" s="11" t="n">
        <x:f>IF(OR(P168="",Q168=""),"",Q168-P168)</x:f>
        <x:v>8</x:v>
      </x:c>
      <x:c r="S168" s="13" t="n">
        <x:f>IF(OR(P168="",Q168="",P168=0),"",((Q168/30)/(P168/31))-1)</x:f>
        <x:v>2.1</x:v>
      </x:c>
      <x:c r="T168" s="11" t="n">
        <x:v>2017</x:v>
      </x:c>
      <x:c r="U168" s="11" t="n">
        <x:v>4055</x:v>
      </x:c>
      <x:c r="V168" s="14" t="n">
        <x:v>0.002959309494451295</x:v>
      </x:c>
      <x:c r="W168" s="12" t="n">
        <x:v>7.888286066584463</x:v>
      </x:c>
      <x:c r="X168" s="11" t="n">
        <x:v>22</x:v>
      </x:c>
      <x:c r="Y168" s="11" t="n">
        <x:v>25</x:v>
      </x:c>
      <x:c r="Z168" s="4" t="str">
        <x:v>https://blog.skyairline.com/check-in-en-linea/</x:v>
      </x:c>
      <x:c r="AA168" s="4" t="str">
        <x:v>https://blog.skyairline.com/check-in-en-linea/</x:v>
      </x:c>
      <x:c r="AB168" s="4" t="str">
        <x:v>Coincidencia URL</x:v>
      </x:c>
      <x:c r="AC168" s="4" t="str">
        <x:v>Publicado hasta septiembre</x:v>
      </x:c>
      <x:c r="AD168" s="4" t="str">
        <x:v>/check-in-en-linea/</x:v>
      </x:c>
      <x:c r="AE168" s="4"/>
      <x:c r="AF168" s="16" t="b">
        <x:v>0</x:v>
      </x:c>
    </x:row>
    <x:row r="169" ht="44" customHeight="1">
      <x:c r="A169" s="4" t="n">
        <x:v>2411</x:v>
      </x:c>
      <x:c r="B169" s="4" t="str">
        <x:v>https://blog.skyairline.com/viaje-a-brasil-2/</x:v>
      </x:c>
      <x:c r="C169" s="9" t="str">
        <x:v>Viaje a Brasil: 5 cosas que no debes hacer</x:v>
      </x:c>
      <x:c r="D169" s="17" t="d">
        <x:v>2025-12-05T00:00:00.000Z</x:v>
      </x:c>
      <x:c r="E169" s="17" t="d">
        <x:v>2025-12-10T00:00:00.000Z</x:v>
      </x:c>
      <x:c r="F169" s="4" t="str">
        <x:v>Cultura</x:v>
      </x:c>
      <x:c r="G169" s="11" t="n">
        <x:v>996</x:v>
      </x:c>
      <x:c r="H169" s="11" t="n">
        <x:v>200</x:v>
      </x:c>
      <x:c r="I169" s="11" t="n">
        <x:v>1</x:v>
      </x:c>
      <x:c r="J169" s="4" t="str">
        <x:v>https://blog.skyairline.com/viaje-a-brasil-2/</x:v>
      </x:c>
      <x:c r="K169" s="16" t="b">
        <x:v>0</x:v>
      </x:c>
      <x:c r="L169" s="11" t="n">
        <x:v>0</x:v>
      </x:c>
      <x:c r="M169" s="11" t="n">
        <x:v>3</x:v>
      </x:c>
      <x:c r="N169" s="4"/>
      <x:c r="O169" s="4"/>
      <x:c r="P169" s="11" t="n">
        <x:v>17</x:v>
      </x:c>
      <x:c r="Q169" s="11" t="n">
        <x:v>12</x:v>
      </x:c>
      <x:c r="R169" s="11" t="n">
        <x:f>IF(OR(P169="",Q169=""),"",Q169-P169)</x:f>
        <x:v>-5</x:v>
      </x:c>
      <x:c r="S169" s="13" t="n">
        <x:f>IF(OR(P169="",Q169="",P169=0),"",((Q169/30)/(P169/31))-1)</x:f>
        <x:v>-0.2705882352941176</x:v>
      </x:c>
      <x:c r="T169" s="11" t="n">
        <x:v>471</x:v>
      </x:c>
      <x:c r="U169" s="11" t="n">
        <x:v>438</x:v>
      </x:c>
      <x:c r="V169" s="14" t="n">
        <x:v>0.0273972602739726</x:v>
      </x:c>
      <x:c r="W169" s="12" t="n">
        <x:v>7.308219178082192</x:v>
      </x:c>
      <x:c r="X169" s="11" t="n">
        <x:v>13</x:v>
      </x:c>
      <x:c r="Y169" s="11" t="n">
        <x:v>17</x:v>
      </x:c>
      <x:c r="Z169" s="4" t="str">
        <x:v>https://blog.skyairline.com/viaje-a-brasil-2/</x:v>
      </x:c>
      <x:c r="AA169" s="4" t="str">
        <x:v>https://blog.skyairline.com/viaje-a-brasil-2/</x:v>
      </x:c>
      <x:c r="AB169" s="4" t="str">
        <x:v>Coincidencia URL</x:v>
      </x:c>
      <x:c r="AC169" s="4" t="str">
        <x:v>Publicado hasta septiembre</x:v>
      </x:c>
      <x:c r="AD169" s="4" t="str">
        <x:v>/viaje-a-brasil-2/</x:v>
      </x:c>
      <x:c r="AE169" s="4"/>
      <x:c r="AF169" s="16" t="b">
        <x:v>0</x:v>
      </x:c>
    </x:row>
    <x:row r="170" ht="44" customHeight="1">
      <x:c r="A170" s="4" t="n">
        <x:v>3125</x:v>
      </x:c>
      <x:c r="B170" s="4" t="str">
        <x:v>https://blog.skyairline.com/gastronomia-de-rio-de-janeiro/</x:v>
      </x:c>
      <x:c r="C170" s="9" t="str">
        <x:v>Gastronomía de Río de Janeiro: platos típicos imperdibles</x:v>
      </x:c>
      <x:c r="D170" s="17" t="d">
        <x:v>2025-11-17T00:00:00.000Z</x:v>
      </x:c>
      <x:c r="E170" s="17" t="d">
        <x:v>2026-01-12T00:00:00.000Z</x:v>
      </x:c>
      <x:c r="F170" s="4" t="str">
        <x:v>Destinos</x:v>
      </x:c>
      <x:c r="G170" s="11" t="n">
        <x:v>1044</x:v>
      </x:c>
      <x:c r="H170" s="11" t="n">
        <x:v>200</x:v>
      </x:c>
      <x:c r="I170" s="11" t="n">
        <x:v>1</x:v>
      </x:c>
      <x:c r="J170" s="4" t="str">
        <x:v>https://blog.skyairline.com/gastronomia-de-rio-de-janeiro/</x:v>
      </x:c>
      <x:c r="K170" s="16" t="b">
        <x:v>0</x:v>
      </x:c>
      <x:c r="L170" s="11" t="n">
        <x:v>0</x:v>
      </x:c>
      <x:c r="M170" s="11" t="n">
        <x:v>3</x:v>
      </x:c>
      <x:c r="N170" s="4"/>
      <x:c r="O170" s="4"/>
      <x:c r="P170" s="11" t="n">
        <x:v>15</x:v>
      </x:c>
      <x:c r="Q170" s="11" t="n">
        <x:v>12</x:v>
      </x:c>
      <x:c r="R170" s="11" t="n">
        <x:f>IF(OR(P170="",Q170=""),"",Q170-P170)</x:f>
        <x:v>-3</x:v>
      </x:c>
      <x:c r="S170" s="13" t="n">
        <x:f>IF(OR(P170="",Q170="",P170=0),"",((Q170/30)/(P170/31))-1)</x:f>
        <x:v>-0.17333333333333334</x:v>
      </x:c>
      <x:c r="T170" s="11" t="n">
        <x:v>1464</x:v>
      </x:c>
      <x:c r="U170" s="11" t="n">
        <x:v>1391</x:v>
      </x:c>
      <x:c r="V170" s="14" t="n">
        <x:v>0.008626887131560028</x:v>
      </x:c>
      <x:c r="W170" s="12" t="n">
        <x:v>8.78864126527678</x:v>
      </x:c>
      <x:c r="X170" s="11" t="n">
        <x:v>11</x:v>
      </x:c>
      <x:c r="Y170" s="11" t="n">
        <x:v>13</x:v>
      </x:c>
      <x:c r="Z170" s="4" t="str">
        <x:v>https://blog.skyairline.com/gastronomia-de-rio-de-janeiro/</x:v>
      </x:c>
      <x:c r="AA170" s="4" t="str">
        <x:v>https://blog.skyairline.com/gastronomia-de-rio-de-janeiro/</x:v>
      </x:c>
      <x:c r="AB170" s="4" t="str">
        <x:v>Coincidencia URL</x:v>
      </x:c>
      <x:c r="AC170" s="4" t="str">
        <x:v>Publicado hasta septiembre</x:v>
      </x:c>
      <x:c r="AD170" s="4" t="str">
        <x:v>/gastronomia-de-rio-de-janeiro/</x:v>
      </x:c>
      <x:c r="AE170" s="4"/>
      <x:c r="AF170" s="16" t="b">
        <x:v>0</x:v>
      </x:c>
    </x:row>
    <x:row r="171" ht="44" customHeight="1">
      <x:c r="A171" s="4" t="n">
        <x:v>4883</x:v>
      </x:c>
      <x:c r="B171" s="4" t="str">
        <x:v>https://blog.skyairline.com/paisajes-sur-chile/</x:v>
      </x:c>
      <x:c r="C171" s="9" t="str">
        <x:v>El mejor paisaje del sur de Chile: 5 destinos imperdibles</x:v>
      </x:c>
      <x:c r="D171" s="17" t="d">
        <x:v>2024-08-15T00:00:00.000Z</x:v>
      </x:c>
      <x:c r="E171" s="17" t="d">
        <x:v>2024-08-15T00:00:00.000Z</x:v>
      </x:c>
      <x:c r="F171" s="4" t="str">
        <x:v>Destinos</x:v>
      </x:c>
      <x:c r="G171" s="11" t="n">
        <x:v>1069</x:v>
      </x:c>
      <x:c r="H171" s="11" t="n">
        <x:v>200</x:v>
      </x:c>
      <x:c r="I171" s="11" t="n">
        <x:v>1</x:v>
      </x:c>
      <x:c r="J171" s="4" t="str">
        <x:v>https://blog.skyairline.com/paisajes-sur-chile/</x:v>
      </x:c>
      <x:c r="K171" s="16" t="b">
        <x:v>0</x:v>
      </x:c>
      <x:c r="L171" s="11" t="n">
        <x:v>0</x:v>
      </x:c>
      <x:c r="M171" s="11" t="n">
        <x:v>3</x:v>
      </x:c>
      <x:c r="N171" s="4"/>
      <x:c r="O171" s="4"/>
      <x:c r="P171" s="11" t="n">
        <x:v>15</x:v>
      </x:c>
      <x:c r="Q171" s="11" t="n">
        <x:v>12</x:v>
      </x:c>
      <x:c r="R171" s="11" t="n">
        <x:f>IF(OR(P171="",Q171=""),"",Q171-P171)</x:f>
        <x:v>-3</x:v>
      </x:c>
      <x:c r="S171" s="13" t="n">
        <x:f>IF(OR(P171="",Q171="",P171=0),"",((Q171/30)/(P171/31))-1)</x:f>
        <x:v>-0.17333333333333334</x:v>
      </x:c>
      <x:c r="T171" s="11" t="n">
        <x:v>3428</x:v>
      </x:c>
      <x:c r="U171" s="11" t="n">
        <x:v>2763</x:v>
      </x:c>
      <x:c r="V171" s="14" t="n">
        <x:v>0.004343105320304018</x:v>
      </x:c>
      <x:c r="W171" s="12" t="n">
        <x:v>2.818675352877307</x:v>
      </x:c>
      <x:c r="X171" s="11" t="n">
        <x:v>35</x:v>
      </x:c>
      <x:c r="Y171" s="11" t="n">
        <x:v>40</x:v>
      </x:c>
      <x:c r="Z171" s="4" t="str">
        <x:v>https://blog.skyairline.com/paisajes-sur-chile/</x:v>
      </x:c>
      <x:c r="AA171" s="4" t="str">
        <x:v>https://blog.skyairline.com/paisajes-sur-chile/</x:v>
      </x:c>
      <x:c r="AB171" s="4" t="str">
        <x:v>Coincidencia URL</x:v>
      </x:c>
      <x:c r="AC171" s="4" t="str">
        <x:v>Publicado hasta septiembre</x:v>
      </x:c>
      <x:c r="AD171" s="4" t="str">
        <x:v>/paisajes-sur-chile/</x:v>
      </x:c>
      <x:c r="AE171" s="4"/>
      <x:c r="AF171" s="16" t="b">
        <x:v>0</x:v>
      </x:c>
    </x:row>
    <x:row r="172" ht="44" customHeight="1">
      <x:c r="A172" s="4" t="n">
        <x:v>5031</x:v>
      </x:c>
      <x:c r="B172" s="4" t="str">
        <x:v>https://blog.skyairline.com/ouro-preto/</x:v>
      </x:c>
      <x:c r="C172" s="9" t="str">
        <x:v>¿Qué hacer y cómo llegar a Ouro Preto desde Belo Horizonte?</x:v>
      </x:c>
      <x:c r="D172" s="17" t="d">
        <x:v>2024-09-25T00:00:00.000Z</x:v>
      </x:c>
      <x:c r="E172" s="17" t="d">
        <x:v>2024-09-25T00:00:00.000Z</x:v>
      </x:c>
      <x:c r="F172" s="4" t="str">
        <x:v>Destinos</x:v>
      </x:c>
      <x:c r="G172" s="11" t="n">
        <x:v>1310</x:v>
      </x:c>
      <x:c r="H172" s="11" t="n">
        <x:v>200</x:v>
      </x:c>
      <x:c r="I172" s="11" t="n">
        <x:v>1</x:v>
      </x:c>
      <x:c r="J172" s="4" t="str">
        <x:v>https://blog.skyairline.com/ouro-preto/</x:v>
      </x:c>
      <x:c r="K172" s="16" t="b">
        <x:v>0</x:v>
      </x:c>
      <x:c r="L172" s="11" t="n">
        <x:v>0</x:v>
      </x:c>
      <x:c r="M172" s="11" t="n">
        <x:v>3</x:v>
      </x:c>
      <x:c r="N172" s="4"/>
      <x:c r="O172" s="4"/>
      <x:c r="P172" s="11" t="n">
        <x:v>7</x:v>
      </x:c>
      <x:c r="Q172" s="11" t="n">
        <x:v>12</x:v>
      </x:c>
      <x:c r="R172" s="11" t="n">
        <x:f>IF(OR(P172="",Q172=""),"",Q172-P172)</x:f>
        <x:v>5</x:v>
      </x:c>
      <x:c r="S172" s="13" t="n">
        <x:f>IF(OR(P172="",Q172="",P172=0),"",((Q172/30)/(P172/31))-1)</x:f>
        <x:v>0.7714285714285716</x:v>
      </x:c>
      <x:c r="T172" s="11" t="n">
        <x:v>464</x:v>
      </x:c>
      <x:c r="U172" s="11" t="n">
        <x:v>412</x:v>
      </x:c>
      <x:c r="V172" s="14" t="n">
        <x:v>0.02912621359223301</x:v>
      </x:c>
      <x:c r="W172" s="12" t="n">
        <x:v>8.936893203883496</x:v>
      </x:c>
      <x:c r="X172" s="11" t="n">
        <x:v>13</x:v>
      </x:c>
      <x:c r="Y172" s="11" t="n">
        <x:v>14</x:v>
      </x:c>
      <x:c r="Z172" s="4" t="str">
        <x:v>https://blog.skyairline.com/ouro-preto/</x:v>
      </x:c>
      <x:c r="AA172" s="4" t="str">
        <x:v>https://blog.skyairline.com/ouro-preto/</x:v>
      </x:c>
      <x:c r="AB172" s="4" t="str">
        <x:v>Coincidencia URL</x:v>
      </x:c>
      <x:c r="AC172" s="4" t="str">
        <x:v>Publicado hasta septiembre</x:v>
      </x:c>
      <x:c r="AD172" s="4" t="str">
        <x:v>/ouro-preto/</x:v>
      </x:c>
      <x:c r="AE172" s="4"/>
      <x:c r="AF172" s="16" t="b">
        <x:v>0</x:v>
      </x:c>
    </x:row>
    <x:row r="173" ht="44" customHeight="1">
      <x:c r="A173" s="4" t="n">
        <x:v>6018</x:v>
      </x:c>
      <x:c r="B173" s="4" t="str">
        <x:v>https://blog.skyairline.com/clima-en-punta-cana-cual-es-la-mejor-epoca-para-viajar/</x:v>
      </x:c>
      <x:c r="C173" s="9" t="str">
        <x:v>Clima en Punta Cana: cuál es la mejor época para viajar</x:v>
      </x:c>
      <x:c r="D173" s="17" t="d">
        <x:v>2025-08-09T00:00:00.000Z</x:v>
      </x:c>
      <x:c r="E173" s="17" t="d">
        <x:v>2026-01-08T00:00:00.000Z</x:v>
      </x:c>
      <x:c r="F173" s="4" t="str">
        <x:v>Destinos</x:v>
      </x:c>
      <x:c r="G173" s="11" t="n">
        <x:v>1246</x:v>
      </x:c>
      <x:c r="H173" s="11" t="n">
        <x:v>200</x:v>
      </x:c>
      <x:c r="I173" s="11" t="n">
        <x:v>1</x:v>
      </x:c>
      <x:c r="J173" s="4" t="str">
        <x:v>https://blog.skyairline.com/clima-en-punta-cana-cual-es-la-mejor-epoca-para-viajar/</x:v>
      </x:c>
      <x:c r="K173" s="16" t="b">
        <x:v>0</x:v>
      </x:c>
      <x:c r="L173" s="11" t="n">
        <x:v>0</x:v>
      </x:c>
      <x:c r="M173" s="11" t="n">
        <x:v>0</x:v>
      </x:c>
      <x:c r="N173" s="4"/>
      <x:c r="O173" s="4"/>
      <x:c r="P173" s="11" t="n">
        <x:v>14</x:v>
      </x:c>
      <x:c r="Q173" s="11" t="n">
        <x:v>12</x:v>
      </x:c>
      <x:c r="R173" s="11" t="n">
        <x:f>IF(OR(P173="",Q173=""),"",Q173-P173)</x:f>
        <x:v>-2</x:v>
      </x:c>
      <x:c r="S173" s="13" t="n">
        <x:f>IF(OR(P173="",Q173="",P173=0),"",((Q173/30)/(P173/31))-1)</x:f>
        <x:v>-0.11428571428571421</x:v>
      </x:c>
      <x:c r="T173" s="11" t="n">
        <x:v>6716</x:v>
      </x:c>
      <x:c r="U173" s="11" t="n">
        <x:v>3033</x:v>
      </x:c>
      <x:c r="V173" s="14" t="n">
        <x:v>0.003956478733926805</x:v>
      </x:c>
      <x:c r="W173" s="12" t="n">
        <x:v>12.590504451038576</x:v>
      </x:c>
      <x:c r="X173" s="11" t="n">
        <x:v>9</x:v>
      </x:c>
      <x:c r="Y173" s="11" t="n">
        <x:v>12</x:v>
      </x:c>
      <x:c r="Z173" s="4" t="str">
        <x:v>https://blog.skyairline.com/clima-en-punta-cana-cual-es-la-mejor-epoca-para-viajar/</x:v>
      </x:c>
      <x:c r="AA173" s="4" t="str">
        <x:v>https://blog.skyairline.com/clima-en-punta-cana-cual-es-la-mejor-epoca-para-viajar/
https://blog.skyairline.com/clima-en-punta-cana-cual-es-la-mejor-epoca-para-viajar</x:v>
      </x:c>
      <x:c r="AB173" s="4" t="str">
        <x:v>Alias slash agregado</x:v>
      </x:c>
      <x:c r="AC173" s="4" t="str">
        <x:v>Publicado hasta septiembre</x:v>
      </x:c>
      <x:c r="AD173" s="4" t="str">
        <x:v>/clima-en-punta-cana-cual-es-la-mejor-epoca-para-viajar/</x:v>
      </x:c>
      <x:c r="AE173" s="4"/>
      <x:c r="AF173" s="16" t="b">
        <x:v>0</x:v>
      </x:c>
    </x:row>
    <x:row r="174" ht="44" customHeight="1">
      <x:c r="A174" s="4" t="n">
        <x:v>6094</x:v>
      </x:c>
      <x:c r="B174" s="4" t="str">
        <x:v>https://blog.skyairline.com/bahia-inglesa-2/</x:v>
      </x:c>
      <x:c r="C174" s="9" t="str">
        <x:v>Bahía Inglesa: ¿qué debes saber para sacarle el máximo provecho?</x:v>
      </x:c>
      <x:c r="D174" s="17" t="d">
        <x:v>2025-05-21T00:00:00.000Z</x:v>
      </x:c>
      <x:c r="E174" s="17" t="d">
        <x:v>2026-01-19T00:00:00.000Z</x:v>
      </x:c>
      <x:c r="F174" s="4" t="str">
        <x:v>Destinos</x:v>
      </x:c>
      <x:c r="G174" s="11" t="n">
        <x:v>1431</x:v>
      </x:c>
      <x:c r="H174" s="11" t="n">
        <x:v>200</x:v>
      </x:c>
      <x:c r="I174" s="11" t="n">
        <x:v>1</x:v>
      </x:c>
      <x:c r="J174" s="4" t="str">
        <x:v>https://blog.skyairline.com/bahia-inglesa-2/</x:v>
      </x:c>
      <x:c r="K174" s="16" t="b">
        <x:v>0</x:v>
      </x:c>
      <x:c r="L174" s="11" t="n">
        <x:v>0</x:v>
      </x:c>
      <x:c r="M174" s="11" t="n">
        <x:v>4</x:v>
      </x:c>
      <x:c r="N174" s="4"/>
      <x:c r="O174" s="4"/>
      <x:c r="P174" s="11" t="n">
        <x:v>14</x:v>
      </x:c>
      <x:c r="Q174" s="11" t="n">
        <x:v>12</x:v>
      </x:c>
      <x:c r="R174" s="11" t="n">
        <x:f>IF(OR(P174="",Q174=""),"",Q174-P174)</x:f>
        <x:v>-2</x:v>
      </x:c>
      <x:c r="S174" s="13" t="n">
        <x:f>IF(OR(P174="",Q174="",P174=0),"",((Q174/30)/(P174/31))-1)</x:f>
        <x:v>-0.11428571428571421</x:v>
      </x:c>
      <x:c r="T174" s="11" t="n">
        <x:v>3532</x:v>
      </x:c>
      <x:c r="U174" s="11" t="n">
        <x:v>3211</x:v>
      </x:c>
      <x:c r="V174" s="14" t="n">
        <x:v>0.003737153534724385</x:v>
      </x:c>
      <x:c r="W174" s="12" t="n">
        <x:v>11.551541575833074</x:v>
      </x:c>
      <x:c r="X174" s="11" t="n">
        <x:v>15</x:v>
      </x:c>
      <x:c r="Y174" s="11" t="n">
        <x:v>17</x:v>
      </x:c>
      <x:c r="Z174" s="4" t="str">
        <x:v>https://blog.skyairline.com/bahia-inglesa-2/</x:v>
      </x:c>
      <x:c r="AA174" s="4" t="str">
        <x:v>https://blog.skyairline.com/bahia-inglesa-2/</x:v>
      </x:c>
      <x:c r="AB174" s="4" t="str">
        <x:v>Coincidencia URL</x:v>
      </x:c>
      <x:c r="AC174" s="4" t="str">
        <x:v>Publicado hasta septiembre</x:v>
      </x:c>
      <x:c r="AD174" s="4" t="str">
        <x:v>/bahia-inglesa-2/</x:v>
      </x:c>
      <x:c r="AE174" s="4"/>
      <x:c r="AF174" s="16" t="b">
        <x:v>0</x:v>
      </x:c>
    </x:row>
    <x:row r="175" ht="44" customHeight="1">
      <x:c r="A175" s="4" t="n">
        <x:v>6190</x:v>
      </x:c>
      <x:c r="B175" s="4" t="str">
        <x:v>https://blog.skyairline.com/sky-y-coopeuch-firman-alianza-para-que-clientes-accedan-a-los-beneficios-de-sky-plus/</x:v>
      </x:c>
      <x:c r="C175" s="9" t="str">
        <x:v>SKY y Coopeuch firman alianza para que clientes accedan a los beneficios de SKY PLUS</x:v>
      </x:c>
      <x:c r="D175" s="17" t="d">
        <x:v>2025-06-09T00:00:00.000Z</x:v>
      </x:c>
      <x:c r="E175" s="17" t="d">
        <x:v>2025-06-09T00:00:00.000Z</x:v>
      </x:c>
      <x:c r="F175" s="4" t="str">
        <x:v>Noticias</x:v>
      </x:c>
      <x:c r="G175" s="11" t="n">
        <x:v>602</x:v>
      </x:c>
      <x:c r="H175" s="11" t="n">
        <x:v>200</x:v>
      </x:c>
      <x:c r="I175" s="11" t="n">
        <x:v>1</x:v>
      </x:c>
      <x:c r="J175" s="4" t="str">
        <x:v>https://blog.skyairline.com/sky-y-coopeuch-firman-alianza-para-que-clientes-accedan-a-los-beneficios-de-sky-plus/</x:v>
      </x:c>
      <x:c r="K175" s="16" t="b">
        <x:v>0</x:v>
      </x:c>
      <x:c r="L175" s="11" t="n">
        <x:v>0</x:v>
      </x:c>
      <x:c r="M175" s="11" t="n">
        <x:v>0</x:v>
      </x:c>
      <x:c r="N175" s="4"/>
      <x:c r="O175" s="4"/>
      <x:c r="P175" s="11" t="n">
        <x:v>11</x:v>
      </x:c>
      <x:c r="Q175" s="11" t="n">
        <x:v>12</x:v>
      </x:c>
      <x:c r="R175" s="11" t="n">
        <x:f>IF(OR(P175="",Q175=""),"",Q175-P175)</x:f>
        <x:v>1</x:v>
      </x:c>
      <x:c r="S175" s="13" t="n">
        <x:f>IF(OR(P175="",Q175="",P175=0),"",((Q175/30)/(P175/31))-1)</x:f>
        <x:v>0.1272727272727272</x:v>
      </x:c>
      <x:c r="T175" s="11" t="n">
        <x:v>763</x:v>
      </x:c>
      <x:c r="U175" s="11" t="n">
        <x:v>732</x:v>
      </x:c>
      <x:c r="V175" s="14" t="n">
        <x:v>0.01639344262295082</x:v>
      </x:c>
      <x:c r="W175" s="12" t="n">
        <x:v>6.766393442622951</x:v>
      </x:c>
      <x:c r="X175" s="11" t="n">
        <x:v>9</x:v>
      </x:c>
      <x:c r="Y175" s="11" t="n">
        <x:v>9</x:v>
      </x:c>
      <x:c r="Z175" s="4" t="str">
        <x:v>https://blog.skyairline.com/sky-y-coopeuch-firman-alianza-para-que-clientes-accedan-a-los-beneficios-de-sky-plus/</x:v>
      </x:c>
      <x:c r="AA175" s="4" t="str">
        <x:v>https://blog.skyairline.com/sky-y-coopeuch-firman-alianza-para-que-clientes-accedan-a-los-beneficios-de-sky-plus/</x:v>
      </x:c>
      <x:c r="AB175" s="4" t="str">
        <x:v>Coincidencia URL</x:v>
      </x:c>
      <x:c r="AC175" s="4" t="str">
        <x:v>Publicado hasta septiembre</x:v>
      </x:c>
      <x:c r="AD175" s="4" t="str">
        <x:v>/sky-y-coopeuch-firman-alianza-para-que-clientes-accedan-a-los-beneficios-de-sky-plus/</x:v>
      </x:c>
      <x:c r="AE175" s="4"/>
      <x:c r="AF175" s="16" t="b">
        <x:v>0</x:v>
      </x:c>
    </x:row>
    <x:row r="176" ht="44" customHeight="1">
      <x:c r="A176" s="4" t="n">
        <x:v>6286</x:v>
      </x:c>
      <x:c r="B176" s="4" t="str">
        <x:v>https://blog.skyairline.com/chile-a-punta-cana/</x:v>
      </x:c>
      <x:c r="C176" s="9" t="str">
        <x:v>¿Cómo viajar de Chile a Punta Cana? Guía de vuelos y consejos</x:v>
      </x:c>
      <x:c r="D176" s="17" t="d">
        <x:v>2025-07-07T00:00:00.000Z</x:v>
      </x:c>
      <x:c r="E176" s="17" t="d">
        <x:v>2025-07-07T00:00:00.000Z</x:v>
      </x:c>
      <x:c r="F176" s="4" t="str">
        <x:v>Planificación de Viaje</x:v>
      </x:c>
      <x:c r="G176" s="11" t="n">
        <x:v>1244</x:v>
      </x:c>
      <x:c r="H176" s="11" t="n">
        <x:v>200</x:v>
      </x:c>
      <x:c r="I176" s="11" t="n">
        <x:v>1</x:v>
      </x:c>
      <x:c r="J176" s="4" t="str">
        <x:v>https://blog.skyairline.com/chile-a-punta-cana/</x:v>
      </x:c>
      <x:c r="K176" s="16" t="b">
        <x:v>0</x:v>
      </x:c>
      <x:c r="L176" s="11" t="n">
        <x:v>0</x:v>
      </x:c>
      <x:c r="M176" s="11" t="n">
        <x:v>6</x:v>
      </x:c>
      <x:c r="N176" s="4"/>
      <x:c r="O176" s="4"/>
      <x:c r="P176" s="11" t="n">
        <x:v>11</x:v>
      </x:c>
      <x:c r="Q176" s="11" t="n">
        <x:v>12</x:v>
      </x:c>
      <x:c r="R176" s="11" t="n">
        <x:f>IF(OR(P176="",Q176=""),"",Q176-P176)</x:f>
        <x:v>1</x:v>
      </x:c>
      <x:c r="S176" s="13" t="n">
        <x:f>IF(OR(P176="",Q176="",P176=0),"",((Q176/30)/(P176/31))-1)</x:f>
        <x:v>0.1272727272727272</x:v>
      </x:c>
      <x:c r="T176" s="11" t="n">
        <x:v>2060</x:v>
      </x:c>
      <x:c r="U176" s="11" t="n">
        <x:v>1564</x:v>
      </x:c>
      <x:c r="V176" s="14" t="n">
        <x:v>0.0076726342710997444</x:v>
      </x:c>
      <x:c r="W176" s="12" t="n">
        <x:v>7.9494884910485935</x:v>
      </x:c>
      <x:c r="X176" s="11" t="n">
        <x:v>13</x:v>
      </x:c>
      <x:c r="Y176" s="11" t="n">
        <x:v>18</x:v>
      </x:c>
      <x:c r="Z176" s="4" t="str">
        <x:v>https://blog.skyairline.com/chile-a-punta-cana/</x:v>
      </x:c>
      <x:c r="AA176" s="4" t="str">
        <x:v>https://blog.skyairline.com/chile-a-punta-cana/</x:v>
      </x:c>
      <x:c r="AB176" s="4" t="str">
        <x:v>Coincidencia URL</x:v>
      </x:c>
      <x:c r="AC176" s="4" t="str">
        <x:v>Publicado hasta septiembre</x:v>
      </x:c>
      <x:c r="AD176" s="4" t="str">
        <x:v>/chile-a-punta-cana/</x:v>
      </x:c>
      <x:c r="AE176" s="4"/>
      <x:c r="AF176" s="16" t="b">
        <x:v>0</x:v>
      </x:c>
    </x:row>
    <x:row r="177" ht="44" customHeight="1">
      <x:c r="A177" s="4" t="n">
        <x:v>6315</x:v>
      </x:c>
      <x:c r="B177" s="4" t="str">
        <x:v>https://blog.skyairline.com/puerto-natales-a-punta-arenas/</x:v>
      </x:c>
      <x:c r="C177" s="9" t="str">
        <x:v>Cómo viajar de Puerto Natales a Punta Arenas sin complicarte</x:v>
      </x:c>
      <x:c r="D177" s="17" t="d">
        <x:v>2025-07-11T00:00:00.000Z</x:v>
      </x:c>
      <x:c r="E177" s="17" t="d">
        <x:v>2025-07-11T00:00:00.000Z</x:v>
      </x:c>
      <x:c r="F177" s="4" t="str">
        <x:v>Destinos</x:v>
      </x:c>
      <x:c r="G177" s="11" t="n">
        <x:v>1101</x:v>
      </x:c>
      <x:c r="H177" s="11" t="n">
        <x:v>200</x:v>
      </x:c>
      <x:c r="I177" s="11" t="n">
        <x:v>1</x:v>
      </x:c>
      <x:c r="J177" s="4" t="str">
        <x:v>https://blog.skyairline.com/puerto-natales-a-punta-arenas/</x:v>
      </x:c>
      <x:c r="K177" s="16" t="b">
        <x:v>0</x:v>
      </x:c>
      <x:c r="L177" s="11" t="n">
        <x:v>0</x:v>
      </x:c>
      <x:c r="M177" s="11" t="n">
        <x:v>3</x:v>
      </x:c>
      <x:c r="N177" s="4"/>
      <x:c r="O177" s="4"/>
      <x:c r="P177" s="11" t="n">
        <x:v>15</x:v>
      </x:c>
      <x:c r="Q177" s="11" t="n">
        <x:v>12</x:v>
      </x:c>
      <x:c r="R177" s="11" t="n">
        <x:f>IF(OR(P177="",Q177=""),"",Q177-P177)</x:f>
        <x:v>-3</x:v>
      </x:c>
      <x:c r="S177" s="13" t="n">
        <x:f>IF(OR(P177="",Q177="",P177=0),"",((Q177/30)/(P177/31))-1)</x:f>
        <x:v>-0.17333333333333334</x:v>
      </x:c>
      <x:c r="T177" s="11" t="n">
        <x:v>3128</x:v>
      </x:c>
      <x:c r="U177" s="11" t="n">
        <x:v>3015</x:v>
      </x:c>
      <x:c r="V177" s="14" t="n">
        <x:v>0.003980099502487562</x:v>
      </x:c>
      <x:c r="W177" s="12" t="n">
        <x:v>6.738308457711443</x:v>
      </x:c>
      <x:c r="X177" s="11" t="n">
        <x:v>15</x:v>
      </x:c>
      <x:c r="Y177" s="11" t="n">
        <x:v>17</x:v>
      </x:c>
      <x:c r="Z177" s="4" t="str">
        <x:v>https://blog.skyairline.com/puerto-natales-a-punta-arenas/</x:v>
      </x:c>
      <x:c r="AA177" s="4" t="str">
        <x:v>https://blog.skyairline.com/puerto-natales-a-punta-arenas/
https://blog.skyairline.com/puerto-natales-a-punta-arenas</x:v>
      </x:c>
      <x:c r="AB177" s="4" t="str">
        <x:v>Alias slash agregado</x:v>
      </x:c>
      <x:c r="AC177" s="4" t="str">
        <x:v>Publicado hasta septiembre</x:v>
      </x:c>
      <x:c r="AD177" s="4" t="str">
        <x:v>/puerto-natales-a-punta-arenas/</x:v>
      </x:c>
      <x:c r="AE177" s="4"/>
      <x:c r="AF177" s="16" t="b">
        <x:v>0</x:v>
      </x:c>
    </x:row>
    <x:row r="178" ht="44" customHeight="1">
      <x:c r="A178" s="4" t="n">
        <x:v>7402</x:v>
      </x:c>
      <x:c r="B178" s="4" t="str">
        <x:v>https://blog.skyairline.com/enchufe-estadounidense/</x:v>
      </x:c>
      <x:c r="C178" s="9" t="str">
        <x:v>Enchufe estadounidense, preparando las maletas a Miami</x:v>
      </x:c>
      <x:c r="D178" s="17" t="d">
        <x:v>2025-11-02T00:00:00.000Z</x:v>
      </x:c>
      <x:c r="E178" s="17" t="d">
        <x:v>2025-10-31T00:00:00.000Z</x:v>
      </x:c>
      <x:c r="F178" s="4" t="str">
        <x:v>Destinos</x:v>
      </x:c>
      <x:c r="G178" s="11" t="n">
        <x:v>1006</x:v>
      </x:c>
      <x:c r="H178" s="11" t="n">
        <x:v>200</x:v>
      </x:c>
      <x:c r="I178" s="11" t="n">
        <x:v>1</x:v>
      </x:c>
      <x:c r="J178" s="4" t="str">
        <x:v>https://blog.skyairline.com/enchufe-estadounidense/</x:v>
      </x:c>
      <x:c r="K178" s="16" t="b">
        <x:v>0</x:v>
      </x:c>
      <x:c r="L178" s="11" t="n">
        <x:v>0</x:v>
      </x:c>
      <x:c r="M178" s="11" t="n">
        <x:v>1</x:v>
      </x:c>
      <x:c r="N178" s="4"/>
      <x:c r="O178" s="4"/>
      <x:c r="P178" s="11" t="n">
        <x:v>13</x:v>
      </x:c>
      <x:c r="Q178" s="11" t="n">
        <x:v>12</x:v>
      </x:c>
      <x:c r="R178" s="11" t="n">
        <x:f>IF(OR(P178="",Q178=""),"",Q178-P178)</x:f>
        <x:v>-1</x:v>
      </x:c>
      <x:c r="S178" s="13" t="n">
        <x:f>IF(OR(P178="",Q178="",P178=0),"",((Q178/30)/(P178/31))-1)</x:f>
        <x:v>-0.0461538461538461</x:v>
      </x:c>
      <x:c r="T178" s="11" t="n">
        <x:v>2139</x:v>
      </x:c>
      <x:c r="U178" s="11" t="n">
        <x:v>1339</x:v>
      </x:c>
      <x:c r="V178" s="14" t="n">
        <x:v>0.008961911874533234</x:v>
      </x:c>
      <x:c r="W178" s="12" t="n">
        <x:v>9.620612397311426</x:v>
      </x:c>
      <x:c r="X178" s="11" t="n">
        <x:v>18</x:v>
      </x:c>
      <x:c r="Y178" s="11" t="n">
        <x:v>22</x:v>
      </x:c>
      <x:c r="Z178" s="4" t="str">
        <x:v>https://blog.skyairline.com/enchufe-estadounidense/</x:v>
      </x:c>
      <x:c r="AA178" s="4" t="str">
        <x:v>https://blog.skyairline.com/enchufe-estadounidense/</x:v>
      </x:c>
      <x:c r="AB178" s="4" t="str">
        <x:v>Coincidencia URL</x:v>
      </x:c>
      <x:c r="AC178" s="4" t="str">
        <x:v>Publicado hasta septiembre</x:v>
      </x:c>
      <x:c r="AD178" s="4" t="str">
        <x:v>/enchufe-estadounidense/</x:v>
      </x:c>
      <x:c r="AE178" s="4"/>
      <x:c r="AF178" s="16" t="b">
        <x:v>0</x:v>
      </x:c>
    </x:row>
    <x:row r="179" ht="44" customHeight="1">
      <x:c r="A179" s="4" t="n">
        <x:v>7597</x:v>
      </x:c>
      <x:c r="B179" s="4" t="str">
        <x:v>https://blog.skyairline.com/patagonia/</x:v>
      </x:c>
      <x:c r="C179" s="9" t="str">
        <x:v>Comidas típicas de la Patagonia: sabores que enamoran</x:v>
      </x:c>
      <x:c r="D179" s="17" t="d">
        <x:v>2025-11-21T00:00:00.000Z</x:v>
      </x:c>
      <x:c r="E179" s="17" t="d">
        <x:v>2025-11-11T00:00:00.000Z</x:v>
      </x:c>
      <x:c r="F179" s="4" t="str">
        <x:v>Destinos</x:v>
      </x:c>
      <x:c r="G179" s="11" t="n">
        <x:v>1297</x:v>
      </x:c>
      <x:c r="H179" s="11" t="n">
        <x:v>200</x:v>
      </x:c>
      <x:c r="I179" s="11" t="n">
        <x:v>1</x:v>
      </x:c>
      <x:c r="J179" s="4" t="str">
        <x:v>https://blog.skyairline.com/patagonia/</x:v>
      </x:c>
      <x:c r="K179" s="16" t="b">
        <x:v>0</x:v>
      </x:c>
      <x:c r="L179" s="11" t="n">
        <x:v>0</x:v>
      </x:c>
      <x:c r="M179" s="11" t="n">
        <x:v>4</x:v>
      </x:c>
      <x:c r="N179" s="4"/>
      <x:c r="O179" s="4"/>
      <x:c r="P179" s="11" t="n">
        <x:v>17</x:v>
      </x:c>
      <x:c r="Q179" s="11" t="n">
        <x:v>12</x:v>
      </x:c>
      <x:c r="R179" s="11" t="n">
        <x:f>IF(OR(P179="",Q179=""),"",Q179-P179)</x:f>
        <x:v>-5</x:v>
      </x:c>
      <x:c r="S179" s="13" t="n">
        <x:f>IF(OR(P179="",Q179="",P179=0),"",((Q179/30)/(P179/31))-1)</x:f>
        <x:v>-0.2705882352941176</x:v>
      </x:c>
      <x:c r="T179" s="11" t="n">
        <x:v>1959</x:v>
      </x:c>
      <x:c r="U179" s="11" t="n">
        <x:v>5469</x:v>
      </x:c>
      <x:c r="V179" s="14" t="n">
        <x:v>0.0021941854086670325</x:v>
      </x:c>
      <x:c r="W179" s="12" t="n">
        <x:v>7.583104772353264</x:v>
      </x:c>
      <x:c r="X179" s="11" t="n">
        <x:v>20</x:v>
      </x:c>
      <x:c r="Y179" s="11" t="n">
        <x:v>23</x:v>
      </x:c>
      <x:c r="Z179" s="4" t="str">
        <x:v>https://blog.skyairline.com/patagonia/</x:v>
      </x:c>
      <x:c r="AA179" s="4" t="str">
        <x:v>https://blog.skyairline.com/patagonia/</x:v>
      </x:c>
      <x:c r="AB179" s="4" t="str">
        <x:v>Coincidencia URL</x:v>
      </x:c>
      <x:c r="AC179" s="4" t="str">
        <x:v>Publicado hasta septiembre</x:v>
      </x:c>
      <x:c r="AD179" s="4" t="str">
        <x:v>/patagonia/</x:v>
      </x:c>
      <x:c r="AE179" s="4"/>
      <x:c r="AF179" s="16" t="b">
        <x:v>0</x:v>
      </x:c>
    </x:row>
    <x:row r="180" ht="44" customHeight="1">
      <x:c r="A180" s="4" t="n">
        <x:v>8520</x:v>
      </x:c>
      <x:c r="B180" s="4" t="str">
        <x:v>https://blog.skyairline.com/cabo-frio/</x:v>
      </x:c>
      <x:c r="C180" s="9" t="str">
        <x:v>Cabo Frío: qué hacer, playas imperdibles y cómo planificar tu viaje desde Río</x:v>
      </x:c>
      <x:c r="D180" s="17" t="d">
        <x:v>2026-03-17T00:00:00.000Z</x:v>
      </x:c>
      <x:c r="E180" s="17" t="d">
        <x:v>2026-03-16T00:00:00.000Z</x:v>
      </x:c>
      <x:c r="F180" s="4" t="str">
        <x:v>Destinos</x:v>
      </x:c>
      <x:c r="G180" s="11" t="n">
        <x:v>1046</x:v>
      </x:c>
      <x:c r="H180" s="11" t="n">
        <x:v>200</x:v>
      </x:c>
      <x:c r="I180" s="11" t="n">
        <x:v>1</x:v>
      </x:c>
      <x:c r="J180" s="4" t="str">
        <x:v>https://blog.skyairline.com/cabo-frio/</x:v>
      </x:c>
      <x:c r="K180" s="16" t="b">
        <x:v>0</x:v>
      </x:c>
      <x:c r="L180" s="11" t="n">
        <x:v>0</x:v>
      </x:c>
      <x:c r="M180" s="11" t="n">
        <x:v>0</x:v>
      </x:c>
      <x:c r="N180" s="4"/>
      <x:c r="O180" s="4"/>
      <x:c r="P180" s="11" t="n">
        <x:v>6</x:v>
      </x:c>
      <x:c r="Q180" s="11" t="n">
        <x:v>12</x:v>
      </x:c>
      <x:c r="R180" s="11" t="n">
        <x:f>IF(OR(P180="",Q180=""),"",Q180-P180)</x:f>
        <x:v>6</x:v>
      </x:c>
      <x:c r="S180" s="13" t="n">
        <x:f>IF(OR(P180="",Q180="",P180=0),"",((Q180/30)/(P180/31))-1)</x:f>
        <x:v>1.0666666666666669</x:v>
      </x:c>
      <x:c r="T180" s="11" t="n">
        <x:v>2826</x:v>
      </x:c>
      <x:c r="U180" s="11" t="n">
        <x:v>1845</x:v>
      </x:c>
      <x:c r="V180" s="14" t="n">
        <x:v>0.0065040650406504065</x:v>
      </x:c>
      <x:c r="W180" s="12" t="n">
        <x:v>9.92249322493225</x:v>
      </x:c>
      <x:c r="X180" s="11" t="n">
        <x:v>12</x:v>
      </x:c>
      <x:c r="Y180" s="11" t="n">
        <x:v>19</x:v>
      </x:c>
      <x:c r="Z180" s="4" t="str">
        <x:v>https://blog.skyairline.com/cabo-frio/</x:v>
      </x:c>
      <x:c r="AA180" s="4" t="str">
        <x:v>https://blog.skyairline.com/cabo-frio/</x:v>
      </x:c>
      <x:c r="AB180" s="4" t="str">
        <x:v>Coincidencia URL</x:v>
      </x:c>
      <x:c r="AC180" s="4" t="str">
        <x:v>Publicado hasta septiembre</x:v>
      </x:c>
      <x:c r="AD180" s="4" t="str">
        <x:v>/cabo-frio/</x:v>
      </x:c>
      <x:c r="AE180" s="4"/>
      <x:c r="AF180" s="16" t="b">
        <x:v>0</x:v>
      </x:c>
    </x:row>
    <x:row r="181" ht="44" customHeight="1">
      <x:c r="A181" s="4" t="n">
        <x:v>8542</x:v>
      </x:c>
      <x:c r="B181" s="4" t="str">
        <x:v>https://blog.skyairline.com/playa-los-yuyos/</x:v>
      </x:c>
      <x:c r="C181" s="9" t="str">
        <x:v>Playa Los Yuyos: qué hacer, cómo llegar y tips para disfrutarla en Lima</x:v>
      </x:c>
      <x:c r="D181" s="17" t="d">
        <x:v>2026-03-20T00:00:00.000Z</x:v>
      </x:c>
      <x:c r="E181" s="17" t="d">
        <x:v>2026-03-16T00:00:00.000Z</x:v>
      </x:c>
      <x:c r="F181" s="4" t="str">
        <x:v>Destinos</x:v>
      </x:c>
      <x:c r="G181" s="11" t="n">
        <x:v>1042</x:v>
      </x:c>
      <x:c r="H181" s="11" t="n">
        <x:v>200</x:v>
      </x:c>
      <x:c r="I181" s="11" t="n">
        <x:v>1</x:v>
      </x:c>
      <x:c r="J181" s="4" t="str">
        <x:v>https://blog.skyairline.com/playa-los-yuyos/</x:v>
      </x:c>
      <x:c r="K181" s="16" t="b">
        <x:v>0</x:v>
      </x:c>
      <x:c r="L181" s="11" t="n">
        <x:v>0</x:v>
      </x:c>
      <x:c r="M181" s="11" t="n">
        <x:v>0</x:v>
      </x:c>
      <x:c r="N181" s="4"/>
      <x:c r="O181" s="4"/>
      <x:c r="P181" s="11" t="n">
        <x:v>4</x:v>
      </x:c>
      <x:c r="Q181" s="11" t="n">
        <x:v>12</x:v>
      </x:c>
      <x:c r="R181" s="11" t="n">
        <x:f>IF(OR(P181="",Q181=""),"",Q181-P181)</x:f>
        <x:v>8</x:v>
      </x:c>
      <x:c r="S181" s="13" t="n">
        <x:f>IF(OR(P181="",Q181="",P181=0),"",((Q181/30)/(P181/31))-1)</x:f>
        <x:v>2.1</x:v>
      </x:c>
      <x:c r="T181" s="11" t="n">
        <x:v>2694</x:v>
      </x:c>
      <x:c r="U181" s="11" t="n">
        <x:v>2650</x:v>
      </x:c>
      <x:c r="V181" s="14" t="n">
        <x:v>0.004528301886792453</x:v>
      </x:c>
      <x:c r="W181" s="12" t="n">
        <x:v>8.556981132075471</x:v>
      </x:c>
      <x:c r="X181" s="11" t="n">
        <x:v>16</x:v>
      </x:c>
      <x:c r="Y181" s="11" t="n">
        <x:v>16</x:v>
      </x:c>
      <x:c r="Z181" s="4" t="str">
        <x:v>https://blog.skyairline.com/playa-los-yuyos/</x:v>
      </x:c>
      <x:c r="AA181" s="4" t="str">
        <x:v>https://blog.skyairline.com/playa-los-yuyos/</x:v>
      </x:c>
      <x:c r="AB181" s="4" t="str">
        <x:v>Coincidencia URL</x:v>
      </x:c>
      <x:c r="AC181" s="4" t="str">
        <x:v>Publicado hasta septiembre</x:v>
      </x:c>
      <x:c r="AD181" s="4" t="str">
        <x:v>/playa-los-yuyos/</x:v>
      </x:c>
      <x:c r="AE181" s="4"/>
      <x:c r="AF181" s="16" t="b">
        <x:v>0</x:v>
      </x:c>
    </x:row>
    <x:row r="182" ht="44" customHeight="1">
      <x:c r="A182" s="4" t="n">
        <x:v>8887</x:v>
      </x:c>
      <x:c r="B182" s="4" t="str">
        <x:v>https://blog.skyairline.com/sky-airline-cumple-25-anos-de-trayectoria/</x:v>
      </x:c>
      <x:c r="C182" s="9" t="str">
        <x:v>SKY Airline cumple 25 años de trayectoria</x:v>
      </x:c>
      <x:c r="D182" s="17" t="d">
        <x:v>2026-06-08T00:00:00.000Z</x:v>
      </x:c>
      <x:c r="E182" s="17" t="d">
        <x:v>2026-06-10T00:00:00.000Z</x:v>
      </x:c>
      <x:c r="F182" s="4" t="str">
        <x:v>Noticias</x:v>
      </x:c>
      <x:c r="G182" s="11" t="n">
        <x:v>267</x:v>
      </x:c>
      <x:c r="H182" s="11" t="n">
        <x:v>200</x:v>
      </x:c>
      <x:c r="I182" s="11" t="n">
        <x:v>1</x:v>
      </x:c>
      <x:c r="J182" s="4" t="str">
        <x:v>https://blog.skyairline.com/sky-airline-cumple-25-anos-de-trayectoria/</x:v>
      </x:c>
      <x:c r="K182" s="16" t="b">
        <x:v>0</x:v>
      </x:c>
      <x:c r="L182" s="11" t="n">
        <x:v>0</x:v>
      </x:c>
      <x:c r="M182" s="11" t="n">
        <x:v>0</x:v>
      </x:c>
      <x:c r="N182" s="4"/>
      <x:c r="O182" s="4"/>
      <x:c r="P182" s="11" t="n">
        <x:v>8</x:v>
      </x:c>
      <x:c r="Q182" s="11" t="n">
        <x:v>12</x:v>
      </x:c>
      <x:c r="R182" s="11" t="n">
        <x:f>IF(OR(P182="",Q182=""),"",Q182-P182)</x:f>
        <x:v>4</x:v>
      </x:c>
      <x:c r="S182" s="13" t="n">
        <x:f>IF(OR(P182="",Q182="",P182=0),"",((Q182/30)/(P182/31))-1)</x:f>
        <x:v>0.55</x:v>
      </x:c>
      <x:c r="T182" s="11" t="n">
        <x:v>2122</x:v>
      </x:c>
      <x:c r="U182" s="11" t="n">
        <x:v>1697</x:v>
      </x:c>
      <x:c r="V182" s="14" t="n">
        <x:v>0.007071302298173247</x:v>
      </x:c>
      <x:c r="W182" s="12" t="n">
        <x:v>6.933411903358869</x:v>
      </x:c>
      <x:c r="X182" s="11" t="n">
        <x:v>14</x:v>
      </x:c>
      <x:c r="Y182" s="11" t="n">
        <x:v>18</x:v>
      </x:c>
      <x:c r="Z182" s="4" t="str">
        <x:v>https://blog.skyairline.com/sky-airline-cumple-25-anos-de-trayectoria/</x:v>
      </x:c>
      <x:c r="AA182" s="4" t="str">
        <x:v>https://blog.skyairline.com/sky-airline-cumple-25-anos-de-trayectoria/</x:v>
      </x:c>
      <x:c r="AB182" s="4" t="str">
        <x:v>Coincidencia URL</x:v>
      </x:c>
      <x:c r="AC182" s="4" t="str">
        <x:v>Publicado hasta septiembre</x:v>
      </x:c>
      <x:c r="AD182" s="4" t="str">
        <x:v>/sky-airline-cumple-25-anos-de-trayectoria/</x:v>
      </x:c>
      <x:c r="AE182" s="4"/>
      <x:c r="AF182" s="16" t="b">
        <x:v>0</x:v>
      </x:c>
    </x:row>
    <x:row r="183" ht="44" customHeight="1">
      <x:c r="A183" s="4" t="n">
        <x:v>8925</x:v>
      </x:c>
      <x:c r="B183" s="4" t="str">
        <x:v>https://blog.skyairline.com/jurere/</x:v>
      </x:c>
      <x:c r="C183" s="9" t="str">
        <x:v>Jurere Internacional: Playa de lujo en Florianópolis</x:v>
      </x:c>
      <x:c r="D183" s="17" t="d">
        <x:v>2026-06-17T00:00:00.000Z</x:v>
      </x:c>
      <x:c r="E183" s="17" t="d">
        <x:v>2026-06-16T00:00:00.000Z</x:v>
      </x:c>
      <x:c r="F183" s="4" t="str">
        <x:v>Destinos</x:v>
      </x:c>
      <x:c r="G183" s="11" t="n">
        <x:v>1018</x:v>
      </x:c>
      <x:c r="H183" s="11" t="n">
        <x:v>200</x:v>
      </x:c>
      <x:c r="I183" s="11" t="n">
        <x:v>1</x:v>
      </x:c>
      <x:c r="J183" s="4" t="str">
        <x:v>https://blog.skyairline.com/jurere/</x:v>
      </x:c>
      <x:c r="K183" s="16" t="b">
        <x:v>0</x:v>
      </x:c>
      <x:c r="L183" s="11" t="n">
        <x:v>0</x:v>
      </x:c>
      <x:c r="M183" s="11" t="n">
        <x:v>0</x:v>
      </x:c>
      <x:c r="N183" s="4"/>
      <x:c r="O183" s="4"/>
      <x:c r="P183" s="11" t="n">
        <x:v>9</x:v>
      </x:c>
      <x:c r="Q183" s="11" t="n">
        <x:v>12</x:v>
      </x:c>
      <x:c r="R183" s="11" t="n">
        <x:f>IF(OR(P183="",Q183=""),"",Q183-P183)</x:f>
        <x:v>3</x:v>
      </x:c>
      <x:c r="S183" s="13" t="n">
        <x:f>IF(OR(P183="",Q183="",P183=0),"",((Q183/30)/(P183/31))-1)</x:f>
        <x:v>0.37777777777777777</x:v>
      </x:c>
      <x:c r="T183" s="11" t="n">
        <x:v>2496</x:v>
      </x:c>
      <x:c r="U183" s="11" t="n">
        <x:v>3340</x:v>
      </x:c>
      <x:c r="V183" s="14" t="n">
        <x:v>0.003592814371257485</x:v>
      </x:c>
      <x:c r="W183" s="12" t="n">
        <x:v>9.201796407185629</x:v>
      </x:c>
      <x:c r="X183" s="11" t="n">
        <x:v>16</x:v>
      </x:c>
      <x:c r="Y183" s="11" t="n">
        <x:v>18</x:v>
      </x:c>
      <x:c r="Z183" s="4" t="str">
        <x:v>https://blog.skyairline.com/jurere/</x:v>
      </x:c>
      <x:c r="AA183" s="4" t="str">
        <x:v>https://blog.skyairline.com/jurere/</x:v>
      </x:c>
      <x:c r="AB183" s="4" t="str">
        <x:v>Coincidencia URL</x:v>
      </x:c>
      <x:c r="AC183" s="4" t="str">
        <x:v>Publicado hasta septiembre</x:v>
      </x:c>
      <x:c r="AD183" s="4" t="str">
        <x:v>/jurere/</x:v>
      </x:c>
      <x:c r="AE183" s="4"/>
      <x:c r="AF183" s="16" t="b">
        <x:v>0</x:v>
      </x:c>
    </x:row>
    <x:row r="184" ht="44" customHeight="1">
      <x:c r="A184" s="4" t="n">
        <x:v>9000</x:v>
      </x:c>
      <x:c r="B184" s="4" t="str">
        <x:v>https://blog.skyairline.com/sky-unica-aerolinea-entre-las-mejores-empresas-para-practicas-en-chile-y-peru/</x:v>
      </x:c>
      <x:c r="C184" s="9" t="str">
        <x:v>SKY, única aerolínea entre las mejores empresas para prácticas en Chile y Perú</x:v>
      </x:c>
      <x:c r="D184" s="17" t="d">
        <x:v>2026-07-14T00:00:00.000Z</x:v>
      </x:c>
      <x:c r="E184" s="17" t="d">
        <x:v>2026-07-14T00:00:00.000Z</x:v>
      </x:c>
      <x:c r="F184" s="4" t="str">
        <x:v>Noticias</x:v>
      </x:c>
      <x:c r="G184" s="11" t="n">
        <x:v>142</x:v>
      </x:c>
      <x:c r="H184" s="11" t="n">
        <x:v>200</x:v>
      </x:c>
      <x:c r="I184" s="11" t="n">
        <x:v>1</x:v>
      </x:c>
      <x:c r="J184" s="4" t="str">
        <x:v>https://blog.skyairline.com/sky-unica-aerolinea-entre-las-mejores-empresas-para-practicas-en-chile-y-peru/</x:v>
      </x:c>
      <x:c r="K184" s="16" t="b">
        <x:v>0</x:v>
      </x:c>
      <x:c r="L184" s="11" t="n">
        <x:v>0</x:v>
      </x:c>
      <x:c r="M184" s="11" t="n">
        <x:v>0</x:v>
      </x:c>
      <x:c r="N184" s="4"/>
      <x:c r="O184" s="4"/>
      <x:c r="P184" s="11" t="n">
        <x:v>12</x:v>
      </x:c>
      <x:c r="Q184" s="11" t="n">
        <x:v>12</x:v>
      </x:c>
      <x:c r="R184" s="11" t="n">
        <x:f>IF(OR(P184="",Q184=""),"",Q184-P184)</x:f>
        <x:v>0</x:v>
      </x:c>
      <x:c r="S184" s="13" t="n">
        <x:f>IF(OR(P184="",Q184="",P184=0),"",((Q184/30)/(P184/31))-1)</x:f>
        <x:v>0.03333333333333344</x:v>
      </x:c>
      <x:c r="T184" s="11" t="n">
        <x:v>204</x:v>
      </x:c>
      <x:c r="U184" s="11" t="n">
        <x:v>126</x:v>
      </x:c>
      <x:c r="V184" s="14" t="n">
        <x:v>0.09523809523809523</x:v>
      </x:c>
      <x:c r="W184" s="12" t="n">
        <x:v>5.468253968253968</x:v>
      </x:c>
      <x:c r="X184" s="11" t="n">
        <x:v>12</x:v>
      </x:c>
      <x:c r="Y184" s="11" t="n">
        <x:v>17</x:v>
      </x:c>
      <x:c r="Z184" s="4" t="str">
        <x:v>https://blog.skyairline.com/sky-unica-aerolinea-entre-las-mejores-empresas-para-practicas-en-chile-y-peru/</x:v>
      </x:c>
      <x:c r="AA184" s="4" t="str">
        <x:v>https://blog.skyairline.com/sky-unica-aerolinea-entre-las-mejores-empresas-para-practicas-en-chile-y-peru/</x:v>
      </x:c>
      <x:c r="AB184" s="4" t="str">
        <x:v>Coincidencia URL</x:v>
      </x:c>
      <x:c r="AC184" s="4" t="str">
        <x:v>Publicado hasta septiembre</x:v>
      </x:c>
      <x:c r="AD184" s="4" t="str">
        <x:v>/sky-unica-aerolinea-entre-las-mejores-empresas-para-practicas-en-chile-y-peru/</x:v>
      </x:c>
      <x:c r="AE184" s="4"/>
      <x:c r="AF184" s="16" t="b">
        <x:v>0</x:v>
      </x:c>
    </x:row>
    <x:row r="185" ht="44" customHeight="1">
      <x:c r="A185" s="4" t="n">
        <x:v>890</x:v>
      </x:c>
      <x:c r="B185" s="4" t="str">
        <x:v>https://blog.skyairline.com/paquetes-de-viaje/</x:v>
      </x:c>
      <x:c r="C185" s="9" t="str">
        <x:v>Paquetes de viajes: ¿de verdad ahorras con estos productos?</x:v>
      </x:c>
      <x:c r="D185" s="17" t="d">
        <x:v>2025-06-10T00:00:00.000Z</x:v>
      </x:c>
      <x:c r="E185" s="17" t="d">
        <x:v>2025-12-19T00:00:00.000Z</x:v>
      </x:c>
      <x:c r="F185" s="4" t="str">
        <x:v>Planificación de Viaje</x:v>
      </x:c>
      <x:c r="G185" s="11" t="n">
        <x:v>1247</x:v>
      </x:c>
      <x:c r="H185" s="11" t="n">
        <x:v>200</x:v>
      </x:c>
      <x:c r="I185" s="11" t="n">
        <x:v>1</x:v>
      </x:c>
      <x:c r="J185" s="4" t="str">
        <x:v>https://blog.skyairline.com/paquetes-de-viaje/</x:v>
      </x:c>
      <x:c r="K185" s="16" t="b">
        <x:v>0</x:v>
      </x:c>
      <x:c r="L185" s="11" t="n">
        <x:v>0</x:v>
      </x:c>
      <x:c r="M185" s="11" t="n">
        <x:v>4</x:v>
      </x:c>
      <x:c r="N185" s="4"/>
      <x:c r="O185" s="4"/>
      <x:c r="P185" s="11" t="n">
        <x:v>29</x:v>
      </x:c>
      <x:c r="Q185" s="11" t="n">
        <x:v>11</x:v>
      </x:c>
      <x:c r="R185" s="11" t="n">
        <x:f>IF(OR(P185="",Q185=""),"",Q185-P185)</x:f>
        <x:v>-18</x:v>
      </x:c>
      <x:c r="S185" s="13" t="n">
        <x:f>IF(OR(P185="",Q185="",P185=0),"",((Q185/30)/(P185/31))-1)</x:f>
        <x:v>-0.6080459770114943</x:v>
      </x:c>
      <x:c r="T185" s="11" t="n">
        <x:v>3124</x:v>
      </x:c>
      <x:c r="U185" s="11" t="n">
        <x:v>596</x:v>
      </x:c>
      <x:c r="V185" s="14" t="n">
        <x:v>0.018456375838926176</x:v>
      </x:c>
      <x:c r="W185" s="12" t="n">
        <x:v>7.974832214765101</x:v>
      </x:c>
      <x:c r="X185" s="11" t="n">
        <x:v>9</x:v>
      </x:c>
      <x:c r="Y185" s="11" t="n">
        <x:v>12</x:v>
      </x:c>
      <x:c r="Z185" s="4" t="str">
        <x:v>https://blog.skyairline.com/paquetes-de-viaje/</x:v>
      </x:c>
      <x:c r="AA185" s="4" t="str">
        <x:v>https://blog.skyairline.com/paquetes-de-viaje/</x:v>
      </x:c>
      <x:c r="AB185" s="4" t="str">
        <x:v>Coincidencia URL</x:v>
      </x:c>
      <x:c r="AC185" s="4" t="str">
        <x:v>Publicado hasta septiembre</x:v>
      </x:c>
      <x:c r="AD185" s="4" t="str">
        <x:v>/paquetes-de-viaje/</x:v>
      </x:c>
      <x:c r="AE185" s="4"/>
      <x:c r="AF185" s="16" t="b">
        <x:v>0</x:v>
      </x:c>
    </x:row>
    <x:row r="186" ht="44" customHeight="1">
      <x:c r="A186" s="4" t="n">
        <x:v>1192</x:v>
      </x:c>
      <x:c r="B186" s="4" t="str">
        <x:v>https://blog.skyairline.com/como-llegar-a-ayacucho/</x:v>
      </x:c>
      <x:c r="C186" s="9" t="str">
        <x:v>¿Cómo llegar a Ayacucho y qué hacer en esta ciudad llena de cultura?</x:v>
      </x:c>
      <x:c r="D186" s="17" t="d">
        <x:v>2021-12-22T00:00:00.000Z</x:v>
      </x:c>
      <x:c r="E186" s="17" t="d">
        <x:v>2021-12-22T00:00:00.000Z</x:v>
      </x:c>
      <x:c r="F186" s="4" t="str">
        <x:v>Destinos</x:v>
      </x:c>
      <x:c r="G186" s="11" t="n">
        <x:v>1061</x:v>
      </x:c>
      <x:c r="H186" s="11" t="n">
        <x:v>200</x:v>
      </x:c>
      <x:c r="I186" s="11" t="n">
        <x:v>1</x:v>
      </x:c>
      <x:c r="J186" s="4" t="str">
        <x:v>https://blog.skyairline.com/como-llegar-a-ayacucho/</x:v>
      </x:c>
      <x:c r="K186" s="16" t="b">
        <x:v>0</x:v>
      </x:c>
      <x:c r="L186" s="11" t="n">
        <x:v>0</x:v>
      </x:c>
      <x:c r="M186" s="11" t="n">
        <x:v>4</x:v>
      </x:c>
      <x:c r="N186" s="4"/>
      <x:c r="O186" s="4"/>
      <x:c r="P186" s="11" t="n">
        <x:v>15</x:v>
      </x:c>
      <x:c r="Q186" s="11" t="n">
        <x:v>11</x:v>
      </x:c>
      <x:c r="R186" s="11" t="n">
        <x:f>IF(OR(P186="",Q186=""),"",Q186-P186)</x:f>
        <x:v>-4</x:v>
      </x:c>
      <x:c r="S186" s="13" t="n">
        <x:f>IF(OR(P186="",Q186="",P186=0),"",((Q186/30)/(P186/31))-1)</x:f>
        <x:v>-0.24222222222222234</x:v>
      </x:c>
      <x:c r="T186" s="11" t="n">
        <x:v>9653</x:v>
      </x:c>
      <x:c r="U186" s="11" t="n">
        <x:v>2944</x:v>
      </x:c>
      <x:c r="V186" s="14" t="n">
        <x:v>0.003736413043478261</x:v>
      </x:c>
      <x:c r="W186" s="12" t="n">
        <x:v>8.1953125</x:v>
      </x:c>
      <x:c r="X186" s="11" t="n">
        <x:v>10</x:v>
      </x:c>
      <x:c r="Y186" s="11" t="n">
        <x:v>10</x:v>
      </x:c>
      <x:c r="Z186" s="4" t="str">
        <x:v>https://blog.skyairline.com/como-llegar-a-ayacucho/</x:v>
      </x:c>
      <x:c r="AA186" s="4" t="str">
        <x:v>https://blog.skyairline.com/como-llegar-a-ayacucho/</x:v>
      </x:c>
      <x:c r="AB186" s="4" t="str">
        <x:v>Coincidencia URL</x:v>
      </x:c>
      <x:c r="AC186" s="4" t="str">
        <x:v>Publicado hasta septiembre</x:v>
      </x:c>
      <x:c r="AD186" s="4" t="str">
        <x:v>/como-llegar-a-ayacucho/</x:v>
      </x:c>
      <x:c r="AE186" s="4"/>
      <x:c r="AF186" s="16" t="b">
        <x:v>0</x:v>
      </x:c>
    </x:row>
    <x:row r="187" ht="44" customHeight="1">
      <x:c r="A187" s="4" t="n">
        <x:v>1308</x:v>
      </x:c>
      <x:c r="B187" s="4" t="str">
        <x:v>https://blog.skyairline.com/puerto-maldonado-2/</x:v>
      </x:c>
      <x:c r="C187" s="9" t="str">
        <x:v>Puerto Maldonado: 5 cosas que no puedes dejar de hacer</x:v>
      </x:c>
      <x:c r="D187" s="17" t="d">
        <x:v>2025-10-16T00:00:00.000Z</x:v>
      </x:c>
      <x:c r="E187" s="17" t="d">
        <x:v>2026-01-12T00:00:00.000Z</x:v>
      </x:c>
      <x:c r="F187" s="4" t="str">
        <x:v>Destinos</x:v>
      </x:c>
      <x:c r="G187" s="11" t="n">
        <x:v>1160</x:v>
      </x:c>
      <x:c r="H187" s="11" t="n">
        <x:v>200</x:v>
      </x:c>
      <x:c r="I187" s="11" t="n">
        <x:v>1</x:v>
      </x:c>
      <x:c r="J187" s="4" t="str">
        <x:v>https://blog.skyairline.com/puerto-maldonado-2/</x:v>
      </x:c>
      <x:c r="K187" s="16" t="b">
        <x:v>0</x:v>
      </x:c>
      <x:c r="L187" s="11" t="n">
        <x:v>0</x:v>
      </x:c>
      <x:c r="M187" s="11" t="n">
        <x:v>1</x:v>
      </x:c>
      <x:c r="N187" s="4"/>
      <x:c r="O187" s="4"/>
      <x:c r="P187" s="11" t="n">
        <x:v>16</x:v>
      </x:c>
      <x:c r="Q187" s="11" t="n">
        <x:v>11</x:v>
      </x:c>
      <x:c r="R187" s="11" t="n">
        <x:f>IF(OR(P187="",Q187=""),"",Q187-P187)</x:f>
        <x:v>-5</x:v>
      </x:c>
      <x:c r="S187" s="13" t="n">
        <x:f>IF(OR(P187="",Q187="",P187=0),"",((Q187/30)/(P187/31))-1)</x:f>
        <x:v>-0.2895833333333334</x:v>
      </x:c>
      <x:c r="T187" s="11" t="n">
        <x:v>1648</x:v>
      </x:c>
      <x:c r="U187" s="11" t="n">
        <x:v>1088</x:v>
      </x:c>
      <x:c r="V187" s="14" t="n">
        <x:v>0.01011029411764706</x:v>
      </x:c>
      <x:c r="W187" s="12" t="n">
        <x:v>9.963235294117647</x:v>
      </x:c>
      <x:c r="X187" s="11" t="n">
        <x:v>20</x:v>
      </x:c>
      <x:c r="Y187" s="11" t="n">
        <x:v>25</x:v>
      </x:c>
      <x:c r="Z187" s="4" t="str">
        <x:v>https://blog.skyairline.com/puerto-maldonado-2/</x:v>
      </x:c>
      <x:c r="AA187" s="4" t="str">
        <x:v>https://blog.skyairline.com/puerto-maldonado-2/
https://blog.skyairline.com/puerto-maldonado-2</x:v>
      </x:c>
      <x:c r="AB187" s="4" t="str">
        <x:v>Alias slash agregado</x:v>
      </x:c>
      <x:c r="AC187" s="4" t="str">
        <x:v>Publicado hasta septiembre</x:v>
      </x:c>
      <x:c r="AD187" s="4" t="str">
        <x:v>/puerto-maldonado-2/</x:v>
      </x:c>
      <x:c r="AE187" s="4"/>
      <x:c r="AF187" s="16" t="b">
        <x:v>0</x:v>
      </x:c>
    </x:row>
    <x:row r="188" ht="44" customHeight="1">
      <x:c r="A188" s="4" t="n">
        <x:v>1446</x:v>
      </x:c>
      <x:c r="B188" s="4" t="str">
        <x:v>https://blog.skyairline.com/como-funciona-un-seguro-de-viaje/</x:v>
      </x:c>
      <x:c r="C188" s="9" t="str">
        <x:v>Seguro de viaje: ¡Todo lo que necesitas saber sobre el tema!</x:v>
      </x:c>
      <x:c r="D188" s="17" t="d">
        <x:v>2022-02-23T00:00:00.000Z</x:v>
      </x:c>
      <x:c r="E188" s="17" t="d">
        <x:v>2022-02-23T00:00:00.000Z</x:v>
      </x:c>
      <x:c r="F188" s="4" t="str">
        <x:v>Planificación de Viaje</x:v>
      </x:c>
      <x:c r="G188" s="11" t="n">
        <x:v>1127</x:v>
      </x:c>
      <x:c r="H188" s="11" t="n">
        <x:v>200</x:v>
      </x:c>
      <x:c r="I188" s="11" t="n">
        <x:v>1</x:v>
      </x:c>
      <x:c r="J188" s="4" t="str">
        <x:v>https://blog.skyairline.com/como-funciona-un-seguro-de-viaje/</x:v>
      </x:c>
      <x:c r="K188" s="16" t="b">
        <x:v>0</x:v>
      </x:c>
      <x:c r="L188" s="11" t="n">
        <x:v>0</x:v>
      </x:c>
      <x:c r="M188" s="11" t="n">
        <x:v>2</x:v>
      </x:c>
      <x:c r="N188" s="4"/>
      <x:c r="O188" s="4"/>
      <x:c r="P188" s="11" t="n">
        <x:v>8</x:v>
      </x:c>
      <x:c r="Q188" s="11" t="n">
        <x:v>11</x:v>
      </x:c>
      <x:c r="R188" s="11" t="n">
        <x:f>IF(OR(P188="",Q188=""),"",Q188-P188)</x:f>
        <x:v>3</x:v>
      </x:c>
      <x:c r="S188" s="13" t="n">
        <x:f>IF(OR(P188="",Q188="",P188=0),"",((Q188/30)/(P188/31))-1)</x:f>
        <x:v>0.42083333333333317</x:v>
      </x:c>
      <x:c r="T188" s="11" t="n">
        <x:v>373</x:v>
      </x:c>
      <x:c r="U188" s="11" t="n">
        <x:v>379</x:v>
      </x:c>
      <x:c r="V188" s="14" t="n">
        <x:v>0.029023746701846966</x:v>
      </x:c>
      <x:c r="W188" s="12" t="n">
        <x:v>5.253298153034301</x:v>
      </x:c>
      <x:c r="X188" s="11" t="n">
        <x:v>14</x:v>
      </x:c>
      <x:c r="Y188" s="11" t="n">
        <x:v>13</x:v>
      </x:c>
      <x:c r="Z188" s="4" t="str">
        <x:v>https://blog.skyairline.com/como-funciona-un-seguro-de-viaje/</x:v>
      </x:c>
      <x:c r="AA188" s="4" t="str">
        <x:v>https://blog.skyairline.com/como-funciona-un-seguro-de-viaje/</x:v>
      </x:c>
      <x:c r="AB188" s="4" t="str">
        <x:v>Coincidencia URL</x:v>
      </x:c>
      <x:c r="AC188" s="4" t="str">
        <x:v>Publicado hasta septiembre</x:v>
      </x:c>
      <x:c r="AD188" s="4" t="str">
        <x:v>/como-funciona-un-seguro-de-viaje/</x:v>
      </x:c>
      <x:c r="AE188" s="4"/>
      <x:c r="AF188" s="16" t="b">
        <x:v>0</x:v>
      </x:c>
    </x:row>
    <x:row r="189" ht="44" customHeight="1">
      <x:c r="A189" s="4" t="n">
        <x:v>1479</x:v>
      </x:c>
      <x:c r="B189" s="4" t="str">
        <x:v>https://blog.skyairline.com/youtubers-viajeros/</x:v>
      </x:c>
      <x:c r="C189" s="9" t="str">
        <x:v>6 Youtubers viajeros que hoy son súper famosos</x:v>
      </x:c>
      <x:c r="D189" s="17" t="d">
        <x:v>2022-03-02T00:00:00.000Z</x:v>
      </x:c>
      <x:c r="E189" s="17" t="d">
        <x:v>2022-03-02T00:00:00.000Z</x:v>
      </x:c>
      <x:c r="F189" s="4" t="str">
        <x:v>Planificación de Viaje</x:v>
      </x:c>
      <x:c r="G189" s="11" t="n">
        <x:v>1009</x:v>
      </x:c>
      <x:c r="H189" s="11" t="n">
        <x:v>200</x:v>
      </x:c>
      <x:c r="I189" s="11" t="n">
        <x:v>1</x:v>
      </x:c>
      <x:c r="J189" s="4" t="str">
        <x:v>https://blog.skyairline.com/youtubers-viajeros/</x:v>
      </x:c>
      <x:c r="K189" s="16" t="b">
        <x:v>0</x:v>
      </x:c>
      <x:c r="L189" s="11" t="n">
        <x:v>0</x:v>
      </x:c>
      <x:c r="M189" s="11" t="n">
        <x:v>4</x:v>
      </x:c>
      <x:c r="N189" s="4"/>
      <x:c r="O189" s="4"/>
      <x:c r="P189" s="11" t="n">
        <x:v>7</x:v>
      </x:c>
      <x:c r="Q189" s="11" t="n">
        <x:v>11</x:v>
      </x:c>
      <x:c r="R189" s="11" t="n">
        <x:f>IF(OR(P189="",Q189=""),"",Q189-P189)</x:f>
        <x:v>4</x:v>
      </x:c>
      <x:c r="S189" s="13" t="n">
        <x:f>IF(OR(P189="",Q189="",P189=0),"",((Q189/30)/(P189/31))-1)</x:f>
        <x:v>0.6238095238095238</x:v>
      </x:c>
      <x:c r="T189" s="11" t="n">
        <x:v>651</x:v>
      </x:c>
      <x:c r="U189" s="11" t="n">
        <x:v>687</x:v>
      </x:c>
      <x:c r="V189" s="14" t="n">
        <x:v>0.01601164483260553</x:v>
      </x:c>
      <x:c r="W189" s="12" t="n">
        <x:v>9.120815138282387</x:v>
      </x:c>
      <x:c r="X189" s="11" t="n">
        <x:v>16</x:v>
      </x:c>
      <x:c r="Y189" s="11" t="n">
        <x:v>21</x:v>
      </x:c>
      <x:c r="Z189" s="4" t="str">
        <x:v>https://blog.skyairline.com/youtubers-viajeros/</x:v>
      </x:c>
      <x:c r="AA189" s="4" t="str">
        <x:v>https://blog.skyairline.com/youtubers-viajeros/</x:v>
      </x:c>
      <x:c r="AB189" s="4" t="str">
        <x:v>Coincidencia URL</x:v>
      </x:c>
      <x:c r="AC189" s="4" t="str">
        <x:v>Publicado hasta septiembre</x:v>
      </x:c>
      <x:c r="AD189" s="4" t="str">
        <x:v>/youtubers-viajeros/</x:v>
      </x:c>
      <x:c r="AE189" s="4"/>
      <x:c r="AF189" s="16" t="b">
        <x:v>0</x:v>
      </x:c>
    </x:row>
    <x:row r="190" ht="44" customHeight="1">
      <x:c r="A190" s="4" t="n">
        <x:v>1785</x:v>
      </x:c>
      <x:c r="B190" s="4" t="str">
        <x:v>https://blog.skyairline.com/playas-de-piura/</x:v>
      </x:c>
      <x:c r="C190" s="9" t="str">
        <x:v>Las 8 mejores playas de Piura</x:v>
      </x:c>
      <x:c r="D190" s="17" t="d">
        <x:v>2026-05-13T00:00:00.000Z</x:v>
      </x:c>
      <x:c r="E190" s="17" t="d">
        <x:v>2026-05-11T00:00:00.000Z</x:v>
      </x:c>
      <x:c r="F190" s="4" t="str">
        <x:v>Destinos</x:v>
      </x:c>
      <x:c r="G190" s="11" t="n">
        <x:v>1011</x:v>
      </x:c>
      <x:c r="H190" s="11" t="n">
        <x:v>200</x:v>
      </x:c>
      <x:c r="I190" s="11" t="n">
        <x:v>2</x:v>
      </x:c>
      <x:c r="J190" s="4" t="str">
        <x:v>https://blog.skyairline.com/playas-de-piura/</x:v>
      </x:c>
      <x:c r="K190" s="16" t="b">
        <x:v>0</x:v>
      </x:c>
      <x:c r="L190" s="11" t="n">
        <x:v>0</x:v>
      </x:c>
      <x:c r="M190" s="11" t="n">
        <x:v>0</x:v>
      </x:c>
      <x:c r="N190" s="4"/>
      <x:c r="O190" s="4"/>
      <x:c r="P190" s="11" t="n">
        <x:v>11</x:v>
      </x:c>
      <x:c r="Q190" s="11" t="n">
        <x:v>11</x:v>
      </x:c>
      <x:c r="R190" s="11" t="n">
        <x:f>IF(OR(P190="",Q190=""),"",Q190-P190)</x:f>
        <x:v>0</x:v>
      </x:c>
      <x:c r="S190" s="13" t="n">
        <x:f>IF(OR(P190="",Q190="",P190=0),"",((Q190/30)/(P190/31))-1)</x:f>
        <x:v>0.033333333333333215</x:v>
      </x:c>
      <x:c r="T190" s="11" t="n">
        <x:v>3489</x:v>
      </x:c>
      <x:c r="U190" s="11" t="n">
        <x:v>1832</x:v>
      </x:c>
      <x:c r="V190" s="14" t="n">
        <x:v>0.006004366812227074</x:v>
      </x:c>
      <x:c r="W190" s="12" t="n">
        <x:v>5.90556768558952</x:v>
      </x:c>
      <x:c r="X190" s="11" t="n">
        <x:v>34</x:v>
      </x:c>
      <x:c r="Y190" s="11" t="n">
        <x:v>40</x:v>
      </x:c>
      <x:c r="Z190" s="4" t="str">
        <x:v>https://blog.skyairline.com/playas-de-piura/</x:v>
      </x:c>
      <x:c r="AA190" s="4" t="str">
        <x:v>https://blog.skyairline.com/playas-de-piura/
https://blog.skyairline.com/playas-de-piura</x:v>
      </x:c>
      <x:c r="AB190" s="4" t="str">
        <x:v>Alias slash agregado</x:v>
      </x:c>
      <x:c r="AC190" s="4" t="str">
        <x:v>Publicado hasta septiembre</x:v>
      </x:c>
      <x:c r="AD190" s="4" t="str">
        <x:v>/playas-de-piura/</x:v>
      </x:c>
      <x:c r="AE190" s="4"/>
      <x:c r="AF190" s="16" t="b">
        <x:v>0</x:v>
      </x:c>
    </x:row>
    <x:row r="191" ht="44" customHeight="1">
      <x:c r="A191" s="4" t="n">
        <x:v>2231</x:v>
      </x:c>
      <x:c r="B191" s="4" t="str">
        <x:v>https://blog.skyairline.com/villa-de-leyva-desde-bogota/</x:v>
      </x:c>
      <x:c r="C191" s="9" t="str">
        <x:v>Aprende a llegar a Villa de Leyva desde Bogotá</x:v>
      </x:c>
      <x:c r="D191" s="17" t="d">
        <x:v>2022-08-25T00:00:00.000Z</x:v>
      </x:c>
      <x:c r="E191" s="17" t="d">
        <x:v>2022-08-25T00:00:00.000Z</x:v>
      </x:c>
      <x:c r="F191" s="4" t="str">
        <x:v>Destinos</x:v>
      </x:c>
      <x:c r="G191" s="11" t="n">
        <x:v>1086</x:v>
      </x:c>
      <x:c r="H191" s="11" t="n">
        <x:v>200</x:v>
      </x:c>
      <x:c r="I191" s="11" t="n">
        <x:v>1</x:v>
      </x:c>
      <x:c r="J191" s="4" t="str">
        <x:v>https://blog.skyairline.com/villa-de-leyva-desde-bogota/</x:v>
      </x:c>
      <x:c r="K191" s="16" t="b">
        <x:v>0</x:v>
      </x:c>
      <x:c r="L191" s="11" t="n">
        <x:v>0</x:v>
      </x:c>
      <x:c r="M191" s="11" t="n">
        <x:v>3</x:v>
      </x:c>
      <x:c r="N191" s="4"/>
      <x:c r="O191" s="4"/>
      <x:c r="P191" s="11" t="n">
        <x:v>15</x:v>
      </x:c>
      <x:c r="Q191" s="11" t="n">
        <x:v>11</x:v>
      </x:c>
      <x:c r="R191" s="11" t="n">
        <x:f>IF(OR(P191="",Q191=""),"",Q191-P191)</x:f>
        <x:v>-4</x:v>
      </x:c>
      <x:c r="S191" s="13" t="n">
        <x:f>IF(OR(P191="",Q191="",P191=0),"",((Q191/30)/(P191/31))-1)</x:f>
        <x:v>-0.24222222222222234</x:v>
      </x:c>
      <x:c r="T191" s="11" t="n">
        <x:v>11058</x:v>
      </x:c>
      <x:c r="U191" s="11" t="n">
        <x:v>6372</x:v>
      </x:c>
      <x:c r="V191" s="14" t="n">
        <x:v>0.001726302573760201</x:v>
      </x:c>
      <x:c r="W191" s="12" t="n">
        <x:v>8.857815442561204</x:v>
      </x:c>
      <x:c r="X191" s="11" t="n">
        <x:v>14</x:v>
      </x:c>
      <x:c r="Y191" s="11" t="n">
        <x:v>18</x:v>
      </x:c>
      <x:c r="Z191" s="4" t="str">
        <x:v>https://blog.skyairline.com/villa-de-leyva-desde-bogota/</x:v>
      </x:c>
      <x:c r="AA191" s="4" t="str">
        <x:v>https://blog.skyairline.com/villa-de-leyva-desde-bogota/</x:v>
      </x:c>
      <x:c r="AB191" s="4" t="str">
        <x:v>Coincidencia URL</x:v>
      </x:c>
      <x:c r="AC191" s="4" t="str">
        <x:v>Publicado hasta septiembre</x:v>
      </x:c>
      <x:c r="AD191" s="4" t="str">
        <x:v>/villa-de-leyva-desde-bogota/</x:v>
      </x:c>
      <x:c r="AE191" s="4"/>
      <x:c r="AF191" s="16" t="b">
        <x:v>0</x:v>
      </x:c>
    </x:row>
    <x:row r="192" ht="44" customHeight="1">
      <x:c r="A192" s="4" t="n">
        <x:v>2451</x:v>
      </x:c>
      <x:c r="B192" s="4" t="str">
        <x:v>https://blog.skyairline.com/navidad-en-chile-2/</x:v>
      </x:c>
      <x:c r="C192" s="9" t="str">
        <x:v>12 lugares imperdibles para viajar en Navidad en Chile</x:v>
      </x:c>
      <x:c r="D192" s="17" t="d">
        <x:v>2022-11-04T00:00:00.000Z</x:v>
      </x:c>
      <x:c r="E192" s="17" t="d">
        <x:v>2022-11-04T00:00:00.000Z</x:v>
      </x:c>
      <x:c r="F192" s="4" t="str">
        <x:v>Destinos</x:v>
      </x:c>
      <x:c r="G192" s="11" t="n">
        <x:v>1011</x:v>
      </x:c>
      <x:c r="H192" s="11" t="n">
        <x:v>200</x:v>
      </x:c>
      <x:c r="I192" s="11" t="n">
        <x:v>1</x:v>
      </x:c>
      <x:c r="J192" s="4" t="str">
        <x:v>https://blog.skyairline.com/navidad-en-chile-2/</x:v>
      </x:c>
      <x:c r="K192" s="16" t="b">
        <x:v>0</x:v>
      </x:c>
      <x:c r="L192" s="11" t="n">
        <x:v>0</x:v>
      </x:c>
      <x:c r="M192" s="11" t="n">
        <x:v>3</x:v>
      </x:c>
      <x:c r="N192" s="4"/>
      <x:c r="O192" s="4"/>
      <x:c r="P192" s="11" t="n">
        <x:v>6</x:v>
      </x:c>
      <x:c r="Q192" s="11" t="n">
        <x:v>11</x:v>
      </x:c>
      <x:c r="R192" s="11" t="n">
        <x:f>IF(OR(P192="",Q192=""),"",Q192-P192)</x:f>
        <x:v>5</x:v>
      </x:c>
      <x:c r="S192" s="13" t="n">
        <x:f>IF(OR(P192="",Q192="",P192=0),"",((Q192/30)/(P192/31))-1)</x:f>
        <x:v>0.8944444444444444</x:v>
      </x:c>
      <x:c r="T192" s="11" t="n">
        <x:v>436</x:v>
      </x:c>
      <x:c r="U192" s="11" t="n">
        <x:v>624</x:v>
      </x:c>
      <x:c r="V192" s="14" t="n">
        <x:v>0.017628205128205128</x:v>
      </x:c>
      <x:c r="W192" s="12" t="n">
        <x:v>10.134615384615385</x:v>
      </x:c>
      <x:c r="X192" s="11" t="n">
        <x:v>13</x:v>
      </x:c>
      <x:c r="Y192" s="11" t="n">
        <x:v>17</x:v>
      </x:c>
      <x:c r="Z192" s="4" t="str">
        <x:v>https://blog.skyairline.com/navidad-en-chile-2/</x:v>
      </x:c>
      <x:c r="AA192" s="4" t="str">
        <x:v>https://blog.skyairline.com/navidad-en-chile-2/</x:v>
      </x:c>
      <x:c r="AB192" s="4" t="str">
        <x:v>Coincidencia URL</x:v>
      </x:c>
      <x:c r="AC192" s="4" t="str">
        <x:v>Publicado hasta septiembre</x:v>
      </x:c>
      <x:c r="AD192" s="4" t="str">
        <x:v>/navidad-en-chile-2/</x:v>
      </x:c>
      <x:c r="AE192" s="4"/>
      <x:c r="AF192" s="16" t="b">
        <x:v>0</x:v>
      </x:c>
    </x:row>
    <x:row r="193" ht="44" customHeight="1">
      <x:c r="A193" s="4" t="n">
        <x:v>2751</x:v>
      </x:c>
      <x:c r="B193" s="4" t="str">
        <x:v>https://blog.skyairline.com/vuelos-baratos-a-argentina/</x:v>
      </x:c>
      <x:c r="C193" s="9" t="str">
        <x:v>Vuelos baratos a Argentina: ¿Cuándo es el mejor mes para viajar?</x:v>
      </x:c>
      <x:c r="D193" s="17" t="d">
        <x:v>2023-03-18T00:00:00.000Z</x:v>
      </x:c>
      <x:c r="E193" s="17" t="d">
        <x:v>2023-03-18T00:00:00.000Z</x:v>
      </x:c>
      <x:c r="F193" s="4" t="str">
        <x:v>Planificación de Viaje</x:v>
      </x:c>
      <x:c r="G193" s="11" t="n">
        <x:v>1013</x:v>
      </x:c>
      <x:c r="H193" s="11" t="n">
        <x:v>200</x:v>
      </x:c>
      <x:c r="I193" s="11" t="n">
        <x:v>1</x:v>
      </x:c>
      <x:c r="J193" s="4" t="str">
        <x:v>https://blog.skyairline.com/vuelos-baratos-a-argentina/</x:v>
      </x:c>
      <x:c r="K193" s="16" t="b">
        <x:v>0</x:v>
      </x:c>
      <x:c r="L193" s="11" t="n">
        <x:v>0</x:v>
      </x:c>
      <x:c r="M193" s="11" t="n">
        <x:v>3</x:v>
      </x:c>
      <x:c r="N193" s="4"/>
      <x:c r="O193" s="4"/>
      <x:c r="P193" s="11" t="n">
        <x:v>5</x:v>
      </x:c>
      <x:c r="Q193" s="11" t="n">
        <x:v>11</x:v>
      </x:c>
      <x:c r="R193" s="11" t="n">
        <x:f>IF(OR(P193="",Q193=""),"",Q193-P193)</x:f>
        <x:v>6</x:v>
      </x:c>
      <x:c r="S193" s="13" t="n">
        <x:f>IF(OR(P193="",Q193="",P193=0),"",((Q193/30)/(P193/31))-1)</x:f>
        <x:v>1.2733333333333334</x:v>
      </x:c>
      <x:c r="T193" s="11" t="n">
        <x:v>830</x:v>
      </x:c>
      <x:c r="U193" s="11" t="n">
        <x:v>901</x:v>
      </x:c>
      <x:c r="V193" s="14" t="n">
        <x:v>0.01220865704772475</x:v>
      </x:c>
      <x:c r="W193" s="12" t="n">
        <x:v>6.1931187569367365</x:v>
      </x:c>
      <x:c r="X193" s="11" t="n">
        <x:v>10</x:v>
      </x:c>
      <x:c r="Y193" s="11" t="n">
        <x:v>11</x:v>
      </x:c>
      <x:c r="Z193" s="4" t="str">
        <x:v>https://blog.skyairline.com/vuelos-baratos-a-argentina/</x:v>
      </x:c>
      <x:c r="AA193" s="4" t="str">
        <x:v>https://blog.skyairline.com/vuelos-baratos-a-argentina/</x:v>
      </x:c>
      <x:c r="AB193" s="4" t="str">
        <x:v>Coincidencia URL</x:v>
      </x:c>
      <x:c r="AC193" s="4" t="str">
        <x:v>Publicado hasta septiembre</x:v>
      </x:c>
      <x:c r="AD193" s="4" t="str">
        <x:v>/vuelos-baratos-a-argentina/</x:v>
      </x:c>
      <x:c r="AE193" s="4"/>
      <x:c r="AF193" s="16" t="b">
        <x:v>0</x:v>
      </x:c>
    </x:row>
    <x:row r="194" ht="44" customHeight="1">
      <x:c r="A194" s="4" t="n">
        <x:v>3055</x:v>
      </x:c>
      <x:c r="B194" s="4" t="str">
        <x:v>https://blog.skyairline.com/cuando-comienza-el-invierno-en-chile/</x:v>
      </x:c>
      <x:c r="C194" s="9" t="str">
        <x:v>Cuándo empieza el invierno en Chile: qué significa y cómo planear una escapada</x:v>
      </x:c>
      <x:c r="D194" s="17" t="d">
        <x:v>2026-03-14T00:00:00.000Z</x:v>
      </x:c>
      <x:c r="E194" s="17" t="d">
        <x:v>2026-03-10T00:00:00.000Z</x:v>
      </x:c>
      <x:c r="F194" s="4" t="str">
        <x:v>Destinos</x:v>
      </x:c>
      <x:c r="G194" s="11" t="n">
        <x:v>1075</x:v>
      </x:c>
      <x:c r="H194" s="11" t="n">
        <x:v>200</x:v>
      </x:c>
      <x:c r="I194" s="11" t="n">
        <x:v>2</x:v>
      </x:c>
      <x:c r="J194" s="4" t="str">
        <x:v>https://blog.skyairline.com/cuando-comienza-el-invierno-en-chile/</x:v>
      </x:c>
      <x:c r="K194" s="16" t="b">
        <x:v>0</x:v>
      </x:c>
      <x:c r="L194" s="11" t="n">
        <x:v>0</x:v>
      </x:c>
      <x:c r="M194" s="11" t="n">
        <x:v>0</x:v>
      </x:c>
      <x:c r="N194" s="4"/>
      <x:c r="O194" s="4"/>
      <x:c r="P194" s="11" t="n">
        <x:v>29</x:v>
      </x:c>
      <x:c r="Q194" s="11" t="n">
        <x:v>11</x:v>
      </x:c>
      <x:c r="R194" s="11" t="n">
        <x:f>IF(OR(P194="",Q194=""),"",Q194-P194)</x:f>
        <x:v>-18</x:v>
      </x:c>
      <x:c r="S194" s="13" t="n">
        <x:f>IF(OR(P194="",Q194="",P194=0),"",((Q194/30)/(P194/31))-1)</x:f>
        <x:v>-0.6080459770114943</x:v>
      </x:c>
      <x:c r="T194" s="11" t="n">
        <x:v>14306</x:v>
      </x:c>
      <x:c r="U194" s="11" t="n">
        <x:v>3826</x:v>
      </x:c>
      <x:c r="V194" s="14" t="n">
        <x:v>0.002875065342394145</x:v>
      </x:c>
      <x:c r="W194" s="12" t="n">
        <x:v>6.653423941453215</x:v>
      </x:c>
      <x:c r="X194" s="11" t="n">
        <x:v>15</x:v>
      </x:c>
      <x:c r="Y194" s="11" t="n">
        <x:v>14</x:v>
      </x:c>
      <x:c r="Z194" s="4" t="str">
        <x:v>https://blog.skyairline.com/cuando-comienza-el-invierno-en-chile/</x:v>
      </x:c>
      <x:c r="AA194" s="4" t="str">
        <x:v>https://blog.skyairline.com/cuando-comienza-el-invierno-en-chile/
https://blog.skyairline.com/cuando-comienza-el-invierno-en-chile</x:v>
      </x:c>
      <x:c r="AB194" s="4" t="str">
        <x:v>Alias slash agregado</x:v>
      </x:c>
      <x:c r="AC194" s="4" t="str">
        <x:v>Publicado hasta septiembre</x:v>
      </x:c>
      <x:c r="AD194" s="4" t="str">
        <x:v>/cuando-comienza-el-invierno-en-chile/</x:v>
      </x:c>
      <x:c r="AE194" s="4"/>
      <x:c r="AF194" s="16" t="b">
        <x:v>0</x:v>
      </x:c>
    </x:row>
    <x:row r="195" ht="44" customHeight="1">
      <x:c r="A195" s="4" t="n">
        <x:v>3365</x:v>
      </x:c>
      <x:c r="B195" s="4" t="str">
        <x:v>https://blog.skyairline.com/cosas-gratis-en-punta-cana/</x:v>
      </x:c>
      <x:c r="C195" s="9" t="str">
        <x:v>4 cosas gratis en Punta Cana que no puedes perderte</x:v>
      </x:c>
      <x:c r="D195" s="17" t="d">
        <x:v>2023-09-19T00:00:00.000Z</x:v>
      </x:c>
      <x:c r="E195" s="17" t="d">
        <x:v>2023-09-19T00:00:00.000Z</x:v>
      </x:c>
      <x:c r="F195" s="4" t="str">
        <x:v>Destinos</x:v>
      </x:c>
      <x:c r="G195" s="11" t="n">
        <x:v>1188</x:v>
      </x:c>
      <x:c r="H195" s="11" t="n">
        <x:v>200</x:v>
      </x:c>
      <x:c r="I195" s="11" t="n">
        <x:v>1</x:v>
      </x:c>
      <x:c r="J195" s="4" t="str">
        <x:v>https://blog.skyairline.com/cosas-gratis-en-punta-cana/</x:v>
      </x:c>
      <x:c r="K195" s="16" t="b">
        <x:v>0</x:v>
      </x:c>
      <x:c r="L195" s="11" t="n">
        <x:v>0</x:v>
      </x:c>
      <x:c r="M195" s="11" t="n">
        <x:v>5</x:v>
      </x:c>
      <x:c r="N195" s="4"/>
      <x:c r="O195" s="4"/>
      <x:c r="P195" s="11" t="n">
        <x:v>23</x:v>
      </x:c>
      <x:c r="Q195" s="11" t="n">
        <x:v>11</x:v>
      </x:c>
      <x:c r="R195" s="11" t="n">
        <x:f>IF(OR(P195="",Q195=""),"",Q195-P195)</x:f>
        <x:v>-12</x:v>
      </x:c>
      <x:c r="S195" s="13" t="n">
        <x:f>IF(OR(P195="",Q195="",P195=0),"",((Q195/30)/(P195/31))-1)</x:f>
        <x:v>-0.5057971014492755</x:v>
      </x:c>
      <x:c r="T195" s="11" t="n">
        <x:v>808</x:v>
      </x:c>
      <x:c r="U195" s="11" t="n">
        <x:v>684</x:v>
      </x:c>
      <x:c r="V195" s="14" t="n">
        <x:v>0.01608187134502924</x:v>
      </x:c>
      <x:c r="W195" s="12" t="n">
        <x:v>6.766081871345029</x:v>
      </x:c>
      <x:c r="X195" s="11" t="n">
        <x:v>14</x:v>
      </x:c>
      <x:c r="Y195" s="11" t="n">
        <x:v>14</x:v>
      </x:c>
      <x:c r="Z195" s="4" t="str">
        <x:v>https://blog.skyairline.com/cosas-gratis-en-punta-cana/</x:v>
      </x:c>
      <x:c r="AA195" s="4" t="str">
        <x:v>https://blog.skyairline.com/cosas-gratis-en-punta-cana/</x:v>
      </x:c>
      <x:c r="AB195" s="4" t="str">
        <x:v>Coincidencia URL</x:v>
      </x:c>
      <x:c r="AC195" s="4" t="str">
        <x:v>Publicado hasta septiembre</x:v>
      </x:c>
      <x:c r="AD195" s="4" t="str">
        <x:v>/cosas-gratis-en-punta-cana/</x:v>
      </x:c>
      <x:c r="AE195" s="4"/>
      <x:c r="AF195" s="16" t="b">
        <x:v>0</x:v>
      </x:c>
    </x:row>
    <x:row r="196" ht="44" customHeight="1">
      <x:c r="A196" s="4" t="n">
        <x:v>3595</x:v>
      </x:c>
      <x:c r="B196" s="4" t="str">
        <x:v>https://blog.skyairline.com/turismo-brasil/</x:v>
      </x:c>
      <x:c r="C196" s="9" t="str">
        <x:v>Turismo en Brasil: 5 destinos baratos a los que puedes volar con nosotros</x:v>
      </x:c>
      <x:c r="D196" s="17" t="d">
        <x:v>2023-11-06T00:00:00.000Z</x:v>
      </x:c>
      <x:c r="E196" s="17" t="d">
        <x:v>2023-11-06T00:00:00.000Z</x:v>
      </x:c>
      <x:c r="F196" s="4" t="str">
        <x:v>Destinos</x:v>
      </x:c>
      <x:c r="G196" s="11" t="n">
        <x:v>1070</x:v>
      </x:c>
      <x:c r="H196" s="11" t="n">
        <x:v>200</x:v>
      </x:c>
      <x:c r="I196" s="11" t="n">
        <x:v>1</x:v>
      </x:c>
      <x:c r="J196" s="4" t="str">
        <x:v>https://blog.skyairline.com/turismo-brasil/</x:v>
      </x:c>
      <x:c r="K196" s="16" t="b">
        <x:v>0</x:v>
      </x:c>
      <x:c r="L196" s="11" t="n">
        <x:v>0</x:v>
      </x:c>
      <x:c r="M196" s="11" t="n">
        <x:v>3</x:v>
      </x:c>
      <x:c r="N196" s="4"/>
      <x:c r="O196" s="4"/>
      <x:c r="P196" s="11" t="n">
        <x:v>6</x:v>
      </x:c>
      <x:c r="Q196" s="11" t="n">
        <x:v>11</x:v>
      </x:c>
      <x:c r="R196" s="11" t="n">
        <x:f>IF(OR(P196="",Q196=""),"",Q196-P196)</x:f>
        <x:v>5</x:v>
      </x:c>
      <x:c r="S196" s="13" t="n">
        <x:f>IF(OR(P196="",Q196="",P196=0),"",((Q196/30)/(P196/31))-1)</x:f>
        <x:v>0.8944444444444444</x:v>
      </x:c>
      <x:c r="T196" s="11" t="n">
        <x:v>827</x:v>
      </x:c>
      <x:c r="U196" s="11" t="n">
        <x:v>938</x:v>
      </x:c>
      <x:c r="V196" s="14" t="n">
        <x:v>0.011727078891257996</x:v>
      </x:c>
      <x:c r="W196" s="12" t="n">
        <x:v>9.044776119402986</x:v>
      </x:c>
      <x:c r="X196" s="11" t="n">
        <x:v>10</x:v>
      </x:c>
      <x:c r="Y196" s="11" t="n">
        <x:v>15</x:v>
      </x:c>
      <x:c r="Z196" s="4" t="str">
        <x:v>https://blog.skyairline.com/turismo-brasil/</x:v>
      </x:c>
      <x:c r="AA196" s="4" t="str">
        <x:v>https://blog.skyairline.com/turismo-brasil/</x:v>
      </x:c>
      <x:c r="AB196" s="4" t="str">
        <x:v>Coincidencia URL</x:v>
      </x:c>
      <x:c r="AC196" s="4" t="str">
        <x:v>Publicado hasta septiembre</x:v>
      </x:c>
      <x:c r="AD196" s="4" t="str">
        <x:v>/turismo-brasil/</x:v>
      </x:c>
      <x:c r="AE196" s="4"/>
      <x:c r="AF196" s="16" t="b">
        <x:v>1</x:v>
      </x:c>
    </x:row>
    <x:row r="197" ht="44" customHeight="1">
      <x:c r="A197" s="4" t="n">
        <x:v>4717</x:v>
      </x:c>
      <x:c r="B197" s="4" t="str">
        <x:v>https://blog.skyairline.com/montevideo-es-seguro/</x:v>
      </x:c>
      <x:c r="C197" s="9" t="str">
        <x:v>Viaje a Montevideo: 5 consejos para tu viaje</x:v>
      </x:c>
      <x:c r="D197" s="17" t="d">
        <x:v>2026-08-25T00:00:00.000Z</x:v>
      </x:c>
      <x:c r="E197" s="17" t="d">
        <x:v>2026-08-21T00:00:00.000Z</x:v>
      </x:c>
      <x:c r="F197" s="4" t="str">
        <x:v>Destinos</x:v>
      </x:c>
      <x:c r="G197" s="11" t="n">
        <x:v>1003</x:v>
      </x:c>
      <x:c r="H197" s="11" t="n">
        <x:v>200</x:v>
      </x:c>
      <x:c r="I197" s="11" t="n">
        <x:v>1</x:v>
      </x:c>
      <x:c r="J197" s="4" t="str">
        <x:v>https://blog.skyairline.com/montevideo-es-seguro/</x:v>
      </x:c>
      <x:c r="K197" s="16" t="b">
        <x:v>0</x:v>
      </x:c>
      <x:c r="L197" s="11" t="n">
        <x:v>0</x:v>
      </x:c>
      <x:c r="M197" s="11" t="n">
        <x:v>0</x:v>
      </x:c>
      <x:c r="N197" s="4"/>
      <x:c r="O197" s="4"/>
      <x:c r="P197" s="11" t="n">
        <x:v>3</x:v>
      </x:c>
      <x:c r="Q197" s="11" t="n">
        <x:v>11</x:v>
      </x:c>
      <x:c r="R197" s="11" t="n">
        <x:f>IF(OR(P197="",Q197=""),"",Q197-P197)</x:f>
        <x:v>8</x:v>
      </x:c>
      <x:c r="S197" s="13" t="n">
        <x:f>IF(OR(P197="",Q197="",P197=0),"",((Q197/30)/(P197/31))-1)</x:f>
        <x:v>2.7888888888888888</x:v>
      </x:c>
      <x:c r="T197" s="11" t="n">
        <x:v>541</x:v>
      </x:c>
      <x:c r="U197" s="11" t="n">
        <x:v>704</x:v>
      </x:c>
      <x:c r="V197" s="14" t="n">
        <x:v>0.015625</x:v>
      </x:c>
      <x:c r="W197" s="12" t="n">
        <x:v>5.21875</x:v>
      </x:c>
      <x:c r="X197" s="11" t="n">
        <x:v>17</x:v>
      </x:c>
      <x:c r="Y197" s="11" t="n">
        <x:v>25</x:v>
      </x:c>
      <x:c r="Z197" s="4" t="str">
        <x:v>https://blog.skyairline.com/montevideo-es-seguro/</x:v>
      </x:c>
      <x:c r="AA197" s="4" t="str">
        <x:v>https://blog.skyairline.com/montevideo-es-seguro/</x:v>
      </x:c>
      <x:c r="AB197" s="4" t="str">
        <x:v>Coincidencia URL</x:v>
      </x:c>
      <x:c r="AC197" s="4" t="str">
        <x:v>Publicado hasta septiembre</x:v>
      </x:c>
      <x:c r="AD197" s="4" t="str">
        <x:v>/montevideo-es-seguro/</x:v>
      </x:c>
      <x:c r="AE197" s="4"/>
      <x:c r="AF197" s="16" t="b">
        <x:v>0</x:v>
      </x:c>
    </x:row>
    <x:row r="198" ht="44" customHeight="1">
      <x:c r="A198" s="4" t="n">
        <x:v>5989</x:v>
      </x:c>
      <x:c r="B198" s="4" t="str">
        <x:v>https://blog.skyairline.com/arboles-nativos-del-sur-de-chile-especies-y-caracteristicas/</x:v>
      </x:c>
      <x:c r="C198" s="9" t="str">
        <x:v>Árboles nativos del sur de Chile: especies y características</x:v>
      </x:c>
      <x:c r="D198" s="17" t="d">
        <x:v>2025-05-01T00:00:00.000Z</x:v>
      </x:c>
      <x:c r="E198" s="17" t="d">
        <x:v>2025-05-01T00:00:00.000Z</x:v>
      </x:c>
      <x:c r="F198" s="4" t="str">
        <x:v>Destinos</x:v>
      </x:c>
      <x:c r="G198" s="11" t="n">
        <x:v>1022</x:v>
      </x:c>
      <x:c r="H198" s="11" t="n">
        <x:v>200</x:v>
      </x:c>
      <x:c r="I198" s="11" t="n">
        <x:v>1</x:v>
      </x:c>
      <x:c r="J198" s="4" t="str">
        <x:v>https://blog.skyairline.com/arboles-nativos-del-sur-de-chile-especies-y-caracteristicas/</x:v>
      </x:c>
      <x:c r="K198" s="16" t="b">
        <x:v>0</x:v>
      </x:c>
      <x:c r="L198" s="11" t="n">
        <x:v>0</x:v>
      </x:c>
      <x:c r="M198" s="11" t="n">
        <x:v>0</x:v>
      </x:c>
      <x:c r="N198" s="4"/>
      <x:c r="O198" s="4"/>
      <x:c r="P198" s="11" t="n">
        <x:v>15</x:v>
      </x:c>
      <x:c r="Q198" s="11" t="n">
        <x:v>11</x:v>
      </x:c>
      <x:c r="R198" s="11" t="n">
        <x:f>IF(OR(P198="",Q198=""),"",Q198-P198)</x:f>
        <x:v>-4</x:v>
      </x:c>
      <x:c r="S198" s="13" t="n">
        <x:f>IF(OR(P198="",Q198="",P198=0),"",((Q198/30)/(P198/31))-1)</x:f>
        <x:v>-0.24222222222222234</x:v>
      </x:c>
      <x:c r="T198" s="11" t="n">
        <x:v>1820</x:v>
      </x:c>
      <x:c r="U198" s="11" t="n">
        <x:v>1248</x:v>
      </x:c>
      <x:c r="V198" s="14" t="n">
        <x:v>0.008814102564102564</x:v>
      </x:c>
      <x:c r="W198" s="12" t="n">
        <x:v>8.044871794871796</x:v>
      </x:c>
      <x:c r="X198" s="11" t="n">
        <x:v>17</x:v>
      </x:c>
      <x:c r="Y198" s="11" t="n">
        <x:v>20</x:v>
      </x:c>
      <x:c r="Z198" s="4" t="str">
        <x:v>https://blog.skyairline.com/arboles-nativos-del-sur-de-chile-especies-y-caracteristicas/</x:v>
      </x:c>
      <x:c r="AA198" s="4" t="str">
        <x:v>https://blog.skyairline.com/arboles-nativos-del-sur-de-chile-especies-y-caracteristicas/
https://blog.skyairline.com/arboles-nativos-del-sur-de-chile-especies-y-caracteristicas</x:v>
      </x:c>
      <x:c r="AB198" s="4" t="str">
        <x:v>Alias slash agregado</x:v>
      </x:c>
      <x:c r="AC198" s="4" t="str">
        <x:v>Publicado hasta septiembre</x:v>
      </x:c>
      <x:c r="AD198" s="4" t="str">
        <x:v>/arboles-nativos-del-sur-de-chile-especies-y-caracteristicas/</x:v>
      </x:c>
      <x:c r="AE198" s="4"/>
      <x:c r="AF198" s="16" t="b">
        <x:v>0</x:v>
      </x:c>
    </x:row>
    <x:row r="199" ht="44" customHeight="1">
      <x:c r="A199" s="4" t="n">
        <x:v>6354</x:v>
      </x:c>
      <x:c r="B199" s="4" t="str">
        <x:v>https://blog.skyairline.com/viaje-a-ushuaia/</x:v>
      </x:c>
      <x:c r="C199" s="9" t="str">
        <x:v>Cómo organizar un viaje a Ushuaia desde Chile</x:v>
      </x:c>
      <x:c r="D199" s="17" t="d">
        <x:v>2025-07-22T00:00:00.000Z</x:v>
      </x:c>
      <x:c r="E199" s="17" t="d">
        <x:v>2025-07-22T00:00:00.000Z</x:v>
      </x:c>
      <x:c r="F199" s="4" t="str">
        <x:v>Planificación de Viaje</x:v>
      </x:c>
      <x:c r="G199" s="11" t="n">
        <x:v>1243</x:v>
      </x:c>
      <x:c r="H199" s="11" t="n">
        <x:v>200</x:v>
      </x:c>
      <x:c r="I199" s="11" t="n">
        <x:v>1</x:v>
      </x:c>
      <x:c r="J199" s="4" t="str">
        <x:v>https://blog.skyairline.com/viaje-a-ushuaia/</x:v>
      </x:c>
      <x:c r="K199" s="16" t="b">
        <x:v>0</x:v>
      </x:c>
      <x:c r="L199" s="11" t="n">
        <x:v>0</x:v>
      </x:c>
      <x:c r="M199" s="11" t="n">
        <x:v>2</x:v>
      </x:c>
      <x:c r="N199" s="4"/>
      <x:c r="O199" s="4"/>
      <x:c r="P199" s="11" t="n">
        <x:v>26</x:v>
      </x:c>
      <x:c r="Q199" s="11" t="n">
        <x:v>11</x:v>
      </x:c>
      <x:c r="R199" s="11" t="n">
        <x:f>IF(OR(P199="",Q199=""),"",Q199-P199)</x:f>
        <x:v>-15</x:v>
      </x:c>
      <x:c r="S199" s="13" t="n">
        <x:f>IF(OR(P199="",Q199="",P199=0),"",((Q199/30)/(P199/31))-1)</x:f>
        <x:v>-0.5628205128205128</x:v>
      </x:c>
      <x:c r="T199" s="11" t="n">
        <x:v>1018</x:v>
      </x:c>
      <x:c r="U199" s="11" t="n">
        <x:v>787</x:v>
      </x:c>
      <x:c r="V199" s="14" t="n">
        <x:v>0.01397712833545108</x:v>
      </x:c>
      <x:c r="W199" s="12" t="n">
        <x:v>6.743329097839898</x:v>
      </x:c>
      <x:c r="X199" s="11" t="n">
        <x:v>16</x:v>
      </x:c>
      <x:c r="Y199" s="11" t="n">
        <x:v>19</x:v>
      </x:c>
      <x:c r="Z199" s="4" t="str">
        <x:v>https://blog.skyairline.com/viaje-a-ushuaia/</x:v>
      </x:c>
      <x:c r="AA199" s="4" t="str">
        <x:v>https://blog.skyairline.com/viaje-a-ushuaia/</x:v>
      </x:c>
      <x:c r="AB199" s="4" t="str">
        <x:v>Coincidencia URL</x:v>
      </x:c>
      <x:c r="AC199" s="4" t="str">
        <x:v>Publicado hasta septiembre</x:v>
      </x:c>
      <x:c r="AD199" s="4" t="str">
        <x:v>/viaje-a-ushuaia/</x:v>
      </x:c>
      <x:c r="AE199" s="4"/>
      <x:c r="AF199" s="16" t="b">
        <x:v>0</x:v>
      </x:c>
    </x:row>
    <x:row r="200" ht="44" customHeight="1">
      <x:c r="A200" s="4" t="n">
        <x:v>6361</x:v>
      </x:c>
      <x:c r="B200" s="4" t="str">
        <x:v>https://blog.skyairline.com/ilha-do-campeche/</x:v>
      </x:c>
      <x:c r="C200" s="9" t="str">
        <x:v>Cómo llegar y qué ver en Ilha do Campeche</x:v>
      </x:c>
      <x:c r="D200" s="17" t="d">
        <x:v>2025-10-08T00:00:00.000Z</x:v>
      </x:c>
      <x:c r="E200" s="17" t="d">
        <x:v>2026-01-12T00:00:00.000Z</x:v>
      </x:c>
      <x:c r="F200" s="4" t="str">
        <x:v>Destinos</x:v>
      </x:c>
      <x:c r="G200" s="11" t="n">
        <x:v>942</x:v>
      </x:c>
      <x:c r="H200" s="11" t="n">
        <x:v>200</x:v>
      </x:c>
      <x:c r="I200" s="11" t="n">
        <x:v>1</x:v>
      </x:c>
      <x:c r="J200" s="4" t="str">
        <x:v>https://blog.skyairline.com/ilha-do-campeche/</x:v>
      </x:c>
      <x:c r="K200" s="16" t="b">
        <x:v>0</x:v>
      </x:c>
      <x:c r="L200" s="11" t="n">
        <x:v>0</x:v>
      </x:c>
      <x:c r="M200" s="11" t="n">
        <x:v>3</x:v>
      </x:c>
      <x:c r="N200" s="4"/>
      <x:c r="O200" s="4"/>
      <x:c r="P200" s="11" t="n">
        <x:v>10</x:v>
      </x:c>
      <x:c r="Q200" s="11" t="n">
        <x:v>11</x:v>
      </x:c>
      <x:c r="R200" s="11" t="n">
        <x:f>IF(OR(P200="",Q200=""),"",Q200-P200)</x:f>
        <x:v>1</x:v>
      </x:c>
      <x:c r="S200" s="13" t="n">
        <x:f>IF(OR(P200="",Q200="",P200=0),"",((Q200/30)/(P200/31))-1)</x:f>
        <x:v>0.13666666666666671</x:v>
      </x:c>
      <x:c r="T200" s="11" t="n">
        <x:v>3271</x:v>
      </x:c>
      <x:c r="U200" s="11" t="n">
        <x:v>3285</x:v>
      </x:c>
      <x:c r="V200" s="14" t="n">
        <x:v>0.0033485540334855404</x:v>
      </x:c>
      <x:c r="W200" s="12" t="n">
        <x:v>9.92724505327245</x:v>
      </x:c>
      <x:c r="X200" s="11" t="n">
        <x:v>12</x:v>
      </x:c>
      <x:c r="Y200" s="11" t="n">
        <x:v>12</x:v>
      </x:c>
      <x:c r="Z200" s="4" t="str">
        <x:v>https://blog.skyairline.com/ilha-do-campeche/</x:v>
      </x:c>
      <x:c r="AA200" s="4" t="str">
        <x:v>https://blog.skyairline.com/ilha-do-campeche/</x:v>
      </x:c>
      <x:c r="AB200" s="4" t="str">
        <x:v>Coincidencia URL</x:v>
      </x:c>
      <x:c r="AC200" s="4" t="str">
        <x:v>Publicado hasta septiembre</x:v>
      </x:c>
      <x:c r="AD200" s="4" t="str">
        <x:v>/ilha-do-campeche/</x:v>
      </x:c>
      <x:c r="AE200" s="4"/>
      <x:c r="AF200" s="16" t="b">
        <x:v>0</x:v>
      </x:c>
    </x:row>
    <x:row r="201" ht="44" customHeight="1">
      <x:c r="A201" s="4" t="n">
        <x:v>6798</x:v>
      </x:c>
      <x:c r="B201" s="4" t="str">
        <x:v>https://blog.skyairline.com/nuevo-programa-de-fidelizacion-exclusivo-para-clientes-corporativos-sky-plus-empresas-2/</x:v>
      </x:c>
      <x:c r="C201" s="9" t="str">
        <x:v>Nuevo programa de fidelización exclusivo para clientes corporativos: SKY Plus Empresas</x:v>
      </x:c>
      <x:c r="D201" s="17" t="d">
        <x:v>2025-08-12T00:00:00.000Z</x:v>
      </x:c>
      <x:c r="E201" s="17" t="d">
        <x:v>2025-08-12T00:00:00.000Z</x:v>
      </x:c>
      <x:c r="F201" s="4" t="str">
        <x:v>Noticias</x:v>
      </x:c>
      <x:c r="G201" s="11" t="n">
        <x:v>394</x:v>
      </x:c>
      <x:c r="H201" s="11" t="n">
        <x:v>200</x:v>
      </x:c>
      <x:c r="I201" s="11" t="n">
        <x:v>1</x:v>
      </x:c>
      <x:c r="J201" s="4" t="str">
        <x:v>https://blog.skyairline.com/nuevo-programa-de-fidelizacion-exclusivo-para-clientes-corporativos-sky-plus-empresas-2/</x:v>
      </x:c>
      <x:c r="K201" s="16" t="b">
        <x:v>0</x:v>
      </x:c>
      <x:c r="L201" s="11" t="n">
        <x:v>0</x:v>
      </x:c>
      <x:c r="M201" s="11" t="n">
        <x:v>0</x:v>
      </x:c>
      <x:c r="N201" s="4" t="str">
        <x:v>T05</x:v>
      </x:c>
      <x:c r="O201" s="4"/>
      <x:c r="P201" s="11" t="n">
        <x:v>17</x:v>
      </x:c>
      <x:c r="Q201" s="11" t="n">
        <x:v>11</x:v>
      </x:c>
      <x:c r="R201" s="11" t="n">
        <x:f>IF(OR(P201="",Q201=""),"",Q201-P201)</x:f>
        <x:v>-6</x:v>
      </x:c>
      <x:c r="S201" s="13" t="n">
        <x:f>IF(OR(P201="",Q201="",P201=0),"",((Q201/30)/(P201/31))-1)</x:f>
        <x:v>-0.3313725490196079</x:v>
      </x:c>
      <x:c r="T201" s="11" t="n">
        <x:v>3526</x:v>
      </x:c>
      <x:c r="U201" s="11" t="n">
        <x:v>1890</x:v>
      </x:c>
      <x:c r="V201" s="14" t="n">
        <x:v>0.00582010582010582</x:v>
      </x:c>
      <x:c r="W201" s="12" t="n">
        <x:v>6.904232804232804</x:v>
      </x:c>
      <x:c r="X201" s="11" t="n">
        <x:v>7</x:v>
      </x:c>
      <x:c r="Y201" s="11" t="n">
        <x:v>8</x:v>
      </x:c>
      <x:c r="Z201" s="4" t="str">
        <x:v>https://blog.skyairline.com/nuevo-programa-de-fidelizacion-exclusivo-para-clientes-corporativos-sky-plus-empresas-2/</x:v>
      </x:c>
      <x:c r="AA201" s="4" t="str">
        <x:v>https://blog.skyairline.com/nuevo-programa-de-fidelizacion-exclusivo-para-clientes-corporativos-sky-plus-empresas-2/</x:v>
      </x:c>
      <x:c r="AB201" s="4" t="str">
        <x:v>Coincidencia URL</x:v>
      </x:c>
      <x:c r="AC201" s="4" t="str">
        <x:v>Publicado hasta septiembre</x:v>
      </x:c>
      <x:c r="AD201" s="4" t="str">
        <x:v>/nuevo-programa-de-fidelizacion-exclusivo-para-clientes-corporativos-sky-plus-empresas-2/</x:v>
      </x:c>
      <x:c r="AE201" s="4"/>
      <x:c r="AF201" s="16" t="b">
        <x:v>0</x:v>
      </x:c>
    </x:row>
    <x:row r="202" ht="44" customHeight="1">
      <x:c r="A202" s="4" t="n">
        <x:v>8098</x:v>
      </x:c>
      <x:c r="B202" s="4" t="str">
        <x:v>https://blog.skyairline.com/selva-peruana/</x:v>
      </x:c>
      <x:c r="C202" s="9" t="str">
        <x:v>Selva peruana: descubre sus ciudades, parajes y cómo llegar en avión</x:v>
      </x:c>
      <x:c r="D202" s="17" t="d">
        <x:v>2026-01-08T00:00:00.000Z</x:v>
      </x:c>
      <x:c r="E202" s="17" t="d">
        <x:v>2025-12-29T00:00:00.000Z</x:v>
      </x:c>
      <x:c r="F202" s="4" t="str">
        <x:v>Planificación de Viaje</x:v>
      </x:c>
      <x:c r="G202" s="11" t="n">
        <x:v>1139</x:v>
      </x:c>
      <x:c r="H202" s="11" t="n">
        <x:v>200</x:v>
      </x:c>
      <x:c r="I202" s="11" t="n">
        <x:v>1</x:v>
      </x:c>
      <x:c r="J202" s="4" t="str">
        <x:v>https://blog.skyairline.com/selva-peruana/</x:v>
      </x:c>
      <x:c r="K202" s="16" t="b">
        <x:v>0</x:v>
      </x:c>
      <x:c r="L202" s="11" t="n">
        <x:v>0</x:v>
      </x:c>
      <x:c r="M202" s="11" t="n">
        <x:v>0</x:v>
      </x:c>
      <x:c r="N202" s="4"/>
      <x:c r="O202" s="4"/>
      <x:c r="P202" s="11" t="n">
        <x:v>18</x:v>
      </x:c>
      <x:c r="Q202" s="11" t="n">
        <x:v>11</x:v>
      </x:c>
      <x:c r="R202" s="11" t="n">
        <x:f>IF(OR(P202="",Q202=""),"",Q202-P202)</x:f>
        <x:v>-7</x:v>
      </x:c>
      <x:c r="S202" s="13" t="n">
        <x:f>IF(OR(P202="",Q202="",P202=0),"",((Q202/30)/(P202/31))-1)</x:f>
        <x:v>-0.3685185185185186</x:v>
      </x:c>
      <x:c r="T202" s="11" t="n">
        <x:v>3271</x:v>
      </x:c>
      <x:c r="U202" s="11" t="n">
        <x:v>2222</x:v>
      </x:c>
      <x:c r="V202" s="14" t="n">
        <x:v>0.0049504950495049506</x:v>
      </x:c>
      <x:c r="W202" s="12" t="n">
        <x:v>8.163366336633663</x:v>
      </x:c>
      <x:c r="X202" s="11" t="n">
        <x:v>12</x:v>
      </x:c>
      <x:c r="Y202" s="11" t="n">
        <x:v>14</x:v>
      </x:c>
      <x:c r="Z202" s="4" t="str">
        <x:v>https://blog.skyairline.com/selva-peruana/</x:v>
      </x:c>
      <x:c r="AA202" s="4" t="str">
        <x:v>https://blog.skyairline.com/selva-peruana/</x:v>
      </x:c>
      <x:c r="AB202" s="4" t="str">
        <x:v>Coincidencia URL</x:v>
      </x:c>
      <x:c r="AC202" s="4" t="str">
        <x:v>Publicado hasta septiembre</x:v>
      </x:c>
      <x:c r="AD202" s="4" t="str">
        <x:v>/selva-peruana/</x:v>
      </x:c>
      <x:c r="AE202" s="4"/>
      <x:c r="AF202" s="16" t="b">
        <x:v>0</x:v>
      </x:c>
    </x:row>
    <x:row r="203" ht="44" customHeight="1">
      <x:c r="A203" s="4" t="n">
        <x:v>8585</x:v>
      </x:c>
      <x:c r="B203" s="4" t="str">
        <x:v>https://blog.skyairline.com/donde-queda-buzios/</x:v>
      </x:c>
      <x:c r="C203" s="9" t="str">
        <x:v>¿Dónde queda Búzios y cómo llegar? Guía simple para planear tu viaje</x:v>
      </x:c>
      <x:c r="D203" s="17" t="d">
        <x:v>2026-03-30T00:00:00.000Z</x:v>
      </x:c>
      <x:c r="E203" s="17" t="d">
        <x:v>2026-03-24T00:00:00.000Z</x:v>
      </x:c>
      <x:c r="F203" s="4" t="str">
        <x:v>Destinos, Planificación de Viaje</x:v>
      </x:c>
      <x:c r="G203" s="11" t="n">
        <x:v>1180</x:v>
      </x:c>
      <x:c r="H203" s="11" t="n">
        <x:v>200</x:v>
      </x:c>
      <x:c r="I203" s="11" t="n">
        <x:v>1</x:v>
      </x:c>
      <x:c r="J203" s="4" t="str">
        <x:v>https://blog.skyairline.com/donde-queda-buzios/</x:v>
      </x:c>
      <x:c r="K203" s="16" t="b">
        <x:v>0</x:v>
      </x:c>
      <x:c r="L203" s="11" t="n">
        <x:v>0</x:v>
      </x:c>
      <x:c r="M203" s="11" t="n">
        <x:v>0</x:v>
      </x:c>
      <x:c r="N203" s="4"/>
      <x:c r="O203" s="4"/>
      <x:c r="P203" s="11" t="n">
        <x:v>12</x:v>
      </x:c>
      <x:c r="Q203" s="11" t="n">
        <x:v>11</x:v>
      </x:c>
      <x:c r="R203" s="11" t="n">
        <x:f>IF(OR(P203="",Q203=""),"",Q203-P203)</x:f>
        <x:v>-1</x:v>
      </x:c>
      <x:c r="S203" s="13" t="n">
        <x:f>IF(OR(P203="",Q203="",P203=0),"",((Q203/30)/(P203/31))-1)</x:f>
        <x:v>-0.05277777777777781</x:v>
      </x:c>
      <x:c r="T203" s="11" t="n">
        <x:v>5231</x:v>
      </x:c>
      <x:c r="U203" s="11" t="n">
        <x:v>4629</x:v>
      </x:c>
      <x:c r="V203" s="14" t="n">
        <x:v>0.0023763231799524736</x:v>
      </x:c>
      <x:c r="W203" s="12" t="n">
        <x:v>7.980773385180385</x:v>
      </x:c>
      <x:c r="X203" s="11" t="n">
        <x:v>14</x:v>
      </x:c>
      <x:c r="Y203" s="11" t="n">
        <x:v>19</x:v>
      </x:c>
      <x:c r="Z203" s="4" t="str">
        <x:v>https://blog.skyairline.com/donde-queda-buzios/</x:v>
      </x:c>
      <x:c r="AA203" s="4" t="str">
        <x:v>https://blog.skyairline.com/donde-queda-buzios/</x:v>
      </x:c>
      <x:c r="AB203" s="4" t="str">
        <x:v>Coincidencia URL</x:v>
      </x:c>
      <x:c r="AC203" s="4" t="str">
        <x:v>Publicado hasta septiembre</x:v>
      </x:c>
      <x:c r="AD203" s="4" t="str">
        <x:v>/donde-queda-buzios/</x:v>
      </x:c>
      <x:c r="AE203" s="4"/>
      <x:c r="AF203" s="16" t="b">
        <x:v>0</x:v>
      </x:c>
    </x:row>
    <x:row r="204" ht="44" customHeight="1">
      <x:c r="A204" s="4" t="n">
        <x:v>8709</x:v>
      </x:c>
      <x:c r="B204" s="4" t="str">
        <x:v>https://blog.skyairline.com/aeropuerto-concepcion/</x:v>
      </x:c>
      <x:c r="C204" s="9" t="str">
        <x:v>Aeropuerto de Concepción (Carriel Sur): guía práctica para tu viaje</x:v>
      </x:c>
      <x:c r="D204" s="17" t="d">
        <x:v>2026-05-09T00:00:00.000Z</x:v>
      </x:c>
      <x:c r="E204" s="17" t="d">
        <x:v>2026-05-05T00:00:00.000Z</x:v>
      </x:c>
      <x:c r="F204" s="4" t="str">
        <x:v>Planificación de Viaje</x:v>
      </x:c>
      <x:c r="G204" s="11" t="n">
        <x:v>1029</x:v>
      </x:c>
      <x:c r="H204" s="11" t="n">
        <x:v>200</x:v>
      </x:c>
      <x:c r="I204" s="11" t="n">
        <x:v>1</x:v>
      </x:c>
      <x:c r="J204" s="4" t="str">
        <x:v>https://blog.skyairline.com/aeropuerto-concepcion/</x:v>
      </x:c>
      <x:c r="K204" s="16" t="b">
        <x:v>0</x:v>
      </x:c>
      <x:c r="L204" s="11" t="n">
        <x:v>0</x:v>
      </x:c>
      <x:c r="M204" s="11" t="n">
        <x:v>0</x:v>
      </x:c>
      <x:c r="N204" s="4"/>
      <x:c r="O204" s="4"/>
      <x:c r="P204" s="11" t="n">
        <x:v>13</x:v>
      </x:c>
      <x:c r="Q204" s="11" t="n">
        <x:v>11</x:v>
      </x:c>
      <x:c r="R204" s="11" t="n">
        <x:f>IF(OR(P204="",Q204=""),"",Q204-P204)</x:f>
        <x:v>-2</x:v>
      </x:c>
      <x:c r="S204" s="13" t="n">
        <x:f>IF(OR(P204="",Q204="",P204=0),"",((Q204/30)/(P204/31))-1)</x:f>
        <x:v>-0.12564102564102575</x:v>
      </x:c>
      <x:c r="T204" s="11" t="n">
        <x:v>4103</x:v>
      </x:c>
      <x:c r="U204" s="11" t="n">
        <x:v>5622</x:v>
      </x:c>
      <x:c r="V204" s="14" t="n">
        <x:v>0.0019565990750622553</x:v>
      </x:c>
      <x:c r="W204" s="12" t="n">
        <x:v>8.528103877623622</x:v>
      </x:c>
      <x:c r="X204" s="11" t="n">
        <x:v>17</x:v>
      </x:c>
      <x:c r="Y204" s="11" t="n">
        <x:v>24</x:v>
      </x:c>
      <x:c r="Z204" s="4" t="str">
        <x:v>https://blog.skyairline.com/aeropuerto-concepcion/</x:v>
      </x:c>
      <x:c r="AA204" s="4" t="str">
        <x:v>https://blog.skyairline.com/aeropuerto-concepcion/</x:v>
      </x:c>
      <x:c r="AB204" s="4" t="str">
        <x:v>Coincidencia URL</x:v>
      </x:c>
      <x:c r="AC204" s="4" t="str">
        <x:v>Publicado hasta septiembre</x:v>
      </x:c>
      <x:c r="AD204" s="4" t="str">
        <x:v>/aeropuerto-concepcion/</x:v>
      </x:c>
      <x:c r="AE204" s="4"/>
      <x:c r="AF204" s="16" t="b">
        <x:v>0</x:v>
      </x:c>
    </x:row>
    <x:row r="205" ht="44" customHeight="1">
      <x:c r="A205" s="4" t="n">
        <x:v>648</x:v>
      </x:c>
      <x:c r="B205" s="4" t="str">
        <x:v>https://blog.skyairline.com/como-llegar-a-muchu-picchu/</x:v>
      </x:c>
      <x:c r="C205" s="9" t="str">
        <x:v>Cómo llegar a Machu Picchu desde Chile</x:v>
      </x:c>
      <x:c r="D205" s="17" t="d">
        <x:v>2025-12-15T00:00:00.000Z</x:v>
      </x:c>
      <x:c r="E205" s="17" t="d">
        <x:v>2025-12-15T00:00:00.000Z</x:v>
      </x:c>
      <x:c r="F205" s="4" t="str">
        <x:v>Destinos</x:v>
      </x:c>
      <x:c r="G205" s="11" t="n">
        <x:v>1191</x:v>
      </x:c>
      <x:c r="H205" s="11" t="n">
        <x:v>200</x:v>
      </x:c>
      <x:c r="I205" s="11" t="n">
        <x:v>1</x:v>
      </x:c>
      <x:c r="J205" s="4" t="str">
        <x:v>https://blog.skyairline.com/como-llegar-a-muchu-picchu/</x:v>
      </x:c>
      <x:c r="K205" s="16" t="b">
        <x:v>0</x:v>
      </x:c>
      <x:c r="L205" s="11" t="n">
        <x:v>0</x:v>
      </x:c>
      <x:c r="M205" s="11" t="n">
        <x:v>0</x:v>
      </x:c>
      <x:c r="N205" s="4"/>
      <x:c r="O205" s="4"/>
      <x:c r="P205" s="11" t="n">
        <x:v>9</x:v>
      </x:c>
      <x:c r="Q205" s="11" t="n">
        <x:v>10</x:v>
      </x:c>
      <x:c r="R205" s="11" t="n">
        <x:f>IF(OR(P205="",Q205=""),"",Q205-P205)</x:f>
        <x:v>1</x:v>
      </x:c>
      <x:c r="S205" s="13" t="n">
        <x:f>IF(OR(P205="",Q205="",P205=0),"",((Q205/30)/(P205/31))-1)</x:f>
        <x:v>0.14814814814814792</x:v>
      </x:c>
      <x:c r="T205" s="11" t="n">
        <x:v>1714</x:v>
      </x:c>
      <x:c r="U205" s="11" t="n">
        <x:v>1495</x:v>
      </x:c>
      <x:c r="V205" s="14" t="n">
        <x:v>0.006688963210702341</x:v>
      </x:c>
      <x:c r="W205" s="12" t="n">
        <x:v>6.6575250836120405</x:v>
      </x:c>
      <x:c r="X205" s="11" t="n">
        <x:v>10</x:v>
      </x:c>
      <x:c r="Y205" s="11" t="n">
        <x:v>13</x:v>
      </x:c>
      <x:c r="Z205" s="4" t="str">
        <x:v>https://blog.skyairline.com/como-llegar-a-muchu-picchu/</x:v>
      </x:c>
      <x:c r="AA205" s="4" t="str">
        <x:v>https://blog.skyairline.com/como-llegar-a-muchu-picchu/</x:v>
      </x:c>
      <x:c r="AB205" s="4" t="str">
        <x:v>Coincidencia URL</x:v>
      </x:c>
      <x:c r="AC205" s="4" t="str">
        <x:v>Publicado hasta septiembre</x:v>
      </x:c>
      <x:c r="AD205" s="4" t="str">
        <x:v>/como-llegar-a-muchu-picchu/</x:v>
      </x:c>
      <x:c r="AE205" s="4"/>
      <x:c r="AF205" s="16" t="b">
        <x:v>0</x:v>
      </x:c>
    </x:row>
    <x:row r="206" ht="44" customHeight="1">
      <x:c r="A206" s="4" t="n">
        <x:v>2084</x:v>
      </x:c>
      <x:c r="B206" s="4" t="str">
        <x:v>https://blog.skyairline.com/cybermonday/</x:v>
      </x:c>
      <x:c r="C206" s="9" t="str">
        <x:v>8 consejos para aprovechar el Cyberday y Cybermonday 2026 para viajar</x:v>
      </x:c>
      <x:c r="D206" s="17" t="d">
        <x:v>2026-05-29T00:00:00.000Z</x:v>
      </x:c>
      <x:c r="E206" s="17" t="d">
        <x:v>2026-05-29T00:00:00.000Z</x:v>
      </x:c>
      <x:c r="F206" s="4" t="str">
        <x:v>Planificación de Viaje</x:v>
      </x:c>
      <x:c r="G206" s="11" t="n">
        <x:v>994</x:v>
      </x:c>
      <x:c r="H206" s="11" t="n">
        <x:v>200</x:v>
      </x:c>
      <x:c r="I206" s="11" t="n">
        <x:v>1</x:v>
      </x:c>
      <x:c r="J206" s="4" t="str">
        <x:v>https://blog.skyairline.com/cybermonday/</x:v>
      </x:c>
      <x:c r="K206" s="16" t="b">
        <x:v>0</x:v>
      </x:c>
      <x:c r="L206" s="11" t="n">
        <x:v>0</x:v>
      </x:c>
      <x:c r="M206" s="11" t="n">
        <x:v>0</x:v>
      </x:c>
      <x:c r="N206" s="4"/>
      <x:c r="O206" s="4"/>
      <x:c r="P206" s="11" t="n">
        <x:v>5</x:v>
      </x:c>
      <x:c r="Q206" s="11" t="n">
        <x:v>10</x:v>
      </x:c>
      <x:c r="R206" s="11" t="n">
        <x:f>IF(OR(P206="",Q206=""),"",Q206-P206)</x:f>
        <x:v>5</x:v>
      </x:c>
      <x:c r="S206" s="13" t="n">
        <x:f>IF(OR(P206="",Q206="",P206=0),"",((Q206/30)/(P206/31))-1)</x:f>
        <x:v>1.0666666666666664</x:v>
      </x:c>
      <x:c r="T206" s="11" t="n">
        <x:v>1083</x:v>
      </x:c>
      <x:c r="U206" s="11" t="n">
        <x:v>1838</x:v>
      </x:c>
      <x:c r="V206" s="14" t="n">
        <x:v>0.00544069640914037</x:v>
      </x:c>
      <x:c r="W206" s="12" t="n">
        <x:v>8.599020674646354</x:v>
      </x:c>
      <x:c r="X206" s="11" t="n">
        <x:v>10</x:v>
      </x:c>
      <x:c r="Y206" s="11" t="n">
        <x:v>11</x:v>
      </x:c>
      <x:c r="Z206" s="4" t="str">
        <x:v>https://blog.skyairline.com/cybermonday/</x:v>
      </x:c>
      <x:c r="AA206" s="4" t="str">
        <x:v>https://blog.skyairline.com/cybermonday/</x:v>
      </x:c>
      <x:c r="AB206" s="4" t="str">
        <x:v>Coincidencia URL</x:v>
      </x:c>
      <x:c r="AC206" s="4" t="str">
        <x:v>Publicado hasta septiembre</x:v>
      </x:c>
      <x:c r="AD206" s="4" t="str">
        <x:v>/cybermonday/</x:v>
      </x:c>
      <x:c r="AE206" s="4"/>
      <x:c r="AF206" s="16" t="b">
        <x:v>0</x:v>
      </x:c>
    </x:row>
    <x:row r="207" ht="44" customHeight="1">
      <x:c r="A207" s="4" t="n">
        <x:v>5637</x:v>
      </x:c>
      <x:c r="B207" s="4" t="str">
        <x:v>https://blog.skyairline.com/como-ir-de-puerto-natales-a-el-calafate/</x:v>
      </x:c>
      <x:c r="C207" s="9" t="str">
        <x:v>¿Cómo ir de Puerto Natales a El Calafate?</x:v>
      </x:c>
      <x:c r="D207" s="17" t="d">
        <x:v>2025-02-17T00:00:00.000Z</x:v>
      </x:c>
      <x:c r="E207" s="17" t="d">
        <x:v>2025-02-17T00:00:00.000Z</x:v>
      </x:c>
      <x:c r="F207" s="4" t="str">
        <x:v>Sin categoría</x:v>
      </x:c>
      <x:c r="G207" s="11" t="n">
        <x:v>1211</x:v>
      </x:c>
      <x:c r="H207" s="11" t="n">
        <x:v>200</x:v>
      </x:c>
      <x:c r="I207" s="11" t="n">
        <x:v>1</x:v>
      </x:c>
      <x:c r="J207" s="4" t="str">
        <x:v>https://blog.skyairline.com/como-ir-de-puerto-natales-a-el-calafate/</x:v>
      </x:c>
      <x:c r="K207" s="16" t="b">
        <x:v>0</x:v>
      </x:c>
      <x:c r="L207" s="11" t="n">
        <x:v>0</x:v>
      </x:c>
      <x:c r="M207" s="11" t="n">
        <x:v>3</x:v>
      </x:c>
      <x:c r="N207" s="4"/>
      <x:c r="O207" s="4"/>
      <x:c r="P207" s="11" t="n">
        <x:v>11</x:v>
      </x:c>
      <x:c r="Q207" s="11" t="n">
        <x:v>10</x:v>
      </x:c>
      <x:c r="R207" s="11" t="n">
        <x:f>IF(OR(P207="",Q207=""),"",Q207-P207)</x:f>
        <x:v>-1</x:v>
      </x:c>
      <x:c r="S207" s="13" t="n">
        <x:f>IF(OR(P207="",Q207="",P207=0),"",((Q207/30)/(P207/31))-1)</x:f>
        <x:v>-0.06060606060606066</x:v>
      </x:c>
      <x:c r="T207" s="11" t="n">
        <x:v>1348</x:v>
      </x:c>
      <x:c r="U207" s="11" t="n">
        <x:v>1274</x:v>
      </x:c>
      <x:c r="V207" s="14" t="n">
        <x:v>0.007849293563579277</x:v>
      </x:c>
      <x:c r="W207" s="12" t="n">
        <x:v>9.555729984301413</x:v>
      </x:c>
      <x:c r="X207" s="11" t="n">
        <x:v>13</x:v>
      </x:c>
      <x:c r="Y207" s="11" t="n">
        <x:v>11</x:v>
      </x:c>
      <x:c r="Z207" s="4" t="str">
        <x:v>https://blog.skyairline.com/como-ir-de-puerto-natales-a-el-calafate/</x:v>
      </x:c>
      <x:c r="AA207" s="4" t="str">
        <x:v>https://blog.skyairline.com/como-ir-de-puerto-natales-a-el-calafate/</x:v>
      </x:c>
      <x:c r="AB207" s="4" t="str">
        <x:v>Coincidencia URL</x:v>
      </x:c>
      <x:c r="AC207" s="4" t="str">
        <x:v>Publicado hasta septiembre</x:v>
      </x:c>
      <x:c r="AD207" s="4" t="str">
        <x:v>/como-ir-de-puerto-natales-a-el-calafate/</x:v>
      </x:c>
      <x:c r="AE207" s="4"/>
      <x:c r="AF207" s="16" t="b">
        <x:v>0</x:v>
      </x:c>
    </x:row>
    <x:row r="208" ht="44" customHeight="1">
      <x:c r="A208" s="4" t="n">
        <x:v>5918</x:v>
      </x:c>
      <x:c r="B208" s="4" t="str">
        <x:v>https://blog.skyairline.com/tripulante-de-cabina/</x:v>
      </x:c>
      <x:c r="C208" s="9" t="str">
        <x:v>¿Qué hace realmente un tripulante de cabina?</x:v>
      </x:c>
      <x:c r="D208" s="17" t="d">
        <x:v>2025-04-17T00:00:00.000Z</x:v>
      </x:c>
      <x:c r="E208" s="17" t="d">
        <x:v>2026-01-19T00:00:00.000Z</x:v>
      </x:c>
      <x:c r="F208" s="4" t="str">
        <x:v>Cultura</x:v>
      </x:c>
      <x:c r="G208" s="11" t="n">
        <x:v>1085</x:v>
      </x:c>
      <x:c r="H208" s="11" t="n">
        <x:v>200</x:v>
      </x:c>
      <x:c r="I208" s="11" t="n">
        <x:v>1</x:v>
      </x:c>
      <x:c r="J208" s="4" t="str">
        <x:v>https://blog.skyairline.com/tripulante-de-cabina/</x:v>
      </x:c>
      <x:c r="K208" s="16" t="b">
        <x:v>0</x:v>
      </x:c>
      <x:c r="L208" s="11" t="n">
        <x:v>0</x:v>
      </x:c>
      <x:c r="M208" s="11" t="n">
        <x:v>5</x:v>
      </x:c>
      <x:c r="N208" s="4"/>
      <x:c r="O208" s="4"/>
      <x:c r="P208" s="11" t="n">
        <x:v>25</x:v>
      </x:c>
      <x:c r="Q208" s="11" t="n">
        <x:v>10</x:v>
      </x:c>
      <x:c r="R208" s="11" t="n">
        <x:f>IF(OR(P208="",Q208=""),"",Q208-P208)</x:f>
        <x:v>-15</x:v>
      </x:c>
      <x:c r="S208" s="13" t="n">
        <x:f>IF(OR(P208="",Q208="",P208=0),"",((Q208/30)/(P208/31))-1)</x:f>
        <x:v>-0.5866666666666667</x:v>
      </x:c>
      <x:c r="T208" s="11" t="n">
        <x:v>1905</x:v>
      </x:c>
      <x:c r="U208" s="11" t="n">
        <x:v>1428</x:v>
      </x:c>
      <x:c r="V208" s="14" t="n">
        <x:v>0.0070028011204481795</x:v>
      </x:c>
      <x:c r="W208" s="12" t="n">
        <x:v>8.314425770308123</x:v>
      </x:c>
      <x:c r="X208" s="11" t="n">
        <x:v>9</x:v>
      </x:c>
      <x:c r="Y208" s="11" t="n">
        <x:v>12</x:v>
      </x:c>
      <x:c r="Z208" s="4" t="str">
        <x:v>https://blog.skyairline.com/tripulante-de-cabina/</x:v>
      </x:c>
      <x:c r="AA208" s="4" t="str">
        <x:v>https://blog.skyairline.com/tripulante-de-cabina/</x:v>
      </x:c>
      <x:c r="AB208" s="4" t="str">
        <x:v>Coincidencia URL</x:v>
      </x:c>
      <x:c r="AC208" s="4" t="str">
        <x:v>Publicado hasta septiembre</x:v>
      </x:c>
      <x:c r="AD208" s="4" t="str">
        <x:v>/tripulante-de-cabina/</x:v>
      </x:c>
      <x:c r="AE208" s="4"/>
      <x:c r="AF208" s="16" t="b">
        <x:v>0</x:v>
      </x:c>
    </x:row>
    <x:row r="209" ht="44" customHeight="1">
      <x:c r="A209" s="4" t="n">
        <x:v>6371</x:v>
      </x:c>
      <x:c r="B209" s="4" t="str">
        <x:v>https://blog.skyairline.com/bungee-jumping/</x:v>
      </x:c>
      <x:c r="C209" s="9" t="str">
        <x:v>¿Dónde hacer bungee jumping en Sudamérica? Atrévete a saltar</x:v>
      </x:c>
      <x:c r="D209" s="17" t="d">
        <x:v>2025-07-27T00:00:00.000Z</x:v>
      </x:c>
      <x:c r="E209" s="17" t="d">
        <x:v>2025-07-27T00:00:00.000Z</x:v>
      </x:c>
      <x:c r="F209" s="4" t="str">
        <x:v>Destinos</x:v>
      </x:c>
      <x:c r="G209" s="11" t="n">
        <x:v>1232</x:v>
      </x:c>
      <x:c r="H209" s="11" t="n">
        <x:v>200</x:v>
      </x:c>
      <x:c r="I209" s="11" t="n">
        <x:v>1</x:v>
      </x:c>
      <x:c r="J209" s="4" t="str">
        <x:v>https://blog.skyairline.com/bungee-jumping/</x:v>
      </x:c>
      <x:c r="K209" s="16" t="b">
        <x:v>0</x:v>
      </x:c>
      <x:c r="L209" s="11" t="n">
        <x:v>0</x:v>
      </x:c>
      <x:c r="M209" s="11" t="n">
        <x:v>2</x:v>
      </x:c>
      <x:c r="N209" s="4"/>
      <x:c r="O209" s="4"/>
      <x:c r="P209" s="11" t="n">
        <x:v>17</x:v>
      </x:c>
      <x:c r="Q209" s="11" t="n">
        <x:v>10</x:v>
      </x:c>
      <x:c r="R209" s="11" t="n">
        <x:f>IF(OR(P209="",Q209=""),"",Q209-P209)</x:f>
        <x:v>-7</x:v>
      </x:c>
      <x:c r="S209" s="13" t="n">
        <x:f>IF(OR(P209="",Q209="",P209=0),"",((Q209/30)/(P209/31))-1)</x:f>
        <x:v>-0.392156862745098</x:v>
      </x:c>
      <x:c r="T209" s="11" t="n">
        <x:v>3437</x:v>
      </x:c>
      <x:c r="U209" s="11" t="n">
        <x:v>3491</x:v>
      </x:c>
      <x:c r="V209" s="14" t="n">
        <x:v>0.002864508736751647</x:v>
      </x:c>
      <x:c r="W209" s="12" t="n">
        <x:v>9.680607275852191</x:v>
      </x:c>
      <x:c r="X209" s="11" t="n">
        <x:v>10</x:v>
      </x:c>
      <x:c r="Y209" s="11" t="n">
        <x:v>12</x:v>
      </x:c>
      <x:c r="Z209" s="4" t="str">
        <x:v>https://blog.skyairline.com/bungee-jumping/</x:v>
      </x:c>
      <x:c r="AA209" s="4" t="str">
        <x:v>https://blog.skyairline.com/bungee-jumping/</x:v>
      </x:c>
      <x:c r="AB209" s="4" t="str">
        <x:v>Coincidencia URL</x:v>
      </x:c>
      <x:c r="AC209" s="4" t="str">
        <x:v>Publicado hasta septiembre</x:v>
      </x:c>
      <x:c r="AD209" s="4" t="str">
        <x:v>/bungee-jumping/</x:v>
      </x:c>
      <x:c r="AE209" s="4"/>
      <x:c r="AF209" s="16" t="b">
        <x:v>0</x:v>
      </x:c>
    </x:row>
    <x:row r="210" ht="44" customHeight="1">
      <x:c r="A210" s="4" t="n">
        <x:v>6523</x:v>
      </x:c>
      <x:c r="B210" s="4" t="str">
        <x:v>https://blog.skyairline.com/skiplagging/</x:v>
      </x:c>
      <x:c r="C210" s="9" t="str">
        <x:v>Qué es el skiplagging y por qué genera tanto debate</x:v>
      </x:c>
      <x:c r="D210" s="17" t="d">
        <x:v>2025-08-31T00:00:00.000Z</x:v>
      </x:c>
      <x:c r="E210" s="17" t="d">
        <x:v>2025-08-31T00:00:00.000Z</x:v>
      </x:c>
      <x:c r="F210" s="4" t="str">
        <x:v>Destinos</x:v>
      </x:c>
      <x:c r="G210" s="11" t="n">
        <x:v>1115</x:v>
      </x:c>
      <x:c r="H210" s="11" t="n">
        <x:v>200</x:v>
      </x:c>
      <x:c r="I210" s="11" t="n">
        <x:v>1</x:v>
      </x:c>
      <x:c r="J210" s="4" t="str">
        <x:v>https://blog.skyairline.com/skiplagging/</x:v>
      </x:c>
      <x:c r="K210" s="16" t="b">
        <x:v>0</x:v>
      </x:c>
      <x:c r="L210" s="11" t="n">
        <x:v>0</x:v>
      </x:c>
      <x:c r="M210" s="11" t="n">
        <x:v>3</x:v>
      </x:c>
      <x:c r="N210" s="4"/>
      <x:c r="O210" s="4"/>
      <x:c r="P210" s="11" t="n">
        <x:v>8</x:v>
      </x:c>
      <x:c r="Q210" s="11" t="n">
        <x:v>10</x:v>
      </x:c>
      <x:c r="R210" s="11" t="n">
        <x:f>IF(OR(P210="",Q210=""),"",Q210-P210)</x:f>
        <x:v>2</x:v>
      </x:c>
      <x:c r="S210" s="13" t="n">
        <x:f>IF(OR(P210="",Q210="",P210=0),"",((Q210/30)/(P210/31))-1)</x:f>
        <x:v>0.29166666666666674</x:v>
      </x:c>
      <x:c r="T210" s="11" t="n">
        <x:v>775</x:v>
      </x:c>
      <x:c r="U210" s="11" t="n">
        <x:v>6162</x:v>
      </x:c>
      <x:c r="V210" s="14" t="n">
        <x:v>0.0016228497241155468</x:v>
      </x:c>
      <x:c r="W210" s="12" t="n">
        <x:v>8.013307367737747</x:v>
      </x:c>
      <x:c r="X210" s="11" t="n">
        <x:v>12</x:v>
      </x:c>
      <x:c r="Y210" s="11" t="n">
        <x:v>21</x:v>
      </x:c>
      <x:c r="Z210" s="4" t="str">
        <x:v>https://blog.skyairline.com/skiplagging/</x:v>
      </x:c>
      <x:c r="AA210" s="4" t="str">
        <x:v>https://blog.skyairline.com/skiplagging/</x:v>
      </x:c>
      <x:c r="AB210" s="4" t="str">
        <x:v>Coincidencia URL</x:v>
      </x:c>
      <x:c r="AC210" s="4" t="str">
        <x:v>Publicado hasta septiembre</x:v>
      </x:c>
      <x:c r="AD210" s="4" t="str">
        <x:v>/skiplagging/</x:v>
      </x:c>
      <x:c r="AE210" s="4"/>
      <x:c r="AF210" s="16" t="b">
        <x:v>0</x:v>
      </x:c>
    </x:row>
    <x:row r="211" ht="44" customHeight="1">
      <x:c r="A211" s="4" t="n">
        <x:v>6541</x:v>
      </x:c>
      <x:c r="B211" s="4" t="str">
        <x:v>https://blog.skyairline.com/santiago-a-rancagua/</x:v>
      </x:c>
      <x:c r="C211" s="9" t="str">
        <x:v>Ruta rápida: de Santiago a Rancagua sin complicaciones</x:v>
      </x:c>
      <x:c r="D211" s="17" t="d">
        <x:v>2025-09-06T00:00:00.000Z</x:v>
      </x:c>
      <x:c r="E211" s="17" t="d">
        <x:v>2025-09-06T00:00:00.000Z</x:v>
      </x:c>
      <x:c r="F211" s="4" t="str">
        <x:v>Destinos</x:v>
      </x:c>
      <x:c r="G211" s="11" t="n">
        <x:v>1135</x:v>
      </x:c>
      <x:c r="H211" s="11" t="n">
        <x:v>200</x:v>
      </x:c>
      <x:c r="I211" s="11" t="n">
        <x:v>1</x:v>
      </x:c>
      <x:c r="J211" s="4" t="str">
        <x:v>https://blog.skyairline.com/santiago-a-rancagua/</x:v>
      </x:c>
      <x:c r="K211" s="16" t="b">
        <x:v>0</x:v>
      </x:c>
      <x:c r="L211" s="11" t="n">
        <x:v>0</x:v>
      </x:c>
      <x:c r="M211" s="11" t="n">
        <x:v>3</x:v>
      </x:c>
      <x:c r="N211" s="4"/>
      <x:c r="O211" s="4"/>
      <x:c r="P211" s="11" t="n">
        <x:v>12</x:v>
      </x:c>
      <x:c r="Q211" s="11" t="n">
        <x:v>10</x:v>
      </x:c>
      <x:c r="R211" s="11" t="n">
        <x:f>IF(OR(P211="",Q211=""),"",Q211-P211)</x:f>
        <x:v>-2</x:v>
      </x:c>
      <x:c r="S211" s="13" t="n">
        <x:f>IF(OR(P211="",Q211="",P211=0),"",((Q211/30)/(P211/31))-1)</x:f>
        <x:v>-0.13888888888888895</x:v>
      </x:c>
      <x:c r="T211" s="11" t="n">
        <x:v>9107</x:v>
      </x:c>
      <x:c r="U211" s="11" t="n">
        <x:v>7473</x:v>
      </x:c>
      <x:c r="V211" s="14" t="n">
        <x:v>0.0013381506757660913</x:v>
      </x:c>
      <x:c r="W211" s="12" t="n">
        <x:v>7.15348588251037</x:v>
      </x:c>
      <x:c r="X211" s="11" t="n">
        <x:v>10</x:v>
      </x:c>
      <x:c r="Y211" s="11" t="n">
        <x:v>13</x:v>
      </x:c>
      <x:c r="Z211" s="4" t="str">
        <x:v>https://blog.skyairline.com/santiago-a-rancagua/</x:v>
      </x:c>
      <x:c r="AA211" s="4" t="str">
        <x:v>https://blog.skyairline.com/santiago-a-rancagua/</x:v>
      </x:c>
      <x:c r="AB211" s="4" t="str">
        <x:v>Coincidencia URL</x:v>
      </x:c>
      <x:c r="AC211" s="4" t="str">
        <x:v>Publicado hasta septiembre</x:v>
      </x:c>
      <x:c r="AD211" s="4" t="str">
        <x:v>/santiago-a-rancagua/</x:v>
      </x:c>
      <x:c r="AE211" s="4"/>
      <x:c r="AF211" s="16" t="b">
        <x:v>0</x:v>
      </x:c>
    </x:row>
    <x:row r="212" ht="44" customHeight="1">
      <x:c r="A212" s="4" t="n">
        <x:v>7408</x:v>
      </x:c>
      <x:c r="B212" s="4" t="str">
        <x:v>https://blog.skyairline.com/pasajes-a-mexico/</x:v>
      </x:c>
      <x:c r="C212" s="9" t="str">
        <x:v>¡A México los pasajes!</x:v>
      </x:c>
      <x:c r="D212" s="17" t="d">
        <x:v>2025-11-03T00:00:00.000Z</x:v>
      </x:c>
      <x:c r="E212" s="17" t="d">
        <x:v>2025-10-31T00:00:00.000Z</x:v>
      </x:c>
      <x:c r="F212" s="4" t="str">
        <x:v>Destinos</x:v>
      </x:c>
      <x:c r="G212" s="11" t="n">
        <x:v>1139</x:v>
      </x:c>
      <x:c r="H212" s="11" t="n">
        <x:v>200</x:v>
      </x:c>
      <x:c r="I212" s="11" t="n">
        <x:v>1</x:v>
      </x:c>
      <x:c r="J212" s="4" t="str">
        <x:v>https://blog.skyairline.com/pasajes-a-mexico/</x:v>
      </x:c>
      <x:c r="K212" s="16" t="b">
        <x:v>0</x:v>
      </x:c>
      <x:c r="L212" s="11" t="n">
        <x:v>0</x:v>
      </x:c>
      <x:c r="M212" s="11" t="n">
        <x:v>1</x:v>
      </x:c>
      <x:c r="N212" s="4"/>
      <x:c r="O212" s="4"/>
      <x:c r="P212" s="11" t="n">
        <x:v>2</x:v>
      </x:c>
      <x:c r="Q212" s="11" t="n">
        <x:v>10</x:v>
      </x:c>
      <x:c r="R212" s="11" t="n">
        <x:f>IF(OR(P212="",Q212=""),"",Q212-P212)</x:f>
        <x:v>8</x:v>
      </x:c>
      <x:c r="S212" s="13" t="n">
        <x:f>IF(OR(P212="",Q212="",P212=0),"",((Q212/30)/(P212/31))-1)</x:f>
        <x:v>4.166666666666667</x:v>
      </x:c>
      <x:c r="T212" s="11" t="n">
        <x:v>270</x:v>
      </x:c>
      <x:c r="U212" s="11" t="n">
        <x:v>219</x:v>
      </x:c>
      <x:c r="V212" s="14" t="n">
        <x:v>0.045662100456621</x:v>
      </x:c>
      <x:c r="W212" s="12" t="n">
        <x:v>7.648401826484018</x:v>
      </x:c>
      <x:c r="X212" s="11" t="n">
        <x:v>8</x:v>
      </x:c>
      <x:c r="Y212" s="11" t="n">
        <x:v>11</x:v>
      </x:c>
      <x:c r="Z212" s="4" t="str">
        <x:v>https://blog.skyairline.com/pasajes-a-mexico/</x:v>
      </x:c>
      <x:c r="AA212" s="4" t="str">
        <x:v>https://blog.skyairline.com/pasajes-a-mexico/</x:v>
      </x:c>
      <x:c r="AB212" s="4" t="str">
        <x:v>Coincidencia URL</x:v>
      </x:c>
      <x:c r="AC212" s="4" t="str">
        <x:v>Publicado hasta septiembre</x:v>
      </x:c>
      <x:c r="AD212" s="4" t="str">
        <x:v>/pasajes-a-mexico/</x:v>
      </x:c>
      <x:c r="AE212" s="4"/>
      <x:c r="AF212" s="16" t="b">
        <x:v>0</x:v>
      </x:c>
    </x:row>
    <x:row r="213" ht="44" customHeight="1">
      <x:c r="A213" s="4" t="n">
        <x:v>7736</x:v>
      </x:c>
      <x:c r="B213" s="4" t="str">
        <x:v>https://blog.skyairline.com/huilo-huilo/</x:v>
      </x:c>
      <x:c r="C213" s="9" t="str">
        <x:v>Huilo Huilo: un tesoro natural del sur de Chile</x:v>
      </x:c>
      <x:c r="D213" s="17" t="d">
        <x:v>2025-12-02T00:00:00.000Z</x:v>
      </x:c>
      <x:c r="E213" s="17" t="d">
        <x:v>2025-11-17T00:00:00.000Z</x:v>
      </x:c>
      <x:c r="F213" s="4" t="str">
        <x:v>Destinos</x:v>
      </x:c>
      <x:c r="G213" s="11" t="n">
        <x:v>997</x:v>
      </x:c>
      <x:c r="H213" s="11" t="n">
        <x:v>200</x:v>
      </x:c>
      <x:c r="I213" s="11" t="n">
        <x:v>1</x:v>
      </x:c>
      <x:c r="J213" s="4" t="str">
        <x:v>https://blog.skyairline.com/huilo-huilo/</x:v>
      </x:c>
      <x:c r="K213" s="16" t="b">
        <x:v>0</x:v>
      </x:c>
      <x:c r="L213" s="11" t="n">
        <x:v>0</x:v>
      </x:c>
      <x:c r="M213" s="11" t="n">
        <x:v>4</x:v>
      </x:c>
      <x:c r="N213" s="4"/>
      <x:c r="O213" s="4"/>
      <x:c r="P213" s="11" t="n">
        <x:v>13</x:v>
      </x:c>
      <x:c r="Q213" s="11" t="n">
        <x:v>10</x:v>
      </x:c>
      <x:c r="R213" s="11" t="n">
        <x:f>IF(OR(P213="",Q213=""),"",Q213-P213)</x:f>
        <x:v>-3</x:v>
      </x:c>
      <x:c r="S213" s="13" t="n">
        <x:f>IF(OR(P213="",Q213="",P213=0),"",((Q213/30)/(P213/31))-1)</x:f>
        <x:v>-0.20512820512820518</x:v>
      </x:c>
      <x:c r="T213" s="11" t="n">
        <x:v>3934</x:v>
      </x:c>
      <x:c r="U213" s="11" t="n">
        <x:v>3569</x:v>
      </x:c>
      <x:c r="V213" s="14" t="n">
        <x:v>0.002801905295601009</x:v>
      </x:c>
      <x:c r="W213" s="12" t="n">
        <x:v>9.072008966096947</x:v>
      </x:c>
      <x:c r="X213" s="11" t="n">
        <x:v>14</x:v>
      </x:c>
      <x:c r="Y213" s="11" t="n">
        <x:v>14</x:v>
      </x:c>
      <x:c r="Z213" s="4" t="str">
        <x:v>https://blog.skyairline.com/huilo-huilo/</x:v>
      </x:c>
      <x:c r="AA213" s="4" t="str">
        <x:v>https://blog.skyairline.com/huilo-huilo/</x:v>
      </x:c>
      <x:c r="AB213" s="4" t="str">
        <x:v>Coincidencia URL</x:v>
      </x:c>
      <x:c r="AC213" s="4" t="str">
        <x:v>Publicado hasta septiembre</x:v>
      </x:c>
      <x:c r="AD213" s="4" t="str">
        <x:v>/huilo-huilo/</x:v>
      </x:c>
      <x:c r="AE213" s="4"/>
      <x:c r="AF213" s="16" t="b">
        <x:v>0</x:v>
      </x:c>
    </x:row>
    <x:row r="214" ht="44" customHeight="1">
      <x:c r="A214" s="4" t="n">
        <x:v>8471</x:v>
      </x:c>
      <x:c r="B214" s="4" t="str">
        <x:v>https://blog.skyairline.com/aeropuerto-de-balmaceda/</x:v>
      </x:c>
      <x:c r="C214" s="9" t="str">
        <x:v>Aeropuerto de Balmaceda: guía rápida para llegar a Coyhaique y explorar Aysén</x:v>
      </x:c>
      <x:c r="D214" s="17" t="d">
        <x:v>2026-03-11T00:00:00.000Z</x:v>
      </x:c>
      <x:c r="E214" s="17" t="d">
        <x:v>2026-03-10T00:00:00.000Z</x:v>
      </x:c>
      <x:c r="F214" s="4" t="str">
        <x:v>Planificación de Viaje</x:v>
      </x:c>
      <x:c r="G214" s="11" t="n">
        <x:v>1023</x:v>
      </x:c>
      <x:c r="H214" s="11" t="n">
        <x:v>200</x:v>
      </x:c>
      <x:c r="I214" s="11" t="n">
        <x:v>1</x:v>
      </x:c>
      <x:c r="J214" s="4" t="str">
        <x:v>https://blog.skyairline.com/aeropuerto-de-balmaceda/</x:v>
      </x:c>
      <x:c r="K214" s="16" t="b">
        <x:v>0</x:v>
      </x:c>
      <x:c r="L214" s="11" t="n">
        <x:v>0</x:v>
      </x:c>
      <x:c r="M214" s="11" t="n">
        <x:v>0</x:v>
      </x:c>
      <x:c r="N214" s="4"/>
      <x:c r="O214" s="4"/>
      <x:c r="P214" s="11" t="n">
        <x:v>10</x:v>
      </x:c>
      <x:c r="Q214" s="11" t="n">
        <x:v>10</x:v>
      </x:c>
      <x:c r="R214" s="11" t="n">
        <x:f>IF(OR(P214="",Q214=""),"",Q214-P214)</x:f>
        <x:v>0</x:v>
      </x:c>
      <x:c r="S214" s="13" t="n">
        <x:f>IF(OR(P214="",Q214="",P214=0),"",((Q214/30)/(P214/31))-1)</x:f>
        <x:v>0.033333333333333215</x:v>
      </x:c>
      <x:c r="T214" s="11" t="n">
        <x:v>3731</x:v>
      </x:c>
      <x:c r="U214" s="11" t="n">
        <x:v>3461</x:v>
      </x:c>
      <x:c r="V214" s="14" t="n">
        <x:v>0.002889338341519792</x:v>
      </x:c>
      <x:c r="W214" s="12" t="n">
        <x:v>7.7720312048540885</x:v>
      </x:c>
      <x:c r="X214" s="11" t="n">
        <x:v>14</x:v>
      </x:c>
      <x:c r="Y214" s="11" t="n">
        <x:v>14</x:v>
      </x:c>
      <x:c r="Z214" s="4" t="str">
        <x:v>https://blog.skyairline.com/aeropuerto-de-balmaceda/</x:v>
      </x:c>
      <x:c r="AA214" s="4" t="str">
        <x:v>https://blog.skyairline.com/aeropuerto-de-balmaceda/</x:v>
      </x:c>
      <x:c r="AB214" s="4" t="str">
        <x:v>Coincidencia URL</x:v>
      </x:c>
      <x:c r="AC214" s="4" t="str">
        <x:v>Publicado hasta septiembre</x:v>
      </x:c>
      <x:c r="AD214" s="4" t="str">
        <x:v>/aeropuerto-de-balmaceda/</x:v>
      </x:c>
      <x:c r="AE214" s="4"/>
      <x:c r="AF214" s="16" t="b">
        <x:v>0</x:v>
      </x:c>
    </x:row>
    <x:row r="215" ht="44" customHeight="1">
      <x:c r="A215" s="4" t="n">
        <x:v>8758</x:v>
      </x:c>
      <x:c r="B215" s="4" t="str">
        <x:v>https://blog.skyairline.com/canasvieiras/</x:v>
      </x:c>
      <x:c r="C215" s="9" t="str">
        <x:v>Canasvieiras: qué hacer en esta playa de Florianópolis y cómo planificar tu visita</x:v>
      </x:c>
      <x:c r="D215" s="17" t="d">
        <x:v>2026-05-22T00:00:00.000Z</x:v>
      </x:c>
      <x:c r="E215" s="17" t="d">
        <x:v>2026-05-12T00:00:00.000Z</x:v>
      </x:c>
      <x:c r="F215" s="4" t="str">
        <x:v>Destinos</x:v>
      </x:c>
      <x:c r="G215" s="11" t="n">
        <x:v>1060</x:v>
      </x:c>
      <x:c r="H215" s="11" t="n">
        <x:v>200</x:v>
      </x:c>
      <x:c r="I215" s="11" t="n">
        <x:v>1</x:v>
      </x:c>
      <x:c r="J215" s="4" t="str">
        <x:v>https://blog.skyairline.com/canasvieiras/</x:v>
      </x:c>
      <x:c r="K215" s="16" t="b">
        <x:v>0</x:v>
      </x:c>
      <x:c r="L215" s="11" t="n">
        <x:v>0</x:v>
      </x:c>
      <x:c r="M215" s="11" t="n">
        <x:v>0</x:v>
      </x:c>
      <x:c r="N215" s="4"/>
      <x:c r="O215" s="4"/>
      <x:c r="P215" s="11" t="n">
        <x:v>9</x:v>
      </x:c>
      <x:c r="Q215" s="11" t="n">
        <x:v>10</x:v>
      </x:c>
      <x:c r="R215" s="11" t="n">
        <x:f>IF(OR(P215="",Q215=""),"",Q215-P215)</x:f>
        <x:v>1</x:v>
      </x:c>
      <x:c r="S215" s="13" t="n">
        <x:f>IF(OR(P215="",Q215="",P215=0),"",((Q215/30)/(P215/31))-1)</x:f>
        <x:v>0.14814814814814792</x:v>
      </x:c>
      <x:c r="T215" s="11" t="n">
        <x:v>4441</x:v>
      </x:c>
      <x:c r="U215" s="11" t="n">
        <x:v>4485</x:v>
      </x:c>
      <x:c r="V215" s="14" t="n">
        <x:v>0.002229654403567447</x:v>
      </x:c>
      <x:c r="W215" s="12" t="n">
        <x:v>9.672463768115943</x:v>
      </x:c>
      <x:c r="X215" s="11" t="n">
        <x:v>18</x:v>
      </x:c>
      <x:c r="Y215" s="11" t="n">
        <x:v>22</x:v>
      </x:c>
      <x:c r="Z215" s="4" t="str">
        <x:v>https://blog.skyairline.com/canasvieiras/</x:v>
      </x:c>
      <x:c r="AA215" s="4" t="str">
        <x:v>https://blog.skyairline.com/canasvieiras/</x:v>
      </x:c>
      <x:c r="AB215" s="4" t="str">
        <x:v>Coincidencia URL</x:v>
      </x:c>
      <x:c r="AC215" s="4" t="str">
        <x:v>Publicado hasta septiembre</x:v>
      </x:c>
      <x:c r="AD215" s="4" t="str">
        <x:v>/canasvieiras/</x:v>
      </x:c>
      <x:c r="AE215" s="4"/>
      <x:c r="AF215" s="16" t="b">
        <x:v>0</x:v>
      </x:c>
    </x:row>
    <x:row r="216" ht="44" customHeight="1">
      <x:c r="A216" s="4" t="n">
        <x:v>9198</x:v>
      </x:c>
      <x:c r="B216" s="4" t="str">
        <x:v>https://blog.skyairline.com/sky-fortalece-la-conectividad-aerea-en-chile-para-la-temporada-de-verano-con-nuevas-rutas/</x:v>
      </x:c>
      <x:c r="C216" s="9" t="str">
        <x:v>SKY fortalece la conectividad aérea en Chile para la temporada de verano con nuevas rutas</x:v>
      </x:c>
      <x:c r="D216" s="17" t="d">
        <x:v>2026-08-31T00:00:00.000Z</x:v>
      </x:c>
      <x:c r="E216" s="17" t="d">
        <x:v>2026-08-31T00:00:00.000Z</x:v>
      </x:c>
      <x:c r="F216" s="4" t="str">
        <x:v>Noticias</x:v>
      </x:c>
      <x:c r="G216" s="11" t="n">
        <x:v>189</x:v>
      </x:c>
      <x:c r="H216" s="11" t="n">
        <x:v>200</x:v>
      </x:c>
      <x:c r="I216" s="11" t="n">
        <x:v>1</x:v>
      </x:c>
      <x:c r="J216" s="4" t="str">
        <x:v>https://blog.skyairline.com/sky-fortalece-la-conectividad-aerea-en-chile-para-la-temporada-de-verano-con-nuevas-rutas/</x:v>
      </x:c>
      <x:c r="K216" s="16" t="b">
        <x:v>0</x:v>
      </x:c>
      <x:c r="L216" s="11" t="n">
        <x:v>0</x:v>
      </x:c>
      <x:c r="M216" s="11" t="n">
        <x:v>0</x:v>
      </x:c>
      <x:c r="N216" s="4"/>
      <x:c r="O216" s="4"/>
      <x:c r="P216" s="11" t="n">
        <x:v>0</x:v>
      </x:c>
      <x:c r="Q216" s="11" t="n">
        <x:v>10</x:v>
      </x:c>
      <x:c r="R216" s="11" t="str">
        <x:f>IF(OR(P216="",Q216=""),"",Q216-P216)</x:f>
      </x:c>
      <x:c r="S216" s="13" t="str">
        <x:f>IF(OR(P216="",Q216="",P216=0),"",((Q216/30)/(P216/31))-1)</x:f>
      </x:c>
      <x:c r="T216" s="11" t="n">
        <x:v>3</x:v>
      </x:c>
      <x:c r="U216" s="11" t="n">
        <x:v>305</x:v>
      </x:c>
      <x:c r="V216" s="14" t="n">
        <x:v>0.03278688524590164</x:v>
      </x:c>
      <x:c r="W216" s="12" t="n">
        <x:v>4.504918032786885</x:v>
      </x:c>
      <x:c r="X216" s="11" t="n">
        <x:v>26</x:v>
      </x:c>
      <x:c r="Y216" s="11" t="n">
        <x:v>27</x:v>
      </x:c>
      <x:c r="Z216" s="4" t="str">
        <x:v>https://blog.skyairline.com/sky-fortalece-la-conectividad-aerea-en-chile-para-la-temporada-de-verano-con-nuevas-rutas/</x:v>
      </x:c>
      <x:c r="AA216" s="4" t="str">
        <x:v>https://blog.skyairline.com/sky-fortalece-la-conectividad-aerea-en-chile-para-la-temporada-de-verano-con-nuevas-rutas/</x:v>
      </x:c>
      <x:c r="AB216" s="4" t="str">
        <x:v>Coincidencia URL</x:v>
      </x:c>
      <x:c r="AC216" s="4" t="str">
        <x:v>Publicado hasta septiembre</x:v>
      </x:c>
      <x:c r="AD216" s="4" t="str">
        <x:v>/sky-fortalece-la-conectividad-aerea-en-chile-para-la-temporada-de-verano-con-nuevas-rutas/</x:v>
      </x:c>
      <x:c r="AE216" s="4"/>
      <x:c r="AF216" s="16" t="b">
        <x:v>0</x:v>
      </x:c>
    </x:row>
    <x:row r="217" ht="44" customHeight="1">
      <x:c r="A217" s="4" t="n">
        <x:v>864</x:v>
      </x:c>
      <x:c r="B217" s="4" t="str">
        <x:v>https://blog.skyairline.com/que-se-puede-hacer-durante-un-vuelo/</x:v>
      </x:c>
      <x:c r="C217" s="9" t="str">
        <x:v>Qué hacer durante un vuelo: ideas para viajar cómodo y llegar mejor</x:v>
      </x:c>
      <x:c r="D217" s="17" t="d">
        <x:v>2026-03-16T00:00:00.000Z</x:v>
      </x:c>
      <x:c r="E217" s="17" t="d">
        <x:v>2026-03-10T00:00:00.000Z</x:v>
      </x:c>
      <x:c r="F217" s="4" t="str">
        <x:v>Planificación de Viaje</x:v>
      </x:c>
      <x:c r="G217" s="11" t="n">
        <x:v>996</x:v>
      </x:c>
      <x:c r="H217" s="11" t="n">
        <x:v>200</x:v>
      </x:c>
      <x:c r="I217" s="11" t="n">
        <x:v>1</x:v>
      </x:c>
      <x:c r="J217" s="4" t="str">
        <x:v>https://blog.skyairline.com/que-se-puede-hacer-durante-un-vuelo/</x:v>
      </x:c>
      <x:c r="K217" s="16" t="b">
        <x:v>0</x:v>
      </x:c>
      <x:c r="L217" s="11" t="n">
        <x:v>0</x:v>
      </x:c>
      <x:c r="M217" s="11" t="n">
        <x:v>0</x:v>
      </x:c>
      <x:c r="N217" s="4"/>
      <x:c r="O217" s="4"/>
      <x:c r="P217" s="11" t="n">
        <x:v>8</x:v>
      </x:c>
      <x:c r="Q217" s="11" t="n">
        <x:v>9</x:v>
      </x:c>
      <x:c r="R217" s="11" t="n">
        <x:f>IF(OR(P217="",Q217=""),"",Q217-P217)</x:f>
        <x:v>1</x:v>
      </x:c>
      <x:c r="S217" s="13" t="n">
        <x:f>IF(OR(P217="",Q217="",P217=0),"",((Q217/30)/(P217/31))-1)</x:f>
        <x:v>0.1625000000000001</x:v>
      </x:c>
      <x:c r="T217" s="11" t="n">
        <x:v>1187</x:v>
      </x:c>
      <x:c r="U217" s="11" t="n">
        <x:v>1160</x:v>
      </x:c>
      <x:c r="V217" s="14" t="n">
        <x:v>0.007758620689655172</x:v>
      </x:c>
      <x:c r="W217" s="12" t="n">
        <x:v>7.394827586206897</x:v>
      </x:c>
      <x:c r="X217" s="11" t="n">
        <x:v>19</x:v>
      </x:c>
      <x:c r="Y217" s="11" t="n">
        <x:v>27</x:v>
      </x:c>
      <x:c r="Z217" s="4" t="str">
        <x:v>https://blog.skyairline.com/que-se-puede-hacer-durante-un-vuelo/</x:v>
      </x:c>
      <x:c r="AA217" s="4" t="str">
        <x:v>https://blog.skyairline.com/que-se-puede-hacer-durante-un-vuelo/</x:v>
      </x:c>
      <x:c r="AB217" s="4" t="str">
        <x:v>Coincidencia URL</x:v>
      </x:c>
      <x:c r="AC217" s="4" t="str">
        <x:v>Publicado hasta septiembre</x:v>
      </x:c>
      <x:c r="AD217" s="4" t="str">
        <x:v>/que-se-puede-hacer-durante-un-vuelo/</x:v>
      </x:c>
      <x:c r="AE217" s="4"/>
      <x:c r="AF217" s="16" t="b">
        <x:v>0</x:v>
      </x:c>
    </x:row>
    <x:row r="218" ht="44" customHeight="1">
      <x:c r="A218" s="4" t="n">
        <x:v>870</x:v>
      </x:c>
      <x:c r="B218" s="4" t="str">
        <x:v>https://blog.skyairline.com/viajar-solo-con-equipaje-de-mano/</x:v>
      </x:c>
      <x:c r="C218" s="9" t="str">
        <x:v>El arte de viajar solo con equipaje de mano: ¿Cómo no morir en el intento?</x:v>
      </x:c>
      <x:c r="D218" s="17" t="d">
        <x:v>2021-09-24T00:00:00.000Z</x:v>
      </x:c>
      <x:c r="E218" s="17" t="d">
        <x:v>2021-09-24T00:00:00.000Z</x:v>
      </x:c>
      <x:c r="F218" s="4" t="str">
        <x:v>Planificación de Viaje</x:v>
      </x:c>
      <x:c r="G218" s="11" t="n">
        <x:v>1115</x:v>
      </x:c>
      <x:c r="H218" s="11" t="n">
        <x:v>200</x:v>
      </x:c>
      <x:c r="I218" s="11" t="n">
        <x:v>1</x:v>
      </x:c>
      <x:c r="J218" s="4" t="str">
        <x:v>https://blog.skyairline.com/viajar-solo-con-equipaje-de-mano/</x:v>
      </x:c>
      <x:c r="K218" s="16" t="b">
        <x:v>0</x:v>
      </x:c>
      <x:c r="L218" s="11" t="n">
        <x:v>0</x:v>
      </x:c>
      <x:c r="M218" s="11" t="n">
        <x:v>3</x:v>
      </x:c>
      <x:c r="N218" s="4"/>
      <x:c r="O218" s="4"/>
      <x:c r="P218" s="11" t="n">
        <x:v>16</x:v>
      </x:c>
      <x:c r="Q218" s="11" t="n">
        <x:v>9</x:v>
      </x:c>
      <x:c r="R218" s="11" t="n">
        <x:f>IF(OR(P218="",Q218=""),"",Q218-P218)</x:f>
        <x:v>-7</x:v>
      </x:c>
      <x:c r="S218" s="13" t="n">
        <x:f>IF(OR(P218="",Q218="",P218=0),"",((Q218/30)/(P218/31))-1)</x:f>
        <x:v>-0.41874999999999996</x:v>
      </x:c>
      <x:c r="T218" s="11" t="n">
        <x:v>4341</x:v>
      </x:c>
      <x:c r="U218" s="11" t="n">
        <x:v>2830</x:v>
      </x:c>
      <x:c r="V218" s="14" t="n">
        <x:v>0.0031802120141342758</x:v>
      </x:c>
      <x:c r="W218" s="12" t="n">
        <x:v>8.783745583038868</x:v>
      </x:c>
      <x:c r="X218" s="11" t="n">
        <x:v>84</x:v>
      </x:c>
      <x:c r="Y218" s="11" t="n">
        <x:v>98</x:v>
      </x:c>
      <x:c r="Z218" s="4" t="str">
        <x:v>https://blog.skyairline.com/viajar-solo-con-equipaje-de-mano/</x:v>
      </x:c>
      <x:c r="AA218" s="4" t="str">
        <x:v>https://blog.skyairline.com/viajar-solo-con-equipaje-de-mano/</x:v>
      </x:c>
      <x:c r="AB218" s="4" t="str">
        <x:v>Coincidencia URL</x:v>
      </x:c>
      <x:c r="AC218" s="4" t="str">
        <x:v>Publicado hasta septiembre</x:v>
      </x:c>
      <x:c r="AD218" s="4" t="str">
        <x:v>/viajar-solo-con-equipaje-de-mano/</x:v>
      </x:c>
      <x:c r="AE218" s="4"/>
      <x:c r="AF218" s="16" t="b">
        <x:v>0</x:v>
      </x:c>
    </x:row>
    <x:row r="219" ht="44" customHeight="1">
      <x:c r="A219" s="4" t="n">
        <x:v>1549</x:v>
      </x:c>
      <x:c r="B219" s="4" t="str">
        <x:v>https://blog.skyairline.com/cosas-sobrevaloradas-al-viajar/</x:v>
      </x:c>
      <x:c r="C219" s="9" t="str">
        <x:v>Las 5 cosas más sobrevaloradas por las que no vale la pena pagar al viajar</x:v>
      </x:c>
      <x:c r="D219" s="17" t="d">
        <x:v>2022-03-12T00:00:00.000Z</x:v>
      </x:c>
      <x:c r="E219" s="17" t="d">
        <x:v>2022-03-12T00:00:00.000Z</x:v>
      </x:c>
      <x:c r="F219" s="4" t="str">
        <x:v>Destinos</x:v>
      </x:c>
      <x:c r="G219" s="11" t="n">
        <x:v>1018</x:v>
      </x:c>
      <x:c r="H219" s="11" t="n">
        <x:v>200</x:v>
      </x:c>
      <x:c r="I219" s="11" t="n">
        <x:v>1</x:v>
      </x:c>
      <x:c r="J219" s="4" t="str">
        <x:v>https://blog.skyairline.com/cosas-sobrevaloradas-al-viajar/</x:v>
      </x:c>
      <x:c r="K219" s="16" t="b">
        <x:v>0</x:v>
      </x:c>
      <x:c r="L219" s="11" t="n">
        <x:v>0</x:v>
      </x:c>
      <x:c r="M219" s="11" t="n">
        <x:v>4</x:v>
      </x:c>
      <x:c r="N219" s="4"/>
      <x:c r="O219" s="4"/>
      <x:c r="P219" s="11" t="n">
        <x:v>16</x:v>
      </x:c>
      <x:c r="Q219" s="11" t="n">
        <x:v>9</x:v>
      </x:c>
      <x:c r="R219" s="11" t="n">
        <x:f>IF(OR(P219="",Q219=""),"",Q219-P219)</x:f>
        <x:v>-7</x:v>
      </x:c>
      <x:c r="S219" s="13" t="n">
        <x:f>IF(OR(P219="",Q219="",P219=0),"",((Q219/30)/(P219/31))-1)</x:f>
        <x:v>-0.41874999999999996</x:v>
      </x:c>
      <x:c r="T219" s="11" t="n">
        <x:v>1510</x:v>
      </x:c>
      <x:c r="U219" s="11" t="n">
        <x:v>991</x:v>
      </x:c>
      <x:c r="V219" s="14" t="n">
        <x:v>0.009081735620585268</x:v>
      </x:c>
      <x:c r="W219" s="12" t="n">
        <x:v>5.435923309788093</x:v>
      </x:c>
      <x:c r="X219" s="11" t="n">
        <x:v>13</x:v>
      </x:c>
      <x:c r="Y219" s="11" t="n">
        <x:v>15</x:v>
      </x:c>
      <x:c r="Z219" s="4" t="str">
        <x:v>https://blog.skyairline.com/cosas-sobrevaloradas-al-viajar/</x:v>
      </x:c>
      <x:c r="AA219" s="4" t="str">
        <x:v>https://blog.skyairline.com/cosas-sobrevaloradas-al-viajar/</x:v>
      </x:c>
      <x:c r="AB219" s="4" t="str">
        <x:v>Coincidencia URL</x:v>
      </x:c>
      <x:c r="AC219" s="4" t="str">
        <x:v>Publicado hasta septiembre</x:v>
      </x:c>
      <x:c r="AD219" s="4" t="str">
        <x:v>/cosas-sobrevaloradas-al-viajar/</x:v>
      </x:c>
      <x:c r="AE219" s="4"/>
      <x:c r="AF219" s="16" t="b">
        <x:v>0</x:v>
      </x:c>
    </x:row>
    <x:row r="220" ht="44" customHeight="1">
      <x:c r="A220" s="4" t="n">
        <x:v>2170</x:v>
      </x:c>
      <x:c r="B220" s="4" t="str">
        <x:v>https://blog.skyairline.com/bitacora-de-viajes/</x:v>
      </x:c>
      <x:c r="C220" s="9" t="str">
        <x:v>Aprende a hacer tu propia bitácora de viajes y deja registradas tus aventuras</x:v>
      </x:c>
      <x:c r="D220" s="17" t="d">
        <x:v>2022-08-09T00:00:00.000Z</x:v>
      </x:c>
      <x:c r="E220" s="17" t="d">
        <x:v>2022-08-09T00:00:00.000Z</x:v>
      </x:c>
      <x:c r="F220" s="4" t="str">
        <x:v>Planificación de Viaje</x:v>
      </x:c>
      <x:c r="G220" s="11" t="n">
        <x:v>1016</x:v>
      </x:c>
      <x:c r="H220" s="11" t="n">
        <x:v>200</x:v>
      </x:c>
      <x:c r="I220" s="11" t="n">
        <x:v>1</x:v>
      </x:c>
      <x:c r="J220" s="4" t="str">
        <x:v>https://blog.skyairline.com/bitacora-de-viajes/</x:v>
      </x:c>
      <x:c r="K220" s="16" t="b">
        <x:v>0</x:v>
      </x:c>
      <x:c r="L220" s="11" t="n">
        <x:v>0</x:v>
      </x:c>
      <x:c r="M220" s="11" t="n">
        <x:v>3</x:v>
      </x:c>
      <x:c r="N220" s="4"/>
      <x:c r="O220" s="4"/>
      <x:c r="P220" s="11" t="n">
        <x:v>3</x:v>
      </x:c>
      <x:c r="Q220" s="11" t="n">
        <x:v>9</x:v>
      </x:c>
      <x:c r="R220" s="11" t="n">
        <x:f>IF(OR(P220="",Q220=""),"",Q220-P220)</x:f>
        <x:v>6</x:v>
      </x:c>
      <x:c r="S220" s="13" t="n">
        <x:f>IF(OR(P220="",Q220="",P220=0),"",((Q220/30)/(P220/31))-1)</x:f>
        <x:v>2.1</x:v>
      </x:c>
      <x:c r="T220" s="11" t="n">
        <x:v>571</x:v>
      </x:c>
      <x:c r="U220" s="11" t="n">
        <x:v>484</x:v>
      </x:c>
      <x:c r="V220" s="14" t="n">
        <x:v>0.01859504132231405</x:v>
      </x:c>
      <x:c r="W220" s="12" t="n">
        <x:v>7.675619834710743</x:v>
      </x:c>
      <x:c r="X220" s="11" t="n">
        <x:v>10</x:v>
      </x:c>
      <x:c r="Y220" s="11" t="n">
        <x:v>11</x:v>
      </x:c>
      <x:c r="Z220" s="4" t="str">
        <x:v>https://blog.skyairline.com/bitacora-de-viajes/</x:v>
      </x:c>
      <x:c r="AA220" s="4" t="str">
        <x:v>https://blog.skyairline.com/bitacora-de-viajes/</x:v>
      </x:c>
      <x:c r="AB220" s="4" t="str">
        <x:v>Coincidencia URL</x:v>
      </x:c>
      <x:c r="AC220" s="4" t="str">
        <x:v>Publicado hasta septiembre</x:v>
      </x:c>
      <x:c r="AD220" s="4" t="str">
        <x:v>/bitacora-de-viajes/</x:v>
      </x:c>
      <x:c r="AE220" s="4"/>
      <x:c r="AF220" s="16" t="b">
        <x:v>0</x:v>
      </x:c>
    </x:row>
    <x:row r="221" ht="44" customHeight="1">
      <x:c r="A221" s="4" t="n">
        <x:v>2348</x:v>
      </x:c>
      <x:c r="B221" s="4" t="str">
        <x:v>https://blog.skyairline.com/google-flights/</x:v>
      </x:c>
      <x:c r="C221" s="9" t="str">
        <x:v>Google Flights: tu mejor aliado para planear tus próximos vuelos</x:v>
      </x:c>
      <x:c r="D221" s="17" t="d">
        <x:v>2026-01-06T00:00:00.000Z</x:v>
      </x:c>
      <x:c r="E221" s="17" t="d">
        <x:v>2026-01-06T00:00:00.000Z</x:v>
      </x:c>
      <x:c r="F221" s="4" t="str">
        <x:v>Planificación de Viaje</x:v>
      </x:c>
      <x:c r="G221" s="11" t="n">
        <x:v>1082</x:v>
      </x:c>
      <x:c r="H221" s="11" t="n">
        <x:v>200</x:v>
      </x:c>
      <x:c r="I221" s="11" t="n">
        <x:v>1</x:v>
      </x:c>
      <x:c r="J221" s="4" t="str">
        <x:v>https://blog.skyairline.com/google-flights/</x:v>
      </x:c>
      <x:c r="K221" s="16" t="b">
        <x:v>0</x:v>
      </x:c>
      <x:c r="L221" s="11" t="n">
        <x:v>0</x:v>
      </x:c>
      <x:c r="M221" s="11" t="n">
        <x:v>0</x:v>
      </x:c>
      <x:c r="N221" s="4"/>
      <x:c r="O221" s="4"/>
      <x:c r="P221" s="11" t="n">
        <x:v>15</x:v>
      </x:c>
      <x:c r="Q221" s="11" t="n">
        <x:v>9</x:v>
      </x:c>
      <x:c r="R221" s="11" t="n">
        <x:f>IF(OR(P221="",Q221=""),"",Q221-P221)</x:f>
        <x:v>-6</x:v>
      </x:c>
      <x:c r="S221" s="13" t="n">
        <x:f>IF(OR(P221="",Q221="",P221=0),"",((Q221/30)/(P221/31))-1)</x:f>
        <x:v>-0.38</x:v>
      </x:c>
      <x:c r="T221" s="11" t="n">
        <x:v>10759</x:v>
      </x:c>
      <x:c r="U221" s="11" t="n">
        <x:v>8960</x:v>
      </x:c>
      <x:c r="V221" s="14" t="n">
        <x:v>0.0010044642857142856</x:v>
      </x:c>
      <x:c r="W221" s="12" t="n">
        <x:v>6.508370535714286</x:v>
      </x:c>
      <x:c r="X221" s="11" t="n">
        <x:v>7</x:v>
      </x:c>
      <x:c r="Y221" s="11" t="n">
        <x:v>8</x:v>
      </x:c>
      <x:c r="Z221" s="4" t="str">
        <x:v>https://blog.skyairline.com/google-flights/</x:v>
      </x:c>
      <x:c r="AA221" s="4" t="str">
        <x:v>https://blog.skyairline.com/google-flights/</x:v>
      </x:c>
      <x:c r="AB221" s="4" t="str">
        <x:v>Coincidencia URL</x:v>
      </x:c>
      <x:c r="AC221" s="4" t="str">
        <x:v>Publicado hasta septiembre</x:v>
      </x:c>
      <x:c r="AD221" s="4" t="str">
        <x:v>/google-flights/</x:v>
      </x:c>
      <x:c r="AE221" s="4"/>
      <x:c r="AF221" s="16" t="b">
        <x:v>0</x:v>
      </x:c>
    </x:row>
    <x:row r="222" ht="44" customHeight="1">
      <x:c r="A222" s="4" t="n">
        <x:v>2487</x:v>
      </x:c>
      <x:c r="B222" s="4" t="str">
        <x:v>https://blog.skyairline.com/donde-queda-florianopolis/</x:v>
      </x:c>
      <x:c r="C222" s="9" t="str">
        <x:v>¿Dónde queda Florianópolis y qué no puedes dejar de hacer?</x:v>
      </x:c>
      <x:c r="D222" s="17" t="d">
        <x:v>2025-09-04T00:00:00.000Z</x:v>
      </x:c>
      <x:c r="E222" s="17" t="d">
        <x:v>2026-01-12T00:00:00.000Z</x:v>
      </x:c>
      <x:c r="F222" s="4" t="str">
        <x:v>Destinos</x:v>
      </x:c>
      <x:c r="G222" s="11" t="n">
        <x:v>1095</x:v>
      </x:c>
      <x:c r="H222" s="11" t="n">
        <x:v>200</x:v>
      </x:c>
      <x:c r="I222" s="11" t="n">
        <x:v>1</x:v>
      </x:c>
      <x:c r="J222" s="4" t="str">
        <x:v>https://blog.skyairline.com/donde-queda-florianopolis/</x:v>
      </x:c>
      <x:c r="K222" s="16" t="b">
        <x:v>0</x:v>
      </x:c>
      <x:c r="L222" s="11" t="n">
        <x:v>0</x:v>
      </x:c>
      <x:c r="M222" s="11" t="n">
        <x:v>0</x:v>
      </x:c>
      <x:c r="N222" s="4"/>
      <x:c r="O222" s="4"/>
      <x:c r="P222" s="11" t="n">
        <x:v>8</x:v>
      </x:c>
      <x:c r="Q222" s="11" t="n">
        <x:v>9</x:v>
      </x:c>
      <x:c r="R222" s="11" t="n">
        <x:f>IF(OR(P222="",Q222=""),"",Q222-P222)</x:f>
        <x:v>1</x:v>
      </x:c>
      <x:c r="S222" s="13" t="n">
        <x:f>IF(OR(P222="",Q222="",P222=0),"",((Q222/30)/(P222/31))-1)</x:f>
        <x:v>0.1625000000000001</x:v>
      </x:c>
      <x:c r="T222" s="11" t="n">
        <x:v>2757</x:v>
      </x:c>
      <x:c r="U222" s="11" t="n">
        <x:v>2038</x:v>
      </x:c>
      <x:c r="V222" s="14" t="n">
        <x:v>0.004416094210009814</x:v>
      </x:c>
      <x:c r="W222" s="12" t="n">
        <x:v>8.929833169774287</x:v>
      </x:c>
      <x:c r="X222" s="11" t="n">
        <x:v>15</x:v>
      </x:c>
      <x:c r="Y222" s="11" t="n">
        <x:v>21</x:v>
      </x:c>
      <x:c r="Z222" s="4" t="str">
        <x:v>https://blog.skyairline.com/donde-queda-florianopolis/</x:v>
      </x:c>
      <x:c r="AA222" s="4" t="str">
        <x:v>https://blog.skyairline.com/donde-queda-florianopolis/</x:v>
      </x:c>
      <x:c r="AB222" s="4" t="str">
        <x:v>Coincidencia URL</x:v>
      </x:c>
      <x:c r="AC222" s="4" t="str">
        <x:v>Publicado hasta septiembre</x:v>
      </x:c>
      <x:c r="AD222" s="4" t="str">
        <x:v>/donde-queda-florianopolis/</x:v>
      </x:c>
      <x:c r="AE222" s="4"/>
      <x:c r="AF222" s="16" t="b">
        <x:v>0</x:v>
      </x:c>
    </x:row>
    <x:row r="223" ht="44" customHeight="1">
      <x:c r="A223" s="4" t="n">
        <x:v>2510</x:v>
      </x:c>
      <x:c r="B223" s="4" t="str">
        <x:v>https://blog.skyairline.com/sky-peru-y-banco-ripley-lanzan-alianza-de-descuentos-para-hasta-1-2-millones-de-clientes/</x:v>
      </x:c>
      <x:c r="C223" s="9" t="str">
        <x:v>SKY Perú y Banco Ripley lanzan alianza de descuentos para hasta 1.2 millones de clientes</x:v>
      </x:c>
      <x:c r="D223" s="17" t="d">
        <x:v>2022-11-23T00:00:00.000Z</x:v>
      </x:c>
      <x:c r="E223" s="17" t="d">
        <x:v>2022-11-23T00:00:00.000Z</x:v>
      </x:c>
      <x:c r="F223" s="4" t="str">
        <x:v>Noticias</x:v>
      </x:c>
      <x:c r="G223" s="11" t="n">
        <x:v>314</x:v>
      </x:c>
      <x:c r="H223" s="11" t="n">
        <x:v>200</x:v>
      </x:c>
      <x:c r="I223" s="11" t="n">
        <x:v>1</x:v>
      </x:c>
      <x:c r="J223" s="4" t="str">
        <x:v>https://blog.skyairline.com/sky-peru-y-banco-ripley-lanzan-alianza-de-descuentos-para-hasta-1-2-millones-de-clientes/</x:v>
      </x:c>
      <x:c r="K223" s="16" t="b">
        <x:v>0</x:v>
      </x:c>
      <x:c r="L223" s="11" t="n">
        <x:v>0</x:v>
      </x:c>
      <x:c r="M223" s="11" t="n">
        <x:v>0</x:v>
      </x:c>
      <x:c r="N223" s="4"/>
      <x:c r="O223" s="4"/>
      <x:c r="P223" s="11" t="n">
        <x:v>11</x:v>
      </x:c>
      <x:c r="Q223" s="11" t="n">
        <x:v>9</x:v>
      </x:c>
      <x:c r="R223" s="11" t="n">
        <x:f>IF(OR(P223="",Q223=""),"",Q223-P223)</x:f>
        <x:v>-2</x:v>
      </x:c>
      <x:c r="S223" s="13" t="n">
        <x:f>IF(OR(P223="",Q223="",P223=0),"",((Q223/30)/(P223/31))-1)</x:f>
        <x:v>-0.15454545454545465</x:v>
      </x:c>
      <x:c r="T223" s="11" t="n">
        <x:v>577</x:v>
      </x:c>
      <x:c r="U223" s="11" t="n">
        <x:v>1056</x:v>
      </x:c>
      <x:c r="V223" s="14" t="n">
        <x:v>0.008522727272727272</x:v>
      </x:c>
      <x:c r="W223" s="12" t="n">
        <x:v>6.006628787878788</x:v>
      </x:c>
      <x:c r="X223" s="11" t="n">
        <x:v>10</x:v>
      </x:c>
      <x:c r="Y223" s="11" t="n">
        <x:v>11</x:v>
      </x:c>
      <x:c r="Z223" s="4" t="str">
        <x:v>https://blog.skyairline.com/sky-peru-y-banco-ripley-lanzan-alianza-de-descuentos-para-hasta-1-2-millones-de-clientes/</x:v>
      </x:c>
      <x:c r="AA223" s="4" t="str">
        <x:v>https://blog.skyairline.com/sky-peru-y-banco-ripley-lanzan-alianza-de-descuentos-para-hasta-1-2-millones-de-clientes/</x:v>
      </x:c>
      <x:c r="AB223" s="4" t="str">
        <x:v>Coincidencia URL</x:v>
      </x:c>
      <x:c r="AC223" s="4" t="str">
        <x:v>Publicado hasta septiembre</x:v>
      </x:c>
      <x:c r="AD223" s="4" t="str">
        <x:v>/sky-peru-y-banco-ripley-lanzan-alianza-de-descuentos-para-hasta-1-2-millones-de-clientes/</x:v>
      </x:c>
      <x:c r="AE223" s="4"/>
      <x:c r="AF223" s="16" t="b">
        <x:v>0</x:v>
      </x:c>
    </x:row>
    <x:row r="224" ht="44" customHeight="1">
      <x:c r="A224" s="4" t="n">
        <x:v>2570</x:v>
      </x:c>
      <x:c r="B224" s="4" t="str">
        <x:v>https://blog.skyairline.com/fiesta-final-de-diciembre/</x:v>
      </x:c>
      <x:c r="C224" s="9" t="str">
        <x:v>Fiesta de año nuevo en Santiago: 7 lugares que puedes elegir para pasar en familia</x:v>
      </x:c>
      <x:c r="D224" s="17" t="d">
        <x:v>2022-12-12T00:00:00.000Z</x:v>
      </x:c>
      <x:c r="E224" s="17" t="d">
        <x:v>2022-12-12T00:00:00.000Z</x:v>
      </x:c>
      <x:c r="F224" s="4" t="str">
        <x:v>Destinos</x:v>
      </x:c>
      <x:c r="G224" s="11" t="n">
        <x:v>1014</x:v>
      </x:c>
      <x:c r="H224" s="11" t="n">
        <x:v>200</x:v>
      </x:c>
      <x:c r="I224" s="11" t="n">
        <x:v>1</x:v>
      </x:c>
      <x:c r="J224" s="4" t="str">
        <x:v>https://blog.skyairline.com/fiesta-final-de-diciembre/</x:v>
      </x:c>
      <x:c r="K224" s="16" t="b">
        <x:v>0</x:v>
      </x:c>
      <x:c r="L224" s="11" t="n">
        <x:v>0</x:v>
      </x:c>
      <x:c r="M224" s="11" t="n">
        <x:v>0</x:v>
      </x:c>
      <x:c r="N224" s="4"/>
      <x:c r="O224" s="4"/>
      <x:c r="P224" s="11" t="n">
        <x:v>5</x:v>
      </x:c>
      <x:c r="Q224" s="11" t="n">
        <x:v>9</x:v>
      </x:c>
      <x:c r="R224" s="11" t="n">
        <x:f>IF(OR(P224="",Q224=""),"",Q224-P224)</x:f>
        <x:v>4</x:v>
      </x:c>
      <x:c r="S224" s="13" t="n">
        <x:f>IF(OR(P224="",Q224="",P224=0),"",((Q224/30)/(P224/31))-1)</x:f>
        <x:v>0.8599999999999999</x:v>
      </x:c>
      <x:c r="T224" s="11" t="n">
        <x:v>676</x:v>
      </x:c>
      <x:c r="U224" s="11" t="n">
        <x:v>1180</x:v>
      </x:c>
      <x:c r="V224" s="14" t="n">
        <x:v>0.007627118644067797</x:v>
      </x:c>
      <x:c r="W224" s="12" t="n">
        <x:v>10.628813559322033</x:v>
      </x:c>
      <x:c r="X224" s="11" t="n">
        <x:v>12</x:v>
      </x:c>
      <x:c r="Y224" s="11" t="n">
        <x:v>14</x:v>
      </x:c>
      <x:c r="Z224" s="4" t="str">
        <x:v>https://blog.skyairline.com/fiesta-final-de-diciembre/</x:v>
      </x:c>
      <x:c r="AA224" s="4" t="str">
        <x:v>https://blog.skyairline.com/fiesta-final-de-diciembre/</x:v>
      </x:c>
      <x:c r="AB224" s="4" t="str">
        <x:v>Coincidencia URL</x:v>
      </x:c>
      <x:c r="AC224" s="4" t="str">
        <x:v>Publicado hasta septiembre</x:v>
      </x:c>
      <x:c r="AD224" s="4" t="str">
        <x:v>/fiesta-final-de-diciembre/</x:v>
      </x:c>
      <x:c r="AE224" s="4"/>
      <x:c r="AF224" s="16" t="b">
        <x:v>0</x:v>
      </x:c>
    </x:row>
    <x:row r="225" ht="44" customHeight="1">
      <x:c r="A225" s="4" t="n">
        <x:v>2837</x:v>
      </x:c>
      <x:c r="B225" s="4" t="str">
        <x:v>https://blog.skyairline.com/que-hacer-en-porto-alegre/</x:v>
      </x:c>
      <x:c r="C225" s="9" t="str">
        <x:v>¿Qué hacer en Porto Alegre? 6 atractivos turísticos que te recomendamos</x:v>
      </x:c>
      <x:c r="D225" s="17" t="d">
        <x:v>2026-08-13T00:00:00.000Z</x:v>
      </x:c>
      <x:c r="E225" s="17" t="d">
        <x:v>2026-08-13T00:00:00.000Z</x:v>
      </x:c>
      <x:c r="F225" s="4" t="str">
        <x:v>Destinos</x:v>
      </x:c>
      <x:c r="G225" s="11" t="n">
        <x:v>1057</x:v>
      </x:c>
      <x:c r="H225" s="11" t="n">
        <x:v>200</x:v>
      </x:c>
      <x:c r="I225" s="11" t="n">
        <x:v>1</x:v>
      </x:c>
      <x:c r="J225" s="4" t="str">
        <x:v>https://blog.skyairline.com/que-hacer-en-porto-alegre/</x:v>
      </x:c>
      <x:c r="K225" s="16" t="b">
        <x:v>0</x:v>
      </x:c>
      <x:c r="L225" s="11" t="n">
        <x:v>0</x:v>
      </x:c>
      <x:c r="M225" s="11" t="n">
        <x:v>0</x:v>
      </x:c>
      <x:c r="N225" s="4"/>
      <x:c r="O225" s="4"/>
      <x:c r="P225" s="11" t="n">
        <x:v>6</x:v>
      </x:c>
      <x:c r="Q225" s="11" t="n">
        <x:v>9</x:v>
      </x:c>
      <x:c r="R225" s="11" t="n">
        <x:f>IF(OR(P225="",Q225=""),"",Q225-P225)</x:f>
        <x:v>3</x:v>
      </x:c>
      <x:c r="S225" s="13" t="n">
        <x:f>IF(OR(P225="",Q225="",P225=0),"",((Q225/30)/(P225/31))-1)</x:f>
        <x:v>0.55</x:v>
      </x:c>
      <x:c r="T225" s="11" t="n">
        <x:v>2617</x:v>
      </x:c>
      <x:c r="U225" s="11" t="n">
        <x:v>3513</x:v>
      </x:c>
      <x:c r="V225" s="14" t="n">
        <x:v>0.0025619128949615714</x:v>
      </x:c>
      <x:c r="W225" s="12" t="n">
        <x:v>9.634785083973812</x:v>
      </x:c>
      <x:c r="X225" s="11" t="n">
        <x:v>11</x:v>
      </x:c>
      <x:c r="Y225" s="11" t="n">
        <x:v>12</x:v>
      </x:c>
      <x:c r="Z225" s="4" t="str">
        <x:v>https://blog.skyairline.com/que-hacer-en-porto-alegre/</x:v>
      </x:c>
      <x:c r="AA225" s="4" t="str">
        <x:v>https://blog.skyairline.com/que-hacer-en-porto-alegre/
https://blog.skyairline.com/que-hacer-en-porto-alegre</x:v>
      </x:c>
      <x:c r="AB225" s="4" t="str">
        <x:v>Alias slash agregado</x:v>
      </x:c>
      <x:c r="AC225" s="4" t="str">
        <x:v>Publicado hasta septiembre</x:v>
      </x:c>
      <x:c r="AD225" s="4" t="str">
        <x:v>/que-hacer-en-porto-alegre/</x:v>
      </x:c>
      <x:c r="AE225" s="4"/>
      <x:c r="AF225" s="16" t="b">
        <x:v>0</x:v>
      </x:c>
    </x:row>
    <x:row r="226" ht="44" customHeight="1">
      <x:c r="A226" s="4" t="n">
        <x:v>3000</x:v>
      </x:c>
      <x:c r="B226" s="4" t="str">
        <x:v>https://blog.skyairline.com/servicios-de-sky/</x:v>
      </x:c>
      <x:c r="C226" s="9" t="str">
        <x:v>Servicios de SKY: ¡Vuelos y mucho más!</x:v>
      </x:c>
      <x:c r="D226" s="17" t="d">
        <x:v>2023-06-13T00:00:00.000Z</x:v>
      </x:c>
      <x:c r="E226" s="17" t="d">
        <x:v>2025-11-07T00:00:00.000Z</x:v>
      </x:c>
      <x:c r="F226" s="4" t="str">
        <x:v>Planificación de Viaje</x:v>
      </x:c>
      <x:c r="G226" s="11" t="n">
        <x:v>723</x:v>
      </x:c>
      <x:c r="H226" s="11" t="n">
        <x:v>200</x:v>
      </x:c>
      <x:c r="I226" s="11" t="n">
        <x:v>1</x:v>
      </x:c>
      <x:c r="J226" s="4" t="str">
        <x:v>https://blog.skyairline.com/servicios-de-sky/</x:v>
      </x:c>
      <x:c r="K226" s="16" t="b">
        <x:v>0</x:v>
      </x:c>
      <x:c r="L226" s="11" t="n">
        <x:v>0</x:v>
      </x:c>
      <x:c r="M226" s="11" t="n">
        <x:v>3</x:v>
      </x:c>
      <x:c r="N226" s="4"/>
      <x:c r="O226" s="4"/>
      <x:c r="P226" s="11" t="n">
        <x:v>6</x:v>
      </x:c>
      <x:c r="Q226" s="11" t="n">
        <x:v>9</x:v>
      </x:c>
      <x:c r="R226" s="11" t="n">
        <x:f>IF(OR(P226="",Q226=""),"",Q226-P226)</x:f>
        <x:v>3</x:v>
      </x:c>
      <x:c r="S226" s="13" t="n">
        <x:f>IF(OR(P226="",Q226="",P226=0),"",((Q226/30)/(P226/31))-1)</x:f>
        <x:v>0.55</x:v>
      </x:c>
      <x:c r="T226" s="11" t="n">
        <x:v>846</x:v>
      </x:c>
      <x:c r="U226" s="11" t="n">
        <x:v>695</x:v>
      </x:c>
      <x:c r="V226" s="14" t="n">
        <x:v>0.012949640287769784</x:v>
      </x:c>
      <x:c r="W226" s="12" t="n">
        <x:v>12.530935251798562</x:v>
      </x:c>
      <x:c r="X226" s="11" t="n">
        <x:v>8</x:v>
      </x:c>
      <x:c r="Y226" s="11" t="n">
        <x:v>10</x:v>
      </x:c>
      <x:c r="Z226" s="4" t="str">
        <x:v>https://blog.skyairline.com/servicios-de-sky/</x:v>
      </x:c>
      <x:c r="AA226" s="4" t="str">
        <x:v>https://blog.skyairline.com/servicios-de-sky/</x:v>
      </x:c>
      <x:c r="AB226" s="4" t="str">
        <x:v>Coincidencia URL</x:v>
      </x:c>
      <x:c r="AC226" s="4" t="str">
        <x:v>Publicado hasta septiembre</x:v>
      </x:c>
      <x:c r="AD226" s="4" t="str">
        <x:v>/servicios-de-sky/</x:v>
      </x:c>
      <x:c r="AE226" s="4"/>
      <x:c r="AF226" s="16" t="b">
        <x:v>0</x:v>
      </x:c>
    </x:row>
    <x:row r="227" ht="44" customHeight="1">
      <x:c r="A227" s="4" t="n">
        <x:v>3266</x:v>
      </x:c>
      <x:c r="B227" s="4" t="str">
        <x:v>https://blog.skyairline.com/6-parques-acuaticos-en-miami-de-fama-mundial/</x:v>
      </x:c>
      <x:c r="C227" s="9" t="str">
        <x:v>6 parques acuáticos en Miami de fama mundial</x:v>
      </x:c>
      <x:c r="D227" s="17" t="d">
        <x:v>2023-08-22T00:00:00.000Z</x:v>
      </x:c>
      <x:c r="E227" s="17" t="d">
        <x:v>2023-08-22T00:00:00.000Z</x:v>
      </x:c>
      <x:c r="F227" s="4" t="str">
        <x:v>Destinos</x:v>
      </x:c>
      <x:c r="G227" s="11" t="n">
        <x:v>1093</x:v>
      </x:c>
      <x:c r="H227" s="11" t="n">
        <x:v>200</x:v>
      </x:c>
      <x:c r="I227" s="11" t="n">
        <x:v>1</x:v>
      </x:c>
      <x:c r="J227" s="4" t="str">
        <x:v>https://blog.skyairline.com/6-parques-acuaticos-en-miami-de-fama-mundial/</x:v>
      </x:c>
      <x:c r="K227" s="16" t="b">
        <x:v>0</x:v>
      </x:c>
      <x:c r="L227" s="11" t="n">
        <x:v>0</x:v>
      </x:c>
      <x:c r="M227" s="11" t="n">
        <x:v>4</x:v>
      </x:c>
      <x:c r="N227" s="4"/>
      <x:c r="O227" s="4"/>
      <x:c r="P227" s="11" t="n">
        <x:v>12</x:v>
      </x:c>
      <x:c r="Q227" s="11" t="n">
        <x:v>9</x:v>
      </x:c>
      <x:c r="R227" s="11" t="n">
        <x:f>IF(OR(P227="",Q227=""),"",Q227-P227)</x:f>
        <x:v>-3</x:v>
      </x:c>
      <x:c r="S227" s="13" t="n">
        <x:f>IF(OR(P227="",Q227="",P227=0),"",((Q227/30)/(P227/31))-1)</x:f>
        <x:v>-0.22499999999999998</x:v>
      </x:c>
      <x:c r="T227" s="11" t="n">
        <x:v>1319</x:v>
      </x:c>
      <x:c r="U227" s="11" t="n">
        <x:v>777</x:v>
      </x:c>
      <x:c r="V227" s="14" t="n">
        <x:v>0.011583011583011582</x:v>
      </x:c>
      <x:c r="W227" s="12" t="n">
        <x:v>10.761904761904763</x:v>
      </x:c>
      <x:c r="X227" s="11" t="n">
        <x:v>6</x:v>
      </x:c>
      <x:c r="Y227" s="11" t="n">
        <x:v>10</x:v>
      </x:c>
      <x:c r="Z227" s="4" t="str">
        <x:v>https://blog.skyairline.com/6-parques-acuaticos-en-miami-de-fama-mundial/</x:v>
      </x:c>
      <x:c r="AA227" s="4" t="str">
        <x:v>https://blog.skyairline.com/6-parques-acuaticos-en-miami-de-fama-mundial/</x:v>
      </x:c>
      <x:c r="AB227" s="4" t="str">
        <x:v>Coincidencia URL</x:v>
      </x:c>
      <x:c r="AC227" s="4" t="str">
        <x:v>Publicado hasta septiembre</x:v>
      </x:c>
      <x:c r="AD227" s="4" t="str">
        <x:v>/6-parques-acuaticos-en-miami-de-fama-mundial/</x:v>
      </x:c>
      <x:c r="AE227" s="4"/>
      <x:c r="AF227" s="16" t="b">
        <x:v>0</x:v>
      </x:c>
    </x:row>
    <x:row r="228" ht="44" customHeight="1">
      <x:c r="A228" s="4" t="n">
        <x:v>4490</x:v>
      </x:c>
      <x:c r="B228" s="4" t="str">
        <x:v>https://blog.skyairline.com/centros-comerciales-santiago/</x:v>
      </x:c>
      <x:c r="C228" s="9" t="str">
        <x:v>Mejores centros comerciales de Santiago que no te puedes perder</x:v>
      </x:c>
      <x:c r="D228" s="17" t="d">
        <x:v>2024-05-24T00:00:00.000Z</x:v>
      </x:c>
      <x:c r="E228" s="17" t="d">
        <x:v>2024-05-24T00:00:00.000Z</x:v>
      </x:c>
      <x:c r="F228" s="4" t="str">
        <x:v>Destinos, Planificación de Viaje</x:v>
      </x:c>
      <x:c r="G228" s="11" t="n">
        <x:v>1107</x:v>
      </x:c>
      <x:c r="H228" s="11" t="n">
        <x:v>200</x:v>
      </x:c>
      <x:c r="I228" s="11" t="n">
        <x:v>1</x:v>
      </x:c>
      <x:c r="J228" s="4" t="str">
        <x:v>https://blog.skyairline.com/centros-comerciales-santiago/</x:v>
      </x:c>
      <x:c r="K228" s="16" t="b">
        <x:v>0</x:v>
      </x:c>
      <x:c r="L228" s="11" t="n">
        <x:v>0</x:v>
      </x:c>
      <x:c r="M228" s="11" t="n">
        <x:v>3</x:v>
      </x:c>
      <x:c r="N228" s="4"/>
      <x:c r="O228" s="4"/>
      <x:c r="P228" s="11" t="n">
        <x:v>9</x:v>
      </x:c>
      <x:c r="Q228" s="11" t="n">
        <x:v>9</x:v>
      </x:c>
      <x:c r="R228" s="11" t="n">
        <x:f>IF(OR(P228="",Q228=""),"",Q228-P228)</x:f>
        <x:v>0</x:v>
      </x:c>
      <x:c r="S228" s="13" t="n">
        <x:f>IF(OR(P228="",Q228="",P228=0),"",((Q228/30)/(P228/31))-1)</x:f>
        <x:v>0.033333333333333215</x:v>
      </x:c>
      <x:c r="T228" s="11" t="n">
        <x:v>1414</x:v>
      </x:c>
      <x:c r="U228" s="11" t="n">
        <x:v>1126</x:v>
      </x:c>
      <x:c r="V228" s="14" t="n">
        <x:v>0.007992895204262877</x:v>
      </x:c>
      <x:c r="W228" s="12" t="n">
        <x:v>8.366785079928952</x:v>
      </x:c>
      <x:c r="X228" s="11" t="n">
        <x:v>7</x:v>
      </x:c>
      <x:c r="Y228" s="11" t="n">
        <x:v>9</x:v>
      </x:c>
      <x:c r="Z228" s="4" t="str">
        <x:v>https://blog.skyairline.com/centros-comerciales-santiago/</x:v>
      </x:c>
      <x:c r="AA228" s="4" t="str">
        <x:v>https://blog.skyairline.com/centros-comerciales-santiago/</x:v>
      </x:c>
      <x:c r="AB228" s="4" t="str">
        <x:v>Coincidencia URL</x:v>
      </x:c>
      <x:c r="AC228" s="4" t="str">
        <x:v>Publicado hasta septiembre</x:v>
      </x:c>
      <x:c r="AD228" s="4" t="str">
        <x:v>/centros-comerciales-santiago/</x:v>
      </x:c>
      <x:c r="AE228" s="4"/>
      <x:c r="AF228" s="16" t="b">
        <x:v>0</x:v>
      </x:c>
    </x:row>
    <x:row r="229" ht="44" customHeight="1">
      <x:c r="A229" s="4" t="n">
        <x:v>4837</x:v>
      </x:c>
      <x:c r="B229" s="4" t="str">
        <x:v>https://blog.skyairline.com/comidas-de-la-costa-peruana/</x:v>
      </x:c>
      <x:c r="C229" s="9" t="str">
        <x:v>5 comidas de la costa peruana que no puedes perderte</x:v>
      </x:c>
      <x:c r="D229" s="17" t="d">
        <x:v>2024-08-01T00:00:00.000Z</x:v>
      </x:c>
      <x:c r="E229" s="17" t="d">
        <x:v>2024-08-01T00:00:00.000Z</x:v>
      </x:c>
      <x:c r="F229" s="4" t="str">
        <x:v>Destinos</x:v>
      </x:c>
      <x:c r="G229" s="11" t="n">
        <x:v>1152</x:v>
      </x:c>
      <x:c r="H229" s="11" t="n">
        <x:v>200</x:v>
      </x:c>
      <x:c r="I229" s="11" t="n">
        <x:v>1</x:v>
      </x:c>
      <x:c r="J229" s="4" t="str">
        <x:v>https://blog.skyairline.com/comidas-de-la-costa-peruana/</x:v>
      </x:c>
      <x:c r="K229" s="16" t="b">
        <x:v>0</x:v>
      </x:c>
      <x:c r="L229" s="11" t="n">
        <x:v>0</x:v>
      </x:c>
      <x:c r="M229" s="11" t="n">
        <x:v>3</x:v>
      </x:c>
      <x:c r="N229" s="4"/>
      <x:c r="O229" s="4"/>
      <x:c r="P229" s="11" t="n">
        <x:v>13</x:v>
      </x:c>
      <x:c r="Q229" s="11" t="n">
        <x:v>9</x:v>
      </x:c>
      <x:c r="R229" s="11" t="n">
        <x:f>IF(OR(P229="",Q229=""),"",Q229-P229)</x:f>
        <x:v>-4</x:v>
      </x:c>
      <x:c r="S229" s="13" t="n">
        <x:f>IF(OR(P229="",Q229="",P229=0),"",((Q229/30)/(P229/31))-1)</x:f>
        <x:v>-0.2846153846153847</x:v>
      </x:c>
      <x:c r="T229" s="11" t="n">
        <x:v>7960</x:v>
      </x:c>
      <x:c r="U229" s="11" t="n">
        <x:v>5415</x:v>
      </x:c>
      <x:c r="V229" s="14" t="n">
        <x:v>0.0016620498614958448</x:v>
      </x:c>
      <x:c r="W229" s="12" t="n">
        <x:v>7.539796860572483</x:v>
      </x:c>
      <x:c r="X229" s="11" t="n">
        <x:v>10</x:v>
      </x:c>
      <x:c r="Y229" s="11" t="n">
        <x:v>12</x:v>
      </x:c>
      <x:c r="Z229" s="4" t="str">
        <x:v>https://blog.skyairline.com/comidas-de-la-costa-peruana/</x:v>
      </x:c>
      <x:c r="AA229" s="4" t="str">
        <x:v>https://blog.skyairline.com/comidas-de-la-costa-peruana/</x:v>
      </x:c>
      <x:c r="AB229" s="4" t="str">
        <x:v>Coincidencia URL</x:v>
      </x:c>
      <x:c r="AC229" s="4" t="str">
        <x:v>Publicado hasta septiembre</x:v>
      </x:c>
      <x:c r="AD229" s="4" t="str">
        <x:v>/comidas-de-la-costa-peruana/</x:v>
      </x:c>
      <x:c r="AE229" s="4"/>
      <x:c r="AF229" s="16" t="b">
        <x:v>0</x:v>
      </x:c>
    </x:row>
    <x:row r="230" ht="44" customHeight="1">
      <x:c r="A230" s="4" t="n">
        <x:v>5890</x:v>
      </x:c>
      <x:c r="B230" s="4" t="str">
        <x:v>https://blog.skyairline.com/donde-queda-frutillar/</x:v>
      </x:c>
      <x:c r="C230" s="9" t="str">
        <x:v>¿Dónde queda Frutillar y qué hacer en esta mágica ciudad chilena?</x:v>
      </x:c>
      <x:c r="D230" s="17" t="d">
        <x:v>2025-06-10T00:00:00.000Z</x:v>
      </x:c>
      <x:c r="E230" s="17" t="d">
        <x:v>2026-01-19T00:00:00.000Z</x:v>
      </x:c>
      <x:c r="F230" s="4" t="str">
        <x:v>Destinos</x:v>
      </x:c>
      <x:c r="G230" s="11" t="n">
        <x:v>1047</x:v>
      </x:c>
      <x:c r="H230" s="11" t="n">
        <x:v>200</x:v>
      </x:c>
      <x:c r="I230" s="11" t="n">
        <x:v>1</x:v>
      </x:c>
      <x:c r="J230" s="4" t="str">
        <x:v>https://blog.skyairline.com/donde-queda-frutillar/</x:v>
      </x:c>
      <x:c r="K230" s="16" t="b">
        <x:v>0</x:v>
      </x:c>
      <x:c r="L230" s="11" t="n">
        <x:v>0</x:v>
      </x:c>
      <x:c r="M230" s="11" t="n">
        <x:v>0</x:v>
      </x:c>
      <x:c r="N230" s="4"/>
      <x:c r="O230" s="4"/>
      <x:c r="P230" s="11" t="n">
        <x:v>13</x:v>
      </x:c>
      <x:c r="Q230" s="11" t="n">
        <x:v>9</x:v>
      </x:c>
      <x:c r="R230" s="11" t="n">
        <x:f>IF(OR(P230="",Q230=""),"",Q230-P230)</x:f>
        <x:v>-4</x:v>
      </x:c>
      <x:c r="S230" s="13" t="n">
        <x:f>IF(OR(P230="",Q230="",P230=0),"",((Q230/30)/(P230/31))-1)</x:f>
        <x:v>-0.2846153846153847</x:v>
      </x:c>
      <x:c r="T230" s="11" t="n">
        <x:v>2088</x:v>
      </x:c>
      <x:c r="U230" s="11" t="n">
        <x:v>2331</x:v>
      </x:c>
      <x:c r="V230" s="14" t="n">
        <x:v>0.003861003861003861</x:v>
      </x:c>
      <x:c r="W230" s="12" t="n">
        <x:v>7.8236808236808235</x:v>
      </x:c>
      <x:c r="X230" s="11" t="n">
        <x:v>12</x:v>
      </x:c>
      <x:c r="Y230" s="11" t="n">
        <x:v>15</x:v>
      </x:c>
      <x:c r="Z230" s="4" t="str">
        <x:v>https://blog.skyairline.com/donde-queda-frutillar/</x:v>
      </x:c>
      <x:c r="AA230" s="4" t="str">
        <x:v>https://blog.skyairline.com/donde-queda-frutillar/</x:v>
      </x:c>
      <x:c r="AB230" s="4" t="str">
        <x:v>Coincidencia URL</x:v>
      </x:c>
      <x:c r="AC230" s="4" t="str">
        <x:v>Publicado hasta septiembre</x:v>
      </x:c>
      <x:c r="AD230" s="4" t="str">
        <x:v>/donde-queda-frutillar/</x:v>
      </x:c>
      <x:c r="AE230" s="4"/>
      <x:c r="AF230" s="16" t="b">
        <x:v>0</x:v>
      </x:c>
    </x:row>
    <x:row r="231" ht="44" customHeight="1">
      <x:c r="A231" s="4" t="n">
        <x:v>6129</x:v>
      </x:c>
      <x:c r="B231" s="4" t="str">
        <x:v>https://blog.skyairline.com/hotel-all-inclusive/</x:v>
      </x:c>
      <x:c r="C231" s="9" t="str">
        <x:v>Hotel all inclusive en Chile: los mejores para hospedarte de norte a sur</x:v>
      </x:c>
      <x:c r="D231" s="17" t="d">
        <x:v>2025-05-28T00:00:00.000Z</x:v>
      </x:c>
      <x:c r="E231" s="17" t="d">
        <x:v>2026-01-19T00:00:00.000Z</x:v>
      </x:c>
      <x:c r="F231" s="4" t="str">
        <x:v>Sin categoría</x:v>
      </x:c>
      <x:c r="G231" s="11" t="n">
        <x:v>1193</x:v>
      </x:c>
      <x:c r="H231" s="11" t="n">
        <x:v>200</x:v>
      </x:c>
      <x:c r="I231" s="11" t="n">
        <x:v>1</x:v>
      </x:c>
      <x:c r="J231" s="4" t="str">
        <x:v>https://blog.skyairline.com/hotel-all-inclusive/</x:v>
      </x:c>
      <x:c r="K231" s="16" t="b">
        <x:v>0</x:v>
      </x:c>
      <x:c r="L231" s="11" t="n">
        <x:v>0</x:v>
      </x:c>
      <x:c r="M231" s="11" t="n">
        <x:v>3</x:v>
      </x:c>
      <x:c r="N231" s="4"/>
      <x:c r="O231" s="4"/>
      <x:c r="P231" s="11" t="n">
        <x:v>13</x:v>
      </x:c>
      <x:c r="Q231" s="11" t="n">
        <x:v>9</x:v>
      </x:c>
      <x:c r="R231" s="11" t="n">
        <x:f>IF(OR(P231="",Q231=""),"",Q231-P231)</x:f>
        <x:v>-4</x:v>
      </x:c>
      <x:c r="S231" s="13" t="n">
        <x:f>IF(OR(P231="",Q231="",P231=0),"",((Q231/30)/(P231/31))-1)</x:f>
        <x:v>-0.2846153846153847</x:v>
      </x:c>
      <x:c r="T231" s="11" t="n">
        <x:v>3366</x:v>
      </x:c>
      <x:c r="U231" s="11" t="n">
        <x:v>3100</x:v>
      </x:c>
      <x:c r="V231" s="14" t="n">
        <x:v>0.002903225806451613</x:v>
      </x:c>
      <x:c r="W231" s="12" t="n">
        <x:v>11.928064516129032</x:v>
      </x:c>
      <x:c r="X231" s="11" t="n">
        <x:v>8</x:v>
      </x:c>
      <x:c r="Y231" s="11" t="n">
        <x:v>11</x:v>
      </x:c>
      <x:c r="Z231" s="4" t="str">
        <x:v>https://blog.skyairline.com/hotel-all-inclusive/</x:v>
      </x:c>
      <x:c r="AA231" s="4" t="str">
        <x:v>https://blog.skyairline.com/hotel-all-inclusive/</x:v>
      </x:c>
      <x:c r="AB231" s="4" t="str">
        <x:v>Coincidencia URL</x:v>
      </x:c>
      <x:c r="AC231" s="4" t="str">
        <x:v>Publicado hasta septiembre</x:v>
      </x:c>
      <x:c r="AD231" s="4" t="str">
        <x:v>/hotel-all-inclusive/</x:v>
      </x:c>
      <x:c r="AE231" s="4"/>
      <x:c r="AF231" s="16" t="b">
        <x:v>0</x:v>
      </x:c>
    </x:row>
    <x:row r="232" ht="44" customHeight="1">
      <x:c r="A232" s="4" t="n">
        <x:v>6141</x:v>
      </x:c>
      <x:c r="B232" s="4" t="str">
        <x:v>https://blog.skyairline.com/que-es-el-fruto-de-oro-y-donde-se-encuentra/</x:v>
      </x:c>
      <x:c r="C232" s="9" t="str">
        <x:v>¿Qué es el fruto de oro y dónde se encuentra?</x:v>
      </x:c>
      <x:c r="D232" s="17" t="d">
        <x:v>2025-08-01T00:00:00.000Z</x:v>
      </x:c>
      <x:c r="E232" s="17" t="d">
        <x:v>2026-01-08T00:00:00.000Z</x:v>
      </x:c>
      <x:c r="F232" s="4" t="str">
        <x:v>Destinos</x:v>
      </x:c>
      <x:c r="G232" s="11" t="n">
        <x:v>996</x:v>
      </x:c>
      <x:c r="H232" s="11" t="n">
        <x:v>200</x:v>
      </x:c>
      <x:c r="I232" s="11" t="n">
        <x:v>1</x:v>
      </x:c>
      <x:c r="J232" s="4" t="str">
        <x:v>https://blog.skyairline.com/que-es-el-fruto-de-oro-y-donde-se-encuentra/</x:v>
      </x:c>
      <x:c r="K232" s="16" t="b">
        <x:v>0</x:v>
      </x:c>
      <x:c r="L232" s="11" t="n">
        <x:v>0</x:v>
      </x:c>
      <x:c r="M232" s="11" t="n">
        <x:v>0</x:v>
      </x:c>
      <x:c r="N232" s="4"/>
      <x:c r="O232" s="4"/>
      <x:c r="P232" s="11" t="n">
        <x:v>9</x:v>
      </x:c>
      <x:c r="Q232" s="11" t="n">
        <x:v>9</x:v>
      </x:c>
      <x:c r="R232" s="11" t="n">
        <x:f>IF(OR(P232="",Q232=""),"",Q232-P232)</x:f>
        <x:v>0</x:v>
      </x:c>
      <x:c r="S232" s="13" t="n">
        <x:f>IF(OR(P232="",Q232="",P232=0),"",((Q232/30)/(P232/31))-1)</x:f>
        <x:v>0.033333333333333215</x:v>
      </x:c>
      <x:c r="T232" s="11" t="n">
        <x:v>2092</x:v>
      </x:c>
      <x:c r="U232" s="11" t="n">
        <x:v>2009</x:v>
      </x:c>
      <x:c r="V232" s="14" t="n">
        <x:v>0.004479840716774514</x:v>
      </x:c>
      <x:c r="W232" s="12" t="n">
        <x:v>6.559980089596815</x:v>
      </x:c>
      <x:c r="X232" s="11" t="n">
        <x:v>14</x:v>
      </x:c>
      <x:c r="Y232" s="11" t="n">
        <x:v>14</x:v>
      </x:c>
      <x:c r="Z232" s="4" t="str">
        <x:v>https://blog.skyairline.com/que-es-el-fruto-de-oro-y-donde-se-encuentra/</x:v>
      </x:c>
      <x:c r="AA232" s="4" t="str">
        <x:v>https://blog.skyairline.com/que-es-el-fruto-de-oro-y-donde-se-encuentra/</x:v>
      </x:c>
      <x:c r="AB232" s="4" t="str">
        <x:v>Coincidencia URL</x:v>
      </x:c>
      <x:c r="AC232" s="4" t="str">
        <x:v>Publicado hasta septiembre</x:v>
      </x:c>
      <x:c r="AD232" s="4" t="str">
        <x:v>/que-es-el-fruto-de-oro-y-donde-se-encuentra/</x:v>
      </x:c>
      <x:c r="AE232" s="4"/>
      <x:c r="AF232" s="16" t="b">
        <x:v>0</x:v>
      </x:c>
    </x:row>
    <x:row r="233" ht="44" customHeight="1">
      <x:c r="A233" s="4" t="n">
        <x:v>6289</x:v>
      </x:c>
      <x:c r="B233" s="4" t="str">
        <x:v>https://blog.skyairline.com/peru-vs-republica-dominicana/</x:v>
      </x:c>
      <x:c r="C233" s="9" t="str">
        <x:v>Perú vs República Dominicana: ¿cuál destino te conviene más?</x:v>
      </x:c>
      <x:c r="D233" s="17" t="d">
        <x:v>2025-07-08T00:00:00.000Z</x:v>
      </x:c>
      <x:c r="E233" s="17" t="d">
        <x:v>2025-07-08T00:00:00.000Z</x:v>
      </x:c>
      <x:c r="F233" s="4" t="str">
        <x:v>Destinos</x:v>
      </x:c>
      <x:c r="G233" s="11" t="n">
        <x:v>1014</x:v>
      </x:c>
      <x:c r="H233" s="11" t="n">
        <x:v>200</x:v>
      </x:c>
      <x:c r="I233" s="11" t="n">
        <x:v>1</x:v>
      </x:c>
      <x:c r="J233" s="4" t="str">
        <x:v>https://blog.skyairline.com/peru-vs-republica-dominicana/</x:v>
      </x:c>
      <x:c r="K233" s="16" t="b">
        <x:v>0</x:v>
      </x:c>
      <x:c r="L233" s="11" t="n">
        <x:v>0</x:v>
      </x:c>
      <x:c r="M233" s="11" t="n">
        <x:v>3</x:v>
      </x:c>
      <x:c r="N233" s="4"/>
      <x:c r="O233" s="4"/>
      <x:c r="P233" s="11" t="n">
        <x:v>4</x:v>
      </x:c>
      <x:c r="Q233" s="11" t="n">
        <x:v>9</x:v>
      </x:c>
      <x:c r="R233" s="11" t="n">
        <x:f>IF(OR(P233="",Q233=""),"",Q233-P233)</x:f>
        <x:v>5</x:v>
      </x:c>
      <x:c r="S233" s="13" t="n">
        <x:f>IF(OR(P233="",Q233="",P233=0),"",((Q233/30)/(P233/31))-1)</x:f>
        <x:v>1.3250000000000002</x:v>
      </x:c>
      <x:c r="T233" s="11" t="n">
        <x:v>446</x:v>
      </x:c>
      <x:c r="U233" s="11" t="n">
        <x:v>399</x:v>
      </x:c>
      <x:c r="V233" s="14" t="n">
        <x:v>0.022556390977443608</x:v>
      </x:c>
      <x:c r="W233" s="12" t="n">
        <x:v>6.443609022556391</x:v>
      </x:c>
      <x:c r="X233" s="11" t="n">
        <x:v>10</x:v>
      </x:c>
      <x:c r="Y233" s="11" t="n">
        <x:v>14</x:v>
      </x:c>
      <x:c r="Z233" s="4" t="str">
        <x:v>https://blog.skyairline.com/peru-vs-republica-dominicana/</x:v>
      </x:c>
      <x:c r="AA233" s="4" t="str">
        <x:v>https://blog.skyairline.com/peru-vs-republica-dominicana/</x:v>
      </x:c>
      <x:c r="AB233" s="4" t="str">
        <x:v>Coincidencia URL</x:v>
      </x:c>
      <x:c r="AC233" s="4" t="str">
        <x:v>Publicado hasta septiembre</x:v>
      </x:c>
      <x:c r="AD233" s="4" t="str">
        <x:v>/peru-vs-republica-dominicana/</x:v>
      </x:c>
      <x:c r="AE233" s="4"/>
      <x:c r="AF233" s="16" t="b">
        <x:v>0</x:v>
      </x:c>
    </x:row>
    <x:row r="234" ht="44" customHeight="1">
      <x:c r="A234" s="4" t="n">
        <x:v>6377</x:v>
      </x:c>
      <x:c r="B234" s="4" t="str">
        <x:v>https://blog.skyairline.com/puerto-natales-a-torres-del-paine/</x:v>
      </x:c>
      <x:c r="C234" s="9" t="str">
        <x:v>Cómo ir de Puerto Natales a Torres del Paine y qué ver en el camino</x:v>
      </x:c>
      <x:c r="D234" s="17" t="d">
        <x:v>2025-07-29T00:00:00.000Z</x:v>
      </x:c>
      <x:c r="E234" s="17" t="d">
        <x:v>2025-07-29T00:00:00.000Z</x:v>
      </x:c>
      <x:c r="F234" s="4" t="str">
        <x:v>Destinos</x:v>
      </x:c>
      <x:c r="G234" s="11" t="n">
        <x:v>1252</x:v>
      </x:c>
      <x:c r="H234" s="11" t="n">
        <x:v>200</x:v>
      </x:c>
      <x:c r="I234" s="11" t="n">
        <x:v>1</x:v>
      </x:c>
      <x:c r="J234" s="4" t="str">
        <x:v>https://blog.skyairline.com/puerto-natales-a-torres-del-paine/</x:v>
      </x:c>
      <x:c r="K234" s="16" t="b">
        <x:v>0</x:v>
      </x:c>
      <x:c r="L234" s="11" t="n">
        <x:v>0</x:v>
      </x:c>
      <x:c r="M234" s="11" t="n">
        <x:v>3</x:v>
      </x:c>
      <x:c r="N234" s="4"/>
      <x:c r="O234" s="4"/>
      <x:c r="P234" s="11" t="n">
        <x:v>13</x:v>
      </x:c>
      <x:c r="Q234" s="11" t="n">
        <x:v>9</x:v>
      </x:c>
      <x:c r="R234" s="11" t="n">
        <x:f>IF(OR(P234="",Q234=""),"",Q234-P234)</x:f>
        <x:v>-4</x:v>
      </x:c>
      <x:c r="S234" s="13" t="n">
        <x:f>IF(OR(P234="",Q234="",P234=0),"",((Q234/30)/(P234/31))-1)</x:f>
        <x:v>-0.2846153846153847</x:v>
      </x:c>
      <x:c r="T234" s="11" t="n">
        <x:v>1617</x:v>
      </x:c>
      <x:c r="U234" s="11" t="n">
        <x:v>1784</x:v>
      </x:c>
      <x:c r="V234" s="14" t="n">
        <x:v>0.005044843049327354</x:v>
      </x:c>
      <x:c r="W234" s="12" t="n">
        <x:v>8.32286995515695</x:v>
      </x:c>
      <x:c r="X234" s="11" t="n">
        <x:v>13</x:v>
      </x:c>
      <x:c r="Y234" s="11" t="n">
        <x:v>15</x:v>
      </x:c>
      <x:c r="Z234" s="4" t="str">
        <x:v>https://blog.skyairline.com/puerto-natales-a-torres-del-paine/</x:v>
      </x:c>
      <x:c r="AA234" s="4" t="str">
        <x:v>https://blog.skyairline.com/puerto-natales-a-torres-del-paine/
https://blog.skyairline.com/puerto-natales-a-torres-del-paine</x:v>
      </x:c>
      <x:c r="AB234" s="4" t="str">
        <x:v>Alias slash agregado</x:v>
      </x:c>
      <x:c r="AC234" s="4" t="str">
        <x:v>Publicado hasta septiembre</x:v>
      </x:c>
      <x:c r="AD234" s="4" t="str">
        <x:v>/puerto-natales-a-torres-del-paine/</x:v>
      </x:c>
      <x:c r="AE234" s="4"/>
      <x:c r="AF234" s="16" t="b">
        <x:v>0</x:v>
      </x:c>
    </x:row>
    <x:row r="235" ht="44" customHeight="1">
      <x:c r="A235" s="4" t="n">
        <x:v>7112</x:v>
      </x:c>
      <x:c r="B235" s="4" t="str">
        <x:v>https://blog.skyairline.com/chile-uruguay/</x:v>
      </x:c>
      <x:c r="C235" s="9" t="str">
        <x:v>Chile vs. Uruguay ¿Cuál elegir para tu próximo viaje?</x:v>
      </x:c>
      <x:c r="D235" s="17" t="d">
        <x:v>2025-10-01T00:00:00.000Z</x:v>
      </x:c>
      <x:c r="E235" s="17" t="d">
        <x:v>2025-10-01T00:00:00.000Z</x:v>
      </x:c>
      <x:c r="F235" s="4" t="str">
        <x:v>Destinos</x:v>
      </x:c>
      <x:c r="G235" s="11" t="n">
        <x:v>1151</x:v>
      </x:c>
      <x:c r="H235" s="11" t="n">
        <x:v>200</x:v>
      </x:c>
      <x:c r="I235" s="11" t="n">
        <x:v>1</x:v>
      </x:c>
      <x:c r="J235" s="4" t="str">
        <x:v>https://blog.skyairline.com/chile-uruguay/</x:v>
      </x:c>
      <x:c r="K235" s="16" t="b">
        <x:v>0</x:v>
      </x:c>
      <x:c r="L235" s="11" t="n">
        <x:v>0</x:v>
      </x:c>
      <x:c r="M235" s="11" t="n">
        <x:v>5</x:v>
      </x:c>
      <x:c r="N235" s="4"/>
      <x:c r="O235" s="4"/>
      <x:c r="P235" s="11" t="n">
        <x:v>3</x:v>
      </x:c>
      <x:c r="Q235" s="11" t="n">
        <x:v>9</x:v>
      </x:c>
      <x:c r="R235" s="11" t="n">
        <x:f>IF(OR(P235="",Q235=""),"",Q235-P235)</x:f>
        <x:v>6</x:v>
      </x:c>
      <x:c r="S235" s="13" t="n">
        <x:f>IF(OR(P235="",Q235="",P235=0),"",((Q235/30)/(P235/31))-1)</x:f>
        <x:v>2.1</x:v>
      </x:c>
      <x:c r="T235" s="11" t="n">
        <x:v>421</x:v>
      </x:c>
      <x:c r="U235" s="11" t="n">
        <x:v>502</x:v>
      </x:c>
      <x:c r="V235" s="14" t="n">
        <x:v>0.017928286852589643</x:v>
      </x:c>
      <x:c r="W235" s="12" t="n">
        <x:v>7.368525896414343</x:v>
      </x:c>
      <x:c r="X235" s="11" t="n">
        <x:v>10</x:v>
      </x:c>
      <x:c r="Y235" s="11" t="n">
        <x:v>11</x:v>
      </x:c>
      <x:c r="Z235" s="4" t="str">
        <x:v>https://blog.skyairline.com/chile-uruguay/</x:v>
      </x:c>
      <x:c r="AA235" s="4" t="str">
        <x:v>https://blog.skyairline.com/chile-uruguay/</x:v>
      </x:c>
      <x:c r="AB235" s="4" t="str">
        <x:v>Coincidencia URL</x:v>
      </x:c>
      <x:c r="AC235" s="4" t="str">
        <x:v>Publicado hasta septiembre</x:v>
      </x:c>
      <x:c r="AD235" s="4" t="str">
        <x:v>/chile-uruguay/</x:v>
      </x:c>
      <x:c r="AE235" s="4"/>
      <x:c r="AF235" s="16" t="b">
        <x:v>0</x:v>
      </x:c>
    </x:row>
    <x:row r="236" ht="44" customHeight="1">
      <x:c r="A236" s="4" t="n">
        <x:v>8079</x:v>
      </x:c>
      <x:c r="B236" s="4" t="str">
        <x:v>https://blog.skyairline.com/moneda-de-brasil/</x:v>
      </x:c>
      <x:c r="C236" s="9" t="str">
        <x:v>Moneda de Brasil: qué es el real, cómo hacer el cambio y cómo pagar en tu viaje</x:v>
      </x:c>
      <x:c r="D236" s="17" t="d">
        <x:v>2026-01-04T00:00:00.000Z</x:v>
      </x:c>
      <x:c r="E236" s="17" t="d">
        <x:v>2025-12-29T00:00:00.000Z</x:v>
      </x:c>
      <x:c r="F236" s="4" t="str">
        <x:v>Planificación de Viaje</x:v>
      </x:c>
      <x:c r="G236" s="11" t="n">
        <x:v>1102</x:v>
      </x:c>
      <x:c r="H236" s="11" t="n">
        <x:v>200</x:v>
      </x:c>
      <x:c r="I236" s="11" t="n">
        <x:v>1</x:v>
      </x:c>
      <x:c r="J236" s="4" t="str">
        <x:v>https://blog.skyairline.com/moneda-de-brasil/</x:v>
      </x:c>
      <x:c r="K236" s="16" t="b">
        <x:v>0</x:v>
      </x:c>
      <x:c r="L236" s="11" t="n">
        <x:v>0</x:v>
      </x:c>
      <x:c r="M236" s="11" t="n">
        <x:v>0</x:v>
      </x:c>
      <x:c r="N236" s="4"/>
      <x:c r="O236" s="4"/>
      <x:c r="P236" s="11" t="n">
        <x:v>10</x:v>
      </x:c>
      <x:c r="Q236" s="11" t="n">
        <x:v>9</x:v>
      </x:c>
      <x:c r="R236" s="11" t="n">
        <x:f>IF(OR(P236="",Q236=""),"",Q236-P236)</x:f>
        <x:v>-1</x:v>
      </x:c>
      <x:c r="S236" s="13" t="n">
        <x:f>IF(OR(P236="",Q236="",P236=0),"",((Q236/30)/(P236/31))-1)</x:f>
        <x:v>-0.07000000000000006</x:v>
      </x:c>
      <x:c r="T236" s="11" t="n">
        <x:v>8623</x:v>
      </x:c>
      <x:c r="U236" s="11" t="n">
        <x:v>4652</x:v>
      </x:c>
      <x:c r="V236" s="14" t="n">
        <x:v>0.001934651762682717</x:v>
      </x:c>
      <x:c r="W236" s="12" t="n">
        <x:v>10.205932932072226</x:v>
      </x:c>
      <x:c r="X236" s="11" t="n">
        <x:v>11</x:v>
      </x:c>
      <x:c r="Y236" s="11" t="n">
        <x:v>15</x:v>
      </x:c>
      <x:c r="Z236" s="4" t="str">
        <x:v>https://blog.skyairline.com/moneda-de-brasil/</x:v>
      </x:c>
      <x:c r="AA236" s="4" t="str">
        <x:v>https://blog.skyairline.com/moneda-de-brasil/</x:v>
      </x:c>
      <x:c r="AB236" s="4" t="str">
        <x:v>Coincidencia URL</x:v>
      </x:c>
      <x:c r="AC236" s="4" t="str">
        <x:v>Publicado hasta septiembre</x:v>
      </x:c>
      <x:c r="AD236" s="4" t="str">
        <x:v>/moneda-de-brasil/</x:v>
      </x:c>
      <x:c r="AE236" s="4"/>
      <x:c r="AF236" s="16" t="b">
        <x:v>0</x:v>
      </x:c>
    </x:row>
    <x:row r="237" ht="44" customHeight="1">
      <x:c r="A237" s="4" t="n">
        <x:v>8551</x:v>
      </x:c>
      <x:c r="B237" s="4" t="str">
        <x:v>https://blog.skyairline.com/cyberday/</x:v>
      </x:c>
      <x:c r="C237" s="9" t="str">
        <x:v>CyberDay 2026: checklist para comprar pasajes en línea de forma segura (y planificar tu viaje)</x:v>
      </x:c>
      <x:c r="D237" s="17" t="d">
        <x:v>2026-03-23T00:00:00.000Z</x:v>
      </x:c>
      <x:c r="E237" s="17" t="d">
        <x:v>2026-03-16T00:00:00.000Z</x:v>
      </x:c>
      <x:c r="F237" s="4" t="str">
        <x:v>Planificación de Viaje</x:v>
      </x:c>
      <x:c r="G237" s="11" t="n">
        <x:v>1116</x:v>
      </x:c>
      <x:c r="H237" s="11" t="n">
        <x:v>200</x:v>
      </x:c>
      <x:c r="I237" s="11" t="n">
        <x:v>1</x:v>
      </x:c>
      <x:c r="J237" s="4" t="str">
        <x:v>https://blog.skyairline.com/cyberday/</x:v>
      </x:c>
      <x:c r="K237" s="16" t="b">
        <x:v>0</x:v>
      </x:c>
      <x:c r="L237" s="11" t="n">
        <x:v>0</x:v>
      </x:c>
      <x:c r="M237" s="11" t="n">
        <x:v>0</x:v>
      </x:c>
      <x:c r="N237" s="4"/>
      <x:c r="O237" s="4"/>
      <x:c r="P237" s="11" t="n">
        <x:v>3</x:v>
      </x:c>
      <x:c r="Q237" s="11" t="n">
        <x:v>9</x:v>
      </x:c>
      <x:c r="R237" s="11" t="n">
        <x:f>IF(OR(P237="",Q237=""),"",Q237-P237)</x:f>
        <x:v>6</x:v>
      </x:c>
      <x:c r="S237" s="13" t="n">
        <x:f>IF(OR(P237="",Q237="",P237=0),"",((Q237/30)/(P237/31))-1)</x:f>
        <x:v>2.1</x:v>
      </x:c>
      <x:c r="T237" s="11" t="n">
        <x:v>697</x:v>
      </x:c>
      <x:c r="U237" s="11" t="n">
        <x:v>692</x:v>
      </x:c>
      <x:c r="V237" s="14" t="n">
        <x:v>0.01300578034682081</x:v>
      </x:c>
      <x:c r="W237" s="12" t="n">
        <x:v>7.791907514450867</x:v>
      </x:c>
      <x:c r="X237" s="11" t="n">
        <x:v>8</x:v>
      </x:c>
      <x:c r="Y237" s="11" t="n">
        <x:v>11</x:v>
      </x:c>
      <x:c r="Z237" s="4" t="str">
        <x:v>https://blog.skyairline.com/cyberday/</x:v>
      </x:c>
      <x:c r="AA237" s="4" t="str">
        <x:v>https://blog.skyairline.com/cyberday/</x:v>
      </x:c>
      <x:c r="AB237" s="4" t="str">
        <x:v>Coincidencia URL</x:v>
      </x:c>
      <x:c r="AC237" s="4" t="str">
        <x:v>Publicado hasta septiembre</x:v>
      </x:c>
      <x:c r="AD237" s="4" t="str">
        <x:v>/cyberday/</x:v>
      </x:c>
      <x:c r="AE237" s="4"/>
      <x:c r="AF237" s="16" t="b">
        <x:v>0</x:v>
      </x:c>
    </x:row>
    <x:row r="238" ht="44" customHeight="1">
      <x:c r="A238" s="4" t="n">
        <x:v>9082</x:v>
      </x:c>
      <x:c r="B238" s="4" t="str">
        <x:v>https://blog.skyairline.com/playas-cerca-de-sao-paulo/</x:v>
      </x:c>
      <x:c r="C238" s="9" t="str">
        <x:v>¿Cuáles son las playas que hay cerca de la ciudad de São Paulo?</x:v>
      </x:c>
      <x:c r="D238" s="17" t="d">
        <x:v>2026-07-31T00:00:00.000Z</x:v>
      </x:c>
      <x:c r="E238" s="17" t="d">
        <x:v>2026-07-30T00:00:00.000Z</x:v>
      </x:c>
      <x:c r="F238" s="4" t="str">
        <x:v>Planificación de Viaje</x:v>
      </x:c>
      <x:c r="G238" s="11" t="n">
        <x:v>1003</x:v>
      </x:c>
      <x:c r="H238" s="11" t="n">
        <x:v>200</x:v>
      </x:c>
      <x:c r="I238" s="11" t="n">
        <x:v>1</x:v>
      </x:c>
      <x:c r="J238" s="4" t="str">
        <x:v>https://blog.skyairline.com/playas-cerca-de-sao-paulo/</x:v>
      </x:c>
      <x:c r="K238" s="16" t="b">
        <x:v>0</x:v>
      </x:c>
      <x:c r="L238" s="11" t="n">
        <x:v>0</x:v>
      </x:c>
      <x:c r="M238" s="11" t="n">
        <x:v>0</x:v>
      </x:c>
      <x:c r="N238" s="4"/>
      <x:c r="O238" s="4"/>
      <x:c r="P238" s="11" t="n">
        <x:v>10</x:v>
      </x:c>
      <x:c r="Q238" s="11" t="n">
        <x:v>9</x:v>
      </x:c>
      <x:c r="R238" s="11" t="n">
        <x:f>IF(OR(P238="",Q238=""),"",Q238-P238)</x:f>
        <x:v>-1</x:v>
      </x:c>
      <x:c r="S238" s="13" t="n">
        <x:f>IF(OR(P238="",Q238="",P238=0),"",((Q238/30)/(P238/31))-1)</x:f>
        <x:v>-0.07000000000000006</x:v>
      </x:c>
      <x:c r="T238" s="11" t="n">
        <x:v>1160</x:v>
      </x:c>
      <x:c r="U238" s="11" t="n">
        <x:v>494</x:v>
      </x:c>
      <x:c r="V238" s="14" t="n">
        <x:v>0.018218623481781375</x:v>
      </x:c>
      <x:c r="W238" s="12" t="n">
        <x:v>11.493927125506072</x:v>
      </x:c>
      <x:c r="X238" s="11" t="n">
        <x:v>12</x:v>
      </x:c>
      <x:c r="Y238" s="11" t="n">
        <x:v>12</x:v>
      </x:c>
      <x:c r="Z238" s="4" t="str">
        <x:v>https://blog.skyairline.com/playas-cerca-de-sao-paulo/</x:v>
      </x:c>
      <x:c r="AA238" s="4" t="str">
        <x:v>https://blog.skyairline.com/playas-cerca-de-sao-paulo/
https://blog.skyairline.com/playas-cerca-de-sao-paulo</x:v>
      </x:c>
      <x:c r="AB238" s="4" t="str">
        <x:v>Alias slash agregado</x:v>
      </x:c>
      <x:c r="AC238" s="4" t="str">
        <x:v>Publicado hasta septiembre</x:v>
      </x:c>
      <x:c r="AD238" s="4" t="str">
        <x:v>/playas-cerca-de-sao-paulo/</x:v>
      </x:c>
      <x:c r="AE238" s="4"/>
      <x:c r="AF238" s="16" t="b">
        <x:v>0</x:v>
      </x:c>
    </x:row>
    <x:row r="239" ht="44" customHeight="1">
      <x:c r="A239" s="4" t="n">
        <x:v>9083</x:v>
      </x:c>
      <x:c r="B239" s="4" t="str">
        <x:v>https://blog.skyairline.com/parques-acuaticos-en-brasil/</x:v>
      </x:c>
      <x:c r="C239" s="9" t="str">
        <x:v>8 parques acuáticos en Brasil que te van a encantar</x:v>
      </x:c>
      <x:c r="D239" s="17" t="d">
        <x:v>2026-08-01T00:00:00.000Z</x:v>
      </x:c>
      <x:c r="E239" s="17" t="d">
        <x:v>2026-07-30T00:00:00.000Z</x:v>
      </x:c>
      <x:c r="F239" s="4" t="str">
        <x:v>Cultura</x:v>
      </x:c>
      <x:c r="G239" s="11" t="n">
        <x:v>896</x:v>
      </x:c>
      <x:c r="H239" s="11" t="n">
        <x:v>200</x:v>
      </x:c>
      <x:c r="I239" s="11" t="n">
        <x:v>1</x:v>
      </x:c>
      <x:c r="J239" s="4" t="str">
        <x:v>https://blog.skyairline.com/parques-acuaticos-en-brasil/</x:v>
      </x:c>
      <x:c r="K239" s="16" t="b">
        <x:v>0</x:v>
      </x:c>
      <x:c r="L239" s="11" t="n">
        <x:v>0</x:v>
      </x:c>
      <x:c r="M239" s="11" t="n">
        <x:v>0</x:v>
      </x:c>
      <x:c r="N239" s="4"/>
      <x:c r="O239" s="4"/>
      <x:c r="P239" s="11" t="n">
        <x:v>19</x:v>
      </x:c>
      <x:c r="Q239" s="11" t="n">
        <x:v>9</x:v>
      </x:c>
      <x:c r="R239" s="11" t="n">
        <x:f>IF(OR(P239="",Q239=""),"",Q239-P239)</x:f>
        <x:v>-10</x:v>
      </x:c>
      <x:c r="S239" s="13" t="n">
        <x:f>IF(OR(P239="",Q239="",P239=0),"",((Q239/30)/(P239/31))-1)</x:f>
        <x:v>-0.5105263157894737</x:v>
      </x:c>
      <x:c r="T239" s="11" t="n">
        <x:v>1238</x:v>
      </x:c>
      <x:c r="U239" s="11" t="n">
        <x:v>1260</x:v>
      </x:c>
      <x:c r="V239" s="14" t="n">
        <x:v>0.007142857142857143</x:v>
      </x:c>
      <x:c r="W239" s="12" t="n">
        <x:v>8.549206349206349</x:v>
      </x:c>
      <x:c r="X239" s="11" t="n">
        <x:v>9</x:v>
      </x:c>
      <x:c r="Y239" s="11" t="n">
        <x:v>8</x:v>
      </x:c>
      <x:c r="Z239" s="4" t="str">
        <x:v>https://blog.skyairline.com/parques-acuaticos-en-brasil/</x:v>
      </x:c>
      <x:c r="AA239" s="4" t="str">
        <x:v>https://blog.skyairline.com/parques-acuaticos-en-brasil/</x:v>
      </x:c>
      <x:c r="AB239" s="4" t="str">
        <x:v>Coincidencia URL</x:v>
      </x:c>
      <x:c r="AC239" s="4" t="str">
        <x:v>Publicado hasta septiembre</x:v>
      </x:c>
      <x:c r="AD239" s="4" t="str">
        <x:v>/parques-acuaticos-en-brasil/</x:v>
      </x:c>
      <x:c r="AE239" s="4"/>
      <x:c r="AF239" s="16" t="b">
        <x:v>0</x:v>
      </x:c>
    </x:row>
    <x:row r="240" ht="44" customHeight="1">
      <x:c r="A240" s="4" t="n">
        <x:v>577</x:v>
      </x:c>
      <x:c r="B240" s="4" t="str">
        <x:v>https://blog.skyairline.com/destinos-baratos/</x:v>
      </x:c>
      <x:c r="C240" s="9" t="str">
        <x:v>6 destinos baratos si viajas desde Chile</x:v>
      </x:c>
      <x:c r="D240" s="17" t="d">
        <x:v>2021-07-13T00:00:00.000Z</x:v>
      </x:c>
      <x:c r="E240" s="17" t="d">
        <x:v>2021-07-13T00:00:00.000Z</x:v>
      </x:c>
      <x:c r="F240" s="4" t="str">
        <x:v>Destinos</x:v>
      </x:c>
      <x:c r="G240" s="11" t="n">
        <x:v>1056</x:v>
      </x:c>
      <x:c r="H240" s="11" t="n">
        <x:v>200</x:v>
      </x:c>
      <x:c r="I240" s="11" t="n">
        <x:v>1</x:v>
      </x:c>
      <x:c r="J240" s="4" t="str">
        <x:v>https://blog.skyairline.com/destinos-baratos/</x:v>
      </x:c>
      <x:c r="K240" s="16" t="b">
        <x:v>0</x:v>
      </x:c>
      <x:c r="L240" s="11" t="n">
        <x:v>0</x:v>
      </x:c>
      <x:c r="M240" s="11" t="n">
        <x:v>1</x:v>
      </x:c>
      <x:c r="N240" s="4"/>
      <x:c r="O240" s="4"/>
      <x:c r="P240" s="11" t="n">
        <x:v>1</x:v>
      </x:c>
      <x:c r="Q240" s="11" t="n">
        <x:v>8</x:v>
      </x:c>
      <x:c r="R240" s="11" t="n">
        <x:f>IF(OR(P240="",Q240=""),"",Q240-P240)</x:f>
        <x:v>7</x:v>
      </x:c>
      <x:c r="S240" s="13" t="n">
        <x:f>IF(OR(P240="",Q240="",P240=0),"",((Q240/30)/(P240/31))-1)</x:f>
        <x:v>7.2666666666666675</x:v>
      </x:c>
      <x:c r="T240" s="11" t="n">
        <x:v>189</x:v>
      </x:c>
      <x:c r="U240" s="11" t="n">
        <x:v>1604</x:v>
      </x:c>
      <x:c r="V240" s="14" t="n">
        <x:v>0.004987531172069825</x:v>
      </x:c>
      <x:c r="W240" s="12" t="n">
        <x:v>8.069825436408976</x:v>
      </x:c>
      <x:c r="X240" s="11" t="n">
        <x:v>9</x:v>
      </x:c>
      <x:c r="Y240" s="11" t="n">
        <x:v>8</x:v>
      </x:c>
      <x:c r="Z240" s="4" t="str">
        <x:v>https://blog.skyairline.com/destinos-baratos/</x:v>
      </x:c>
      <x:c r="AA240" s="4" t="str">
        <x:v>https://blog.skyairline.com/destinos-baratos/</x:v>
      </x:c>
      <x:c r="AB240" s="4" t="str">
        <x:v>Coincidencia URL</x:v>
      </x:c>
      <x:c r="AC240" s="4" t="str">
        <x:v>Publicado hasta septiembre</x:v>
      </x:c>
      <x:c r="AD240" s="4" t="str">
        <x:v>/destinos-baratos/</x:v>
      </x:c>
      <x:c r="AE240" s="4"/>
      <x:c r="AF240" s="16" t="b">
        <x:v>0</x:v>
      </x:c>
    </x:row>
    <x:row r="241" ht="44" customHeight="1">
      <x:c r="A241" s="4" t="n">
        <x:v>908</x:v>
      </x:c>
      <x:c r="B241" s="4" t="str">
        <x:v>https://blog.skyairline.com/playas-artificiales-de-antofagasta/</x:v>
      </x:c>
      <x:c r="C241" s="9" t="str">
        <x:v>4 playas artificiales de Antofagasta para pasar un día relax</x:v>
      </x:c>
      <x:c r="D241" s="17" t="d">
        <x:v>2021-10-07T00:00:00.000Z</x:v>
      </x:c>
      <x:c r="E241" s="17" t="d">
        <x:v>2021-10-07T00:00:00.000Z</x:v>
      </x:c>
      <x:c r="F241" s="4" t="str">
        <x:v>Destinos</x:v>
      </x:c>
      <x:c r="G241" s="11" t="n">
        <x:v>1050</x:v>
      </x:c>
      <x:c r="H241" s="11" t="n">
        <x:v>200</x:v>
      </x:c>
      <x:c r="I241" s="11" t="n">
        <x:v>1</x:v>
      </x:c>
      <x:c r="J241" s="4" t="str">
        <x:v>https://blog.skyairline.com/playas-artificiales-de-antofagasta/</x:v>
      </x:c>
      <x:c r="K241" s="16" t="b">
        <x:v>0</x:v>
      </x:c>
      <x:c r="L241" s="11" t="n">
        <x:v>0</x:v>
      </x:c>
      <x:c r="M241" s="11" t="n">
        <x:v>2</x:v>
      </x:c>
      <x:c r="N241" s="4"/>
      <x:c r="O241" s="4"/>
      <x:c r="P241" s="11" t="n">
        <x:v>8</x:v>
      </x:c>
      <x:c r="Q241" s="11" t="n">
        <x:v>8</x:v>
      </x:c>
      <x:c r="R241" s="11" t="n">
        <x:f>IF(OR(P241="",Q241=""),"",Q241-P241)</x:f>
        <x:v>0</x:v>
      </x:c>
      <x:c r="S241" s="13" t="n">
        <x:f>IF(OR(P241="",Q241="",P241=0),"",((Q241/30)/(P241/31))-1)</x:f>
        <x:v>0.03333333333333344</x:v>
      </x:c>
      <x:c r="T241" s="11" t="n">
        <x:v>1949</x:v>
      </x:c>
      <x:c r="U241" s="11" t="n">
        <x:v>1655</x:v>
      </x:c>
      <x:c r="V241" s="14" t="n">
        <x:v>0.004833836858006042</x:v>
      </x:c>
      <x:c r="W241" s="12" t="n">
        <x:v>8.630815709969788</x:v>
      </x:c>
      <x:c r="X241" s="11" t="n">
        <x:v>10</x:v>
      </x:c>
      <x:c r="Y241" s="11" t="n">
        <x:v>15</x:v>
      </x:c>
      <x:c r="Z241" s="4" t="str">
        <x:v>https://blog.skyairline.com/playas-artificiales-de-antofagasta/</x:v>
      </x:c>
      <x:c r="AA241" s="4" t="str">
        <x:v>https://blog.skyairline.com/playas-artificiales-de-antofagasta/</x:v>
      </x:c>
      <x:c r="AB241" s="4" t="str">
        <x:v>Coincidencia URL</x:v>
      </x:c>
      <x:c r="AC241" s="4" t="str">
        <x:v>Publicado hasta septiembre</x:v>
      </x:c>
      <x:c r="AD241" s="4" t="str">
        <x:v>/playas-artificiales-de-antofagasta/</x:v>
      </x:c>
      <x:c r="AE241" s="4"/>
      <x:c r="AF241" s="16" t="b">
        <x:v>0</x:v>
      </x:c>
    </x:row>
    <x:row r="242" ht="44" customHeight="1">
      <x:c r="A242" s="4" t="n">
        <x:v>1159</x:v>
      </x:c>
      <x:c r="B242" s="4" t="str">
        <x:v>https://blog.skyairline.com/curiosidades-valdivia/</x:v>
      </x:c>
      <x:c r="C242" s="9" t="str">
        <x:v>7 curiosidades de Valdivia:  La Perla del Sur</x:v>
      </x:c>
      <x:c r="D242" s="17" t="d">
        <x:v>2021-12-11T00:00:00.000Z</x:v>
      </x:c>
      <x:c r="E242" s="17" t="d">
        <x:v>2021-12-11T00:00:00.000Z</x:v>
      </x:c>
      <x:c r="F242" s="4" t="str">
        <x:v>Destinos</x:v>
      </x:c>
      <x:c r="G242" s="11" t="n">
        <x:v>1017</x:v>
      </x:c>
      <x:c r="H242" s="11" t="n">
        <x:v>200</x:v>
      </x:c>
      <x:c r="I242" s="11" t="n">
        <x:v>1</x:v>
      </x:c>
      <x:c r="J242" s="4" t="str">
        <x:v>https://blog.skyairline.com/curiosidades-valdivia/</x:v>
      </x:c>
      <x:c r="K242" s="16" t="b">
        <x:v>0</x:v>
      </x:c>
      <x:c r="L242" s="11" t="n">
        <x:v>0</x:v>
      </x:c>
      <x:c r="M242" s="11" t="n">
        <x:v>5</x:v>
      </x:c>
      <x:c r="N242" s="4"/>
      <x:c r="O242" s="4"/>
      <x:c r="P242" s="11" t="n">
        <x:v>11</x:v>
      </x:c>
      <x:c r="Q242" s="11" t="n">
        <x:v>8</x:v>
      </x:c>
      <x:c r="R242" s="11" t="n">
        <x:f>IF(OR(P242="",Q242=""),"",Q242-P242)</x:f>
        <x:v>-3</x:v>
      </x:c>
      <x:c r="S242" s="13" t="n">
        <x:f>IF(OR(P242="",Q242="",P242=0),"",((Q242/30)/(P242/31))-1)</x:f>
        <x:v>-0.24848484848484853</x:v>
      </x:c>
      <x:c r="T242" s="11" t="n">
        <x:v>399</x:v>
      </x:c>
      <x:c r="U242" s="11" t="n">
        <x:v>331</x:v>
      </x:c>
      <x:c r="V242" s="14" t="n">
        <x:v>0.02416918429003021</x:v>
      </x:c>
      <x:c r="W242" s="12" t="n">
        <x:v>13.586102719033233</x:v>
      </x:c>
      <x:c r="X242" s="11" t="n">
        <x:v>6</x:v>
      </x:c>
      <x:c r="Y242" s="11" t="n">
        <x:v>8</x:v>
      </x:c>
      <x:c r="Z242" s="4" t="str">
        <x:v>https://blog.skyairline.com/curiosidades-valdivia/</x:v>
      </x:c>
      <x:c r="AA242" s="4" t="str">
        <x:v>https://blog.skyairline.com/curiosidades-valdivia/</x:v>
      </x:c>
      <x:c r="AB242" s="4" t="str">
        <x:v>Coincidencia URL</x:v>
      </x:c>
      <x:c r="AC242" s="4" t="str">
        <x:v>Publicado hasta septiembre</x:v>
      </x:c>
      <x:c r="AD242" s="4" t="str">
        <x:v>/curiosidades-valdivia/</x:v>
      </x:c>
      <x:c r="AE242" s="4"/>
      <x:c r="AF242" s="16" t="b">
        <x:v>0</x:v>
      </x:c>
    </x:row>
    <x:row r="243" ht="44" customHeight="1">
      <x:c r="A243" s="4" t="n">
        <x:v>1838</x:v>
      </x:c>
      <x:c r="B243" s="4" t="str">
        <x:v>https://blog.skyairline.com/ahorrar-tiempo-en-el-aeropuerto/</x:v>
      </x:c>
      <x:c r="C243" s="9" t="str">
        <x:v>11 consejos clave para optimizar tu tiempo en el aeropuerto</x:v>
      </x:c>
      <x:c r="D243" s="17" t="d">
        <x:v>2022-11-10T00:00:00.000Z</x:v>
      </x:c>
      <x:c r="E243" s="17" t="d">
        <x:v>2022-11-10T00:00:00.000Z</x:v>
      </x:c>
      <x:c r="F243" s="4" t="str">
        <x:v>Planificación de Viaje</x:v>
      </x:c>
      <x:c r="G243" s="11" t="n">
        <x:v>1150</x:v>
      </x:c>
      <x:c r="H243" s="11" t="n">
        <x:v>200</x:v>
      </x:c>
      <x:c r="I243" s="11" t="n">
        <x:v>1</x:v>
      </x:c>
      <x:c r="J243" s="4" t="str">
        <x:v>https://blog.skyairline.com/ahorrar-tiempo-en-el-aeropuerto/</x:v>
      </x:c>
      <x:c r="K243" s="16" t="b">
        <x:v>0</x:v>
      </x:c>
      <x:c r="L243" s="11" t="n">
        <x:v>0</x:v>
      </x:c>
      <x:c r="M243" s="11" t="n">
        <x:v>4</x:v>
      </x:c>
      <x:c r="N243" s="4"/>
      <x:c r="O243" s="4"/>
      <x:c r="P243" s="11" t="n">
        <x:v>8</x:v>
      </x:c>
      <x:c r="Q243" s="11" t="n">
        <x:v>8</x:v>
      </x:c>
      <x:c r="R243" s="11" t="n">
        <x:f>IF(OR(P243="",Q243=""),"",Q243-P243)</x:f>
        <x:v>0</x:v>
      </x:c>
      <x:c r="S243" s="13" t="n">
        <x:f>IF(OR(P243="",Q243="",P243=0),"",((Q243/30)/(P243/31))-1)</x:f>
        <x:v>0.03333333333333344</x:v>
      </x:c>
      <x:c r="T243" s="11" t="n">
        <x:v>2072</x:v>
      </x:c>
      <x:c r="U243" s="11" t="n">
        <x:v>1851</x:v>
      </x:c>
      <x:c r="V243" s="14" t="n">
        <x:v>0.004321988114532685</x:v>
      </x:c>
      <x:c r="W243" s="12" t="n">
        <x:v>7.199891950297137</x:v>
      </x:c>
      <x:c r="X243" s="11" t="n">
        <x:v>10</x:v>
      </x:c>
      <x:c r="Y243" s="11" t="n">
        <x:v>13</x:v>
      </x:c>
      <x:c r="Z243" s="4" t="str">
        <x:v>https://blog.skyairline.com/ahorrar-tiempo-en-el-aeropuerto/</x:v>
      </x:c>
      <x:c r="AA243" s="4" t="str">
        <x:v>https://blog.skyairline.com/ahorrar-tiempo-en-el-aeropuerto/
https://blog.skyairline.com/ahorrar-tiempo-en-el-aeropuerto</x:v>
      </x:c>
      <x:c r="AB243" s="4" t="str">
        <x:v>Alias slash agregado</x:v>
      </x:c>
      <x:c r="AC243" s="4" t="str">
        <x:v>Publicado hasta septiembre</x:v>
      </x:c>
      <x:c r="AD243" s="4" t="str">
        <x:v>/ahorrar-tiempo-en-el-aeropuerto/</x:v>
      </x:c>
      <x:c r="AE243" s="4"/>
      <x:c r="AF243" s="16" t="b">
        <x:v>0</x:v>
      </x:c>
    </x:row>
    <x:row r="244" ht="44" customHeight="1">
      <x:c r="A244" s="4" t="n">
        <x:v>2385</x:v>
      </x:c>
      <x:c r="B244" s="4" t="str">
        <x:v>https://blog.skyairline.com/mejores-lugares-para-pasar-ano-nuevo/</x:v>
      </x:c>
      <x:c r="C244" s="9" t="str">
        <x:v>¡6 mejores lugares para pasar año nuevo a lo grande!</x:v>
      </x:c>
      <x:c r="D244" s="17" t="d">
        <x:v>2022-10-14T00:00:00.000Z</x:v>
      </x:c>
      <x:c r="E244" s="17" t="d">
        <x:v>2022-10-14T00:00:00.000Z</x:v>
      </x:c>
      <x:c r="F244" s="4" t="str">
        <x:v>Destinos</x:v>
      </x:c>
      <x:c r="G244" s="11" t="n">
        <x:v>1073</x:v>
      </x:c>
      <x:c r="H244" s="11" t="n">
        <x:v>200</x:v>
      </x:c>
      <x:c r="I244" s="11" t="n">
        <x:v>1</x:v>
      </x:c>
      <x:c r="J244" s="4" t="str">
        <x:v>https://blog.skyairline.com/mejores-lugares-para-pasar-ano-nuevo/</x:v>
      </x:c>
      <x:c r="K244" s="16" t="b">
        <x:v>0</x:v>
      </x:c>
      <x:c r="L244" s="11" t="n">
        <x:v>0</x:v>
      </x:c>
      <x:c r="M244" s="11" t="n">
        <x:v>2</x:v>
      </x:c>
      <x:c r="N244" s="4"/>
      <x:c r="O244" s="4"/>
      <x:c r="P244" s="11" t="n">
        <x:v>7</x:v>
      </x:c>
      <x:c r="Q244" s="11" t="n">
        <x:v>8</x:v>
      </x:c>
      <x:c r="R244" s="11" t="n">
        <x:f>IF(OR(P244="",Q244=""),"",Q244-P244)</x:f>
        <x:v>1</x:v>
      </x:c>
      <x:c r="S244" s="13" t="n">
        <x:f>IF(OR(P244="",Q244="",P244=0),"",((Q244/30)/(P244/31))-1)</x:f>
        <x:v>0.18095238095238098</x:v>
      </x:c>
      <x:c r="T244" s="11" t="n">
        <x:v>263</x:v>
      </x:c>
      <x:c r="U244" s="11" t="n">
        <x:v>417</x:v>
      </x:c>
      <x:c r="V244" s="14" t="n">
        <x:v>0.019184652278177457</x:v>
      </x:c>
      <x:c r="W244" s="12" t="n">
        <x:v>12.611510791366907</x:v>
      </x:c>
      <x:c r="X244" s="11" t="n">
        <x:v>9</x:v>
      </x:c>
      <x:c r="Y244" s="11" t="n">
        <x:v>11</x:v>
      </x:c>
      <x:c r="Z244" s="4" t="str">
        <x:v>https://blog.skyairline.com/mejores-lugares-para-pasar-ano-nuevo/</x:v>
      </x:c>
      <x:c r="AA244" s="4" t="str">
        <x:v>https://blog.skyairline.com/mejores-lugares-para-pasar-ano-nuevo/</x:v>
      </x:c>
      <x:c r="AB244" s="4" t="str">
        <x:v>Coincidencia URL</x:v>
      </x:c>
      <x:c r="AC244" s="4" t="str">
        <x:v>Publicado hasta septiembre</x:v>
      </x:c>
      <x:c r="AD244" s="4" t="str">
        <x:v>/mejores-lugares-para-pasar-ano-nuevo/</x:v>
      </x:c>
      <x:c r="AE244" s="4"/>
      <x:c r="AF244" s="16" t="b">
        <x:v>0</x:v>
      </x:c>
    </x:row>
    <x:row r="245" ht="44" customHeight="1">
      <x:c r="A245" s="4" t="n">
        <x:v>2879</x:v>
      </x:c>
      <x:c r="B245" s="4" t="str">
        <x:v>https://blog.skyairline.com/mercado-central-de-tacna/</x:v>
      </x:c>
      <x:c r="C245" s="9" t="str">
        <x:v>Mercado central de Tacna: ¿cómo es y qué puedes encontrar?</x:v>
      </x:c>
      <x:c r="D245" s="17" t="d">
        <x:v>2023-04-29T00:00:00.000Z</x:v>
      </x:c>
      <x:c r="E245" s="17" t="d">
        <x:v>2023-04-29T00:00:00.000Z</x:v>
      </x:c>
      <x:c r="F245" s="4" t="str">
        <x:v>Cultura</x:v>
      </x:c>
      <x:c r="G245" s="11" t="n">
        <x:v>1046</x:v>
      </x:c>
      <x:c r="H245" s="11" t="n">
        <x:v>200</x:v>
      </x:c>
      <x:c r="I245" s="11" t="n">
        <x:v>1</x:v>
      </x:c>
      <x:c r="J245" s="4" t="str">
        <x:v>https://blog.skyairline.com/mercado-central-de-tacna/</x:v>
      </x:c>
      <x:c r="K245" s="16" t="b">
        <x:v>0</x:v>
      </x:c>
      <x:c r="L245" s="11" t="n">
        <x:v>0</x:v>
      </x:c>
      <x:c r="M245" s="11" t="n">
        <x:v>4</x:v>
      </x:c>
      <x:c r="N245" s="4"/>
      <x:c r="O245" s="4"/>
      <x:c r="P245" s="11" t="n">
        <x:v>10</x:v>
      </x:c>
      <x:c r="Q245" s="11" t="n">
        <x:v>8</x:v>
      </x:c>
      <x:c r="R245" s="11" t="n">
        <x:f>IF(OR(P245="",Q245=""),"",Q245-P245)</x:f>
        <x:v>-2</x:v>
      </x:c>
      <x:c r="S245" s="13" t="n">
        <x:f>IF(OR(P245="",Q245="",P245=0),"",((Q245/30)/(P245/31))-1)</x:f>
        <x:v>-0.17333333333333334</x:v>
      </x:c>
      <x:c r="T245" s="11" t="n">
        <x:v>1867</x:v>
      </x:c>
      <x:c r="U245" s="11" t="n">
        <x:v>1458</x:v>
      </x:c>
      <x:c r="V245" s="14" t="n">
        <x:v>0.0054869684499314125</x:v>
      </x:c>
      <x:c r="W245" s="12" t="n">
        <x:v>8.62962962962963</x:v>
      </x:c>
      <x:c r="X245" s="11" t="n">
        <x:v>11</x:v>
      </x:c>
      <x:c r="Y245" s="11" t="n">
        <x:v>10</x:v>
      </x:c>
      <x:c r="Z245" s="4" t="str">
        <x:v>https://blog.skyairline.com/mercado-central-de-tacna/</x:v>
      </x:c>
      <x:c r="AA245" s="4" t="str">
        <x:v>https://blog.skyairline.com/mercado-central-de-tacna/</x:v>
      </x:c>
      <x:c r="AB245" s="4" t="str">
        <x:v>Coincidencia URL</x:v>
      </x:c>
      <x:c r="AC245" s="4" t="str">
        <x:v>Publicado hasta septiembre</x:v>
      </x:c>
      <x:c r="AD245" s="4" t="str">
        <x:v>/mercado-central-de-tacna/</x:v>
      </x:c>
      <x:c r="AE245" s="4"/>
      <x:c r="AF245" s="16" t="b">
        <x:v>0</x:v>
      </x:c>
    </x:row>
    <x:row r="246" ht="44" customHeight="1">
      <x:c r="A246" s="4" t="n">
        <x:v>3183</x:v>
      </x:c>
      <x:c r="B246" s="4" t="str">
        <x:v>https://blog.skyairline.com/gastronomia-de-jauja/</x:v>
      </x:c>
      <x:c r="C246" s="9" t="str">
        <x:v>Explorando la gastronomía de Jauja, la «Primera Capital de Perú»</x:v>
      </x:c>
      <x:c r="D246" s="17" t="d">
        <x:v>2023-07-27T00:00:00.000Z</x:v>
      </x:c>
      <x:c r="E246" s="17" t="d">
        <x:v>2023-07-27T00:00:00.000Z</x:v>
      </x:c>
      <x:c r="F246" s="4" t="str">
        <x:v>Planificación de Viaje</x:v>
      </x:c>
      <x:c r="G246" s="11" t="n">
        <x:v>1018</x:v>
      </x:c>
      <x:c r="H246" s="11" t="n">
        <x:v>200</x:v>
      </x:c>
      <x:c r="I246" s="11" t="n">
        <x:v>1</x:v>
      </x:c>
      <x:c r="J246" s="4" t="str">
        <x:v>https://blog.skyairline.com/gastronomia-de-jauja/</x:v>
      </x:c>
      <x:c r="K246" s="16" t="b">
        <x:v>0</x:v>
      </x:c>
      <x:c r="L246" s="11" t="n">
        <x:v>0</x:v>
      </x:c>
      <x:c r="M246" s="11" t="n">
        <x:v>3</x:v>
      </x:c>
      <x:c r="N246" s="4"/>
      <x:c r="O246" s="4"/>
      <x:c r="P246" s="11" t="n">
        <x:v>3</x:v>
      </x:c>
      <x:c r="Q246" s="11" t="n">
        <x:v>8</x:v>
      </x:c>
      <x:c r="R246" s="11" t="n">
        <x:f>IF(OR(P246="",Q246=""),"",Q246-P246)</x:f>
        <x:v>5</x:v>
      </x:c>
      <x:c r="S246" s="13" t="n">
        <x:f>IF(OR(P246="",Q246="",P246=0),"",((Q246/30)/(P246/31))-1)</x:f>
        <x:v>1.7555555555555555</x:v>
      </x:c>
      <x:c r="T246" s="11" t="n">
        <x:v>794</x:v>
      </x:c>
      <x:c r="U246" s="11" t="n">
        <x:v>814</x:v>
      </x:c>
      <x:c r="V246" s="14" t="n">
        <x:v>0.009828009828009828</x:v>
      </x:c>
      <x:c r="W246" s="12" t="n">
        <x:v>4.753071253071253</x:v>
      </x:c>
      <x:c r="X246" s="11" t="n">
        <x:v>10</x:v>
      </x:c>
      <x:c r="Y246" s="11" t="n">
        <x:v>10</x:v>
      </x:c>
      <x:c r="Z246" s="4" t="str">
        <x:v>https://blog.skyairline.com/gastronomia-de-jauja/</x:v>
      </x:c>
      <x:c r="AA246" s="4" t="str">
        <x:v>https://blog.skyairline.com/gastronomia-de-jauja/</x:v>
      </x:c>
      <x:c r="AB246" s="4" t="str">
        <x:v>Coincidencia URL</x:v>
      </x:c>
      <x:c r="AC246" s="4" t="str">
        <x:v>Publicado hasta septiembre</x:v>
      </x:c>
      <x:c r="AD246" s="4" t="str">
        <x:v>/gastronomia-de-jauja/</x:v>
      </x:c>
      <x:c r="AE246" s="4"/>
      <x:c r="AF246" s="16" t="b">
        <x:v>1</x:v>
      </x:c>
    </x:row>
    <x:row r="247" ht="44" customHeight="1">
      <x:c r="A247" s="4" t="n">
        <x:v>3715</x:v>
      </x:c>
      <x:c r="B247" s="4" t="str">
        <x:v>https://blog.skyairline.com/jose-ignacio-uruguay/</x:v>
      </x:c>
      <x:c r="C247" s="9" t="str">
        <x:v>¿Cómo llegar y qué hacer en el Faro de José Ignacio en Uruguay?</x:v>
      </x:c>
      <x:c r="D247" s="17" t="d">
        <x:v>2025-09-01T00:00:00.000Z</x:v>
      </x:c>
      <x:c r="E247" s="17" t="d">
        <x:v>2026-01-12T00:00:00.000Z</x:v>
      </x:c>
      <x:c r="F247" s="4" t="str">
        <x:v>Destinos</x:v>
      </x:c>
      <x:c r="G247" s="11" t="n">
        <x:v>1304</x:v>
      </x:c>
      <x:c r="H247" s="11" t="n">
        <x:v>200</x:v>
      </x:c>
      <x:c r="I247" s="11" t="n">
        <x:v>1</x:v>
      </x:c>
      <x:c r="J247" s="4" t="str">
        <x:v>https://blog.skyairline.com/jose-ignacio-uruguay/</x:v>
      </x:c>
      <x:c r="K247" s="16" t="b">
        <x:v>0</x:v>
      </x:c>
      <x:c r="L247" s="11" t="n">
        <x:v>0</x:v>
      </x:c>
      <x:c r="M247" s="11" t="n">
        <x:v>4</x:v>
      </x:c>
      <x:c r="N247" s="4"/>
      <x:c r="O247" s="4"/>
      <x:c r="P247" s="11" t="n">
        <x:v>4</x:v>
      </x:c>
      <x:c r="Q247" s="11" t="n">
        <x:v>8</x:v>
      </x:c>
      <x:c r="R247" s="11" t="n">
        <x:f>IF(OR(P247="",Q247=""),"",Q247-P247)</x:f>
        <x:v>4</x:v>
      </x:c>
      <x:c r="S247" s="13" t="n">
        <x:f>IF(OR(P247="",Q247="",P247=0),"",((Q247/30)/(P247/31))-1)</x:f>
        <x:v>1.0666666666666669</x:v>
      </x:c>
      <x:c r="T247" s="11" t="n">
        <x:v>902</x:v>
      </x:c>
      <x:c r="U247" s="11" t="n">
        <x:v>848</x:v>
      </x:c>
      <x:c r="V247" s="14" t="n">
        <x:v>0.009433962264150943</x:v>
      </x:c>
      <x:c r="W247" s="12" t="n">
        <x:v>9.630896226415095</x:v>
      </x:c>
      <x:c r="X247" s="11" t="n">
        <x:v>7</x:v>
      </x:c>
      <x:c r="Y247" s="11" t="n">
        <x:v>9</x:v>
      </x:c>
      <x:c r="Z247" s="4" t="str">
        <x:v>https://blog.skyairline.com/jose-ignacio-uruguay/</x:v>
      </x:c>
      <x:c r="AA247" s="4" t="str">
        <x:v>https://blog.skyairline.com/jose-ignacio-uruguay/</x:v>
      </x:c>
      <x:c r="AB247" s="4" t="str">
        <x:v>Coincidencia URL</x:v>
      </x:c>
      <x:c r="AC247" s="4" t="str">
        <x:v>Publicado hasta septiembre</x:v>
      </x:c>
      <x:c r="AD247" s="4" t="str">
        <x:v>/jose-ignacio-uruguay/</x:v>
      </x:c>
      <x:c r="AE247" s="4"/>
      <x:c r="AF247" s="16" t="b">
        <x:v>0</x:v>
      </x:c>
    </x:row>
    <x:row r="248" ht="44" customHeight="1">
      <x:c r="A248" s="4" t="n">
        <x:v>3728</x:v>
      </x:c>
      <x:c r="B248" s="4" t="str">
        <x:v>https://blog.skyairline.com/pozos-azules-uruguay/</x:v>
      </x:c>
      <x:c r="C248" s="9" t="str">
        <x:v>Pozos Azules de Uruguay: valores, cómo llegar y otras informaciones</x:v>
      </x:c>
      <x:c r="D248" s="17" t="d">
        <x:v>2023-12-03T00:00:00.000Z</x:v>
      </x:c>
      <x:c r="E248" s="17" t="d">
        <x:v>2023-12-03T00:00:00.000Z</x:v>
      </x:c>
      <x:c r="F248" s="4" t="str">
        <x:v>Destinos</x:v>
      </x:c>
      <x:c r="G248" s="11" t="n">
        <x:v>1059</x:v>
      </x:c>
      <x:c r="H248" s="11" t="n">
        <x:v>200</x:v>
      </x:c>
      <x:c r="I248" s="11" t="n">
        <x:v>1</x:v>
      </x:c>
      <x:c r="J248" s="4" t="str">
        <x:v>https://blog.skyairline.com/pozos-azules-uruguay/</x:v>
      </x:c>
      <x:c r="K248" s="16" t="b">
        <x:v>0</x:v>
      </x:c>
      <x:c r="L248" s="11" t="n">
        <x:v>0</x:v>
      </x:c>
      <x:c r="M248" s="11" t="n">
        <x:v>3</x:v>
      </x:c>
      <x:c r="N248" s="4"/>
      <x:c r="O248" s="4"/>
      <x:c r="P248" s="11" t="n">
        <x:v>7</x:v>
      </x:c>
      <x:c r="Q248" s="11" t="n">
        <x:v>8</x:v>
      </x:c>
      <x:c r="R248" s="11" t="n">
        <x:f>IF(OR(P248="",Q248=""),"",Q248-P248)</x:f>
        <x:v>1</x:v>
      </x:c>
      <x:c r="S248" s="13" t="n">
        <x:f>IF(OR(P248="",Q248="",P248=0),"",((Q248/30)/(P248/31))-1)</x:f>
        <x:v>0.18095238095238098</x:v>
      </x:c>
      <x:c r="T248" s="11" t="n">
        <x:v>261</x:v>
      </x:c>
      <x:c r="U248" s="11" t="n">
        <x:v>340</x:v>
      </x:c>
      <x:c r="V248" s="14" t="n">
        <x:v>0.023529411764705882</x:v>
      </x:c>
      <x:c r="W248" s="12" t="n">
        <x:v>7.144117647058824</x:v>
      </x:c>
      <x:c r="X248" s="11" t="n">
        <x:v>9</x:v>
      </x:c>
      <x:c r="Y248" s="11" t="n">
        <x:v>10</x:v>
      </x:c>
      <x:c r="Z248" s="4" t="str">
        <x:v>https://blog.skyairline.com/pozos-azules-uruguay/</x:v>
      </x:c>
      <x:c r="AA248" s="4" t="str">
        <x:v>https://blog.skyairline.com/pozos-azules-uruguay/</x:v>
      </x:c>
      <x:c r="AB248" s="4" t="str">
        <x:v>Coincidencia URL</x:v>
      </x:c>
      <x:c r="AC248" s="4" t="str">
        <x:v>Publicado hasta septiembre</x:v>
      </x:c>
      <x:c r="AD248" s="4" t="str">
        <x:v>/pozos-azules-uruguay/</x:v>
      </x:c>
      <x:c r="AE248" s="4"/>
      <x:c r="AF248" s="16" t="b">
        <x:v>0</x:v>
      </x:c>
    </x:row>
    <x:row r="249" ht="44" customHeight="1">
      <x:c r="A249" s="4" t="n">
        <x:v>3892</x:v>
      </x:c>
      <x:c r="B249" s="4" t="str">
        <x:v>https://blog.skyairline.com/buzios-es-peligroso/</x:v>
      </x:c>
      <x:c r="C249" s="9" t="str">
        <x:v>Búzios: consejos para disfrutar tu viaje</x:v>
      </x:c>
      <x:c r="D249" s="17" t="d">
        <x:v>2026-03-13T00:00:00.000Z</x:v>
      </x:c>
      <x:c r="E249" s="17" t="d">
        <x:v>2026-03-10T00:00:00.000Z</x:v>
      </x:c>
      <x:c r="F249" s="4" t="str">
        <x:v>Destinos</x:v>
      </x:c>
      <x:c r="G249" s="11" t="n">
        <x:v>1045</x:v>
      </x:c>
      <x:c r="H249" s="11" t="n">
        <x:v>200</x:v>
      </x:c>
      <x:c r="I249" s="11" t="n">
        <x:v>1</x:v>
      </x:c>
      <x:c r="J249" s="4" t="str">
        <x:v>https://blog.skyairline.com/buzios-es-peligroso/</x:v>
      </x:c>
      <x:c r="K249" s="16" t="b">
        <x:v>0</x:v>
      </x:c>
      <x:c r="L249" s="11" t="n">
        <x:v>0</x:v>
      </x:c>
      <x:c r="M249" s="11" t="n">
        <x:v>0</x:v>
      </x:c>
      <x:c r="N249" s="4"/>
      <x:c r="O249" s="4"/>
      <x:c r="P249" s="11" t="n">
        <x:v>9</x:v>
      </x:c>
      <x:c r="Q249" s="11" t="n">
        <x:v>8</x:v>
      </x:c>
      <x:c r="R249" s="11" t="n">
        <x:f>IF(OR(P249="",Q249=""),"",Q249-P249)</x:f>
        <x:v>-1</x:v>
      </x:c>
      <x:c r="S249" s="13" t="n">
        <x:f>IF(OR(P249="",Q249="",P249=0),"",((Q249/30)/(P249/31))-1)</x:f>
        <x:v>-0.0814814814814816</x:v>
      </x:c>
      <x:c r="T249" s="11" t="n">
        <x:v>1331</x:v>
      </x:c>
      <x:c r="U249" s="11" t="n">
        <x:v>1022</x:v>
      </x:c>
      <x:c r="V249" s="14" t="n">
        <x:v>0.007827788649706457</x:v>
      </x:c>
      <x:c r="W249" s="12" t="n">
        <x:v>8.093933463796478</x:v>
      </x:c>
      <x:c r="X249" s="11" t="n">
        <x:v>6</x:v>
      </x:c>
      <x:c r="Y249" s="11" t="n">
        <x:v>7</x:v>
      </x:c>
      <x:c r="Z249" s="4" t="str">
        <x:v>https://blog.skyairline.com/buzios-es-peligroso/</x:v>
      </x:c>
      <x:c r="AA249" s="4" t="str">
        <x:v>https://blog.skyairline.com/buzios-es-peligroso/</x:v>
      </x:c>
      <x:c r="AB249" s="4" t="str">
        <x:v>Coincidencia URL</x:v>
      </x:c>
      <x:c r="AC249" s="4" t="str">
        <x:v>Publicado hasta septiembre</x:v>
      </x:c>
      <x:c r="AD249" s="4" t="str">
        <x:v>/buzios-es-peligroso/</x:v>
      </x:c>
      <x:c r="AE249" s="4"/>
      <x:c r="AF249" s="16" t="b">
        <x:v>0</x:v>
      </x:c>
    </x:row>
    <x:row r="250" ht="44" customHeight="1">
      <x:c r="A250" s="4" t="n">
        <x:v>4733</x:v>
      </x:c>
      <x:c r="B250" s="4" t="str">
        <x:v>https://blog.skyairline.com/reloj-vina-del-mar/</x:v>
      </x:c>
      <x:c r="C250" s="9" t="str">
        <x:v>Reloj de Viña del Mar: Descubre su historia y significado</x:v>
      </x:c>
      <x:c r="D250" s="17" t="d">
        <x:v>2024-07-08T00:00:00.000Z</x:v>
      </x:c>
      <x:c r="E250" s="17" t="d">
        <x:v>2024-07-08T00:00:00.000Z</x:v>
      </x:c>
      <x:c r="F250" s="4" t="str">
        <x:v>Destinos</x:v>
      </x:c>
      <x:c r="G250" s="11" t="n">
        <x:v>996</x:v>
      </x:c>
      <x:c r="H250" s="11" t="n">
        <x:v>200</x:v>
      </x:c>
      <x:c r="I250" s="11" t="n">
        <x:v>1</x:v>
      </x:c>
      <x:c r="J250" s="4" t="str">
        <x:v>https://blog.skyairline.com/reloj-vina-del-mar/</x:v>
      </x:c>
      <x:c r="K250" s="16" t="b">
        <x:v>0</x:v>
      </x:c>
      <x:c r="L250" s="11" t="n">
        <x:v>0</x:v>
      </x:c>
      <x:c r="M250" s="11" t="n">
        <x:v>3</x:v>
      </x:c>
      <x:c r="N250" s="4"/>
      <x:c r="O250" s="4"/>
      <x:c r="P250" s="11" t="n">
        <x:v>11</x:v>
      </x:c>
      <x:c r="Q250" s="11" t="n">
        <x:v>8</x:v>
      </x:c>
      <x:c r="R250" s="11" t="n">
        <x:f>IF(OR(P250="",Q250=""),"",Q250-P250)</x:f>
        <x:v>-3</x:v>
      </x:c>
      <x:c r="S250" s="13" t="n">
        <x:f>IF(OR(P250="",Q250="",P250=0),"",((Q250/30)/(P250/31))-1)</x:f>
        <x:v>-0.24848484848484853</x:v>
      </x:c>
      <x:c r="T250" s="11" t="n">
        <x:v>3390</x:v>
      </x:c>
      <x:c r="U250" s="11" t="n">
        <x:v>2401</x:v>
      </x:c>
      <x:c r="V250" s="14" t="n">
        <x:v>0.003331945022907122</x:v>
      </x:c>
      <x:c r="W250" s="12" t="n">
        <x:v>8.942107455226989</x:v>
      </x:c>
      <x:c r="X250" s="11" t="n">
        <x:v>12</x:v>
      </x:c>
      <x:c r="Y250" s="11" t="n">
        <x:v>15</x:v>
      </x:c>
      <x:c r="Z250" s="4" t="str">
        <x:v>https://blog.skyairline.com/reloj-vina-del-mar/</x:v>
      </x:c>
      <x:c r="AA250" s="4" t="str">
        <x:v>https://blog.skyairline.com/reloj-vina-del-mar/</x:v>
      </x:c>
      <x:c r="AB250" s="4" t="str">
        <x:v>Coincidencia URL</x:v>
      </x:c>
      <x:c r="AC250" s="4" t="str">
        <x:v>Publicado hasta septiembre</x:v>
      </x:c>
      <x:c r="AD250" s="4" t="str">
        <x:v>/reloj-vina-del-mar/</x:v>
      </x:c>
      <x:c r="AE250" s="4"/>
      <x:c r="AF250" s="16" t="b">
        <x:v>0</x:v>
      </x:c>
    </x:row>
    <x:row r="251" ht="44" customHeight="1">
      <x:c r="A251" s="4" t="n">
        <x:v>5511</x:v>
      </x:c>
      <x:c r="B251" s="4" t="str">
        <x:v>https://blog.skyairline.com/leblon-rio-de-janeiro/</x:v>
      </x:c>
      <x:c r="C251" s="9" t="str">
        <x:v>Descubre Leblon: el barrio más exclusivo de Río de Janeiro</x:v>
      </x:c>
      <x:c r="D251" s="17" t="d">
        <x:v>2025-10-21T00:00:00.000Z</x:v>
      </x:c>
      <x:c r="E251" s="17" t="d">
        <x:v>2026-01-12T00:00:00.000Z</x:v>
      </x:c>
      <x:c r="F251" s="4" t="str">
        <x:v>Destinos</x:v>
      </x:c>
      <x:c r="G251" s="11" t="n">
        <x:v>2170</x:v>
      </x:c>
      <x:c r="H251" s="11" t="n">
        <x:v>200</x:v>
      </x:c>
      <x:c r="I251" s="11" t="n">
        <x:v>1</x:v>
      </x:c>
      <x:c r="J251" s="4" t="str">
        <x:v>https://blog.skyairline.com/leblon-rio-de-janeiro/</x:v>
      </x:c>
      <x:c r="K251" s="16" t="b">
        <x:v>0</x:v>
      </x:c>
      <x:c r="L251" s="11" t="n">
        <x:v>0</x:v>
      </x:c>
      <x:c r="M251" s="11" t="n">
        <x:v>3</x:v>
      </x:c>
      <x:c r="N251" s="4"/>
      <x:c r="O251" s="4"/>
      <x:c r="P251" s="11" t="n">
        <x:v>21</x:v>
      </x:c>
      <x:c r="Q251" s="11" t="n">
        <x:v>8</x:v>
      </x:c>
      <x:c r="R251" s="11" t="n">
        <x:f>IF(OR(P251="",Q251=""),"",Q251-P251)</x:f>
        <x:v>-13</x:v>
      </x:c>
      <x:c r="S251" s="13" t="n">
        <x:f>IF(OR(P251="",Q251="",P251=0),"",((Q251/30)/(P251/31))-1)</x:f>
        <x:v>-0.6063492063492063</x:v>
      </x:c>
      <x:c r="T251" s="11" t="n">
        <x:v>3267</x:v>
      </x:c>
      <x:c r="U251" s="11" t="n">
        <x:v>2299</x:v>
      </x:c>
      <x:c r="V251" s="14" t="n">
        <x:v>0.0034797738147020443</x:v>
      </x:c>
      <x:c r="W251" s="12" t="n">
        <x:v>9.059591126576773</x:v>
      </x:c>
      <x:c r="X251" s="11" t="n">
        <x:v>12</x:v>
      </x:c>
      <x:c r="Y251" s="11" t="n">
        <x:v>12</x:v>
      </x:c>
      <x:c r="Z251" s="4" t="str">
        <x:v>https://blog.skyairline.com/leblon-rio-de-janeiro/</x:v>
      </x:c>
      <x:c r="AA251" s="4" t="str">
        <x:v>https://blog.skyairline.com/leblon-rio-de-janeiro/
https://blog.skyairline.com/leblon-rio-de-janeiro</x:v>
      </x:c>
      <x:c r="AB251" s="4" t="str">
        <x:v>Alias slash agregado</x:v>
      </x:c>
      <x:c r="AC251" s="4" t="str">
        <x:v>Publicado hasta septiembre</x:v>
      </x:c>
      <x:c r="AD251" s="4" t="str">
        <x:v>/leblon-rio-de-janeiro/</x:v>
      </x:c>
      <x:c r="AE251" s="4"/>
      <x:c r="AF251" s="16" t="b">
        <x:v>0</x:v>
      </x:c>
    </x:row>
    <x:row r="252" ht="44" customHeight="1">
      <x:c r="A252" s="4" t="n">
        <x:v>5912</x:v>
      </x:c>
      <x:c r="B252" s="4" t="str">
        <x:v>https://blog.skyairline.com/pueblos-del-sur-de-chile-con-encanto-y-tradiciones/</x:v>
      </x:c>
      <x:c r="C252" s="9" t="str">
        <x:v>Pueblos del sur de Chile con encanto y tradiciones</x:v>
      </x:c>
      <x:c r="D252" s="17" t="d">
        <x:v>2025-10-15T00:00:00.000Z</x:v>
      </x:c>
      <x:c r="E252" s="17" t="d">
        <x:v>2026-01-12T00:00:00.000Z</x:v>
      </x:c>
      <x:c r="F252" s="4" t="str">
        <x:v>Destinos</x:v>
      </x:c>
      <x:c r="G252" s="11" t="n">
        <x:v>1323</x:v>
      </x:c>
      <x:c r="H252" s="11" t="n">
        <x:v>200</x:v>
      </x:c>
      <x:c r="I252" s="11" t="n">
        <x:v>1</x:v>
      </x:c>
      <x:c r="J252" s="4" t="str">
        <x:v>https://blog.skyairline.com/pueblos-del-sur-de-chile-con-encanto-y-tradiciones/</x:v>
      </x:c>
      <x:c r="K252" s="16" t="b">
        <x:v>0</x:v>
      </x:c>
      <x:c r="L252" s="11" t="n">
        <x:v>0</x:v>
      </x:c>
      <x:c r="M252" s="11" t="n">
        <x:v>4</x:v>
      </x:c>
      <x:c r="N252" s="4"/>
      <x:c r="O252" s="4"/>
      <x:c r="P252" s="11" t="n">
        <x:v>10</x:v>
      </x:c>
      <x:c r="Q252" s="11" t="n">
        <x:v>8</x:v>
      </x:c>
      <x:c r="R252" s="11" t="n">
        <x:f>IF(OR(P252="",Q252=""),"",Q252-P252)</x:f>
        <x:v>-2</x:v>
      </x:c>
      <x:c r="S252" s="13" t="n">
        <x:f>IF(OR(P252="",Q252="",P252=0),"",((Q252/30)/(P252/31))-1)</x:f>
        <x:v>-0.17333333333333334</x:v>
      </x:c>
      <x:c r="T252" s="11" t="n">
        <x:v>1257</x:v>
      </x:c>
      <x:c r="U252" s="11" t="n">
        <x:v>1174</x:v>
      </x:c>
      <x:c r="V252" s="14" t="n">
        <x:v>0.0068143100511073255</x:v>
      </x:c>
      <x:c r="W252" s="12" t="n">
        <x:v>7.586882453151619</x:v>
      </x:c>
      <x:c r="X252" s="11" t="n">
        <x:v>11</x:v>
      </x:c>
      <x:c r="Y252" s="11" t="n">
        <x:v>13</x:v>
      </x:c>
      <x:c r="Z252" s="4" t="str">
        <x:v>https://blog.skyairline.com/pueblos-del-sur-de-chile-con-encanto-y-tradiciones/</x:v>
      </x:c>
      <x:c r="AA252" s="4" t="str">
        <x:v>https://blog.skyairline.com/pueblos-del-sur-de-chile-con-encanto-y-tradiciones/
https://blog.skyairline.com/pueblos-del-sur-de-chile-con-encanto-y-tradiciones</x:v>
      </x:c>
      <x:c r="AB252" s="4" t="str">
        <x:v>Alias slash agregado</x:v>
      </x:c>
      <x:c r="AC252" s="4" t="str">
        <x:v>Publicado hasta septiembre</x:v>
      </x:c>
      <x:c r="AD252" s="4" t="str">
        <x:v>/pueblos-del-sur-de-chile-con-encanto-y-tradiciones/</x:v>
      </x:c>
      <x:c r="AE252" s="4"/>
      <x:c r="AF252" s="16" t="b">
        <x:v>0</x:v>
      </x:c>
    </x:row>
    <x:row r="253" ht="44" customHeight="1">
      <x:c r="A253" s="4" t="n">
        <x:v>6044</x:v>
      </x:c>
      <x:c r="B253" s="4" t="str">
        <x:v>https://blog.skyairline.com/temporada-de-huracanes-en-punta-cana-meses-y-precauciones/</x:v>
      </x:c>
      <x:c r="C253" s="9" t="str">
        <x:v>Temporada de huracanes en Punta Cana: meses y precauciones</x:v>
      </x:c>
      <x:c r="D253" s="17" t="d">
        <x:v>2025-08-17T00:00:00.000Z</x:v>
      </x:c>
      <x:c r="E253" s="17" t="d">
        <x:v>2026-01-08T00:00:00.000Z</x:v>
      </x:c>
      <x:c r="F253" s="4" t="str">
        <x:v>Planificación de Viaje</x:v>
      </x:c>
      <x:c r="G253" s="11" t="n">
        <x:v>1019</x:v>
      </x:c>
      <x:c r="H253" s="11" t="n">
        <x:v>200</x:v>
      </x:c>
      <x:c r="I253" s="11" t="n">
        <x:v>1</x:v>
      </x:c>
      <x:c r="J253" s="4" t="str">
        <x:v>https://blog.skyairline.com/temporada-de-huracanes-en-punta-cana-meses-y-precauciones/</x:v>
      </x:c>
      <x:c r="K253" s="16" t="b">
        <x:v>0</x:v>
      </x:c>
      <x:c r="L253" s="11" t="n">
        <x:v>0</x:v>
      </x:c>
      <x:c r="M253" s="11" t="n">
        <x:v>0</x:v>
      </x:c>
      <x:c r="N253" s="4"/>
      <x:c r="O253" s="4"/>
      <x:c r="P253" s="11" t="n">
        <x:v>18</x:v>
      </x:c>
      <x:c r="Q253" s="11" t="n">
        <x:v>8</x:v>
      </x:c>
      <x:c r="R253" s="11" t="n">
        <x:f>IF(OR(P253="",Q253=""),"",Q253-P253)</x:f>
        <x:v>-10</x:v>
      </x:c>
      <x:c r="S253" s="13" t="n">
        <x:f>IF(OR(P253="",Q253="",P253=0),"",((Q253/30)/(P253/31))-1)</x:f>
        <x:v>-0.5407407407407407</x:v>
      </x:c>
      <x:c r="T253" s="11" t="n">
        <x:v>3066</x:v>
      </x:c>
      <x:c r="U253" s="11" t="n">
        <x:v>1344</x:v>
      </x:c>
      <x:c r="V253" s="14" t="n">
        <x:v>0.005952380952380952</x:v>
      </x:c>
      <x:c r="W253" s="12" t="n">
        <x:v>8.702380952380953</x:v>
      </x:c>
      <x:c r="X253" s="11" t="n">
        <x:v>17</x:v>
      </x:c>
      <x:c r="Y253" s="11" t="n">
        <x:v>15</x:v>
      </x:c>
      <x:c r="Z253" s="4" t="str">
        <x:v>https://blog.skyairline.com/temporada-de-huracanes-en-punta-cana-meses-y-precauciones/</x:v>
      </x:c>
      <x:c r="AA253" s="4" t="str">
        <x:v>https://blog.skyairline.com/temporada-de-huracanes-en-punta-cana-meses-y-precauciones/
https://blog.skyairline.com/temporada-de-huracanes-en-punta-cana-meses-y-precauciones</x:v>
      </x:c>
      <x:c r="AB253" s="4" t="str">
        <x:v>Alias slash agregado</x:v>
      </x:c>
      <x:c r="AC253" s="4" t="str">
        <x:v>Publicado hasta septiembre</x:v>
      </x:c>
      <x:c r="AD253" s="4" t="str">
        <x:v>/temporada-de-huracanes-en-punta-cana-meses-y-precauciones/</x:v>
      </x:c>
      <x:c r="AE253" s="4"/>
      <x:c r="AF253" s="16" t="b">
        <x:v>0</x:v>
      </x:c>
    </x:row>
    <x:row r="254" ht="44" customHeight="1">
      <x:c r="A254" s="4" t="n">
        <x:v>6112</x:v>
      </x:c>
      <x:c r="B254" s="4" t="str">
        <x:v>https://blog.skyairline.com/seguimiento-de-vuelos/</x:v>
      </x:c>
      <x:c r="C254" s="9" t="str">
        <x:v>Seguimiento de vuelos: ¿cómo saber el estado de un viaje de forma confiable?</x:v>
      </x:c>
      <x:c r="D254" s="17" t="d">
        <x:v>2025-05-23T00:00:00.000Z</x:v>
      </x:c>
      <x:c r="E254" s="17" t="d">
        <x:v>2026-01-19T00:00:00.000Z</x:v>
      </x:c>
      <x:c r="F254" s="4" t="str">
        <x:v>Planificación de Viaje</x:v>
      </x:c>
      <x:c r="G254" s="11" t="n">
        <x:v>1261</x:v>
      </x:c>
      <x:c r="H254" s="11" t="n">
        <x:v>200</x:v>
      </x:c>
      <x:c r="I254" s="11" t="n">
        <x:v>1</x:v>
      </x:c>
      <x:c r="J254" s="4" t="str">
        <x:v>https://blog.skyairline.com/seguimiento-de-vuelos/</x:v>
      </x:c>
      <x:c r="K254" s="16" t="b">
        <x:v>0</x:v>
      </x:c>
      <x:c r="L254" s="11" t="n">
        <x:v>0</x:v>
      </x:c>
      <x:c r="M254" s="11" t="n">
        <x:v>3</x:v>
      </x:c>
      <x:c r="N254" s="4"/>
      <x:c r="O254" s="4"/>
      <x:c r="P254" s="11" t="n">
        <x:v>23</x:v>
      </x:c>
      <x:c r="Q254" s="11" t="n">
        <x:v>8</x:v>
      </x:c>
      <x:c r="R254" s="11" t="n">
        <x:f>IF(OR(P254="",Q254=""),"",Q254-P254)</x:f>
        <x:v>-15</x:v>
      </x:c>
      <x:c r="S254" s="13" t="n">
        <x:f>IF(OR(P254="",Q254="",P254=0),"",((Q254/30)/(P254/31))-1)</x:f>
        <x:v>-0.6405797101449275</x:v>
      </x:c>
      <x:c r="T254" s="11" t="n">
        <x:v>3121</x:v>
      </x:c>
      <x:c r="U254" s="11" t="n">
        <x:v>1758</x:v>
      </x:c>
      <x:c r="V254" s="14" t="n">
        <x:v>0.004550625711035267</x:v>
      </x:c>
      <x:c r="W254" s="12" t="n">
        <x:v>9.056313993174061</x:v>
      </x:c>
      <x:c r="X254" s="11" t="n">
        <x:v>8</x:v>
      </x:c>
      <x:c r="Y254" s="11" t="n">
        <x:v>10</x:v>
      </x:c>
      <x:c r="Z254" s="4" t="str">
        <x:v>https://blog.skyairline.com/seguimiento-de-vuelos/</x:v>
      </x:c>
      <x:c r="AA254" s="4" t="str">
        <x:v>https://blog.skyairline.com/seguimiento-de-vuelos/</x:v>
      </x:c>
      <x:c r="AB254" s="4" t="str">
        <x:v>Coincidencia URL</x:v>
      </x:c>
      <x:c r="AC254" s="4" t="str">
        <x:v>Publicado hasta septiembre</x:v>
      </x:c>
      <x:c r="AD254" s="4" t="str">
        <x:v>/seguimiento-de-vuelos/</x:v>
      </x:c>
      <x:c r="AE254" s="4"/>
      <x:c r="AF254" s="16" t="b">
        <x:v>0</x:v>
      </x:c>
    </x:row>
    <x:row r="255" ht="44" customHeight="1">
      <x:c r="A255" s="4" t="n">
        <x:v>6223</x:v>
      </x:c>
      <x:c r="B255" s="4" t="str">
        <x:v>https://blog.skyairline.com/vuelo-nocturno/</x:v>
      </x:c>
      <x:c r="C255" s="9" t="str">
        <x:v>Ventajas y desventajas de tomar un vuelo nocturno</x:v>
      </x:c>
      <x:c r="D255" s="17" t="d">
        <x:v>2025-06-18T00:00:00.000Z</x:v>
      </x:c>
      <x:c r="E255" s="17" t="d">
        <x:v>2025-06-18T00:00:00.000Z</x:v>
      </x:c>
      <x:c r="F255" s="4" t="str">
        <x:v>Planificación de Viaje</x:v>
      </x:c>
      <x:c r="G255" s="11" t="n">
        <x:v>1167</x:v>
      </x:c>
      <x:c r="H255" s="11" t="n">
        <x:v>200</x:v>
      </x:c>
      <x:c r="I255" s="11" t="n">
        <x:v>1</x:v>
      </x:c>
      <x:c r="J255" s="4" t="str">
        <x:v>https://blog.skyairline.com/vuelo-nocturno/</x:v>
      </x:c>
      <x:c r="K255" s="16" t="b">
        <x:v>0</x:v>
      </x:c>
      <x:c r="L255" s="11" t="n">
        <x:v>0</x:v>
      </x:c>
      <x:c r="M255" s="11" t="n">
        <x:v>0</x:v>
      </x:c>
      <x:c r="N255" s="4"/>
      <x:c r="O255" s="4"/>
      <x:c r="P255" s="11" t="n">
        <x:v>14</x:v>
      </x:c>
      <x:c r="Q255" s="11" t="n">
        <x:v>8</x:v>
      </x:c>
      <x:c r="R255" s="11" t="n">
        <x:f>IF(OR(P255="",Q255=""),"",Q255-P255)</x:f>
        <x:v>-6</x:v>
      </x:c>
      <x:c r="S255" s="13" t="n">
        <x:f>IF(OR(P255="",Q255="",P255=0),"",((Q255/30)/(P255/31))-1)</x:f>
        <x:v>-0.4095238095238095</x:v>
      </x:c>
      <x:c r="T255" s="11" t="n">
        <x:v>1353</x:v>
      </x:c>
      <x:c r="U255" s="11" t="n">
        <x:v>882</x:v>
      </x:c>
      <x:c r="V255" s="14" t="n">
        <x:v>0.009070294784580499</x:v>
      </x:c>
      <x:c r="W255" s="12" t="n">
        <x:v>6.594104308390023</x:v>
      </x:c>
      <x:c r="X255" s="11" t="n">
        <x:v>8</x:v>
      </x:c>
      <x:c r="Y255" s="11" t="n">
        <x:v>9</x:v>
      </x:c>
      <x:c r="Z255" s="4" t="str">
        <x:v>https://blog.skyairline.com/vuelo-nocturno/</x:v>
      </x:c>
      <x:c r="AA255" s="4" t="str">
        <x:v>https://blog.skyairline.com/vuelo-nocturno/</x:v>
      </x:c>
      <x:c r="AB255" s="4" t="str">
        <x:v>Coincidencia URL</x:v>
      </x:c>
      <x:c r="AC255" s="4" t="str">
        <x:v>Publicado hasta septiembre</x:v>
      </x:c>
      <x:c r="AD255" s="4" t="str">
        <x:v>/vuelo-nocturno/</x:v>
      </x:c>
      <x:c r="AE255" s="4"/>
      <x:c r="AF255" s="16" t="b">
        <x:v>0</x:v>
      </x:c>
    </x:row>
    <x:row r="256" ht="44" customHeight="1">
      <x:c r="A256" s="4" t="n">
        <x:v>6249</x:v>
      </x:c>
      <x:c r="B256" s="4" t="str">
        <x:v>https://blog.skyairline.com/floripa/</x:v>
      </x:c>
      <x:c r="C256" s="9" t="str">
        <x:v>Floripa: un vistazo por la historia y cultura de Florianópolis</x:v>
      </x:c>
      <x:c r="D256" s="17" t="d">
        <x:v>2025-06-26T00:00:00.000Z</x:v>
      </x:c>
      <x:c r="E256" s="17" t="d">
        <x:v>2025-06-26T00:00:00.000Z</x:v>
      </x:c>
      <x:c r="F256" s="4" t="str">
        <x:v>Destinos</x:v>
      </x:c>
      <x:c r="G256" s="11" t="n">
        <x:v>1129</x:v>
      </x:c>
      <x:c r="H256" s="11" t="n">
        <x:v>200</x:v>
      </x:c>
      <x:c r="I256" s="11" t="n">
        <x:v>1</x:v>
      </x:c>
      <x:c r="J256" s="4" t="str">
        <x:v>https://blog.skyairline.com/floripa/</x:v>
      </x:c>
      <x:c r="K256" s="16" t="b">
        <x:v>0</x:v>
      </x:c>
      <x:c r="L256" s="11" t="n">
        <x:v>0</x:v>
      </x:c>
      <x:c r="M256" s="11" t="n">
        <x:v>0</x:v>
      </x:c>
      <x:c r="N256" s="4"/>
      <x:c r="O256" s="4"/>
      <x:c r="P256" s="11" t="n">
        <x:v>6</x:v>
      </x:c>
      <x:c r="Q256" s="11" t="n">
        <x:v>8</x:v>
      </x:c>
      <x:c r="R256" s="11" t="n">
        <x:f>IF(OR(P256="",Q256=""),"",Q256-P256)</x:f>
        <x:v>2</x:v>
      </x:c>
      <x:c r="S256" s="13" t="n">
        <x:f>IF(OR(P256="",Q256="",P256=0),"",((Q256/30)/(P256/31))-1)</x:f>
        <x:v>0.37777777777777777</x:v>
      </x:c>
      <x:c r="T256" s="11" t="n">
        <x:v>2278</x:v>
      </x:c>
      <x:c r="U256" s="11" t="n">
        <x:v>2334</x:v>
      </x:c>
      <x:c r="V256" s="14" t="n">
        <x:v>0.003427592116538132</x:v>
      </x:c>
      <x:c r="W256" s="12" t="n">
        <x:v>9.095972579263067</x:v>
      </x:c>
      <x:c r="X256" s="11" t="n">
        <x:v>9</x:v>
      </x:c>
      <x:c r="Y256" s="11" t="n">
        <x:v>14</x:v>
      </x:c>
      <x:c r="Z256" s="4" t="str">
        <x:v>https://blog.skyairline.com/floripa/</x:v>
      </x:c>
      <x:c r="AA256" s="4" t="str">
        <x:v>https://blog.skyairline.com/floripa/</x:v>
      </x:c>
      <x:c r="AB256" s="4" t="str">
        <x:v>Coincidencia URL</x:v>
      </x:c>
      <x:c r="AC256" s="4" t="str">
        <x:v>Publicado hasta septiembre</x:v>
      </x:c>
      <x:c r="AD256" s="4" t="str">
        <x:v>/floripa/</x:v>
      </x:c>
      <x:c r="AE256" s="4"/>
      <x:c r="AF256" s="16" t="b">
        <x:v>0</x:v>
      </x:c>
    </x:row>
    <x:row r="257" ht="44" customHeight="1">
      <x:c r="A257" s="4" t="n">
        <x:v>6491</x:v>
      </x:c>
      <x:c r="B257" s="4" t="str">
        <x:v>https://blog.skyairline.com/como-llegar-ahornopiren/</x:v>
      </x:c>
      <x:c r="C257" s="9" t="str">
        <x:v>Cómo llegar a Hornopirén desde Puerto Montt sin complicaciones</x:v>
      </x:c>
      <x:c r="D257" s="17" t="d">
        <x:v>2025-08-22T00:00:00.000Z</x:v>
      </x:c>
      <x:c r="E257" s="17" t="d">
        <x:v>2025-08-22T00:00:00.000Z</x:v>
      </x:c>
      <x:c r="F257" s="4" t="str">
        <x:v>Destinos</x:v>
      </x:c>
      <x:c r="G257" s="11" t="n">
        <x:v>1135</x:v>
      </x:c>
      <x:c r="H257" s="11" t="n">
        <x:v>200</x:v>
      </x:c>
      <x:c r="I257" s="11" t="n">
        <x:v>1</x:v>
      </x:c>
      <x:c r="J257" s="4" t="str">
        <x:v>https://blog.skyairline.com/como-llegar-ahornopiren/</x:v>
      </x:c>
      <x:c r="K257" s="16" t="b">
        <x:v>0</x:v>
      </x:c>
      <x:c r="L257" s="11" t="n">
        <x:v>0</x:v>
      </x:c>
      <x:c r="M257" s="11" t="n">
        <x:v>3</x:v>
      </x:c>
      <x:c r="N257" s="4"/>
      <x:c r="O257" s="4"/>
      <x:c r="P257" s="11" t="n">
        <x:v>21</x:v>
      </x:c>
      <x:c r="Q257" s="11" t="n">
        <x:v>8</x:v>
      </x:c>
      <x:c r="R257" s="11" t="n">
        <x:f>IF(OR(P257="",Q257=""),"",Q257-P257)</x:f>
        <x:v>-13</x:v>
      </x:c>
      <x:c r="S257" s="13" t="n">
        <x:f>IF(OR(P257="",Q257="",P257=0),"",((Q257/30)/(P257/31))-1)</x:f>
        <x:v>-0.6063492063492063</x:v>
      </x:c>
      <x:c r="T257" s="11" t="n">
        <x:v>2408</x:v>
      </x:c>
      <x:c r="U257" s="11" t="n">
        <x:v>2052</x:v>
      </x:c>
      <x:c r="V257" s="14" t="n">
        <x:v>0.003898635477582846</x:v>
      </x:c>
      <x:c r="W257" s="12" t="n">
        <x:v>7.07504873294347</x:v>
      </x:c>
      <x:c r="X257" s="11" t="n">
        <x:v>10</x:v>
      </x:c>
      <x:c r="Y257" s="11" t="n">
        <x:v>13</x:v>
      </x:c>
      <x:c r="Z257" s="4" t="str">
        <x:v>https://blog.skyairline.com/como-llegar-ahornopiren/</x:v>
      </x:c>
      <x:c r="AA257" s="4" t="str">
        <x:v>https://blog.skyairline.com/como-llegar-ahornopiren/</x:v>
      </x:c>
      <x:c r="AB257" s="4" t="str">
        <x:v>Coincidencia URL</x:v>
      </x:c>
      <x:c r="AC257" s="4" t="str">
        <x:v>Publicado hasta septiembre</x:v>
      </x:c>
      <x:c r="AD257" s="4" t="str">
        <x:v>/como-llegar-ahornopiren/</x:v>
      </x:c>
      <x:c r="AE257" s="4"/>
      <x:c r="AF257" s="16" t="b">
        <x:v>0</x:v>
      </x:c>
    </x:row>
    <x:row r="258" ht="44" customHeight="1">
      <x:c r="A258" s="4" t="n">
        <x:v>6785</x:v>
      </x:c>
      <x:c r="B258" s="4" t="str">
        <x:v>https://blog.skyairline.com/nuevo-programa-de-fidelizacion-exclusivo-para-clientes-corporativos-sky-plus-empresas/</x:v>
      </x:c>
      <x:c r="C258" s="9" t="str">
        <x:v>Nuevo programa de fidelización exclusivo para clientes corporativos: SKY Plus Empresas</x:v>
      </x:c>
      <x:c r="D258" s="17" t="d">
        <x:v>2025-08-12T00:00:00.000Z</x:v>
      </x:c>
      <x:c r="E258" s="17" t="d">
        <x:v>2025-08-12T00:00:00.000Z</x:v>
      </x:c>
      <x:c r="F258" s="4" t="str">
        <x:v>Noticias</x:v>
      </x:c>
      <x:c r="G258" s="11" t="n">
        <x:v>409</x:v>
      </x:c>
      <x:c r="H258" s="11" t="n">
        <x:v>200</x:v>
      </x:c>
      <x:c r="I258" s="11" t="n">
        <x:v>1</x:v>
      </x:c>
      <x:c r="J258" s="4" t="str">
        <x:v>https://blog.skyairline.com/nuevo-programa-de-fidelizacion-exclusivo-para-clientes-corporativos-sky-plus-empresas/</x:v>
      </x:c>
      <x:c r="K258" s="16" t="b">
        <x:v>0</x:v>
      </x:c>
      <x:c r="L258" s="11" t="n">
        <x:v>0</x:v>
      </x:c>
      <x:c r="M258" s="11" t="n">
        <x:v>0</x:v>
      </x:c>
      <x:c r="N258" s="4" t="str">
        <x:v>T05</x:v>
      </x:c>
      <x:c r="O258" s="4"/>
      <x:c r="P258" s="11" t="n">
        <x:v>4</x:v>
      </x:c>
      <x:c r="Q258" s="11" t="n">
        <x:v>8</x:v>
      </x:c>
      <x:c r="R258" s="11" t="n">
        <x:f>IF(OR(P258="",Q258=""),"",Q258-P258)</x:f>
        <x:v>4</x:v>
      </x:c>
      <x:c r="S258" s="13" t="n">
        <x:f>IF(OR(P258="",Q258="",P258=0),"",((Q258/30)/(P258/31))-1)</x:f>
        <x:v>1.0666666666666669</x:v>
      </x:c>
      <x:c r="T258" s="11" t="n">
        <x:v>789</x:v>
      </x:c>
      <x:c r="U258" s="11" t="n">
        <x:v>1191</x:v>
      </x:c>
      <x:c r="V258" s="14" t="n">
        <x:v>0.006717044500419815</x:v>
      </x:c>
      <x:c r="W258" s="12" t="n">
        <x:v>7.177162048698572</x:v>
      </x:c>
      <x:c r="X258" s="11" t="n">
        <x:v>8</x:v>
      </x:c>
      <x:c r="Y258" s="11" t="n">
        <x:v>10</x:v>
      </x:c>
      <x:c r="Z258" s="4" t="str">
        <x:v>https://blog.skyairline.com/nuevo-programa-de-fidelizacion-exclusivo-para-clientes-corporativos-sky-plus-empresas/</x:v>
      </x:c>
      <x:c r="AA258" s="4" t="str">
        <x:v>https://blog.skyairline.com/nuevo-programa-de-fidelizacion-exclusivo-para-clientes-corporativos-sky-plus-empresas/</x:v>
      </x:c>
      <x:c r="AB258" s="4" t="str">
        <x:v>Coincidencia URL</x:v>
      </x:c>
      <x:c r="AC258" s="4" t="str">
        <x:v>Publicado hasta septiembre</x:v>
      </x:c>
      <x:c r="AD258" s="4" t="str">
        <x:v>/nuevo-programa-de-fidelizacion-exclusivo-para-clientes-corporativos-sky-plus-empresas/</x:v>
      </x:c>
      <x:c r="AE258" s="4"/>
      <x:c r="AF258" s="16" t="b">
        <x:v>0</x:v>
      </x:c>
    </x:row>
    <x:row r="259" ht="44" customHeight="1">
      <x:c r="A259" s="4" t="n">
        <x:v>7392</x:v>
      </x:c>
      <x:c r="B259" s="4" t="str">
        <x:v>https://blog.skyairline.com/angelmo/</x:v>
      </x:c>
      <x:c r="C259" s="9" t="str">
        <x:v>Angelmó, un rinconcito cultural y gastronómico de Puerto Montt</x:v>
      </x:c>
      <x:c r="D259" s="17" t="d">
        <x:v>2025-11-01T00:00:00.000Z</x:v>
      </x:c>
      <x:c r="E259" s="17" t="d">
        <x:v>2025-10-27T00:00:00.000Z</x:v>
      </x:c>
      <x:c r="F259" s="4" t="str">
        <x:v>Destinos</x:v>
      </x:c>
      <x:c r="G259" s="11" t="n">
        <x:v>985</x:v>
      </x:c>
      <x:c r="H259" s="11" t="n">
        <x:v>200</x:v>
      </x:c>
      <x:c r="I259" s="11" t="n">
        <x:v>1</x:v>
      </x:c>
      <x:c r="J259" s="4" t="str">
        <x:v>https://blog.skyairline.com/angelmo/</x:v>
      </x:c>
      <x:c r="K259" s="16" t="b">
        <x:v>0</x:v>
      </x:c>
      <x:c r="L259" s="11" t="n">
        <x:v>0</x:v>
      </x:c>
      <x:c r="M259" s="11" t="n">
        <x:v>3</x:v>
      </x:c>
      <x:c r="N259" s="4"/>
      <x:c r="O259" s="4"/>
      <x:c r="P259" s="11" t="n">
        <x:v>11</x:v>
      </x:c>
      <x:c r="Q259" s="11" t="n">
        <x:v>8</x:v>
      </x:c>
      <x:c r="R259" s="11" t="n">
        <x:f>IF(OR(P259="",Q259=""),"",Q259-P259)</x:f>
        <x:v>-3</x:v>
      </x:c>
      <x:c r="S259" s="13" t="n">
        <x:f>IF(OR(P259="",Q259="",P259=0),"",((Q259/30)/(P259/31))-1)</x:f>
        <x:v>-0.24848484848484853</x:v>
      </x:c>
      <x:c r="T259" s="11" t="n">
        <x:v>1134</x:v>
      </x:c>
      <x:c r="U259" s="11" t="n">
        <x:v>1969</x:v>
      </x:c>
      <x:c r="V259" s="14" t="n">
        <x:v>0.004062976130015236</x:v>
      </x:c>
      <x:c r="W259" s="12" t="n">
        <x:v>8.361097003555104</x:v>
      </x:c>
      <x:c r="X259" s="11" t="n">
        <x:v>8</x:v>
      </x:c>
      <x:c r="Y259" s="11" t="n">
        <x:v>8</x:v>
      </x:c>
      <x:c r="Z259" s="4" t="str">
        <x:v>https://blog.skyairline.com/angelmo/</x:v>
      </x:c>
      <x:c r="AA259" s="4" t="str">
        <x:v>https://blog.skyairline.com/angelmo/
https://blog.skyairline.com/angelmo</x:v>
      </x:c>
      <x:c r="AB259" s="4" t="str">
        <x:v>Alias slash agregado</x:v>
      </x:c>
      <x:c r="AC259" s="4" t="str">
        <x:v>Publicado hasta septiembre</x:v>
      </x:c>
      <x:c r="AD259" s="4" t="str">
        <x:v>/angelmo/</x:v>
      </x:c>
      <x:c r="AE259" s="4"/>
      <x:c r="AF259" s="16" t="b">
        <x:v>0</x:v>
      </x:c>
    </x:row>
    <x:row r="260" ht="44" customHeight="1">
      <x:c r="A260" s="4" t="n">
        <x:v>7755</x:v>
      </x:c>
      <x:c r="B260" s="4" t="str">
        <x:v>https://blog.skyairline.com/jardin-japones-santiago/</x:v>
      </x:c>
      <x:c r="C260" s="9" t="str">
        <x:v>Jardín Japonés de Santiago de Chile: tu oasis de paz en la ciudad</x:v>
      </x:c>
      <x:c r="D260" s="17" t="d">
        <x:v>2025-12-05T00:00:00.000Z</x:v>
      </x:c>
      <x:c r="E260" s="17" t="d">
        <x:v>2025-11-17T00:00:00.000Z</x:v>
      </x:c>
      <x:c r="F260" s="4" t="str">
        <x:v>Destinos</x:v>
      </x:c>
      <x:c r="G260" s="11" t="n">
        <x:v>1029</x:v>
      </x:c>
      <x:c r="H260" s="11" t="n">
        <x:v>200</x:v>
      </x:c>
      <x:c r="I260" s="11" t="n">
        <x:v>1</x:v>
      </x:c>
      <x:c r="J260" s="4" t="str">
        <x:v>https://blog.skyairline.com/jardin-japones-santiago/</x:v>
      </x:c>
      <x:c r="K260" s="16" t="b">
        <x:v>0</x:v>
      </x:c>
      <x:c r="L260" s="11" t="n">
        <x:v>0</x:v>
      </x:c>
      <x:c r="M260" s="11" t="n">
        <x:v>2</x:v>
      </x:c>
      <x:c r="N260" s="4"/>
      <x:c r="O260" s="4"/>
      <x:c r="P260" s="11" t="n">
        <x:v>12</x:v>
      </x:c>
      <x:c r="Q260" s="11" t="n">
        <x:v>8</x:v>
      </x:c>
      <x:c r="R260" s="11" t="n">
        <x:f>IF(OR(P260="",Q260=""),"",Q260-P260)</x:f>
        <x:v>-4</x:v>
      </x:c>
      <x:c r="S260" s="13" t="n">
        <x:f>IF(OR(P260="",Q260="",P260=0),"",((Q260/30)/(P260/31))-1)</x:f>
        <x:v>-0.3111111111111111</x:v>
      </x:c>
      <x:c r="T260" s="11" t="n">
        <x:v>4539</x:v>
      </x:c>
      <x:c r="U260" s="11" t="n">
        <x:v>5552</x:v>
      </x:c>
      <x:c r="V260" s="14" t="n">
        <x:v>0.001440922190201729</x:v>
      </x:c>
      <x:c r="W260" s="12" t="n">
        <x:v>8.883105187319885</x:v>
      </x:c>
      <x:c r="X260" s="11" t="n">
        <x:v>13</x:v>
      </x:c>
      <x:c r="Y260" s="11" t="n">
        <x:v>15</x:v>
      </x:c>
      <x:c r="Z260" s="4" t="str">
        <x:v>https://blog.skyairline.com/jardin-japones-santiago/</x:v>
      </x:c>
      <x:c r="AA260" s="4" t="str">
        <x:v>https://blog.skyairline.com/jardin-japones-santiago/</x:v>
      </x:c>
      <x:c r="AB260" s="4" t="str">
        <x:v>Coincidencia URL</x:v>
      </x:c>
      <x:c r="AC260" s="4" t="str">
        <x:v>Publicado hasta septiembre</x:v>
      </x:c>
      <x:c r="AD260" s="4" t="str">
        <x:v>/jardin-japones-santiago/</x:v>
      </x:c>
      <x:c r="AE260" s="4"/>
      <x:c r="AF260" s="16" t="b">
        <x:v>0</x:v>
      </x:c>
    </x:row>
    <x:row r="261" ht="44" customHeight="1">
      <x:c r="A261" s="4" t="n">
        <x:v>8815</x:v>
      </x:c>
      <x:c r="B261" s="4" t="str">
        <x:v>https://blog.skyairline.com/clima-en-rio-de-janeiro/</x:v>
      </x:c>
      <x:c r="C261" s="9" t="str">
        <x:v>El clima en Río de Janeiro: ¿cuál es la mejor época para viajar?</x:v>
      </x:c>
      <x:c r="D261" s="17" t="d">
        <x:v>2026-06-06T00:00:00.000Z</x:v>
      </x:c>
      <x:c r="E261" s="17" t="d">
        <x:v>2026-05-27T00:00:00.000Z</x:v>
      </x:c>
      <x:c r="F261" s="4" t="str">
        <x:v>Planificación de Viaje</x:v>
      </x:c>
      <x:c r="G261" s="11" t="n">
        <x:v>1044</x:v>
      </x:c>
      <x:c r="H261" s="11" t="n">
        <x:v>200</x:v>
      </x:c>
      <x:c r="I261" s="11" t="n">
        <x:v>1</x:v>
      </x:c>
      <x:c r="J261" s="4" t="str">
        <x:v>https://blog.skyairline.com/clima-en-rio-de-janeiro/</x:v>
      </x:c>
      <x:c r="K261" s="16" t="b">
        <x:v>0</x:v>
      </x:c>
      <x:c r="L261" s="11" t="n">
        <x:v>0</x:v>
      </x:c>
      <x:c r="M261" s="11" t="n">
        <x:v>0</x:v>
      </x:c>
      <x:c r="N261" s="4"/>
      <x:c r="O261" s="4"/>
      <x:c r="P261" s="11" t="n">
        <x:v>6</x:v>
      </x:c>
      <x:c r="Q261" s="11" t="n">
        <x:v>8</x:v>
      </x:c>
      <x:c r="R261" s="11" t="n">
        <x:f>IF(OR(P261="",Q261=""),"",Q261-P261)</x:f>
        <x:v>2</x:v>
      </x:c>
      <x:c r="S261" s="13" t="n">
        <x:f>IF(OR(P261="",Q261="",P261=0),"",((Q261/30)/(P261/31))-1)</x:f>
        <x:v>0.37777777777777777</x:v>
      </x:c>
      <x:c r="T261" s="11" t="n">
        <x:v>3884</x:v>
      </x:c>
      <x:c r="U261" s="11" t="n">
        <x:v>2736</x:v>
      </x:c>
      <x:c r="V261" s="14" t="n">
        <x:v>0.0029239766081871343</x:v>
      </x:c>
      <x:c r="W261" s="12" t="n">
        <x:v>8.10562865497076</x:v>
      </x:c>
      <x:c r="X261" s="11" t="n">
        <x:v>10</x:v>
      </x:c>
      <x:c r="Y261" s="11" t="n">
        <x:v>13</x:v>
      </x:c>
      <x:c r="Z261" s="4" t="str">
        <x:v>https://blog.skyairline.com/clima-en-rio-de-janeiro/</x:v>
      </x:c>
      <x:c r="AA261" s="4" t="str">
        <x:v>https://blog.skyairline.com/clima-en-rio-de-janeiro/
https://blog.skyairline.com/clima-en-rio-de-janeiro</x:v>
      </x:c>
      <x:c r="AB261" s="4" t="str">
        <x:v>Alias slash agregado</x:v>
      </x:c>
      <x:c r="AC261" s="4" t="str">
        <x:v>Publicado hasta septiembre</x:v>
      </x:c>
      <x:c r="AD261" s="4" t="str">
        <x:v>/clima-en-rio-de-janeiro/</x:v>
      </x:c>
      <x:c r="AE261" s="4"/>
      <x:c r="AF261" s="16" t="b">
        <x:v>0</x:v>
      </x:c>
    </x:row>
    <x:row r="262" ht="44" customHeight="1">
      <x:c r="A262" s="4" t="n">
        <x:v>1586</x:v>
      </x:c>
      <x:c r="B262" s="4" t="str">
        <x:v>https://blog.skyairline.com/playa-cavancha/</x:v>
      </x:c>
      <x:c r="C262" s="9" t="str">
        <x:v>Playa Cavancha, disfruta de la mejor playa de Iquique</x:v>
      </x:c>
      <x:c r="D262" s="17" t="d">
        <x:v>2025-12-15T00:00:00.000Z</x:v>
      </x:c>
      <x:c r="E262" s="17" t="d">
        <x:v>2025-12-15T00:00:00.000Z</x:v>
      </x:c>
      <x:c r="F262" s="4" t="str">
        <x:v>Planificación de Viaje</x:v>
      </x:c>
      <x:c r="G262" s="11" t="n">
        <x:v>1258</x:v>
      </x:c>
      <x:c r="H262" s="11" t="n">
        <x:v>200</x:v>
      </x:c>
      <x:c r="I262" s="11" t="n">
        <x:v>1</x:v>
      </x:c>
      <x:c r="J262" s="4" t="str">
        <x:v>https://blog.skyairline.com/playa-cavancha/</x:v>
      </x:c>
      <x:c r="K262" s="16" t="b">
        <x:v>0</x:v>
      </x:c>
      <x:c r="L262" s="11" t="n">
        <x:v>0</x:v>
      </x:c>
      <x:c r="M262" s="11" t="n">
        <x:v>0</x:v>
      </x:c>
      <x:c r="N262" s="4"/>
      <x:c r="O262" s="4"/>
      <x:c r="P262" s="11" t="n">
        <x:v>9</x:v>
      </x:c>
      <x:c r="Q262" s="11" t="n">
        <x:v>7</x:v>
      </x:c>
      <x:c r="R262" s="11" t="n">
        <x:f>IF(OR(P262="",Q262=""),"",Q262-P262)</x:f>
        <x:v>-2</x:v>
      </x:c>
      <x:c r="S262" s="13" t="n">
        <x:f>IF(OR(P262="",Q262="",P262=0),"",((Q262/30)/(P262/31))-1)</x:f>
        <x:v>-0.1962962962962963</x:v>
      </x:c>
      <x:c r="T262" s="11" t="n">
        <x:v>2386</x:v>
      </x:c>
      <x:c r="U262" s="11" t="n">
        <x:v>1249</x:v>
      </x:c>
      <x:c r="V262" s="14" t="n">
        <x:v>0.005604483586869495</x:v>
      </x:c>
      <x:c r="W262" s="12" t="n">
        <x:v>7.365092073658927</x:v>
      </x:c>
      <x:c r="X262" s="11" t="n">
        <x:v>6</x:v>
      </x:c>
      <x:c r="Y262" s="11" t="n">
        <x:v>6</x:v>
      </x:c>
      <x:c r="Z262" s="4" t="str">
        <x:v>https://blog.skyairline.com/playa-cavancha/</x:v>
      </x:c>
      <x:c r="AA262" s="4" t="str">
        <x:v>https://blog.skyairline.com/playa-cavancha/</x:v>
      </x:c>
      <x:c r="AB262" s="4" t="str">
        <x:v>Coincidencia URL</x:v>
      </x:c>
      <x:c r="AC262" s="4" t="str">
        <x:v>Publicado hasta septiembre</x:v>
      </x:c>
      <x:c r="AD262" s="4" t="str">
        <x:v>/playa-cavancha/</x:v>
      </x:c>
      <x:c r="AE262" s="4"/>
      <x:c r="AF262" s="16" t="b">
        <x:v>0</x:v>
      </x:c>
    </x:row>
    <x:row r="263" ht="44" customHeight="1">
      <x:c r="A263" s="4" t="n">
        <x:v>1796</x:v>
      </x:c>
      <x:c r="B263" s="4" t="str">
        <x:v>https://blog.skyairline.com/comer-antes-de-subir-al-avion/</x:v>
      </x:c>
      <x:c r="C263" s="9" t="str">
        <x:v>¿Cómo debes comer antes de subir al avión?</x:v>
      </x:c>
      <x:c r="D263" s="17" t="d">
        <x:v>2022-05-08T00:00:00.000Z</x:v>
      </x:c>
      <x:c r="E263" s="17" t="d">
        <x:v>2022-05-08T00:00:00.000Z</x:v>
      </x:c>
      <x:c r="F263" s="4" t="str">
        <x:v>Planificación de Viaje</x:v>
      </x:c>
      <x:c r="G263" s="11" t="n">
        <x:v>1037</x:v>
      </x:c>
      <x:c r="H263" s="11" t="n">
        <x:v>200</x:v>
      </x:c>
      <x:c r="I263" s="11" t="n">
        <x:v>1</x:v>
      </x:c>
      <x:c r="J263" s="4" t="str">
        <x:v>https://blog.skyairline.com/comer-antes-de-subir-al-avion/</x:v>
      </x:c>
      <x:c r="K263" s="16" t="b">
        <x:v>0</x:v>
      </x:c>
      <x:c r="L263" s="11" t="n">
        <x:v>0</x:v>
      </x:c>
      <x:c r="M263" s="11" t="n">
        <x:v>4</x:v>
      </x:c>
      <x:c r="N263" s="4"/>
      <x:c r="O263" s="4"/>
      <x:c r="P263" s="11" t="n">
        <x:v>9</x:v>
      </x:c>
      <x:c r="Q263" s="11" t="n">
        <x:v>7</x:v>
      </x:c>
      <x:c r="R263" s="11" t="n">
        <x:f>IF(OR(P263="",Q263=""),"",Q263-P263)</x:f>
        <x:v>-2</x:v>
      </x:c>
      <x:c r="S263" s="13" t="n">
        <x:f>IF(OR(P263="",Q263="",P263=0),"",((Q263/30)/(P263/31))-1)</x:f>
        <x:v>-0.1962962962962963</x:v>
      </x:c>
      <x:c r="T263" s="11" t="n">
        <x:v>790</x:v>
      </x:c>
      <x:c r="U263" s="11" t="n">
        <x:v>389</x:v>
      </x:c>
      <x:c r="V263" s="14" t="n">
        <x:v>0.017994858611825194</x:v>
      </x:c>
      <x:c r="W263" s="12" t="n">
        <x:v>6.071979434447301</x:v>
      </x:c>
      <x:c r="X263" s="11" t="n">
        <x:v>11</x:v>
      </x:c>
      <x:c r="Y263" s="11" t="n">
        <x:v>13</x:v>
      </x:c>
      <x:c r="Z263" s="4" t="str">
        <x:v>https://blog.skyairline.com/comer-antes-de-subir-al-avion/</x:v>
      </x:c>
      <x:c r="AA263" s="4" t="str">
        <x:v>https://blog.skyairline.com/comer-antes-de-subir-al-avion/</x:v>
      </x:c>
      <x:c r="AB263" s="4" t="str">
        <x:v>Coincidencia URL</x:v>
      </x:c>
      <x:c r="AC263" s="4" t="str">
        <x:v>Publicado hasta septiembre</x:v>
      </x:c>
      <x:c r="AD263" s="4" t="str">
        <x:v>/comer-antes-de-subir-al-avion/</x:v>
      </x:c>
      <x:c r="AE263" s="4"/>
      <x:c r="AF263" s="16" t="b">
        <x:v>0</x:v>
      </x:c>
    </x:row>
    <x:row r="264" ht="44" customHeight="1">
      <x:c r="A264" s="4" t="n">
        <x:v>2391</x:v>
      </x:c>
      <x:c r="B264" s="4" t="str">
        <x:v>https://blog.skyairline.com/lugares-turisticos-de-latinoamerica/</x:v>
      </x:c>
      <x:c r="C264" s="9" t="str">
        <x:v>10 principales lugares turísticos de Latinoamérica que no puedes dejar de visitar</x:v>
      </x:c>
      <x:c r="D264" s="17" t="d">
        <x:v>2022-10-16T00:00:00.000Z</x:v>
      </x:c>
      <x:c r="E264" s="17" t="d">
        <x:v>2022-10-16T00:00:00.000Z</x:v>
      </x:c>
      <x:c r="F264" s="4" t="str">
        <x:v>Destinos</x:v>
      </x:c>
      <x:c r="G264" s="11" t="n">
        <x:v>1140</x:v>
      </x:c>
      <x:c r="H264" s="11" t="n">
        <x:v>200</x:v>
      </x:c>
      <x:c r="I264" s="11" t="n">
        <x:v>1</x:v>
      </x:c>
      <x:c r="J264" s="4" t="str">
        <x:v>https://blog.skyairline.com/lugares-turisticos-de-latinoamerica/</x:v>
      </x:c>
      <x:c r="K264" s="16" t="b">
        <x:v>0</x:v>
      </x:c>
      <x:c r="L264" s="11" t="n">
        <x:v>0</x:v>
      </x:c>
      <x:c r="M264" s="11" t="n">
        <x:v>3</x:v>
      </x:c>
      <x:c r="N264" s="4"/>
      <x:c r="O264" s="4"/>
      <x:c r="P264" s="11" t="n">
        <x:v>10</x:v>
      </x:c>
      <x:c r="Q264" s="11" t="n">
        <x:v>7</x:v>
      </x:c>
      <x:c r="R264" s="11" t="n">
        <x:f>IF(OR(P264="",Q264=""),"",Q264-P264)</x:f>
        <x:v>-3</x:v>
      </x:c>
      <x:c r="S264" s="13" t="n">
        <x:f>IF(OR(P264="",Q264="",P264=0),"",((Q264/30)/(P264/31))-1)</x:f>
        <x:v>-0.2766666666666666</x:v>
      </x:c>
      <x:c r="T264" s="11" t="n">
        <x:v>1949</x:v>
      </x:c>
      <x:c r="U264" s="11" t="n">
        <x:v>1013</x:v>
      </x:c>
      <x:c r="V264" s="14" t="n">
        <x:v>0.006910167818361303</x:v>
      </x:c>
      <x:c r="W264" s="12" t="n">
        <x:v>7.988153998025666</x:v>
      </x:c>
      <x:c r="X264" s="11" t="n">
        <x:v>7</x:v>
      </x:c>
      <x:c r="Y264" s="11" t="n">
        <x:v>9</x:v>
      </x:c>
      <x:c r="Z264" s="4" t="str">
        <x:v>https://blog.skyairline.com/lugares-turisticos-de-latinoamerica/</x:v>
      </x:c>
      <x:c r="AA264" s="4" t="str">
        <x:v>https://blog.skyairline.com/lugares-turisticos-de-latinoamerica/</x:v>
      </x:c>
      <x:c r="AB264" s="4" t="str">
        <x:v>Coincidencia URL</x:v>
      </x:c>
      <x:c r="AC264" s="4" t="str">
        <x:v>Publicado hasta septiembre</x:v>
      </x:c>
      <x:c r="AD264" s="4" t="str">
        <x:v>/lugares-turisticos-de-latinoamerica/</x:v>
      </x:c>
      <x:c r="AE264" s="4"/>
      <x:c r="AF264" s="16" t="b">
        <x:v>1</x:v>
      </x:c>
    </x:row>
    <x:row r="265" ht="44" customHeight="1">
      <x:c r="A265" s="4" t="n">
        <x:v>2416</x:v>
      </x:c>
      <x:c r="B265" s="4" t="str">
        <x:v>https://blog.skyairline.com/sky-lanza-nueva-ruta-en-peru-lima-talara/</x:v>
      </x:c>
      <x:c r="C265" s="9" t="str">
        <x:v>SKY lanza nueva ruta en Perú: Lima-Talara</x:v>
      </x:c>
      <x:c r="D265" s="17" t="d">
        <x:v>2022-10-21T00:00:00.000Z</x:v>
      </x:c>
      <x:c r="E265" s="17" t="d">
        <x:v>2022-10-21T00:00:00.000Z</x:v>
      </x:c>
      <x:c r="F265" s="4" t="str">
        <x:v>Destinos, Noticias</x:v>
      </x:c>
      <x:c r="G265" s="11" t="n">
        <x:v>326</x:v>
      </x:c>
      <x:c r="H265" s="11" t="n">
        <x:v>200</x:v>
      </x:c>
      <x:c r="I265" s="11" t="n">
        <x:v>1</x:v>
      </x:c>
      <x:c r="J265" s="4" t="str">
        <x:v>https://blog.skyairline.com/sky-lanza-nueva-ruta-en-peru-lima-talara/</x:v>
      </x:c>
      <x:c r="K265" s="16" t="b">
        <x:v>0</x:v>
      </x:c>
      <x:c r="L265" s="11" t="n">
        <x:v>0</x:v>
      </x:c>
      <x:c r="M265" s="11" t="n">
        <x:v>0</x:v>
      </x:c>
      <x:c r="N265" s="4"/>
      <x:c r="O265" s="4"/>
      <x:c r="P265" s="11" t="n">
        <x:v>16</x:v>
      </x:c>
      <x:c r="Q265" s="11" t="n">
        <x:v>7</x:v>
      </x:c>
      <x:c r="R265" s="11" t="n">
        <x:f>IF(OR(P265="",Q265=""),"",Q265-P265)</x:f>
        <x:v>-9</x:v>
      </x:c>
      <x:c r="S265" s="13" t="n">
        <x:f>IF(OR(P265="",Q265="",P265=0),"",((Q265/30)/(P265/31))-1)</x:f>
        <x:v>-0.5479166666666666</x:v>
      </x:c>
      <x:c r="T265" s="11" t="n">
        <x:v>5128</x:v>
      </x:c>
      <x:c r="U265" s="11" t="n">
        <x:v>3099</x:v>
      </x:c>
      <x:c r="V265" s="14" t="n">
        <x:v>0.002258793159083575</x:v>
      </x:c>
      <x:c r="W265" s="12" t="n">
        <x:v>10.45595353339787</x:v>
      </x:c>
      <x:c r="X265" s="11" t="n">
        <x:v>7</x:v>
      </x:c>
      <x:c r="Y265" s="11" t="n">
        <x:v>8</x:v>
      </x:c>
      <x:c r="Z265" s="4" t="str">
        <x:v>https://blog.skyairline.com/sky-lanza-nueva-ruta-en-peru-lima-talara/</x:v>
      </x:c>
      <x:c r="AA265" s="4" t="str">
        <x:v>https://blog.skyairline.com/sky-lanza-nueva-ruta-en-peru-lima-talara/</x:v>
      </x:c>
      <x:c r="AB265" s="4" t="str">
        <x:v>Coincidencia URL</x:v>
      </x:c>
      <x:c r="AC265" s="4" t="str">
        <x:v>Publicado hasta septiembre</x:v>
      </x:c>
      <x:c r="AD265" s="4" t="str">
        <x:v>/sky-lanza-nueva-ruta-en-peru-lima-talara/</x:v>
      </x:c>
      <x:c r="AE265" s="4"/>
      <x:c r="AF265" s="16" t="b">
        <x:v>0</x:v>
      </x:c>
    </x:row>
    <x:row r="266" ht="44" customHeight="1">
      <x:c r="A266" s="4" t="n">
        <x:v>2539</x:v>
      </x:c>
      <x:c r="B266" s="4" t="str">
        <x:v>https://blog.skyairline.com/mejores-lugares-para-comer-en-mendoza/</x:v>
      </x:c>
      <x:c r="C266" s="9" t="str">
        <x:v>Restaurantes en Mendoza que debes poner en tu agenda de viaje</x:v>
      </x:c>
      <x:c r="D266" s="17" t="d">
        <x:v>2026-08-13T00:00:00.000Z</x:v>
      </x:c>
      <x:c r="E266" s="17" t="d">
        <x:v>2026-08-13T00:00:00.000Z</x:v>
      </x:c>
      <x:c r="F266" s="4" t="str">
        <x:v>Destinos</x:v>
      </x:c>
      <x:c r="G266" s="11" t="n">
        <x:v>986</x:v>
      </x:c>
      <x:c r="H266" s="11" t="n">
        <x:v>200</x:v>
      </x:c>
      <x:c r="I266" s="11" t="n">
        <x:v>1</x:v>
      </x:c>
      <x:c r="J266" s="4" t="str">
        <x:v>https://blog.skyairline.com/mejores-lugares-para-comer-en-mendoza/</x:v>
      </x:c>
      <x:c r="K266" s="16" t="b">
        <x:v>0</x:v>
      </x:c>
      <x:c r="L266" s="11" t="n">
        <x:v>0</x:v>
      </x:c>
      <x:c r="M266" s="11" t="n">
        <x:v>0</x:v>
      </x:c>
      <x:c r="N266" s="4"/>
      <x:c r="O266" s="4"/>
      <x:c r="P266" s="11" t="n">
        <x:v>5</x:v>
      </x:c>
      <x:c r="Q266" s="11" t="n">
        <x:v>7</x:v>
      </x:c>
      <x:c r="R266" s="11" t="n">
        <x:f>IF(OR(P266="",Q266=""),"",Q266-P266)</x:f>
        <x:v>2</x:v>
      </x:c>
      <x:c r="S266" s="13" t="n">
        <x:f>IF(OR(P266="",Q266="",P266=0),"",((Q266/30)/(P266/31))-1)</x:f>
        <x:v>0.44666666666666677</x:v>
      </x:c>
      <x:c r="T266" s="11" t="n">
        <x:v>866</x:v>
      </x:c>
      <x:c r="U266" s="11" t="n">
        <x:v>767</x:v>
      </x:c>
      <x:c r="V266" s="14" t="n">
        <x:v>0.009126466753585397</x:v>
      </x:c>
      <x:c r="W266" s="12" t="n">
        <x:v>15.036505867014341</x:v>
      </x:c>
      <x:c r="X266" s="11" t="n">
        <x:v>10</x:v>
      </x:c>
      <x:c r="Y266" s="11" t="n">
        <x:v>10</x:v>
      </x:c>
      <x:c r="Z266" s="4" t="str">
        <x:v>https://blog.skyairline.com/mejores-lugares-para-comer-en-mendoza/</x:v>
      </x:c>
      <x:c r="AA266" s="4" t="str">
        <x:v>https://blog.skyairline.com/mejores-lugares-para-comer-en-mendoza/</x:v>
      </x:c>
      <x:c r="AB266" s="4" t="str">
        <x:v>Coincidencia URL</x:v>
      </x:c>
      <x:c r="AC266" s="4" t="str">
        <x:v>Publicado hasta septiembre</x:v>
      </x:c>
      <x:c r="AD266" s="4" t="str">
        <x:v>/mejores-lugares-para-comer-en-mendoza/</x:v>
      </x:c>
      <x:c r="AE266" s="4"/>
      <x:c r="AF266" s="16" t="b">
        <x:v>0</x:v>
      </x:c>
    </x:row>
    <x:row r="267" ht="44" customHeight="1">
      <x:c r="A267" s="4" t="n">
        <x:v>2713</x:v>
      </x:c>
      <x:c r="B267" s="4" t="str">
        <x:v>https://blog.skyairline.com/cambiar-divisas/</x:v>
      </x:c>
      <x:c r="C267" s="9" t="str">
        <x:v>Trucos para cambiar de divisas en Latinoamérica y Estados Unidos sin dolores de cabeza</x:v>
      </x:c>
      <x:c r="D267" s="17" t="d">
        <x:v>2023-03-02T00:00:00.000Z</x:v>
      </x:c>
      <x:c r="E267" s="17" t="d">
        <x:v>2023-03-02T00:00:00.000Z</x:v>
      </x:c>
      <x:c r="F267" s="4" t="str">
        <x:v>Planificación de Viaje</x:v>
      </x:c>
      <x:c r="G267" s="11" t="n">
        <x:v>985</x:v>
      </x:c>
      <x:c r="H267" s="11" t="n">
        <x:v>200</x:v>
      </x:c>
      <x:c r="I267" s="11" t="n">
        <x:v>1</x:v>
      </x:c>
      <x:c r="J267" s="4" t="str">
        <x:v>https://blog.skyairline.com/cambiar-divisas/</x:v>
      </x:c>
      <x:c r="K267" s="16" t="b">
        <x:v>0</x:v>
      </x:c>
      <x:c r="L267" s="11" t="n">
        <x:v>0</x:v>
      </x:c>
      <x:c r="M267" s="11" t="n">
        <x:v>0</x:v>
      </x:c>
      <x:c r="N267" s="4"/>
      <x:c r="O267" s="4"/>
      <x:c r="P267" s="11" t="n">
        <x:v>10</x:v>
      </x:c>
      <x:c r="Q267" s="11" t="n">
        <x:v>7</x:v>
      </x:c>
      <x:c r="R267" s="11" t="n">
        <x:f>IF(OR(P267="",Q267=""),"",Q267-P267)</x:f>
        <x:v>-3</x:v>
      </x:c>
      <x:c r="S267" s="13" t="n">
        <x:f>IF(OR(P267="",Q267="",P267=0),"",((Q267/30)/(P267/31))-1)</x:f>
        <x:v>-0.2766666666666666</x:v>
      </x:c>
      <x:c r="T267" s="11" t="n">
        <x:v>585</x:v>
      </x:c>
      <x:c r="U267" s="11" t="n">
        <x:v>458</x:v>
      </x:c>
      <x:c r="V267" s="14" t="n">
        <x:v>0.015283842794759825</x:v>
      </x:c>
      <x:c r="W267" s="12" t="n">
        <x:v>6.004366812227074</x:v>
      </x:c>
      <x:c r="X267" s="11" t="n">
        <x:v>4</x:v>
      </x:c>
      <x:c r="Y267" s="11" t="n">
        <x:v>4</x:v>
      </x:c>
      <x:c r="Z267" s="4" t="str">
        <x:v>https://blog.skyairline.com/cambiar-divisas/</x:v>
      </x:c>
      <x:c r="AA267" s="4" t="str">
        <x:v>https://blog.skyairline.com/cambiar-divisas/</x:v>
      </x:c>
      <x:c r="AB267" s="4" t="str">
        <x:v>Coincidencia URL</x:v>
      </x:c>
      <x:c r="AC267" s="4" t="str">
        <x:v>Publicado hasta septiembre</x:v>
      </x:c>
      <x:c r="AD267" s="4" t="str">
        <x:v>/cambiar-divisas/</x:v>
      </x:c>
      <x:c r="AE267" s="4"/>
      <x:c r="AF267" s="16" t="b">
        <x:v>1</x:v>
      </x:c>
    </x:row>
    <x:row r="268" ht="44" customHeight="1">
      <x:c r="A268" s="4" t="n">
        <x:v>2988</x:v>
      </x:c>
      <x:c r="B268" s="4" t="str">
        <x:v>https://blog.skyairline.com/mirador-cristo-petrolero/</x:v>
      </x:c>
      <x:c r="C268" s="9" t="str">
        <x:v>Mirador Cristo Petrolero, todo lo que debes saber sobre este icónico lugar de Talara</x:v>
      </x:c>
      <x:c r="D268" s="17" t="d">
        <x:v>2023-06-08T00:00:00.000Z</x:v>
      </x:c>
      <x:c r="E268" s="17" t="d">
        <x:v>2023-06-08T00:00:00.000Z</x:v>
      </x:c>
      <x:c r="F268" s="4" t="str">
        <x:v>Destinos</x:v>
      </x:c>
      <x:c r="G268" s="11" t="n">
        <x:v>970</x:v>
      </x:c>
      <x:c r="H268" s="11" t="n">
        <x:v>200</x:v>
      </x:c>
      <x:c r="I268" s="11" t="n">
        <x:v>1</x:v>
      </x:c>
      <x:c r="J268" s="4" t="str">
        <x:v>https://blog.skyairline.com/mirador-cristo-petrolero/</x:v>
      </x:c>
      <x:c r="K268" s="16" t="b">
        <x:v>0</x:v>
      </x:c>
      <x:c r="L268" s="11" t="n">
        <x:v>0</x:v>
      </x:c>
      <x:c r="M268" s="11" t="n">
        <x:v>3</x:v>
      </x:c>
      <x:c r="N268" s="4"/>
      <x:c r="O268" s="4"/>
      <x:c r="P268" s="11" t="n">
        <x:v>3</x:v>
      </x:c>
      <x:c r="Q268" s="11" t="n">
        <x:v>7</x:v>
      </x:c>
      <x:c r="R268" s="11" t="n">
        <x:f>IF(OR(P268="",Q268=""),"",Q268-P268)</x:f>
        <x:v>4</x:v>
      </x:c>
      <x:c r="S268" s="13" t="n">
        <x:f>IF(OR(P268="",Q268="",P268=0),"",((Q268/30)/(P268/31))-1)</x:f>
        <x:v>1.4111111111111114</x:v>
      </x:c>
      <x:c r="T268" s="11" t="n">
        <x:v>363</x:v>
      </x:c>
      <x:c r="U268" s="11" t="n">
        <x:v>425</x:v>
      </x:c>
      <x:c r="V268" s="14" t="n">
        <x:v>0.01647058823529412</x:v>
      </x:c>
      <x:c r="W268" s="12" t="n">
        <x:v>5.376470588235295</x:v>
      </x:c>
      <x:c r="X268" s="11" t="n">
        <x:v>8</x:v>
      </x:c>
      <x:c r="Y268" s="11" t="n">
        <x:v>13</x:v>
      </x:c>
      <x:c r="Z268" s="4" t="str">
        <x:v>https://blog.skyairline.com/mirador-cristo-petrolero/</x:v>
      </x:c>
      <x:c r="AA268" s="4" t="str">
        <x:v>https://blog.skyairline.com/mirador-cristo-petrolero/</x:v>
      </x:c>
      <x:c r="AB268" s="4" t="str">
        <x:v>Coincidencia URL</x:v>
      </x:c>
      <x:c r="AC268" s="4" t="str">
        <x:v>Publicado hasta septiembre</x:v>
      </x:c>
      <x:c r="AD268" s="4" t="str">
        <x:v>/mirador-cristo-petrolero/</x:v>
      </x:c>
      <x:c r="AE268" s="4"/>
      <x:c r="AF268" s="16" t="b">
        <x:v>0</x:v>
      </x:c>
    </x:row>
    <x:row r="269" ht="44" customHeight="1">
      <x:c r="A269" s="4" t="n">
        <x:v>3617</x:v>
      </x:c>
      <x:c r="B269" s="4" t="str">
        <x:v>https://blog.skyairline.com/balnearios-costa-oro-canelones/</x:v>
      </x:c>
      <x:c r="C269" s="9" t="str">
        <x:v>Conoce los balnearios de la Costa de Oro en Canelones</x:v>
      </x:c>
      <x:c r="D269" s="17" t="d">
        <x:v>2023-11-15T00:00:00.000Z</x:v>
      </x:c>
      <x:c r="E269" s="17" t="d">
        <x:v>2023-11-15T00:00:00.000Z</x:v>
      </x:c>
      <x:c r="F269" s="4" t="str">
        <x:v>Destinos</x:v>
      </x:c>
      <x:c r="G269" s="11" t="n">
        <x:v>1021</x:v>
      </x:c>
      <x:c r="H269" s="11" t="n">
        <x:v>200</x:v>
      </x:c>
      <x:c r="I269" s="11" t="n">
        <x:v>1</x:v>
      </x:c>
      <x:c r="J269" s="4" t="str">
        <x:v>https://blog.skyairline.com/balnearios-costa-oro-canelones/</x:v>
      </x:c>
      <x:c r="K269" s="16" t="b">
        <x:v>0</x:v>
      </x:c>
      <x:c r="L269" s="11" t="n">
        <x:v>0</x:v>
      </x:c>
      <x:c r="M269" s="11" t="n">
        <x:v>3</x:v>
      </x:c>
      <x:c r="N269" s="4"/>
      <x:c r="O269" s="4"/>
      <x:c r="P269" s="11" t="n">
        <x:v>20</x:v>
      </x:c>
      <x:c r="Q269" s="11" t="n">
        <x:v>7</x:v>
      </x:c>
      <x:c r="R269" s="11" t="n">
        <x:f>IF(OR(P269="",Q269=""),"",Q269-P269)</x:f>
        <x:v>-13</x:v>
      </x:c>
      <x:c r="S269" s="13" t="n">
        <x:f>IF(OR(P269="",Q269="",P269=0),"",((Q269/30)/(P269/31))-1)</x:f>
        <x:v>-0.6383333333333333</x:v>
      </x:c>
      <x:c r="T269" s="11" t="n">
        <x:v>1555</x:v>
      </x:c>
      <x:c r="U269" s="11" t="n">
        <x:v>1714</x:v>
      </x:c>
      <x:c r="V269" s="14" t="n">
        <x:v>0.004084014002333722</x:v>
      </x:c>
      <x:c r="W269" s="12" t="n">
        <x:v>8.328471411901983</x:v>
      </x:c>
      <x:c r="X269" s="11" t="n">
        <x:v>7</x:v>
      </x:c>
      <x:c r="Y269" s="11" t="n">
        <x:v>9</x:v>
      </x:c>
      <x:c r="Z269" s="4" t="str">
        <x:v>https://blog.skyairline.com/balnearios-costa-oro-canelones/</x:v>
      </x:c>
      <x:c r="AA269" s="4" t="str">
        <x:v>https://blog.skyairline.com/balnearios-costa-oro-canelones/
https://blog.skyairline.com/balnearios-costa-oro-canelones</x:v>
      </x:c>
      <x:c r="AB269" s="4" t="str">
        <x:v>Alias slash agregado</x:v>
      </x:c>
      <x:c r="AC269" s="4" t="str">
        <x:v>Publicado hasta septiembre</x:v>
      </x:c>
      <x:c r="AD269" s="4" t="str">
        <x:v>/balnearios-costa-oro-canelones/</x:v>
      </x:c>
      <x:c r="AE269" s="4"/>
      <x:c r="AF269" s="16" t="b">
        <x:v>0</x:v>
      </x:c>
    </x:row>
    <x:row r="270" ht="44" customHeight="1">
      <x:c r="A270" s="4" t="n">
        <x:v>4041</x:v>
      </x:c>
      <x:c r="B270" s="4" t="str">
        <x:v>https://blog.skyairline.com/como-financiar-viaje/</x:v>
      </x:c>
      <x:c r="C270" s="9" t="str">
        <x:v>Descubre cómo financiar un viaje para conocer tu destino de ensueño en el Caribe</x:v>
      </x:c>
      <x:c r="D270" s="17" t="d">
        <x:v>2024-02-17T00:00:00.000Z</x:v>
      </x:c>
      <x:c r="E270" s="17" t="d">
        <x:v>2024-02-17T00:00:00.000Z</x:v>
      </x:c>
      <x:c r="F270" s="4" t="str">
        <x:v>Cancún, Planificación de Viaje</x:v>
      </x:c>
      <x:c r="G270" s="11" t="n">
        <x:v>1229</x:v>
      </x:c>
      <x:c r="H270" s="11" t="n">
        <x:v>200</x:v>
      </x:c>
      <x:c r="I270" s="11" t="n">
        <x:v>1</x:v>
      </x:c>
      <x:c r="J270" s="4" t="str">
        <x:v>https://blog.skyairline.com/como-financiar-viaje/</x:v>
      </x:c>
      <x:c r="K270" s="16" t="b">
        <x:v>0</x:v>
      </x:c>
      <x:c r="L270" s="11" t="n">
        <x:v>0</x:v>
      </x:c>
      <x:c r="M270" s="11" t="n">
        <x:v>6</x:v>
      </x:c>
      <x:c r="N270" s="4"/>
      <x:c r="O270" s="4"/>
      <x:c r="P270" s="11" t="n">
        <x:v>5</x:v>
      </x:c>
      <x:c r="Q270" s="11" t="n">
        <x:v>7</x:v>
      </x:c>
      <x:c r="R270" s="11" t="n">
        <x:f>IF(OR(P270="",Q270=""),"",Q270-P270)</x:f>
        <x:v>2</x:v>
      </x:c>
      <x:c r="S270" s="13" t="n">
        <x:f>IF(OR(P270="",Q270="",P270=0),"",((Q270/30)/(P270/31))-1)</x:f>
        <x:v>0.44666666666666677</x:v>
      </x:c>
      <x:c r="T270" s="11" t="n">
        <x:v>612</x:v>
      </x:c>
      <x:c r="U270" s="11" t="n">
        <x:v>626</x:v>
      </x:c>
      <x:c r="V270" s="14" t="n">
        <x:v>0.011182108626198083</x:v>
      </x:c>
      <x:c r="W270" s="12" t="n">
        <x:v>6.6629392971246</x:v>
      </x:c>
      <x:c r="X270" s="11" t="n">
        <x:v>2</x:v>
      </x:c>
      <x:c r="Y270" s="11" t="n">
        <x:v>2</x:v>
      </x:c>
      <x:c r="Z270" s="4" t="str">
        <x:v>https://blog.skyairline.com/como-financiar-viaje/</x:v>
      </x:c>
      <x:c r="AA270" s="4" t="str">
        <x:v>https://blog.skyairline.com/como-financiar-viaje/</x:v>
      </x:c>
      <x:c r="AB270" s="4" t="str">
        <x:v>Coincidencia URL</x:v>
      </x:c>
      <x:c r="AC270" s="4" t="str">
        <x:v>Publicado hasta septiembre</x:v>
      </x:c>
      <x:c r="AD270" s="4" t="str">
        <x:v>/como-financiar-viaje/</x:v>
      </x:c>
      <x:c r="AE270" s="4"/>
      <x:c r="AF270" s="16" t="b">
        <x:v>1</x:v>
      </x:c>
    </x:row>
    <x:row r="271" ht="44" customHeight="1">
      <x:c r="A271" s="4" t="n">
        <x:v>5207</x:v>
      </x:c>
      <x:c r="B271" s="4" t="str">
        <x:v>https://blog.skyairline.com/sky-airline-anuncia-la-llegada-de-cuatro-nuevos-aviones-airbus-a320/</x:v>
      </x:c>
      <x:c r="C271" s="9" t="str">
        <x:v>SKY Airline anuncia la llegada de cuatro nuevos aviones Airbus A320</x:v>
      </x:c>
      <x:c r="D271" s="17" t="d">
        <x:v>2024-11-02T00:00:00.000Z</x:v>
      </x:c>
      <x:c r="E271" s="17" t="d">
        <x:v>2024-11-02T00:00:00.000Z</x:v>
      </x:c>
      <x:c r="F271" s="4" t="str">
        <x:v>Noticias</x:v>
      </x:c>
      <x:c r="G271" s="11" t="n">
        <x:v>322</x:v>
      </x:c>
      <x:c r="H271" s="11" t="n">
        <x:v>200</x:v>
      </x:c>
      <x:c r="I271" s="11" t="n">
        <x:v>1</x:v>
      </x:c>
      <x:c r="J271" s="4" t="str">
        <x:v>https://blog.skyairline.com/sky-airline-anuncia-la-llegada-de-cuatro-nuevos-aviones-airbus-a320/</x:v>
      </x:c>
      <x:c r="K271" s="16" t="b">
        <x:v>0</x:v>
      </x:c>
      <x:c r="L271" s="11" t="n">
        <x:v>0</x:v>
      </x:c>
      <x:c r="M271" s="11" t="n">
        <x:v>0</x:v>
      </x:c>
      <x:c r="N271" s="4"/>
      <x:c r="O271" s="4"/>
      <x:c r="P271" s="11" t="n">
        <x:v>8</x:v>
      </x:c>
      <x:c r="Q271" s="11" t="n">
        <x:v>7</x:v>
      </x:c>
      <x:c r="R271" s="11" t="n">
        <x:f>IF(OR(P271="",Q271=""),"",Q271-P271)</x:f>
        <x:v>-1</x:v>
      </x:c>
      <x:c r="S271" s="13" t="n">
        <x:f>IF(OR(P271="",Q271="",P271=0),"",((Q271/30)/(P271/31))-1)</x:f>
        <x:v>-0.09583333333333333</x:v>
      </x:c>
      <x:c r="T271" s="11" t="n">
        <x:v>1293</x:v>
      </x:c>
      <x:c r="U271" s="11" t="n">
        <x:v>1240</x:v>
      </x:c>
      <x:c r="V271" s="14" t="n">
        <x:v>0.00564516129032258</x:v>
      </x:c>
      <x:c r="W271" s="12" t="n">
        <x:v>4.25</x:v>
      </x:c>
      <x:c r="X271" s="11" t="n">
        <x:v>12</x:v>
      </x:c>
      <x:c r="Y271" s="11" t="n">
        <x:v>14</x:v>
      </x:c>
      <x:c r="Z271" s="4" t="str">
        <x:v>https://blog.skyairline.com/sky-airline-anuncia-la-llegada-de-cuatro-nuevos-aviones-airbus-a320/</x:v>
      </x:c>
      <x:c r="AA271" s="4" t="str">
        <x:v>https://blog.skyairline.com/sky-airline-anuncia-la-llegada-de-cuatro-nuevos-aviones-airbus-a320/</x:v>
      </x:c>
      <x:c r="AB271" s="4" t="str">
        <x:v>Coincidencia URL</x:v>
      </x:c>
      <x:c r="AC271" s="4" t="str">
        <x:v>Publicado hasta septiembre</x:v>
      </x:c>
      <x:c r="AD271" s="4" t="str">
        <x:v>/sky-airline-anuncia-la-llegada-de-cuatro-nuevos-aviones-airbus-a320/</x:v>
      </x:c>
      <x:c r="AE271" s="4"/>
      <x:c r="AF271" s="16" t="b">
        <x:v>0</x:v>
      </x:c>
    </x:row>
    <x:row r="272" ht="44" customHeight="1">
      <x:c r="A272" s="4" t="n">
        <x:v>5289</x:v>
      </x:c>
      <x:c r="B272" s="4" t="str">
        <x:v>https://blog.skyairline.com/bebidas-tipicas-peru/</x:v>
      </x:c>
      <x:c r="C272" s="9" t="str">
        <x:v>7 bebidas típicas del Perú: sabores únicos y tradicionales</x:v>
      </x:c>
      <x:c r="D272" s="17" t="d">
        <x:v>2024-11-06T00:00:00.000Z</x:v>
      </x:c>
      <x:c r="E272" s="17" t="d">
        <x:v>2024-11-06T00:00:00.000Z</x:v>
      </x:c>
      <x:c r="F272" s="4" t="str">
        <x:v>Cultura, Destinos, Sin categoría</x:v>
      </x:c>
      <x:c r="G272" s="11" t="n">
        <x:v>1231</x:v>
      </x:c>
      <x:c r="H272" s="11" t="n">
        <x:v>200</x:v>
      </x:c>
      <x:c r="I272" s="11" t="n">
        <x:v>1</x:v>
      </x:c>
      <x:c r="J272" s="4" t="str">
        <x:v>https://blog.skyairline.com/bebidas-tipicas-peru/</x:v>
      </x:c>
      <x:c r="K272" s="16" t="b">
        <x:v>0</x:v>
      </x:c>
      <x:c r="L272" s="11" t="n">
        <x:v>0</x:v>
      </x:c>
      <x:c r="M272" s="11" t="n">
        <x:v>3</x:v>
      </x:c>
      <x:c r="N272" s="4"/>
      <x:c r="O272" s="4"/>
      <x:c r="P272" s="11" t="n">
        <x:v>4</x:v>
      </x:c>
      <x:c r="Q272" s="11" t="n">
        <x:v>7</x:v>
      </x:c>
      <x:c r="R272" s="11" t="n">
        <x:f>IF(OR(P272="",Q272=""),"",Q272-P272)</x:f>
        <x:v>3</x:v>
      </x:c>
      <x:c r="S272" s="13" t="n">
        <x:f>IF(OR(P272="",Q272="",P272=0),"",((Q272/30)/(P272/31))-1)</x:f>
        <x:v>0.8083333333333333</x:v>
      </x:c>
      <x:c r="T272" s="11" t="n">
        <x:v>1364</x:v>
      </x:c>
      <x:c r="U272" s="11" t="n">
        <x:v>1351</x:v>
      </x:c>
      <x:c r="V272" s="14" t="n">
        <x:v>0.0051813471502590676</x:v>
      </x:c>
      <x:c r="W272" s="12" t="n">
        <x:v>9.459659511472983</x:v>
      </x:c>
      <x:c r="X272" s="11" t="n">
        <x:v>7</x:v>
      </x:c>
      <x:c r="Y272" s="11" t="n">
        <x:v>8</x:v>
      </x:c>
      <x:c r="Z272" s="4" t="str">
        <x:v>https://blog.skyairline.com/bebidas-tipicas-peru/</x:v>
      </x:c>
      <x:c r="AA272" s="4" t="str">
        <x:v>https://blog.skyairline.com/bebidas-tipicas-peru/</x:v>
      </x:c>
      <x:c r="AB272" s="4" t="str">
        <x:v>Coincidencia URL</x:v>
      </x:c>
      <x:c r="AC272" s="4" t="str">
        <x:v>Publicado hasta septiembre</x:v>
      </x:c>
      <x:c r="AD272" s="4" t="str">
        <x:v>/bebidas-tipicas-peru/</x:v>
      </x:c>
      <x:c r="AE272" s="4"/>
      <x:c r="AF272" s="16" t="b">
        <x:v>0</x:v>
      </x:c>
    </x:row>
    <x:row r="273" ht="44" customHeight="1">
      <x:c r="A273" s="4" t="n">
        <x:v>5398</x:v>
      </x:c>
      <x:c r="B273" s="4" t="str">
        <x:v>https://blog.skyairline.com/ipanema-rio-de-janeiro/</x:v>
      </x:c>
      <x:c r="C273" s="9" t="str">
        <x:v>Ipanema en Río de Janeiro: guía completa</x:v>
      </x:c>
      <x:c r="D273" s="17" t="d">
        <x:v>2024-12-02T00:00:00.000Z</x:v>
      </x:c>
      <x:c r="E273" s="17" t="d">
        <x:v>2024-12-02T00:00:00.000Z</x:v>
      </x:c>
      <x:c r="F273" s="4" t="str">
        <x:v>Destinos</x:v>
      </x:c>
      <x:c r="G273" s="11" t="n">
        <x:v>2280</x:v>
      </x:c>
      <x:c r="H273" s="11" t="n">
        <x:v>200</x:v>
      </x:c>
      <x:c r="I273" s="11" t="n">
        <x:v>1</x:v>
      </x:c>
      <x:c r="J273" s="4" t="str">
        <x:v>https://blog.skyairline.com/ipanema-rio-de-janeiro/</x:v>
      </x:c>
      <x:c r="K273" s="16" t="b">
        <x:v>0</x:v>
      </x:c>
      <x:c r="L273" s="11" t="n">
        <x:v>0</x:v>
      </x:c>
      <x:c r="M273" s="11" t="n">
        <x:v>3</x:v>
      </x:c>
      <x:c r="N273" s="4"/>
      <x:c r="O273" s="4"/>
      <x:c r="P273" s="11" t="n">
        <x:v>7</x:v>
      </x:c>
      <x:c r="Q273" s="11" t="n">
        <x:v>7</x:v>
      </x:c>
      <x:c r="R273" s="11" t="n">
        <x:f>IF(OR(P273="",Q273=""),"",Q273-P273)</x:f>
        <x:v>0</x:v>
      </x:c>
      <x:c r="S273" s="13" t="n">
        <x:f>IF(OR(P273="",Q273="",P273=0),"",((Q273/30)/(P273/31))-1)</x:f>
        <x:v>0.03333333333333344</x:v>
      </x:c>
      <x:c r="T273" s="11" t="n">
        <x:v>2683</x:v>
      </x:c>
      <x:c r="U273" s="11" t="n">
        <x:v>1704</x:v>
      </x:c>
      <x:c r="V273" s="14" t="n">
        <x:v>0.004107981220657277</x:v>
      </x:c>
      <x:c r="W273" s="12" t="n">
        <x:v>9.636150234741784</x:v>
      </x:c>
      <x:c r="X273" s="11" t="n">
        <x:v>10</x:v>
      </x:c>
      <x:c r="Y273" s="11" t="n">
        <x:v>10</x:v>
      </x:c>
      <x:c r="Z273" s="4" t="str">
        <x:v>https://blog.skyairline.com/ipanema-rio-de-janeiro/</x:v>
      </x:c>
      <x:c r="AA273" s="4" t="str">
        <x:v>https://blog.skyairline.com/ipanema-rio-de-janeiro/</x:v>
      </x:c>
      <x:c r="AB273" s="4" t="str">
        <x:v>Coincidencia URL</x:v>
      </x:c>
      <x:c r="AC273" s="4" t="str">
        <x:v>Publicado hasta septiembre</x:v>
      </x:c>
      <x:c r="AD273" s="4" t="str">
        <x:v>/ipanema-rio-de-janeiro/</x:v>
      </x:c>
      <x:c r="AE273" s="4"/>
      <x:c r="AF273" s="16" t="b">
        <x:v>0</x:v>
      </x:c>
    </x:row>
    <x:row r="274" ht="44" customHeight="1">
      <x:c r="A274" s="4" t="n">
        <x:v>5878</x:v>
      </x:c>
      <x:c r="B274" s="4" t="str">
        <x:v>https://blog.skyairline.com/cafe-chileno-conoce-la-historia-del-cafe-en-chile-tipos-y-donde-probarlo/</x:v>
      </x:c>
      <x:c r="C274" s="9" t="str">
        <x:v>¿Café chileno?: Conoce la historia del café en Chile, tipos y dónde probarlo.</x:v>
      </x:c>
      <x:c r="D274" s="17" t="d">
        <x:v>2025-10-05T00:00:00.000Z</x:v>
      </x:c>
      <x:c r="E274" s="17" t="d">
        <x:v>2026-01-12T00:00:00.000Z</x:v>
      </x:c>
      <x:c r="F274" s="4" t="str">
        <x:v>Cultura</x:v>
      </x:c>
      <x:c r="G274" s="11" t="n">
        <x:v>1252</x:v>
      </x:c>
      <x:c r="H274" s="11" t="n">
        <x:v>200</x:v>
      </x:c>
      <x:c r="I274" s="11" t="n">
        <x:v>1</x:v>
      </x:c>
      <x:c r="J274" s="4" t="str">
        <x:v>https://blog.skyairline.com/cafe-chileno-conoce-la-historia-del-cafe-en-chile-tipos-y-donde-probarlo/</x:v>
      </x:c>
      <x:c r="K274" s="16" t="b">
        <x:v>0</x:v>
      </x:c>
      <x:c r="L274" s="11" t="n">
        <x:v>0</x:v>
      </x:c>
      <x:c r="M274" s="11" t="n">
        <x:v>5</x:v>
      </x:c>
      <x:c r="N274" s="4"/>
      <x:c r="O274" s="4"/>
      <x:c r="P274" s="11" t="n">
        <x:v>4</x:v>
      </x:c>
      <x:c r="Q274" s="11" t="n">
        <x:v>7</x:v>
      </x:c>
      <x:c r="R274" s="11" t="n">
        <x:f>IF(OR(P274="",Q274=""),"",Q274-P274)</x:f>
        <x:v>3</x:v>
      </x:c>
      <x:c r="S274" s="13" t="n">
        <x:f>IF(OR(P274="",Q274="",P274=0),"",((Q274/30)/(P274/31))-1)</x:f>
        <x:v>0.8083333333333333</x:v>
      </x:c>
      <x:c r="T274" s="11" t="n">
        <x:v>2260</x:v>
      </x:c>
      <x:c r="U274" s="11" t="n">
        <x:v>2338</x:v>
      </x:c>
      <x:c r="V274" s="14" t="n">
        <x:v>0.0029940119760479044</x:v>
      </x:c>
      <x:c r="W274" s="12" t="n">
        <x:v>13.105218135158255</x:v>
      </x:c>
      <x:c r="X274" s="11" t="n">
        <x:v>10</x:v>
      </x:c>
      <x:c r="Y274" s="11" t="n">
        <x:v>9</x:v>
      </x:c>
      <x:c r="Z274" s="4" t="str">
        <x:v>https://blog.skyairline.com/cafe-chileno-conoce-la-historia-del-cafe-en-chile-tipos-y-donde-probarlo/</x:v>
      </x:c>
      <x:c r="AA274" s="4" t="str">
        <x:v>https://blog.skyairline.com/cafe-chileno-conoce-la-historia-del-cafe-en-chile-tipos-y-donde-probarlo/</x:v>
      </x:c>
      <x:c r="AB274" s="4" t="str">
        <x:v>Coincidencia URL</x:v>
      </x:c>
      <x:c r="AC274" s="4" t="str">
        <x:v>Publicado hasta septiembre</x:v>
      </x:c>
      <x:c r="AD274" s="4" t="str">
        <x:v>/cafe-chileno-conoce-la-historia-del-cafe-en-chile-tipos-y-donde-probarlo/</x:v>
      </x:c>
      <x:c r="AE274" s="4"/>
      <x:c r="AF274" s="16" t="b">
        <x:v>0</x:v>
      </x:c>
    </x:row>
    <x:row r="275" ht="44" customHeight="1">
      <x:c r="A275" s="4" t="n">
        <x:v>6012</x:v>
      </x:c>
      <x:c r="B275" s="4" t="str">
        <x:v>https://blog.skyairline.com/clima-en-cancun-temperatura-y-mejor-temporada-para-ir/</x:v>
      </x:c>
      <x:c r="C275" s="9" t="str">
        <x:v>Clima en Cancún: temperatura y mejor temporada para ir</x:v>
      </x:c>
      <x:c r="D275" s="17" t="d">
        <x:v>2025-05-07T00:00:00.000Z</x:v>
      </x:c>
      <x:c r="E275" s="17" t="d">
        <x:v>2025-05-07T00:00:00.000Z</x:v>
      </x:c>
      <x:c r="F275" s="4" t="str">
        <x:v>Destinos</x:v>
      </x:c>
      <x:c r="G275" s="11" t="n">
        <x:v>996</x:v>
      </x:c>
      <x:c r="H275" s="11" t="n">
        <x:v>200</x:v>
      </x:c>
      <x:c r="I275" s="11" t="n">
        <x:v>1</x:v>
      </x:c>
      <x:c r="J275" s="4" t="str">
        <x:v>https://blog.skyairline.com/clima-en-cancun-temperatura-y-mejor-temporada-para-ir/</x:v>
      </x:c>
      <x:c r="K275" s="16" t="b">
        <x:v>0</x:v>
      </x:c>
      <x:c r="L275" s="11" t="n">
        <x:v>0</x:v>
      </x:c>
      <x:c r="M275" s="11" t="n">
        <x:v>6</x:v>
      </x:c>
      <x:c r="N275" s="4"/>
      <x:c r="O275" s="4"/>
      <x:c r="P275" s="11" t="n">
        <x:v>16</x:v>
      </x:c>
      <x:c r="Q275" s="11" t="n">
        <x:v>7</x:v>
      </x:c>
      <x:c r="R275" s="11" t="n">
        <x:f>IF(OR(P275="",Q275=""),"",Q275-P275)</x:f>
        <x:v>-9</x:v>
      </x:c>
      <x:c r="S275" s="13" t="n">
        <x:f>IF(OR(P275="",Q275="",P275=0),"",((Q275/30)/(P275/31))-1)</x:f>
        <x:v>-0.5479166666666666</x:v>
      </x:c>
      <x:c r="T275" s="11" t="n">
        <x:v>2403</x:v>
      </x:c>
      <x:c r="U275" s="11" t="n">
        <x:v>1662</x:v>
      </x:c>
      <x:c r="V275" s="14" t="n">
        <x:v>0.00421179302045728</x:v>
      </x:c>
      <x:c r="W275" s="12" t="n">
        <x:v>10.093862815884476</x:v>
      </x:c>
      <x:c r="X275" s="11" t="n">
        <x:v>8</x:v>
      </x:c>
      <x:c r="Y275" s="11" t="n">
        <x:v>9</x:v>
      </x:c>
      <x:c r="Z275" s="4" t="str">
        <x:v>https://blog.skyairline.com/clima-en-cancun-temperatura-y-mejor-temporada-para-ir/</x:v>
      </x:c>
      <x:c r="AA275" s="4" t="str">
        <x:v>https://blog.skyairline.com/clima-en-cancun-temperatura-y-mejor-temporada-para-ir/</x:v>
      </x:c>
      <x:c r="AB275" s="4" t="str">
        <x:v>Coincidencia URL</x:v>
      </x:c>
      <x:c r="AC275" s="4" t="str">
        <x:v>Publicado hasta septiembre</x:v>
      </x:c>
      <x:c r="AD275" s="4" t="str">
        <x:v>/clima-en-cancun-temperatura-y-mejor-temporada-para-ir/</x:v>
      </x:c>
      <x:c r="AE275" s="4"/>
      <x:c r="AF275" s="16" t="b">
        <x:v>0</x:v>
      </x:c>
    </x:row>
    <x:row r="276" ht="44" customHeight="1">
      <x:c r="A276" s="4" t="n">
        <x:v>6121</x:v>
      </x:c>
      <x:c r="B276" s="4" t="str">
        <x:v>https://blog.skyairline.com/termas-en-puerto-montt-las-mejores-opciones-para-relajarte/</x:v>
      </x:c>
      <x:c r="C276" s="9" t="str">
        <x:v>Termas en Puerto Montt: las mejores opciones para relajarte</x:v>
      </x:c>
      <x:c r="D276" s="17" t="d">
        <x:v>2025-05-26T00:00:00.000Z</x:v>
      </x:c>
      <x:c r="E276" s="17" t="d">
        <x:v>2025-05-26T00:00:00.000Z</x:v>
      </x:c>
      <x:c r="F276" s="4" t="str">
        <x:v>Destinos</x:v>
      </x:c>
      <x:c r="G276" s="11" t="n">
        <x:v>1301</x:v>
      </x:c>
      <x:c r="H276" s="11" t="n">
        <x:v>200</x:v>
      </x:c>
      <x:c r="I276" s="11" t="n">
        <x:v>1</x:v>
      </x:c>
      <x:c r="J276" s="4" t="str">
        <x:v>https://blog.skyairline.com/termas-en-puerto-montt-las-mejores-opciones-para-relajarte/</x:v>
      </x:c>
      <x:c r="K276" s="16" t="b">
        <x:v>0</x:v>
      </x:c>
      <x:c r="L276" s="11" t="n">
        <x:v>0</x:v>
      </x:c>
      <x:c r="M276" s="11" t="n">
        <x:v>4</x:v>
      </x:c>
      <x:c r="N276" s="4"/>
      <x:c r="O276" s="4"/>
      <x:c r="P276" s="11" t="n">
        <x:v>11</x:v>
      </x:c>
      <x:c r="Q276" s="11" t="n">
        <x:v>7</x:v>
      </x:c>
      <x:c r="R276" s="11" t="n">
        <x:f>IF(OR(P276="",Q276=""),"",Q276-P276)</x:f>
        <x:v>-4</x:v>
      </x:c>
      <x:c r="S276" s="13" t="n">
        <x:f>IF(OR(P276="",Q276="",P276=0),"",((Q276/30)/(P276/31))-1)</x:f>
        <x:v>-0.3424242424242424</x:v>
      </x:c>
      <x:c r="T276" s="11" t="n">
        <x:v>1521</x:v>
      </x:c>
      <x:c r="U276" s="11" t="n">
        <x:v>1310</x:v>
      </x:c>
      <x:c r="V276" s="14" t="n">
        <x:v>0.0053435114503816794</x:v>
      </x:c>
      <x:c r="W276" s="12" t="n">
        <x:v>8.402290076335877</x:v>
      </x:c>
      <x:c r="X276" s="11" t="n">
        <x:v>9</x:v>
      </x:c>
      <x:c r="Y276" s="11" t="n">
        <x:v>12</x:v>
      </x:c>
      <x:c r="Z276" s="4" t="str">
        <x:v>https://blog.skyairline.com/termas-en-puerto-montt-las-mejores-opciones-para-relajarte/</x:v>
      </x:c>
      <x:c r="AA276" s="4" t="str">
        <x:v>https://blog.skyairline.com/termas-en-puerto-montt-las-mejores-opciones-para-relajarte/</x:v>
      </x:c>
      <x:c r="AB276" s="4" t="str">
        <x:v>Coincidencia URL</x:v>
      </x:c>
      <x:c r="AC276" s="4" t="str">
        <x:v>Publicado hasta septiembre</x:v>
      </x:c>
      <x:c r="AD276" s="4" t="str">
        <x:v>/termas-en-puerto-montt-las-mejores-opciones-para-relajarte/</x:v>
      </x:c>
      <x:c r="AE276" s="4"/>
      <x:c r="AF276" s="16" t="b">
        <x:v>0</x:v>
      </x:c>
    </x:row>
    <x:row r="277" ht="44" customHeight="1">
      <x:c r="A277" s="4" t="n">
        <x:v>6497</x:v>
      </x:c>
      <x:c r="B277" s="4" t="str">
        <x:v>https://blog.skyairline.com/rios-de-chile/</x:v>
      </x:c>
      <x:c r="C277" s="9" t="str">
        <x:v>Los principales ríos de Chile y lo que puedes hacer en ellos</x:v>
      </x:c>
      <x:c r="D277" s="17" t="d">
        <x:v>2025-08-24T00:00:00.000Z</x:v>
      </x:c>
      <x:c r="E277" s="17" t="d">
        <x:v>2025-08-24T00:00:00.000Z</x:v>
      </x:c>
      <x:c r="F277" s="4" t="str">
        <x:v>Destinos</x:v>
      </x:c>
      <x:c r="G277" s="11" t="n">
        <x:v>1079</x:v>
      </x:c>
      <x:c r="H277" s="11" t="n">
        <x:v>200</x:v>
      </x:c>
      <x:c r="I277" s="11" t="n">
        <x:v>1</x:v>
      </x:c>
      <x:c r="J277" s="4" t="str">
        <x:v>https://blog.skyairline.com/rios-de-chile/</x:v>
      </x:c>
      <x:c r="K277" s="16" t="b">
        <x:v>0</x:v>
      </x:c>
      <x:c r="L277" s="11" t="n">
        <x:v>0</x:v>
      </x:c>
      <x:c r="M277" s="11" t="n">
        <x:v>3</x:v>
      </x:c>
      <x:c r="N277" s="4"/>
      <x:c r="O277" s="4"/>
      <x:c r="P277" s="11" t="n">
        <x:v>9</x:v>
      </x:c>
      <x:c r="Q277" s="11" t="n">
        <x:v>7</x:v>
      </x:c>
      <x:c r="R277" s="11" t="n">
        <x:f>IF(OR(P277="",Q277=""),"",Q277-P277)</x:f>
        <x:v>-2</x:v>
      </x:c>
      <x:c r="S277" s="13" t="n">
        <x:f>IF(OR(P277="",Q277="",P277=0),"",((Q277/30)/(P277/31))-1)</x:f>
        <x:v>-0.1962962962962963</x:v>
      </x:c>
      <x:c r="T277" s="11" t="n">
        <x:v>3749</x:v>
      </x:c>
      <x:c r="U277" s="11" t="n">
        <x:v>2908</x:v>
      </x:c>
      <x:c r="V277" s="14" t="n">
        <x:v>0.002407152682255846</x:v>
      </x:c>
      <x:c r="W277" s="12" t="n">
        <x:v>7.474896836313618</x:v>
      </x:c>
      <x:c r="X277" s="11" t="n">
        <x:v>14</x:v>
      </x:c>
      <x:c r="Y277" s="11" t="n">
        <x:v>16</x:v>
      </x:c>
      <x:c r="Z277" s="4" t="str">
        <x:v>https://blog.skyairline.com/rios-de-chile/</x:v>
      </x:c>
      <x:c r="AA277" s="4" t="str">
        <x:v>https://blog.skyairline.com/rios-de-chile/
https://blog.skyairline.com/rios-de-chile</x:v>
      </x:c>
      <x:c r="AB277" s="4" t="str">
        <x:v>Alias slash agregado</x:v>
      </x:c>
      <x:c r="AC277" s="4" t="str">
        <x:v>Publicado hasta septiembre</x:v>
      </x:c>
      <x:c r="AD277" s="4" t="str">
        <x:v>/rios-de-chile/</x:v>
      </x:c>
      <x:c r="AE277" s="4"/>
      <x:c r="AF277" s="16" t="b">
        <x:v>0</x:v>
      </x:c>
    </x:row>
    <x:row r="278" ht="44" customHeight="1">
      <x:c r="A278" s="4" t="n">
        <x:v>6508</x:v>
      </x:c>
      <x:c r="B278" s="4" t="str">
        <x:v>https://blog.skyairline.com/donde-queda-rancagua/</x:v>
      </x:c>
      <x:c r="C278" s="9" t="str">
        <x:v>Dónde queda Rancagua y qué lugares puedes visitar</x:v>
      </x:c>
      <x:c r="D278" s="17" t="d">
        <x:v>2025-08-26T00:00:00.000Z</x:v>
      </x:c>
      <x:c r="E278" s="17" t="d">
        <x:v>2025-08-26T00:00:00.000Z</x:v>
      </x:c>
      <x:c r="F278" s="4" t="str">
        <x:v>Destinos</x:v>
      </x:c>
      <x:c r="G278" s="11" t="n">
        <x:v>1106</x:v>
      </x:c>
      <x:c r="H278" s="11" t="n">
        <x:v>200</x:v>
      </x:c>
      <x:c r="I278" s="11" t="n">
        <x:v>1</x:v>
      </x:c>
      <x:c r="J278" s="4" t="str">
        <x:v>https://blog.skyairline.com/donde-queda-rancagua/</x:v>
      </x:c>
      <x:c r="K278" s="16" t="b">
        <x:v>0</x:v>
      </x:c>
      <x:c r="L278" s="11" t="n">
        <x:v>0</x:v>
      </x:c>
      <x:c r="M278" s="11" t="n">
        <x:v>3</x:v>
      </x:c>
      <x:c r="N278" s="4"/>
      <x:c r="O278" s="4"/>
      <x:c r="P278" s="11" t="n">
        <x:v>13</x:v>
      </x:c>
      <x:c r="Q278" s="11" t="n">
        <x:v>7</x:v>
      </x:c>
      <x:c r="R278" s="11" t="n">
        <x:f>IF(OR(P278="",Q278=""),"",Q278-P278)</x:f>
        <x:v>-6</x:v>
      </x:c>
      <x:c r="S278" s="13" t="n">
        <x:f>IF(OR(P278="",Q278="",P278=0),"",((Q278/30)/(P278/31))-1)</x:f>
        <x:v>-0.44358974358974357</x:v>
      </x:c>
      <x:c r="T278" s="11" t="n">
        <x:v>5946</x:v>
      </x:c>
      <x:c r="U278" s="11" t="n">
        <x:v>6325</x:v>
      </x:c>
      <x:c r="V278" s="14" t="n">
        <x:v>0.0011067193675889327</x:v>
      </x:c>
      <x:c r="W278" s="12" t="n">
        <x:v>8.442371541501977</x:v>
      </x:c>
      <x:c r="X278" s="11" t="n">
        <x:v>11</x:v>
      </x:c>
      <x:c r="Y278" s="11" t="n">
        <x:v>14</x:v>
      </x:c>
      <x:c r="Z278" s="4" t="str">
        <x:v>https://blog.skyairline.com/donde-queda-rancagua/</x:v>
      </x:c>
      <x:c r="AA278" s="4" t="str">
        <x:v>https://blog.skyairline.com/donde-queda-rancagua/</x:v>
      </x:c>
      <x:c r="AB278" s="4" t="str">
        <x:v>Coincidencia URL</x:v>
      </x:c>
      <x:c r="AC278" s="4" t="str">
        <x:v>Publicado hasta septiembre</x:v>
      </x:c>
      <x:c r="AD278" s="4" t="str">
        <x:v>/donde-queda-rancagua/</x:v>
      </x:c>
      <x:c r="AE278" s="4"/>
      <x:c r="AF278" s="16" t="b">
        <x:v>0</x:v>
      </x:c>
    </x:row>
    <x:row r="279" ht="44" customHeight="1">
      <x:c r="A279" s="4" t="n">
        <x:v>7369</x:v>
      </x:c>
      <x:c r="B279" s="4" t="str">
        <x:v>https://blog.skyairline.com/pan-de-azucar/</x:v>
      </x:c>
      <x:c r="C279" s="9" t="str">
        <x:v>¿Cómo llego hasta el teleférico del Pan de Azúcar?</x:v>
      </x:c>
      <x:c r="D279" s="17" t="d">
        <x:v>2025-10-30T00:00:00.000Z</x:v>
      </x:c>
      <x:c r="E279" s="17" t="d">
        <x:v>2025-10-27T00:00:00.000Z</x:v>
      </x:c>
      <x:c r="F279" s="4" t="str">
        <x:v>Destinos</x:v>
      </x:c>
      <x:c r="G279" s="11" t="n">
        <x:v>1027</x:v>
      </x:c>
      <x:c r="H279" s="11" t="n">
        <x:v>200</x:v>
      </x:c>
      <x:c r="I279" s="11" t="n">
        <x:v>1</x:v>
      </x:c>
      <x:c r="J279" s="4" t="str">
        <x:v>https://blog.skyairline.com/pan-de-azucar/</x:v>
      </x:c>
      <x:c r="K279" s="16" t="b">
        <x:v>0</x:v>
      </x:c>
      <x:c r="L279" s="11" t="n">
        <x:v>0</x:v>
      </x:c>
      <x:c r="M279" s="11" t="n">
        <x:v>1</x:v>
      </x:c>
      <x:c r="N279" s="4"/>
      <x:c r="O279" s="4"/>
      <x:c r="P279" s="11" t="n">
        <x:v>24</x:v>
      </x:c>
      <x:c r="Q279" s="11" t="n">
        <x:v>7</x:v>
      </x:c>
      <x:c r="R279" s="11" t="n">
        <x:f>IF(OR(P279="",Q279=""),"",Q279-P279)</x:f>
        <x:v>-17</x:v>
      </x:c>
      <x:c r="S279" s="13" t="n">
        <x:f>IF(OR(P279="",Q279="",P279=0),"",((Q279/30)/(P279/31))-1)</x:f>
        <x:v>-0.6986111111111111</x:v>
      </x:c>
      <x:c r="T279" s="11" t="n">
        <x:v>3725</x:v>
      </x:c>
      <x:c r="U279" s="11" t="n">
        <x:v>3098</x:v>
      </x:c>
      <x:c r="V279" s="14" t="n">
        <x:v>0.0022595222724338285</x:v>
      </x:c>
      <x:c r="W279" s="12" t="n">
        <x:v>7.5584247901872175</x:v>
      </x:c>
      <x:c r="X279" s="11" t="n">
        <x:v>11</x:v>
      </x:c>
      <x:c r="Y279" s="11" t="n">
        <x:v>14</x:v>
      </x:c>
      <x:c r="Z279" s="4" t="str">
        <x:v>https://blog.skyairline.com/pan-de-azucar/</x:v>
      </x:c>
      <x:c r="AA279" s="4" t="str">
        <x:v>https://blog.skyairline.com/pan-de-azucar/</x:v>
      </x:c>
      <x:c r="AB279" s="4" t="str">
        <x:v>Coincidencia URL</x:v>
      </x:c>
      <x:c r="AC279" s="4" t="str">
        <x:v>Publicado hasta septiembre</x:v>
      </x:c>
      <x:c r="AD279" s="4" t="str">
        <x:v>/pan-de-azucar/</x:v>
      </x:c>
      <x:c r="AE279" s="4"/>
      <x:c r="AF279" s="16" t="b">
        <x:v>0</x:v>
      </x:c>
    </x:row>
    <x:row r="280" ht="44" customHeight="1">
      <x:c r="A280" s="4" t="n">
        <x:v>7381</x:v>
      </x:c>
      <x:c r="B280" s="4" t="str">
        <x:v>https://blog.skyairline.com/termas-del-flaco/</x:v>
      </x:c>
      <x:c r="C280" s="9" t="str">
        <x:v>Termas del Flaco, un destino turístico de la Zona Central de Chile</x:v>
      </x:c>
      <x:c r="D280" s="17" t="d">
        <x:v>2025-10-31T00:00:00.000Z</x:v>
      </x:c>
      <x:c r="E280" s="17" t="d">
        <x:v>2025-10-27T00:00:00.000Z</x:v>
      </x:c>
      <x:c r="F280" s="4" t="str">
        <x:v>Destinos</x:v>
      </x:c>
      <x:c r="G280" s="11" t="n">
        <x:v>1071</x:v>
      </x:c>
      <x:c r="H280" s="11" t="n">
        <x:v>200</x:v>
      </x:c>
      <x:c r="I280" s="11" t="n">
        <x:v>1</x:v>
      </x:c>
      <x:c r="J280" s="4" t="str">
        <x:v>https://blog.skyairline.com/termas-del-flaco/</x:v>
      </x:c>
      <x:c r="K280" s="16" t="b">
        <x:v>0</x:v>
      </x:c>
      <x:c r="L280" s="11" t="n">
        <x:v>0</x:v>
      </x:c>
      <x:c r="M280" s="11" t="n">
        <x:v>1</x:v>
      </x:c>
      <x:c r="N280" s="4"/>
      <x:c r="O280" s="4"/>
      <x:c r="P280" s="11" t="n">
        <x:v>7</x:v>
      </x:c>
      <x:c r="Q280" s="11" t="n">
        <x:v>7</x:v>
      </x:c>
      <x:c r="R280" s="11" t="n">
        <x:f>IF(OR(P280="",Q280=""),"",Q280-P280)</x:f>
        <x:v>0</x:v>
      </x:c>
      <x:c r="S280" s="13" t="n">
        <x:f>IF(OR(P280="",Q280="",P280=0),"",((Q280/30)/(P280/31))-1)</x:f>
        <x:v>0.03333333333333344</x:v>
      </x:c>
      <x:c r="T280" s="11" t="n">
        <x:v>589</x:v>
      </x:c>
      <x:c r="U280" s="11" t="n">
        <x:v>752</x:v>
      </x:c>
      <x:c r="V280" s="14" t="n">
        <x:v>0.009308510638297872</x:v>
      </x:c>
      <x:c r="W280" s="12" t="n">
        <x:v>9.710106382978724</x:v>
      </x:c>
      <x:c r="X280" s="11" t="n">
        <x:v>6</x:v>
      </x:c>
      <x:c r="Y280" s="11" t="n">
        <x:v>6</x:v>
      </x:c>
      <x:c r="Z280" s="4" t="str">
        <x:v>https://blog.skyairline.com/termas-del-flaco/</x:v>
      </x:c>
      <x:c r="AA280" s="4" t="str">
        <x:v>https://blog.skyairline.com/termas-del-flaco/</x:v>
      </x:c>
      <x:c r="AB280" s="4" t="str">
        <x:v>Coincidencia URL</x:v>
      </x:c>
      <x:c r="AC280" s="4" t="str">
        <x:v>Publicado hasta septiembre</x:v>
      </x:c>
      <x:c r="AD280" s="4" t="str">
        <x:v>/termas-del-flaco/</x:v>
      </x:c>
      <x:c r="AE280" s="4"/>
      <x:c r="AF280" s="16" t="b">
        <x:v>0</x:v>
      </x:c>
    </x:row>
    <x:row r="281" ht="44" customHeight="1">
      <x:c r="A281" s="4" t="n">
        <x:v>7399</x:v>
      </x:c>
      <x:c r="B281" s="4" t="str">
        <x:v>https://blog.skyairline.com/el-clima-en-puerto-montt/</x:v>
      </x:c>
      <x:c r="C281" s="9" t="str">
        <x:v>El clima en Puerto Montt en cada estación del año</x:v>
      </x:c>
      <x:c r="D281" s="17" t="d">
        <x:v>2025-11-02T00:00:00.000Z</x:v>
      </x:c>
      <x:c r="E281" s="17" t="d">
        <x:v>2025-10-31T00:00:00.000Z</x:v>
      </x:c>
      <x:c r="F281" s="4" t="str">
        <x:v>Uncategorized</x:v>
      </x:c>
      <x:c r="G281" s="11" t="n">
        <x:v>1108</x:v>
      </x:c>
      <x:c r="H281" s="11" t="n">
        <x:v>200</x:v>
      </x:c>
      <x:c r="I281" s="11" t="n">
        <x:v>1</x:v>
      </x:c>
      <x:c r="J281" s="4" t="str">
        <x:v>https://blog.skyairline.com/el-clima-en-puerto-montt/</x:v>
      </x:c>
      <x:c r="K281" s="16" t="b">
        <x:v>0</x:v>
      </x:c>
      <x:c r="L281" s="11" t="n">
        <x:v>0</x:v>
      </x:c>
      <x:c r="M281" s="11" t="n">
        <x:v>1</x:v>
      </x:c>
      <x:c r="N281" s="4"/>
      <x:c r="O281" s="4"/>
      <x:c r="P281" s="11" t="n">
        <x:v>12</x:v>
      </x:c>
      <x:c r="Q281" s="11" t="n">
        <x:v>7</x:v>
      </x:c>
      <x:c r="R281" s="11" t="n">
        <x:f>IF(OR(P281="",Q281=""),"",Q281-P281)</x:f>
        <x:v>-5</x:v>
      </x:c>
      <x:c r="S281" s="13" t="n">
        <x:f>IF(OR(P281="",Q281="",P281=0),"",((Q281/30)/(P281/31))-1)</x:f>
        <x:v>-0.39722222222222214</x:v>
      </x:c>
      <x:c r="T281" s="11" t="n">
        <x:v>3530</x:v>
      </x:c>
      <x:c r="U281" s="11" t="n">
        <x:v>2830</x:v>
      </x:c>
      <x:c r="V281" s="14" t="n">
        <x:v>0.0024734982332155478</x:v>
      </x:c>
      <x:c r="W281" s="12" t="n">
        <x:v>7.1547703180212014</x:v>
      </x:c>
      <x:c r="X281" s="11" t="n">
        <x:v>9</x:v>
      </x:c>
      <x:c r="Y281" s="11" t="n">
        <x:v>9</x:v>
      </x:c>
      <x:c r="Z281" s="4" t="str">
        <x:v>https://blog.skyairline.com/el-clima-en-puerto-montt/</x:v>
      </x:c>
      <x:c r="AA281" s="4" t="str">
        <x:v>https://blog.skyairline.com/el-clima-en-puerto-montt/</x:v>
      </x:c>
      <x:c r="AB281" s="4" t="str">
        <x:v>Coincidencia URL</x:v>
      </x:c>
      <x:c r="AC281" s="4" t="str">
        <x:v>Publicado hasta septiembre</x:v>
      </x:c>
      <x:c r="AD281" s="4" t="str">
        <x:v>/el-clima-en-puerto-montt/</x:v>
      </x:c>
      <x:c r="AE281" s="4"/>
      <x:c r="AF281" s="16" t="b">
        <x:v>0</x:v>
      </x:c>
    </x:row>
    <x:row r="282" ht="44" customHeight="1">
      <x:c r="A282" s="4" t="n">
        <x:v>7591</x:v>
      </x:c>
      <x:c r="B282" s="4" t="str">
        <x:v>https://blog.skyairline.com/mochila-para-notebook/</x:v>
      </x:c>
      <x:c r="C282" s="9" t="str">
        <x:v>Mochila para notebook: guía para nómades digitales</x:v>
      </x:c>
      <x:c r="D282" s="17" t="d">
        <x:v>2025-11-19T00:00:00.000Z</x:v>
      </x:c>
      <x:c r="E282" s="17" t="d">
        <x:v>2025-11-11T00:00:00.000Z</x:v>
      </x:c>
      <x:c r="F282" s="4" t="str">
        <x:v>Destinos</x:v>
      </x:c>
      <x:c r="G282" s="11" t="n">
        <x:v>1042</x:v>
      </x:c>
      <x:c r="H282" s="11" t="n">
        <x:v>200</x:v>
      </x:c>
      <x:c r="I282" s="11" t="n">
        <x:v>1</x:v>
      </x:c>
      <x:c r="J282" s="4" t="str">
        <x:v>https://blog.skyairline.com/mochila-para-notebook/</x:v>
      </x:c>
      <x:c r="K282" s="16" t="b">
        <x:v>0</x:v>
      </x:c>
      <x:c r="L282" s="11" t="n">
        <x:v>0</x:v>
      </x:c>
      <x:c r="M282" s="11" t="n">
        <x:v>4</x:v>
      </x:c>
      <x:c r="N282" s="4"/>
      <x:c r="O282" s="4"/>
      <x:c r="P282" s="11" t="n">
        <x:v>10</x:v>
      </x:c>
      <x:c r="Q282" s="11" t="n">
        <x:v>7</x:v>
      </x:c>
      <x:c r="R282" s="11" t="n">
        <x:f>IF(OR(P282="",Q282=""),"",Q282-P282)</x:f>
        <x:v>-3</x:v>
      </x:c>
      <x:c r="S282" s="13" t="n">
        <x:f>IF(OR(P282="",Q282="",P282=0),"",((Q282/30)/(P282/31))-1)</x:f>
        <x:v>-0.2766666666666666</x:v>
      </x:c>
      <x:c r="T282" s="11" t="n">
        <x:v>848</x:v>
      </x:c>
      <x:c r="U282" s="11" t="n">
        <x:v>365</x:v>
      </x:c>
      <x:c r="V282" s="14" t="n">
        <x:v>0.019178082191780823</x:v>
      </x:c>
      <x:c r="W282" s="12" t="n">
        <x:v>6.512328767123288</x:v>
      </x:c>
      <x:c r="X282" s="11" t="n">
        <x:v>8</x:v>
      </x:c>
      <x:c r="Y282" s="11" t="n">
        <x:v>8</x:v>
      </x:c>
      <x:c r="Z282" s="4" t="str">
        <x:v>https://blog.skyairline.com/mochila-para-notebook/</x:v>
      </x:c>
      <x:c r="AA282" s="4" t="str">
        <x:v>https://blog.skyairline.com/mochila-para-notebook/</x:v>
      </x:c>
      <x:c r="AB282" s="4" t="str">
        <x:v>Coincidencia URL</x:v>
      </x:c>
      <x:c r="AC282" s="4" t="str">
        <x:v>Publicado hasta septiembre</x:v>
      </x:c>
      <x:c r="AD282" s="4" t="str">
        <x:v>/mochila-para-notebook/</x:v>
      </x:c>
      <x:c r="AE282" s="4"/>
      <x:c r="AF282" s="16" t="b">
        <x:v>0</x:v>
      </x:c>
    </x:row>
    <x:row r="283" ht="44" customHeight="1">
      <x:c r="A283" s="4" t="n">
        <x:v>7742</x:v>
      </x:c>
      <x:c r="B283" s="4" t="str">
        <x:v>https://blog.skyairline.com/zona-central/</x:v>
      </x:c>
      <x:c r="C283" s="9" t="str">
        <x:v>Conoce y visita la zona central de Chile</x:v>
      </x:c>
      <x:c r="D283" s="17" t="d">
        <x:v>2025-12-03T00:00:00.000Z</x:v>
      </x:c>
      <x:c r="E283" s="17" t="d">
        <x:v>2025-11-17T00:00:00.000Z</x:v>
      </x:c>
      <x:c r="F283" s="4" t="str">
        <x:v>Destinos</x:v>
      </x:c>
      <x:c r="G283" s="11" t="n">
        <x:v>1160</x:v>
      </x:c>
      <x:c r="H283" s="11" t="n">
        <x:v>200</x:v>
      </x:c>
      <x:c r="I283" s="11" t="n">
        <x:v>1</x:v>
      </x:c>
      <x:c r="J283" s="4" t="str">
        <x:v>https://blog.skyairline.com/zona-central/</x:v>
      </x:c>
      <x:c r="K283" s="16" t="b">
        <x:v>0</x:v>
      </x:c>
      <x:c r="L283" s="11" t="n">
        <x:v>0</x:v>
      </x:c>
      <x:c r="M283" s="11" t="n">
        <x:v>7</x:v>
      </x:c>
      <x:c r="N283" s="4"/>
      <x:c r="O283" s="4"/>
      <x:c r="P283" s="11" t="n">
        <x:v>5</x:v>
      </x:c>
      <x:c r="Q283" s="11" t="n">
        <x:v>7</x:v>
      </x:c>
      <x:c r="R283" s="11" t="n">
        <x:f>IF(OR(P283="",Q283=""),"",Q283-P283)</x:f>
        <x:v>2</x:v>
      </x:c>
      <x:c r="S283" s="13" t="n">
        <x:f>IF(OR(P283="",Q283="",P283=0),"",((Q283/30)/(P283/31))-1)</x:f>
        <x:v>0.44666666666666677</x:v>
      </x:c>
      <x:c r="T283" s="11" t="n">
        <x:v>2553</x:v>
      </x:c>
      <x:c r="U283" s="11" t="n">
        <x:v>2803</x:v>
      </x:c>
      <x:c r="V283" s="14" t="n">
        <x:v>0.0024973242953977882</x:v>
      </x:c>
      <x:c r="W283" s="12" t="n">
        <x:v>5.094898323225116</x:v>
      </x:c>
      <x:c r="X283" s="11" t="n">
        <x:v>22</x:v>
      </x:c>
      <x:c r="Y283" s="11" t="n">
        <x:v>29</x:v>
      </x:c>
      <x:c r="Z283" s="4" t="str">
        <x:v>https://blog.skyairline.com/zona-central/</x:v>
      </x:c>
      <x:c r="AA283" s="4" t="str">
        <x:v>https://blog.skyairline.com/zona-central/
https://blog.skyairline.com/zona-central</x:v>
      </x:c>
      <x:c r="AB283" s="4" t="str">
        <x:v>Alias slash agregado</x:v>
      </x:c>
      <x:c r="AC283" s="4" t="str">
        <x:v>Publicado hasta septiembre</x:v>
      </x:c>
      <x:c r="AD283" s="4" t="str">
        <x:v>/zona-central/</x:v>
      </x:c>
      <x:c r="AE283" s="4"/>
      <x:c r="AF283" s="16" t="b">
        <x:v>0</x:v>
      </x:c>
    </x:row>
    <x:row r="284" ht="44" customHeight="1">
      <x:c r="A284" s="4" t="n">
        <x:v>8207</x:v>
      </x:c>
      <x:c r="B284" s="4" t="str">
        <x:v>https://blog.skyairline.com/sky-plus-cierra-el-2025-con-mas-de-15-millones-de-suscriptores/</x:v>
      </x:c>
      <x:c r="C284" s="9" t="str">
        <x:v>SKY Plus cierra el 2025 con más de 1,5 millones de suscriptores</x:v>
      </x:c>
      <x:c r="D284" s="17" t="d">
        <x:v>2026-01-08T00:00:00.000Z</x:v>
      </x:c>
      <x:c r="E284" s="17" t="d">
        <x:v>2026-01-08T00:00:00.000Z</x:v>
      </x:c>
      <x:c r="F284" s="4" t="str">
        <x:v>Noticias</x:v>
      </x:c>
      <x:c r="G284" s="11" t="n">
        <x:v>164</x:v>
      </x:c>
      <x:c r="H284" s="11" t="n">
        <x:v>200</x:v>
      </x:c>
      <x:c r="I284" s="11" t="n">
        <x:v>1</x:v>
      </x:c>
      <x:c r="J284" s="4" t="str">
        <x:v>https://blog.skyairline.com/sky-plus-cierra-el-2025-con-mas-de-15-millones-de-suscriptores/</x:v>
      </x:c>
      <x:c r="K284" s="16" t="b">
        <x:v>0</x:v>
      </x:c>
      <x:c r="L284" s="11" t="n">
        <x:v>0</x:v>
      </x:c>
      <x:c r="M284" s="11" t="n">
        <x:v>0</x:v>
      </x:c>
      <x:c r="N284" s="4"/>
      <x:c r="O284" s="4"/>
      <x:c r="P284" s="11" t="n">
        <x:v>4</x:v>
      </x:c>
      <x:c r="Q284" s="11" t="n">
        <x:v>7</x:v>
      </x:c>
      <x:c r="R284" s="11" t="n">
        <x:f>IF(OR(P284="",Q284=""),"",Q284-P284)</x:f>
        <x:v>3</x:v>
      </x:c>
      <x:c r="S284" s="13" t="n">
        <x:f>IF(OR(P284="",Q284="",P284=0),"",((Q284/30)/(P284/31))-1)</x:f>
        <x:v>0.8083333333333333</x:v>
      </x:c>
      <x:c r="T284" s="11" t="n">
        <x:v>128</x:v>
      </x:c>
      <x:c r="U284" s="11" t="n">
        <x:v>173</x:v>
      </x:c>
      <x:c r="V284" s="14" t="n">
        <x:v>0.04046242774566474</x:v>
      </x:c>
      <x:c r="W284" s="12" t="n">
        <x:v>5.92485549132948</x:v>
      </x:c>
      <x:c r="X284" s="11" t="n">
        <x:v>7</x:v>
      </x:c>
      <x:c r="Y284" s="11" t="n">
        <x:v>9</x:v>
      </x:c>
      <x:c r="Z284" s="4" t="str">
        <x:v>https://blog.skyairline.com/sky-plus-cierra-el-2025-con-mas-de-15-millones-de-suscriptores/</x:v>
      </x:c>
      <x:c r="AA284" s="4" t="str">
        <x:v>https://blog.skyairline.com/sky-plus-cierra-el-2025-con-mas-de-15-millones-de-suscriptores/</x:v>
      </x:c>
      <x:c r="AB284" s="4" t="str">
        <x:v>Coincidencia URL</x:v>
      </x:c>
      <x:c r="AC284" s="4" t="str">
        <x:v>Publicado hasta septiembre</x:v>
      </x:c>
      <x:c r="AD284" s="4" t="str">
        <x:v>/sky-plus-cierra-el-2025-con-mas-de-15-millones-de-suscriptores/</x:v>
      </x:c>
      <x:c r="AE284" s="4"/>
      <x:c r="AF284" s="16" t="b">
        <x:v>0</x:v>
      </x:c>
    </x:row>
    <x:row r="285" ht="44" customHeight="1">
      <x:c r="A285" s="4" t="n">
        <x:v>8819</x:v>
      </x:c>
      <x:c r="B285" s="4" t="str">
        <x:v>https://blog.skyairline.com/clima-en-vina-del-mar/</x:v>
      </x:c>
      <x:c r="C285" s="9" t="str">
        <x:v>Cómo es el clima en Viña del Mar y Valparaíso en las diferentes estaciones del año</x:v>
      </x:c>
      <x:c r="D285" s="17" t="d">
        <x:v>2026-06-04T00:00:00.000Z</x:v>
      </x:c>
      <x:c r="E285" s="17" t="d">
        <x:v>2026-05-27T00:00:00.000Z</x:v>
      </x:c>
      <x:c r="F285" s="4" t="str">
        <x:v>Planificación de Viaje</x:v>
      </x:c>
      <x:c r="G285" s="11" t="n">
        <x:v>1013</x:v>
      </x:c>
      <x:c r="H285" s="11" t="n">
        <x:v>200</x:v>
      </x:c>
      <x:c r="I285" s="11" t="n">
        <x:v>1</x:v>
      </x:c>
      <x:c r="J285" s="4" t="str">
        <x:v>https://blog.skyairline.com/clima-en-vina-del-mar/</x:v>
      </x:c>
      <x:c r="K285" s="16" t="b">
        <x:v>0</x:v>
      </x:c>
      <x:c r="L285" s="11" t="n">
        <x:v>0</x:v>
      </x:c>
      <x:c r="M285" s="11" t="n">
        <x:v>0</x:v>
      </x:c>
      <x:c r="N285" s="4"/>
      <x:c r="O285" s="4"/>
      <x:c r="P285" s="11" t="n">
        <x:v>14</x:v>
      </x:c>
      <x:c r="Q285" s="11" t="n">
        <x:v>7</x:v>
      </x:c>
      <x:c r="R285" s="11" t="n">
        <x:f>IF(OR(P285="",Q285=""),"",Q285-P285)</x:f>
        <x:v>-7</x:v>
      </x:c>
      <x:c r="S285" s="13" t="n">
        <x:f>IF(OR(P285="",Q285="",P285=0),"",((Q285/30)/(P285/31))-1)</x:f>
        <x:v>-0.4833333333333333</x:v>
      </x:c>
      <x:c r="T285" s="11" t="n">
        <x:v>3428</x:v>
      </x:c>
      <x:c r="U285" s="11" t="n">
        <x:v>1586</x:v>
      </x:c>
      <x:c r="V285" s="14" t="n">
        <x:v>0.004413619167717529</x:v>
      </x:c>
      <x:c r="W285" s="12" t="n">
        <x:v>6.083858764186633</x:v>
      </x:c>
      <x:c r="X285" s="11" t="n">
        <x:v>7</x:v>
      </x:c>
      <x:c r="Y285" s="11" t="n">
        <x:v>7</x:v>
      </x:c>
      <x:c r="Z285" s="4" t="str">
        <x:v>https://blog.skyairline.com/clima-en-vina-del-mar/</x:v>
      </x:c>
      <x:c r="AA285" s="4" t="str">
        <x:v>https://blog.skyairline.com/clima-en-vina-del-mar/</x:v>
      </x:c>
      <x:c r="AB285" s="4" t="str">
        <x:v>Coincidencia URL</x:v>
      </x:c>
      <x:c r="AC285" s="4" t="str">
        <x:v>Publicado hasta septiembre</x:v>
      </x:c>
      <x:c r="AD285" s="4" t="str">
        <x:v>/clima-en-vina-del-mar/</x:v>
      </x:c>
      <x:c r="AE285" s="4"/>
      <x:c r="AF285" s="16" t="b">
        <x:v>0</x:v>
      </x:c>
    </x:row>
    <x:row r="286" ht="44" customHeight="1">
      <x:c r="A286" s="4" t="n">
        <x:v>9307</x:v>
      </x:c>
      <x:c r="B286" s="4" t="str">
        <x:v>https://blog.skyairline.com/lugares-turisticos-cajamarca/</x:v>
      </x:c>
      <x:c r="C286" s="9" t="str">
        <x:v>8 lugares turísticos de Cajamarca que debes visitar</x:v>
      </x:c>
      <x:c r="D286" s="17" t="d">
        <x:v>2026-09-18T00:00:00.000Z</x:v>
      </x:c>
      <x:c r="E286" s="17" t="d">
        <x:v>2026-09-15T00:00:00.000Z</x:v>
      </x:c>
      <x:c r="F286" s="4" t="str">
        <x:v>Destinos</x:v>
      </x:c>
      <x:c r="G286" s="11" t="n">
        <x:v>1136</x:v>
      </x:c>
      <x:c r="H286" s="11" t="n">
        <x:v>200</x:v>
      </x:c>
      <x:c r="I286" s="11" t="n">
        <x:v>1</x:v>
      </x:c>
      <x:c r="J286" s="4" t="str">
        <x:v>https://blog.skyairline.com/lugares-turisticos-cajamarca/</x:v>
      </x:c>
      <x:c r="K286" s="16" t="b">
        <x:v>0</x:v>
      </x:c>
      <x:c r="L286" s="11" t="n">
        <x:v>0</x:v>
      </x:c>
      <x:c r="M286" s="11" t="n">
        <x:v>0</x:v>
      </x:c>
      <x:c r="N286" s="4"/>
      <x:c r="O286" s="4"/>
      <x:c r="P286" s="11"/>
      <x:c r="Q286" s="11" t="n">
        <x:v>7</x:v>
      </x:c>
      <x:c r="R286" s="11" t="str">
        <x:f>IF(OR(P286="",Q286=""),"",Q286-P286)</x:f>
      </x:c>
      <x:c r="S286" s="13" t="str">
        <x:f>IF(OR(P286="",Q286="",P286=0),"",((Q286/30)/(P286/31))-1)</x:f>
      </x:c>
      <x:c r="T286" s="11"/>
      <x:c r="U286" s="11" t="n">
        <x:v>422</x:v>
      </x:c>
      <x:c r="V286" s="14" t="n">
        <x:v>0.016587677725118485</x:v>
      </x:c>
      <x:c r="W286" s="12" t="n">
        <x:v>6.983412322274882</x:v>
      </x:c>
      <x:c r="X286" s="11" t="n">
        <x:v>4</x:v>
      </x:c>
      <x:c r="Y286" s="11" t="n">
        <x:v>5</x:v>
      </x:c>
      <x:c r="Z286" s="4"/>
      <x:c r="AA286" s="4" t="str">
        <x:v>https://blog.skyairline.com/lugares-turisticos-cajamarca/
https://blog.skyairline.com/lugares-turisticos-cajamarca</x:v>
      </x:c>
      <x:c r="AB286" s="4" t="str">
        <x:v>Alias slash agregado</x:v>
      </x:c>
      <x:c r="AC286" s="4" t="str">
        <x:v>Publicado hasta septiembre</x:v>
      </x:c>
      <x:c r="AD286" s="4" t="str">
        <x:v>/lugares-turisticos-cajamarca/</x:v>
      </x:c>
      <x:c r="AE286" s="4"/>
      <x:c r="AF286" s="16" t="b">
        <x:v>0</x:v>
      </x:c>
    </x:row>
    <x:row r="287" ht="44" customHeight="1">
      <x:c r="A287" s="4" t="n">
        <x:v>69</x:v>
      </x:c>
      <x:c r="B287" s="4" t="str">
        <x:v>https://blog.skyairline.com/pasajes-de-avion-baratos/</x:v>
      </x:c>
      <x:c r="C287" s="9" t="str">
        <x:v>Guía para encontrar pasajes de avión baratos y convenientes</x:v>
      </x:c>
      <x:c r="D287" s="17" t="d">
        <x:v>2026-03-12T00:00:00.000Z</x:v>
      </x:c>
      <x:c r="E287" s="17" t="d">
        <x:v>2026-03-10T00:00:00.000Z</x:v>
      </x:c>
      <x:c r="F287" s="4" t="str">
        <x:v>Planificación de Viaje</x:v>
      </x:c>
      <x:c r="G287" s="11" t="n">
        <x:v>984</x:v>
      </x:c>
      <x:c r="H287" s="11" t="n">
        <x:v>200</x:v>
      </x:c>
      <x:c r="I287" s="11" t="n">
        <x:v>1</x:v>
      </x:c>
      <x:c r="J287" s="4" t="str">
        <x:v>https://blog.skyairline.com/pasajes-de-avion-baratos/</x:v>
      </x:c>
      <x:c r="K287" s="16" t="b">
        <x:v>0</x:v>
      </x:c>
      <x:c r="L287" s="11" t="n">
        <x:v>0</x:v>
      </x:c>
      <x:c r="M287" s="11" t="n">
        <x:v>0</x:v>
      </x:c>
      <x:c r="N287" s="4"/>
      <x:c r="O287" s="4"/>
      <x:c r="P287" s="11" t="n">
        <x:v>6</x:v>
      </x:c>
      <x:c r="Q287" s="11" t="n">
        <x:v>6</x:v>
      </x:c>
      <x:c r="R287" s="11" t="n">
        <x:f>IF(OR(P287="",Q287=""),"",Q287-P287)</x:f>
        <x:v>0</x:v>
      </x:c>
      <x:c r="S287" s="13" t="n">
        <x:f>IF(OR(P287="",Q287="",P287=0),"",((Q287/30)/(P287/31))-1)</x:f>
        <x:v>0.03333333333333344</x:v>
      </x:c>
      <x:c r="T287" s="11" t="n">
        <x:v>1240</x:v>
      </x:c>
      <x:c r="U287" s="11" t="n">
        <x:v>1202</x:v>
      </x:c>
      <x:c r="V287" s="14" t="n">
        <x:v>0.004991680532445923</x:v>
      </x:c>
      <x:c r="W287" s="12" t="n">
        <x:v>7.737104825291182</x:v>
      </x:c>
      <x:c r="X287" s="11" t="n">
        <x:v>9</x:v>
      </x:c>
      <x:c r="Y287" s="11" t="n">
        <x:v>10</x:v>
      </x:c>
      <x:c r="Z287" s="4" t="str">
        <x:v>https://blog.skyairline.com/pasajes-de-avion-baratos/</x:v>
      </x:c>
      <x:c r="AA287" s="4" t="str">
        <x:v>https://blog.skyairline.com/pasajes-de-avion-baratos/</x:v>
      </x:c>
      <x:c r="AB287" s="4" t="str">
        <x:v>Coincidencia URL</x:v>
      </x:c>
      <x:c r="AC287" s="4" t="str">
        <x:v>Publicado hasta septiembre</x:v>
      </x:c>
      <x:c r="AD287" s="4" t="str">
        <x:v>/pasajes-de-avion-baratos/</x:v>
      </x:c>
      <x:c r="AE287" s="4"/>
      <x:c r="AF287" s="16" t="b">
        <x:v>0</x:v>
      </x:c>
    </x:row>
    <x:row r="288" ht="44" customHeight="1">
      <x:c r="A288" s="4" t="n">
        <x:v>658</x:v>
      </x:c>
      <x:c r="B288" s="4" t="str">
        <x:v>https://blog.skyairline.com/compras-en-dutty-free/</x:v>
      </x:c>
      <x:c r="C288" s="9" t="str">
        <x:v>10 tips para hacer buenas compras en el duty free</x:v>
      </x:c>
      <x:c r="D288" s="17" t="d">
        <x:v>2021-08-11T00:00:00.000Z</x:v>
      </x:c>
      <x:c r="E288" s="17" t="d">
        <x:v>2021-08-11T00:00:00.000Z</x:v>
      </x:c>
      <x:c r="F288" s="4" t="str">
        <x:v>Planificación de Viaje</x:v>
      </x:c>
      <x:c r="G288" s="11" t="n">
        <x:v>1047</x:v>
      </x:c>
      <x:c r="H288" s="11" t="n">
        <x:v>200</x:v>
      </x:c>
      <x:c r="I288" s="11" t="n">
        <x:v>1</x:v>
      </x:c>
      <x:c r="J288" s="4" t="str">
        <x:v>https://blog.skyairline.com/compras-en-dutty-free/</x:v>
      </x:c>
      <x:c r="K288" s="16" t="b">
        <x:v>0</x:v>
      </x:c>
      <x:c r="L288" s="11" t="n">
        <x:v>0</x:v>
      </x:c>
      <x:c r="M288" s="11" t="n">
        <x:v>2</x:v>
      </x:c>
      <x:c r="N288" s="4"/>
      <x:c r="O288" s="4"/>
      <x:c r="P288" s="11" t="n">
        <x:v>5</x:v>
      </x:c>
      <x:c r="Q288" s="11" t="n">
        <x:v>6</x:v>
      </x:c>
      <x:c r="R288" s="11" t="n">
        <x:f>IF(OR(P288="",Q288=""),"",Q288-P288)</x:f>
        <x:v>1</x:v>
      </x:c>
      <x:c r="S288" s="13" t="n">
        <x:f>IF(OR(P288="",Q288="",P288=0),"",((Q288/30)/(P288/31))-1)</x:f>
        <x:v>0.2400000000000002</x:v>
      </x:c>
      <x:c r="T288" s="11" t="n">
        <x:v>428</x:v>
      </x:c>
      <x:c r="U288" s="11" t="n">
        <x:v>404</x:v>
      </x:c>
      <x:c r="V288" s="14" t="n">
        <x:v>0.01485148514851485</x:v>
      </x:c>
      <x:c r="W288" s="12" t="n">
        <x:v>8.089108910891088</x:v>
      </x:c>
      <x:c r="X288" s="11" t="n">
        <x:v>6</x:v>
      </x:c>
      <x:c r="Y288" s="11" t="n">
        <x:v>8</x:v>
      </x:c>
      <x:c r="Z288" s="4" t="str">
        <x:v>https://blog.skyairline.com/compras-en-dutty-free/</x:v>
      </x:c>
      <x:c r="AA288" s="4" t="str">
        <x:v>https://blog.skyairline.com/compras-en-dutty-free/</x:v>
      </x:c>
      <x:c r="AB288" s="4" t="str">
        <x:v>Coincidencia URL</x:v>
      </x:c>
      <x:c r="AC288" s="4" t="str">
        <x:v>Publicado hasta septiembre</x:v>
      </x:c>
      <x:c r="AD288" s="4" t="str">
        <x:v>/compras-en-dutty-free/</x:v>
      </x:c>
      <x:c r="AE288" s="4"/>
      <x:c r="AF288" s="16" t="b">
        <x:v>0</x:v>
      </x:c>
    </x:row>
    <x:row r="289" ht="44" customHeight="1">
      <x:c r="A289" s="4" t="n">
        <x:v>902</x:v>
      </x:c>
      <x:c r="B289" s="4" t="str">
        <x:v>https://blog.skyairline.com/donde-comprar-un-pasaje-de-avion/</x:v>
      </x:c>
      <x:c r="C289" s="9" t="str">
        <x:v>¿Dónde comprar un pasaje de avión? ¡Conoce las principales opciones!</x:v>
      </x:c>
      <x:c r="D289" s="17" t="d">
        <x:v>2021-10-11T00:00:00.000Z</x:v>
      </x:c>
      <x:c r="E289" s="17" t="d">
        <x:v>2021-10-11T00:00:00.000Z</x:v>
      </x:c>
      <x:c r="F289" s="4" t="str">
        <x:v>Planificación de Viaje</x:v>
      </x:c>
      <x:c r="G289" s="11" t="n">
        <x:v>997</x:v>
      </x:c>
      <x:c r="H289" s="11" t="n">
        <x:v>200</x:v>
      </x:c>
      <x:c r="I289" s="11" t="n">
        <x:v>1</x:v>
      </x:c>
      <x:c r="J289" s="4" t="str">
        <x:v>https://blog.skyairline.com/donde-comprar-un-pasaje-de-avion/</x:v>
      </x:c>
      <x:c r="K289" s="16" t="b">
        <x:v>0</x:v>
      </x:c>
      <x:c r="L289" s="11" t="n">
        <x:v>0</x:v>
      </x:c>
      <x:c r="M289" s="11" t="n">
        <x:v>3</x:v>
      </x:c>
      <x:c r="N289" s="4"/>
      <x:c r="O289" s="4"/>
      <x:c r="P289" s="11" t="n">
        <x:v>12</x:v>
      </x:c>
      <x:c r="Q289" s="11" t="n">
        <x:v>6</x:v>
      </x:c>
      <x:c r="R289" s="11" t="n">
        <x:f>IF(OR(P289="",Q289=""),"",Q289-P289)</x:f>
        <x:v>-6</x:v>
      </x:c>
      <x:c r="S289" s="13" t="n">
        <x:f>IF(OR(P289="",Q289="",P289=0),"",((Q289/30)/(P289/31))-1)</x:f>
        <x:v>-0.4833333333333333</x:v>
      </x:c>
      <x:c r="T289" s="11" t="n">
        <x:v>816</x:v>
      </x:c>
      <x:c r="U289" s="11" t="n">
        <x:v>660</x:v>
      </x:c>
      <x:c r="V289" s="14" t="n">
        <x:v>0.00909090909090909</x:v>
      </x:c>
      <x:c r="W289" s="12" t="n">
        <x:v>7.628787878787879</x:v>
      </x:c>
      <x:c r="X289" s="11" t="n">
        <x:v>5</x:v>
      </x:c>
      <x:c r="Y289" s="11" t="n">
        <x:v>5</x:v>
      </x:c>
      <x:c r="Z289" s="4" t="str">
        <x:v>https://blog.skyairline.com/donde-comprar-un-pasaje-de-avion/</x:v>
      </x:c>
      <x:c r="AA289" s="4" t="str">
        <x:v>https://blog.skyairline.com/donde-comprar-un-pasaje-de-avion/</x:v>
      </x:c>
      <x:c r="AB289" s="4" t="str">
        <x:v>Coincidencia URL</x:v>
      </x:c>
      <x:c r="AC289" s="4" t="str">
        <x:v>Publicado hasta septiembre</x:v>
      </x:c>
      <x:c r="AD289" s="4" t="str">
        <x:v>/donde-comprar-un-pasaje-de-avion/</x:v>
      </x:c>
      <x:c r="AE289" s="4"/>
      <x:c r="AF289" s="16" t="b">
        <x:v>0</x:v>
      </x:c>
    </x:row>
    <x:row r="290" ht="44" customHeight="1">
      <x:c r="A290" s="4" t="n">
        <x:v>1001</x:v>
      </x:c>
      <x:c r="B290" s="4" t="str">
        <x:v>https://blog.skyairline.com/que-hacer-con-ninos-en-bogota/</x:v>
      </x:c>
      <x:c r="C290" s="9" t="str">
        <x:v>¿Qué hacer con niños en Bogotá? 15 excelentes opciones</x:v>
      </x:c>
      <x:c r="D290" s="17" t="d">
        <x:v>2021-10-31T00:00:00.000Z</x:v>
      </x:c>
      <x:c r="E290" s="17" t="d">
        <x:v>2021-10-31T00:00:00.000Z</x:v>
      </x:c>
      <x:c r="F290" s="4" t="str">
        <x:v>Destinos</x:v>
      </x:c>
      <x:c r="G290" s="11" t="n">
        <x:v>1052</x:v>
      </x:c>
      <x:c r="H290" s="11" t="n">
        <x:v>200</x:v>
      </x:c>
      <x:c r="I290" s="11" t="n">
        <x:v>1</x:v>
      </x:c>
      <x:c r="J290" s="4" t="str">
        <x:v>https://blog.skyairline.com/que-hacer-con-ninos-en-bogota/</x:v>
      </x:c>
      <x:c r="K290" s="16" t="b">
        <x:v>0</x:v>
      </x:c>
      <x:c r="L290" s="11" t="n">
        <x:v>0</x:v>
      </x:c>
      <x:c r="M290" s="11" t="n">
        <x:v>4</x:v>
      </x:c>
      <x:c r="N290" s="4"/>
      <x:c r="O290" s="4"/>
      <x:c r="P290" s="11" t="n">
        <x:v>2</x:v>
      </x:c>
      <x:c r="Q290" s="11" t="n">
        <x:v>6</x:v>
      </x:c>
      <x:c r="R290" s="11" t="n">
        <x:f>IF(OR(P290="",Q290=""),"",Q290-P290)</x:f>
        <x:v>4</x:v>
      </x:c>
      <x:c r="S290" s="13" t="n">
        <x:f>IF(OR(P290="",Q290="",P290=0),"",((Q290/30)/(P290/31))-1)</x:f>
        <x:v>2.1</x:v>
      </x:c>
      <x:c r="T290" s="11" t="n">
        <x:v>329</x:v>
      </x:c>
      <x:c r="U290" s="11" t="n">
        <x:v>294</x:v>
      </x:c>
      <x:c r="V290" s="14" t="n">
        <x:v>0.02040816326530612</x:v>
      </x:c>
      <x:c r="W290" s="12" t="n">
        <x:v>23.714285714285715</x:v>
      </x:c>
      <x:c r="X290" s="11" t="n">
        <x:v>11</x:v>
      </x:c>
      <x:c r="Y290" s="11" t="n">
        <x:v>13</x:v>
      </x:c>
      <x:c r="Z290" s="4" t="str">
        <x:v>https://blog.skyairline.com/que-hacer-con-ninos-en-bogota/</x:v>
      </x:c>
      <x:c r="AA290" s="4" t="str">
        <x:v>https://blog.skyairline.com/que-hacer-con-ninos-en-bogota/</x:v>
      </x:c>
      <x:c r="AB290" s="4" t="str">
        <x:v>Coincidencia URL</x:v>
      </x:c>
      <x:c r="AC290" s="4" t="str">
        <x:v>Publicado hasta septiembre</x:v>
      </x:c>
      <x:c r="AD290" s="4" t="str">
        <x:v>/que-hacer-con-ninos-en-bogota/</x:v>
      </x:c>
      <x:c r="AE290" s="4"/>
      <x:c r="AF290" s="16" t="b">
        <x:v>1</x:v>
      </x:c>
    </x:row>
    <x:row r="291" ht="44" customHeight="1">
      <x:c r="A291" s="4" t="n">
        <x:v>1098</x:v>
      </x:c>
      <x:c r="B291" s="4" t="str">
        <x:v>https://blog.skyairline.com/aeropuerto-internacionales/</x:v>
      </x:c>
      <x:c r="C291" s="9" t="str">
        <x:v>Aeropuertos Internacionales de Latinoamérica: ¿cuáles son los más importantes?</x:v>
      </x:c>
      <x:c r="D291" s="17" t="d">
        <x:v>2025-11-27T00:00:00.000Z</x:v>
      </x:c>
      <x:c r="E291" s="17" t="d">
        <x:v>2026-01-12T00:00:00.000Z</x:v>
      </x:c>
      <x:c r="F291" s="4" t="str">
        <x:v>Destinos</x:v>
      </x:c>
      <x:c r="G291" s="11" t="n">
        <x:v>1136</x:v>
      </x:c>
      <x:c r="H291" s="11" t="n">
        <x:v>200</x:v>
      </x:c>
      <x:c r="I291" s="11" t="n">
        <x:v>1</x:v>
      </x:c>
      <x:c r="J291" s="4" t="str">
        <x:v>https://blog.skyairline.com/aeropuerto-internacionales/</x:v>
      </x:c>
      <x:c r="K291" s="16" t="b">
        <x:v>0</x:v>
      </x:c>
      <x:c r="L291" s="11" t="n">
        <x:v>0</x:v>
      </x:c>
      <x:c r="M291" s="11" t="n">
        <x:v>0</x:v>
      </x:c>
      <x:c r="N291" s="4"/>
      <x:c r="O291" s="4"/>
      <x:c r="P291" s="11" t="n">
        <x:v>10</x:v>
      </x:c>
      <x:c r="Q291" s="11" t="n">
        <x:v>6</x:v>
      </x:c>
      <x:c r="R291" s="11" t="n">
        <x:f>IF(OR(P291="",Q291=""),"",Q291-P291)</x:f>
        <x:v>-4</x:v>
      </x:c>
      <x:c r="S291" s="13" t="n">
        <x:f>IF(OR(P291="",Q291="",P291=0),"",((Q291/30)/(P291/31))-1)</x:f>
        <x:v>-0.3799999999999999</x:v>
      </x:c>
      <x:c r="T291" s="11" t="n">
        <x:v>2481</x:v>
      </x:c>
      <x:c r="U291" s="11" t="n">
        <x:v>2137</x:v>
      </x:c>
      <x:c r="V291" s="14" t="n">
        <x:v>0.0028076743097800653</x:v>
      </x:c>
      <x:c r="W291" s="12" t="n">
        <x:v>6.132428638277959</x:v>
      </x:c>
      <x:c r="X291" s="11" t="n">
        <x:v>8</x:v>
      </x:c>
      <x:c r="Y291" s="11" t="n">
        <x:v>9</x:v>
      </x:c>
      <x:c r="Z291" s="4" t="str">
        <x:v>https://blog.skyairline.com/aeropuerto-internacionales/</x:v>
      </x:c>
      <x:c r="AA291" s="4" t="str">
        <x:v>https://blog.skyairline.com/aeropuerto-internacionales/</x:v>
      </x:c>
      <x:c r="AB291" s="4" t="str">
        <x:v>Coincidencia URL</x:v>
      </x:c>
      <x:c r="AC291" s="4" t="str">
        <x:v>Publicado hasta septiembre</x:v>
      </x:c>
      <x:c r="AD291" s="4" t="str">
        <x:v>/aeropuerto-internacionales/</x:v>
      </x:c>
      <x:c r="AE291" s="4"/>
      <x:c r="AF291" s="16" t="b">
        <x:v>0</x:v>
      </x:c>
    </x:row>
    <x:row r="292" ht="44" customHeight="1">
      <x:c r="A292" s="4" t="n">
        <x:v>1116</x:v>
      </x:c>
      <x:c r="B292" s="4" t="str">
        <x:v>https://blog.skyairline.com/airbus-inaugura-nuevo-centro-de-formacion-de-pilotos-en-chile-junto-a-sky/</x:v>
      </x:c>
      <x:c r="C292" s="9" t="str">
        <x:v>Airbus inaugura nuevo centro de formación de pilotos en Chile junto a SKY</x:v>
      </x:c>
      <x:c r="D292" s="17" t="d">
        <x:v>2021-11-24T00:00:00.000Z</x:v>
      </x:c>
      <x:c r="E292" s="17" t="d">
        <x:v>2021-11-24T00:00:00.000Z</x:v>
      </x:c>
      <x:c r="F292" s="4" t="str">
        <x:v>Noticias</x:v>
      </x:c>
      <x:c r="G292" s="11" t="n">
        <x:v>599</x:v>
      </x:c>
      <x:c r="H292" s="11" t="n">
        <x:v>200</x:v>
      </x:c>
      <x:c r="I292" s="11" t="n">
        <x:v>1</x:v>
      </x:c>
      <x:c r="J292" s="4" t="str">
        <x:v>https://blog.skyairline.com/airbus-inaugura-nuevo-centro-de-formacion-de-pilotos-en-chile-junto-a-sky/</x:v>
      </x:c>
      <x:c r="K292" s="16" t="b">
        <x:v>0</x:v>
      </x:c>
      <x:c r="L292" s="11" t="n">
        <x:v>0</x:v>
      </x:c>
      <x:c r="M292" s="11" t="n">
        <x:v>0</x:v>
      </x:c>
      <x:c r="N292" s="4"/>
      <x:c r="O292" s="4"/>
      <x:c r="P292" s="11" t="n">
        <x:v>3</x:v>
      </x:c>
      <x:c r="Q292" s="11" t="n">
        <x:v>6</x:v>
      </x:c>
      <x:c r="R292" s="11" t="n">
        <x:f>IF(OR(P292="",Q292=""),"",Q292-P292)</x:f>
        <x:v>3</x:v>
      </x:c>
      <x:c r="S292" s="13" t="n">
        <x:f>IF(OR(P292="",Q292="",P292=0),"",((Q292/30)/(P292/31))-1)</x:f>
        <x:v>1.0666666666666669</x:v>
      </x:c>
      <x:c r="T292" s="11" t="n">
        <x:v>195</x:v>
      </x:c>
      <x:c r="U292" s="11" t="n">
        <x:v>248</x:v>
      </x:c>
      <x:c r="V292" s="14" t="n">
        <x:v>0.024193548387096774</x:v>
      </x:c>
      <x:c r="W292" s="12" t="n">
        <x:v>5.600806451612903</x:v>
      </x:c>
      <x:c r="X292" s="11" t="n">
        <x:v>6</x:v>
      </x:c>
      <x:c r="Y292" s="11" t="n">
        <x:v>7</x:v>
      </x:c>
      <x:c r="Z292" s="4" t="str">
        <x:v>https://blog.skyairline.com/airbus-inaugura-nuevo-centro-de-formacion-de-pilotos-en-chile-junto-a-sky/</x:v>
      </x:c>
      <x:c r="AA292" s="4" t="str">
        <x:v>https://blog.skyairline.com/airbus-inaugura-nuevo-centro-de-formacion-de-pilotos-en-chile-junto-a-sky/</x:v>
      </x:c>
      <x:c r="AB292" s="4" t="str">
        <x:v>Coincidencia URL</x:v>
      </x:c>
      <x:c r="AC292" s="4" t="str">
        <x:v>Publicado hasta septiembre</x:v>
      </x:c>
      <x:c r="AD292" s="4" t="str">
        <x:v>/airbus-inaugura-nuevo-centro-de-formacion-de-pilotos-en-chile-junto-a-sky/</x:v>
      </x:c>
      <x:c r="AE292" s="4"/>
      <x:c r="AF292" s="16" t="b">
        <x:v>0</x:v>
      </x:c>
    </x:row>
    <x:row r="293" ht="44" customHeight="1">
      <x:c r="A293" s="4" t="n">
        <x:v>1622</x:v>
      </x:c>
      <x:c r="B293" s="4" t="str">
        <x:v>https://blog.skyairline.com/que-comer-en-florianopolis/</x:v>
      </x:c>
      <x:c r="C293" s="9" t="str">
        <x:v>¿Qué comer en Florianópolis? Guía para amantes de la gastronomía</x:v>
      </x:c>
      <x:c r="D293" s="17" t="d">
        <x:v>2022-03-25T00:00:00.000Z</x:v>
      </x:c>
      <x:c r="E293" s="17" t="d">
        <x:v>2022-03-25T00:00:00.000Z</x:v>
      </x:c>
      <x:c r="F293" s="4" t="str">
        <x:v>Destinos</x:v>
      </x:c>
      <x:c r="G293" s="11" t="n">
        <x:v>1035</x:v>
      </x:c>
      <x:c r="H293" s="11" t="n">
        <x:v>200</x:v>
      </x:c>
      <x:c r="I293" s="11" t="n">
        <x:v>1</x:v>
      </x:c>
      <x:c r="J293" s="4" t="str">
        <x:v>https://blog.skyairline.com/que-comer-en-florianopolis/</x:v>
      </x:c>
      <x:c r="K293" s="16" t="b">
        <x:v>0</x:v>
      </x:c>
      <x:c r="L293" s="11" t="n">
        <x:v>0</x:v>
      </x:c>
      <x:c r="M293" s="11" t="n">
        <x:v>4</x:v>
      </x:c>
      <x:c r="N293" s="4"/>
      <x:c r="O293" s="4"/>
      <x:c r="P293" s="11" t="n">
        <x:v>9</x:v>
      </x:c>
      <x:c r="Q293" s="11" t="n">
        <x:v>6</x:v>
      </x:c>
      <x:c r="R293" s="11" t="n">
        <x:f>IF(OR(P293="",Q293=""),"",Q293-P293)</x:f>
        <x:v>-3</x:v>
      </x:c>
      <x:c r="S293" s="13" t="n">
        <x:f>IF(OR(P293="",Q293="",P293=0),"",((Q293/30)/(P293/31))-1)</x:f>
        <x:v>-0.3111111111111111</x:v>
      </x:c>
      <x:c r="T293" s="11" t="n">
        <x:v>480</x:v>
      </x:c>
      <x:c r="U293" s="11" t="n">
        <x:v>377</x:v>
      </x:c>
      <x:c r="V293" s="14" t="n">
        <x:v>0.015915119363395226</x:v>
      </x:c>
      <x:c r="W293" s="12" t="n">
        <x:v>5.188328912466844</x:v>
      </x:c>
      <x:c r="X293" s="11" t="n">
        <x:v>4</x:v>
      </x:c>
      <x:c r="Y293" s="11" t="n">
        <x:v>4</x:v>
      </x:c>
      <x:c r="Z293" s="4" t="str">
        <x:v>https://blog.skyairline.com/que-comer-en-florianopolis/</x:v>
      </x:c>
      <x:c r="AA293" s="4" t="str">
        <x:v>https://blog.skyairline.com/que-comer-en-florianopolis/</x:v>
      </x:c>
      <x:c r="AB293" s="4" t="str">
        <x:v>Coincidencia URL</x:v>
      </x:c>
      <x:c r="AC293" s="4" t="str">
        <x:v>Publicado hasta septiembre</x:v>
      </x:c>
      <x:c r="AD293" s="4" t="str">
        <x:v>/que-comer-en-florianopolis/</x:v>
      </x:c>
      <x:c r="AE293" s="4"/>
      <x:c r="AF293" s="16" t="b">
        <x:v>0</x:v>
      </x:c>
    </x:row>
    <x:row r="294" ht="44" customHeight="1">
      <x:c r="A294" s="4" t="n">
        <x:v>2125</x:v>
      </x:c>
      <x:c r="B294" s="4" t="str">
        <x:v>https://blog.skyairline.com/que-es-el-diechiocho/</x:v>
      </x:c>
      <x:c r="C294" s="9" t="str">
        <x:v>¿Qué es el «Dieciocho» y qué se puede hacer ese día?</x:v>
      </x:c>
      <x:c r="D294" s="17" t="d">
        <x:v>2022-08-01T00:00:00.000Z</x:v>
      </x:c>
      <x:c r="E294" s="17" t="d">
        <x:v>2022-08-01T00:00:00.000Z</x:v>
      </x:c>
      <x:c r="F294" s="4" t="str">
        <x:v>Cultura</x:v>
      </x:c>
      <x:c r="G294" s="11" t="n">
        <x:v>954</x:v>
      </x:c>
      <x:c r="H294" s="11" t="n">
        <x:v>200</x:v>
      </x:c>
      <x:c r="I294" s="11" t="n">
        <x:v>1</x:v>
      </x:c>
      <x:c r="J294" s="4" t="str">
        <x:v>https://blog.skyairline.com/que-es-el-diechiocho/</x:v>
      </x:c>
      <x:c r="K294" s="16" t="b">
        <x:v>0</x:v>
      </x:c>
      <x:c r="L294" s="11" t="n">
        <x:v>0</x:v>
      </x:c>
      <x:c r="M294" s="11" t="n">
        <x:v>4</x:v>
      </x:c>
      <x:c r="N294" s="4"/>
      <x:c r="O294" s="4"/>
      <x:c r="P294" s="11" t="n">
        <x:v>3</x:v>
      </x:c>
      <x:c r="Q294" s="11" t="n">
        <x:v>6</x:v>
      </x:c>
      <x:c r="R294" s="11" t="n">
        <x:f>IF(OR(P294="",Q294=""),"",Q294-P294)</x:f>
        <x:v>3</x:v>
      </x:c>
      <x:c r="S294" s="13" t="n">
        <x:f>IF(OR(P294="",Q294="",P294=0),"",((Q294/30)/(P294/31))-1)</x:f>
        <x:v>1.0666666666666669</x:v>
      </x:c>
      <x:c r="T294" s="11" t="n">
        <x:v>1958</x:v>
      </x:c>
      <x:c r="U294" s="11" t="n">
        <x:v>4968</x:v>
      </x:c>
      <x:c r="V294" s="14" t="n">
        <x:v>0.0012077294685990338</x:v>
      </x:c>
      <x:c r="W294" s="12" t="n">
        <x:v>8.282407407407408</x:v>
      </x:c>
      <x:c r="X294" s="11" t="n">
        <x:v>5</x:v>
      </x:c>
      <x:c r="Y294" s="11" t="n">
        <x:v>9</x:v>
      </x:c>
      <x:c r="Z294" s="4" t="str">
        <x:v>https://blog.skyairline.com/que-es-el-diechiocho/</x:v>
      </x:c>
      <x:c r="AA294" s="4" t="str">
        <x:v>https://blog.skyairline.com/que-es-el-diechiocho/</x:v>
      </x:c>
      <x:c r="AB294" s="4" t="str">
        <x:v>Coincidencia URL</x:v>
      </x:c>
      <x:c r="AC294" s="4" t="str">
        <x:v>Publicado hasta septiembre</x:v>
      </x:c>
      <x:c r="AD294" s="4" t="str">
        <x:v>/que-es-el-diechiocho/</x:v>
      </x:c>
      <x:c r="AE294" s="4"/>
      <x:c r="AF294" s="16" t="b">
        <x:v>0</x:v>
      </x:c>
    </x:row>
    <x:row r="295" ht="44" customHeight="1">
      <x:c r="A295" s="4" t="n">
        <x:v>2187</x:v>
      </x:c>
      <x:c r="B295" s="4" t="str">
        <x:v>https://blog.skyairline.com/desierto-florido/</x:v>
      </x:c>
      <x:c r="C295" s="9" t="str">
        <x:v>Cuándo ver el Desierto Florido: fecha de este espectáculo Natural en Chile</x:v>
      </x:c>
      <x:c r="D295" s="17" t="d">
        <x:v>2025-12-15T00:00:00.000Z</x:v>
      </x:c>
      <x:c r="E295" s="17" t="d">
        <x:v>2025-12-15T00:00:00.000Z</x:v>
      </x:c>
      <x:c r="F295" s="4" t="str">
        <x:v>Destinos</x:v>
      </x:c>
      <x:c r="G295" s="11" t="n">
        <x:v>1207</x:v>
      </x:c>
      <x:c r="H295" s="11" t="n">
        <x:v>200</x:v>
      </x:c>
      <x:c r="I295" s="11" t="n">
        <x:v>1</x:v>
      </x:c>
      <x:c r="J295" s="4" t="str">
        <x:v>https://blog.skyairline.com/desierto-florido/</x:v>
      </x:c>
      <x:c r="K295" s="16" t="b">
        <x:v>0</x:v>
      </x:c>
      <x:c r="L295" s="11" t="n">
        <x:v>0</x:v>
      </x:c>
      <x:c r="M295" s="11" t="n">
        <x:v>0</x:v>
      </x:c>
      <x:c r="N295" s="4"/>
      <x:c r="O295" s="4"/>
      <x:c r="P295" s="11" t="n">
        <x:v>28</x:v>
      </x:c>
      <x:c r="Q295" s="11" t="n">
        <x:v>6</x:v>
      </x:c>
      <x:c r="R295" s="11" t="n">
        <x:f>IF(OR(P295="",Q295=""),"",Q295-P295)</x:f>
        <x:v>-22</x:v>
      </x:c>
      <x:c r="S295" s="13" t="n">
        <x:f>IF(OR(P295="",Q295="",P295=0),"",((Q295/30)/(P295/31))-1)</x:f>
        <x:v>-0.7785714285714286</x:v>
      </x:c>
      <x:c r="T295" s="11" t="n">
        <x:v>2786</x:v>
      </x:c>
      <x:c r="U295" s="11" t="n">
        <x:v>257</x:v>
      </x:c>
      <x:c r="V295" s="14" t="n">
        <x:v>0.023346303501945526</x:v>
      </x:c>
      <x:c r="W295" s="12" t="n">
        <x:v>7.392996108949417</x:v>
      </x:c>
      <x:c r="X295" s="11" t="n">
        <x:v>20</x:v>
      </x:c>
      <x:c r="Y295" s="11" t="n">
        <x:v>22</x:v>
      </x:c>
      <x:c r="Z295" s="4" t="str">
        <x:v>https://blog.skyairline.com/desierto-florido/</x:v>
      </x:c>
      <x:c r="AA295" s="4" t="str">
        <x:v>https://blog.skyairline.com/desierto-florido/
https://blog.skyairline.com/desierto-florido</x:v>
      </x:c>
      <x:c r="AB295" s="4" t="str">
        <x:v>Alias slash agregado</x:v>
      </x:c>
      <x:c r="AC295" s="4" t="str">
        <x:v>Publicado hasta septiembre</x:v>
      </x:c>
      <x:c r="AD295" s="4" t="str">
        <x:v>/desierto-florido/</x:v>
      </x:c>
      <x:c r="AE295" s="4"/>
      <x:c r="AF295" s="16" t="b">
        <x:v>0</x:v>
      </x:c>
    </x:row>
    <x:row r="296" ht="44" customHeight="1">
      <x:c r="A296" s="4" t="n">
        <x:v>2295</x:v>
      </x:c>
      <x:c r="B296" s="4" t="str">
        <x:v>https://blog.skyairline.com/copiapo-turismo/</x:v>
      </x:c>
      <x:c r="C296" s="9" t="str">
        <x:v>Qué hacer en Copiapó: 5 actividades imperdibles</x:v>
      </x:c>
      <x:c r="D296" s="17" t="d">
        <x:v>2026-06-16T00:00:00.000Z</x:v>
      </x:c>
      <x:c r="E296" s="17" t="d">
        <x:v>2026-06-16T00:00:00.000Z</x:v>
      </x:c>
      <x:c r="F296" s="4" t="str">
        <x:v>Destinos</x:v>
      </x:c>
      <x:c r="G296" s="11" t="n">
        <x:v>1091</x:v>
      </x:c>
      <x:c r="H296" s="11" t="n">
        <x:v>200</x:v>
      </x:c>
      <x:c r="I296" s="11" t="n">
        <x:v>1</x:v>
      </x:c>
      <x:c r="J296" s="4" t="str">
        <x:v>https://blog.skyairline.com/copiapo-turismo/</x:v>
      </x:c>
      <x:c r="K296" s="16" t="b">
        <x:v>0</x:v>
      </x:c>
      <x:c r="L296" s="11" t="n">
        <x:v>0</x:v>
      </x:c>
      <x:c r="M296" s="11" t="n">
        <x:v>0</x:v>
      </x:c>
      <x:c r="N296" s="4"/>
      <x:c r="O296" s="4"/>
      <x:c r="P296" s="11" t="n">
        <x:v>10</x:v>
      </x:c>
      <x:c r="Q296" s="11" t="n">
        <x:v>6</x:v>
      </x:c>
      <x:c r="R296" s="11" t="n">
        <x:f>IF(OR(P296="",Q296=""),"",Q296-P296)</x:f>
        <x:v>-4</x:v>
      </x:c>
      <x:c r="S296" s="13" t="n">
        <x:f>IF(OR(P296="",Q296="",P296=0),"",((Q296/30)/(P296/31))-1)</x:f>
        <x:v>-0.3799999999999999</x:v>
      </x:c>
      <x:c r="T296" s="11" t="n">
        <x:v>591</x:v>
      </x:c>
      <x:c r="U296" s="11" t="n">
        <x:v>506</x:v>
      </x:c>
      <x:c r="V296" s="14" t="n">
        <x:v>0.011857707509881422</x:v>
      </x:c>
      <x:c r="W296" s="12" t="n">
        <x:v>9.381422924901186</x:v>
      </x:c>
      <x:c r="X296" s="11" t="n">
        <x:v>8</x:v>
      </x:c>
      <x:c r="Y296" s="11" t="n">
        <x:v>16</x:v>
      </x:c>
      <x:c r="Z296" s="4" t="str">
        <x:v>https://blog.skyairline.com/copiapo-turismo/</x:v>
      </x:c>
      <x:c r="AA296" s="4" t="str">
        <x:v>https://blog.skyairline.com/copiapo-turismo/</x:v>
      </x:c>
      <x:c r="AB296" s="4" t="str">
        <x:v>Coincidencia URL</x:v>
      </x:c>
      <x:c r="AC296" s="4" t="str">
        <x:v>Publicado hasta septiembre</x:v>
      </x:c>
      <x:c r="AD296" s="4" t="str">
        <x:v>/copiapo-turismo/</x:v>
      </x:c>
      <x:c r="AE296" s="4"/>
      <x:c r="AF296" s="16" t="b">
        <x:v>0</x:v>
      </x:c>
    </x:row>
    <x:row r="297" ht="44" customHeight="1">
      <x:c r="A297" s="4" t="n">
        <x:v>2549</x:v>
      </x:c>
      <x:c r="B297" s="4" t="str">
        <x:v>https://blog.skyairline.com/calle-aristides/</x:v>
      </x:c>
      <x:c r="C297" s="9" t="str">
        <x:v>Vida nocturna en la calle Arístides de Mendoza: ¡10 opciones para que disfrutes!</x:v>
      </x:c>
      <x:c r="D297" s="17" t="d">
        <x:v>2022-12-05T00:00:00.000Z</x:v>
      </x:c>
      <x:c r="E297" s="17" t="d">
        <x:v>2022-12-05T00:00:00.000Z</x:v>
      </x:c>
      <x:c r="F297" s="4" t="str">
        <x:v>Destinos</x:v>
      </x:c>
      <x:c r="G297" s="11" t="n">
        <x:v>980</x:v>
      </x:c>
      <x:c r="H297" s="11" t="n">
        <x:v>200</x:v>
      </x:c>
      <x:c r="I297" s="11" t="n">
        <x:v>1</x:v>
      </x:c>
      <x:c r="J297" s="4" t="str">
        <x:v>https://blog.skyairline.com/calle-aristides/</x:v>
      </x:c>
      <x:c r="K297" s="16" t="b">
        <x:v>0</x:v>
      </x:c>
      <x:c r="L297" s="11" t="n">
        <x:v>0</x:v>
      </x:c>
      <x:c r="M297" s="11" t="n">
        <x:v>3</x:v>
      </x:c>
      <x:c r="N297" s="4"/>
      <x:c r="O297" s="4"/>
      <x:c r="P297" s="11" t="n">
        <x:v>9</x:v>
      </x:c>
      <x:c r="Q297" s="11" t="n">
        <x:v>6</x:v>
      </x:c>
      <x:c r="R297" s="11" t="n">
        <x:f>IF(OR(P297="",Q297=""),"",Q297-P297)</x:f>
        <x:v>-3</x:v>
      </x:c>
      <x:c r="S297" s="13" t="n">
        <x:f>IF(OR(P297="",Q297="",P297=0),"",((Q297/30)/(P297/31))-1)</x:f>
        <x:v>-0.3111111111111111</x:v>
      </x:c>
      <x:c r="T297" s="11" t="n">
        <x:v>1492</x:v>
      </x:c>
      <x:c r="U297" s="11" t="n">
        <x:v>1722</x:v>
      </x:c>
      <x:c r="V297" s="14" t="n">
        <x:v>0.003484320557491289</x:v>
      </x:c>
      <x:c r="W297" s="12" t="n">
        <x:v>10.108594657375145</x:v>
      </x:c>
      <x:c r="X297" s="11" t="n">
        <x:v>6</x:v>
      </x:c>
      <x:c r="Y297" s="11" t="n">
        <x:v>7</x:v>
      </x:c>
      <x:c r="Z297" s="4" t="str">
        <x:v>https://blog.skyairline.com/calle-aristides/</x:v>
      </x:c>
      <x:c r="AA297" s="4" t="str">
        <x:v>https://blog.skyairline.com/calle-aristides/</x:v>
      </x:c>
      <x:c r="AB297" s="4" t="str">
        <x:v>Coincidencia URL</x:v>
      </x:c>
      <x:c r="AC297" s="4" t="str">
        <x:v>Publicado hasta septiembre</x:v>
      </x:c>
      <x:c r="AD297" s="4" t="str">
        <x:v>/calle-aristides/</x:v>
      </x:c>
      <x:c r="AE297" s="4"/>
      <x:c r="AF297" s="16" t="b">
        <x:v>0</x:v>
      </x:c>
    </x:row>
    <x:row r="298" ht="44" customHeight="1">
      <x:c r="A298" s="4" t="n">
        <x:v>2710</x:v>
      </x:c>
      <x:c r="B298" s="4" t="str">
        <x:v>https://blog.skyairline.com/beco-do-batman/</x:v>
      </x:c>
      <x:c r="C298" s="9" t="str">
        <x:v>Arte Callejero en São Paulo: conoce el Beco do Batman</x:v>
      </x:c>
      <x:c r="D298" s="17" t="d">
        <x:v>2026-05-17T00:00:00.000Z</x:v>
      </x:c>
      <x:c r="E298" s="17" t="d">
        <x:v>2026-05-11T00:00:00.000Z</x:v>
      </x:c>
      <x:c r="F298" s="4" t="str">
        <x:v>Destinos</x:v>
      </x:c>
      <x:c r="G298" s="11" t="n">
        <x:v>986</x:v>
      </x:c>
      <x:c r="H298" s="11" t="n">
        <x:v>200</x:v>
      </x:c>
      <x:c r="I298" s="11" t="n">
        <x:v>1</x:v>
      </x:c>
      <x:c r="J298" s="4" t="str">
        <x:v>https://blog.skyairline.com/beco-do-batman/</x:v>
      </x:c>
      <x:c r="K298" s="16" t="b">
        <x:v>0</x:v>
      </x:c>
      <x:c r="L298" s="11" t="n">
        <x:v>0</x:v>
      </x:c>
      <x:c r="M298" s="11" t="n">
        <x:v>0</x:v>
      </x:c>
      <x:c r="N298" s="4"/>
      <x:c r="O298" s="4"/>
      <x:c r="P298" s="11" t="n">
        <x:v>6</x:v>
      </x:c>
      <x:c r="Q298" s="11" t="n">
        <x:v>6</x:v>
      </x:c>
      <x:c r="R298" s="11" t="n">
        <x:f>IF(OR(P298="",Q298=""),"",Q298-P298)</x:f>
        <x:v>0</x:v>
      </x:c>
      <x:c r="S298" s="13" t="n">
        <x:f>IF(OR(P298="",Q298="",P298=0),"",((Q298/30)/(P298/31))-1)</x:f>
        <x:v>0.03333333333333344</x:v>
      </x:c>
      <x:c r="T298" s="11" t="n">
        <x:v>1173</x:v>
      </x:c>
      <x:c r="U298" s="11" t="n">
        <x:v>973</x:v>
      </x:c>
      <x:c r="V298" s="14" t="n">
        <x:v>0.006166495375128468</x:v>
      </x:c>
      <x:c r="W298" s="12" t="n">
        <x:v>7.002055498458376</x:v>
      </x:c>
      <x:c r="X298" s="11" t="n">
        <x:v>6</x:v>
      </x:c>
      <x:c r="Y298" s="11" t="n">
        <x:v>5</x:v>
      </x:c>
      <x:c r="Z298" s="4" t="str">
        <x:v>https://blog.skyairline.com/beco-do-batman/</x:v>
      </x:c>
      <x:c r="AA298" s="4" t="str">
        <x:v>https://blog.skyairline.com/beco-do-batman/</x:v>
      </x:c>
      <x:c r="AB298" s="4" t="str">
        <x:v>Coincidencia URL</x:v>
      </x:c>
      <x:c r="AC298" s="4" t="str">
        <x:v>Publicado hasta septiembre</x:v>
      </x:c>
      <x:c r="AD298" s="4" t="str">
        <x:v>/beco-do-batman/</x:v>
      </x:c>
      <x:c r="AE298" s="4"/>
      <x:c r="AF298" s="16" t="b">
        <x:v>0</x:v>
      </x:c>
    </x:row>
    <x:row r="299" ht="44" customHeight="1">
      <x:c r="A299" s="4" t="n">
        <x:v>2728</x:v>
      </x:c>
      <x:c r="B299" s="4" t="str">
        <x:v>https://blog.skyairline.com/centros-comerciales-de-miami/</x:v>
      </x:c>
      <x:c r="C299" s="9" t="str">
        <x:v>Centros comerciales y outlet en Miami</x:v>
      </x:c>
      <x:c r="D299" s="17" t="d">
        <x:v>2026-06-22T00:00:00.000Z</x:v>
      </x:c>
      <x:c r="E299" s="17" t="d">
        <x:v>2026-06-17T00:00:00.000Z</x:v>
      </x:c>
      <x:c r="F299" s="4" t="str">
        <x:v>Destinos</x:v>
      </x:c>
      <x:c r="G299" s="11" t="n">
        <x:v>987</x:v>
      </x:c>
      <x:c r="H299" s="11" t="n">
        <x:v>200</x:v>
      </x:c>
      <x:c r="I299" s="11" t="n">
        <x:v>1</x:v>
      </x:c>
      <x:c r="J299" s="4" t="str">
        <x:v>https://blog.skyairline.com/centros-comerciales-de-miami/</x:v>
      </x:c>
      <x:c r="K299" s="16" t="b">
        <x:v>0</x:v>
      </x:c>
      <x:c r="L299" s="11" t="n">
        <x:v>0</x:v>
      </x:c>
      <x:c r="M299" s="11" t="n">
        <x:v>0</x:v>
      </x:c>
      <x:c r="N299" s="4"/>
      <x:c r="O299" s="4"/>
      <x:c r="P299" s="11" t="n">
        <x:v>3</x:v>
      </x:c>
      <x:c r="Q299" s="11" t="n">
        <x:v>6</x:v>
      </x:c>
      <x:c r="R299" s="11" t="n">
        <x:f>IF(OR(P299="",Q299=""),"",Q299-P299)</x:f>
        <x:v>3</x:v>
      </x:c>
      <x:c r="S299" s="13" t="n">
        <x:f>IF(OR(P299="",Q299="",P299=0),"",((Q299/30)/(P299/31))-1)</x:f>
        <x:v>1.0666666666666669</x:v>
      </x:c>
      <x:c r="T299" s="11" t="n">
        <x:v>2413</x:v>
      </x:c>
      <x:c r="U299" s="11" t="n">
        <x:v>1495</x:v>
      </x:c>
      <x:c r="V299" s="14" t="n">
        <x:v>0.004013377926421404</x:v>
      </x:c>
      <x:c r="W299" s="12" t="n">
        <x:v>10.010033444816054</x:v>
      </x:c>
      <x:c r="X299" s="11" t="n">
        <x:v>6</x:v>
      </x:c>
      <x:c r="Y299" s="11" t="n">
        <x:v>7</x:v>
      </x:c>
      <x:c r="Z299" s="4" t="str">
        <x:v>https://blog.skyairline.com/centros-comerciales-de-miami/</x:v>
      </x:c>
      <x:c r="AA299" s="4" t="str">
        <x:v>https://blog.skyairline.com/centros-comerciales-de-miami/</x:v>
      </x:c>
      <x:c r="AB299" s="4" t="str">
        <x:v>Coincidencia URL</x:v>
      </x:c>
      <x:c r="AC299" s="4" t="str">
        <x:v>Publicado hasta septiembre</x:v>
      </x:c>
      <x:c r="AD299" s="4" t="str">
        <x:v>/centros-comerciales-de-miami/</x:v>
      </x:c>
      <x:c r="AE299" s="4"/>
      <x:c r="AF299" s="16" t="b">
        <x:v>0</x:v>
      </x:c>
    </x:row>
    <x:row r="300" ht="44" customHeight="1">
      <x:c r="A300" s="4" t="n">
        <x:v>2797</x:v>
      </x:c>
      <x:c r="B300" s="4" t="str">
        <x:v>https://blog.skyairline.com/sky-flota-mas-nueva-de-suramerica/</x:v>
      </x:c>
      <x:c r="C300" s="9" t="str">
        <x:v>SKY es reconocida como la flota más nueva de Sudamérica por tercer año consecutivo</x:v>
      </x:c>
      <x:c r="D300" s="17" t="d">
        <x:v>2023-03-23T00:00:00.000Z</x:v>
      </x:c>
      <x:c r="E300" s="17" t="d">
        <x:v>2023-03-23T00:00:00.000Z</x:v>
      </x:c>
      <x:c r="F300" s="4" t="str">
        <x:v>Noticias</x:v>
      </x:c>
      <x:c r="G300" s="11" t="n">
        <x:v>463</x:v>
      </x:c>
      <x:c r="H300" s="11" t="n">
        <x:v>200</x:v>
      </x:c>
      <x:c r="I300" s="11" t="n">
        <x:v>1</x:v>
      </x:c>
      <x:c r="J300" s="4" t="str">
        <x:v>https://blog.skyairline.com/sky-flota-mas-nueva-de-suramerica/</x:v>
      </x:c>
      <x:c r="K300" s="16" t="b">
        <x:v>0</x:v>
      </x:c>
      <x:c r="L300" s="11" t="n">
        <x:v>0</x:v>
      </x:c>
      <x:c r="M300" s="11" t="n">
        <x:v>0</x:v>
      </x:c>
      <x:c r="N300" s="4" t="str">
        <x:v>T14</x:v>
      </x:c>
      <x:c r="O300" s="4"/>
      <x:c r="P300" s="11" t="n">
        <x:v>6</x:v>
      </x:c>
      <x:c r="Q300" s="11" t="n">
        <x:v>6</x:v>
      </x:c>
      <x:c r="R300" s="11" t="n">
        <x:f>IF(OR(P300="",Q300=""),"",Q300-P300)</x:f>
        <x:v>0</x:v>
      </x:c>
      <x:c r="S300" s="13" t="n">
        <x:f>IF(OR(P300="",Q300="",P300=0),"",((Q300/30)/(P300/31))-1)</x:f>
        <x:v>0.03333333333333344</x:v>
      </x:c>
      <x:c r="T300" s="11" t="n">
        <x:v>745</x:v>
      </x:c>
      <x:c r="U300" s="11" t="n">
        <x:v>521</x:v>
      </x:c>
      <x:c r="V300" s="14" t="n">
        <x:v>0.011516314779270634</x:v>
      </x:c>
      <x:c r="W300" s="12" t="n">
        <x:v>6.201535508637236</x:v>
      </x:c>
      <x:c r="X300" s="11" t="n">
        <x:v>8</x:v>
      </x:c>
      <x:c r="Y300" s="11" t="n">
        <x:v>10</x:v>
      </x:c>
      <x:c r="Z300" s="4" t="str">
        <x:v>https://blog.skyairline.com/sky-flota-mas-nueva-de-suramerica/</x:v>
      </x:c>
      <x:c r="AA300" s="4" t="str">
        <x:v>https://blog.skyairline.com/sky-flota-mas-nueva-de-suramerica/</x:v>
      </x:c>
      <x:c r="AB300" s="4" t="str">
        <x:v>Coincidencia URL</x:v>
      </x:c>
      <x:c r="AC300" s="4" t="str">
        <x:v>Publicado hasta septiembre</x:v>
      </x:c>
      <x:c r="AD300" s="4" t="str">
        <x:v>/sky-flota-mas-nueva-de-suramerica/</x:v>
      </x:c>
      <x:c r="AE300" s="4"/>
      <x:c r="AF300" s="16" t="b">
        <x:v>0</x:v>
      </x:c>
    </x:row>
    <x:row r="301" ht="44" customHeight="1">
      <x:c r="A301" s="4" t="n">
        <x:v>2856</x:v>
      </x:c>
      <x:c r="B301" s="4" t="str">
        <x:v>https://blog.skyairline.com/lugares-gratuitos-en-valdivia/</x:v>
      </x:c>
      <x:c r="C301" s="9" t="str">
        <x:v>Qué hacer en Valdivia: lugares imperdibles explicados en profundidad</x:v>
      </x:c>
      <x:c r="D301" s="17" t="d">
        <x:v>2026-03-16T00:00:00.000Z</x:v>
      </x:c>
      <x:c r="E301" s="17" t="d">
        <x:v>2026-03-16T00:00:00.000Z</x:v>
      </x:c>
      <x:c r="F301" s="4" t="str">
        <x:v>Destinos</x:v>
      </x:c>
      <x:c r="G301" s="11" t="n">
        <x:v>1014</x:v>
      </x:c>
      <x:c r="H301" s="11" t="n">
        <x:v>200</x:v>
      </x:c>
      <x:c r="I301" s="11" t="n">
        <x:v>1</x:v>
      </x:c>
      <x:c r="J301" s="4" t="str">
        <x:v>https://blog.skyairline.com/lugares-gratuitos-en-valdivia/</x:v>
      </x:c>
      <x:c r="K301" s="16" t="b">
        <x:v>0</x:v>
      </x:c>
      <x:c r="L301" s="11" t="n">
        <x:v>0</x:v>
      </x:c>
      <x:c r="M301" s="11" t="n">
        <x:v>0</x:v>
      </x:c>
      <x:c r="N301" s="4"/>
      <x:c r="O301" s="4"/>
      <x:c r="P301" s="11" t="n">
        <x:v>5</x:v>
      </x:c>
      <x:c r="Q301" s="11" t="n">
        <x:v>6</x:v>
      </x:c>
      <x:c r="R301" s="11" t="n">
        <x:f>IF(OR(P301="",Q301=""),"",Q301-P301)</x:f>
        <x:v>1</x:v>
      </x:c>
      <x:c r="S301" s="13" t="n">
        <x:f>IF(OR(P301="",Q301="",P301=0),"",((Q301/30)/(P301/31))-1)</x:f>
        <x:v>0.2400000000000002</x:v>
      </x:c>
      <x:c r="T301" s="11" t="n">
        <x:v>1010</x:v>
      </x:c>
      <x:c r="U301" s="11" t="n">
        <x:v>1082</x:v>
      </x:c>
      <x:c r="V301" s="14" t="n">
        <x:v>0.005545286506469501</x:v>
      </x:c>
      <x:c r="W301" s="12" t="n">
        <x:v>16.058225508317932</x:v>
      </x:c>
      <x:c r="X301" s="11" t="n">
        <x:v>4</x:v>
      </x:c>
      <x:c r="Y301" s="11" t="n">
        <x:v>6</x:v>
      </x:c>
      <x:c r="Z301" s="4" t="str">
        <x:v>https://blog.skyairline.com/lugares-gratuitos-en-valdivia/</x:v>
      </x:c>
      <x:c r="AA301" s="4" t="str">
        <x:v>https://blog.skyairline.com/lugares-gratuitos-en-valdivia/</x:v>
      </x:c>
      <x:c r="AB301" s="4" t="str">
        <x:v>Coincidencia URL</x:v>
      </x:c>
      <x:c r="AC301" s="4" t="str">
        <x:v>Publicado hasta septiembre</x:v>
      </x:c>
      <x:c r="AD301" s="4" t="str">
        <x:v>/lugares-gratuitos-en-valdivia/</x:v>
      </x:c>
      <x:c r="AE301" s="4"/>
      <x:c r="AF301" s="16" t="b">
        <x:v>0</x:v>
      </x:c>
    </x:row>
    <x:row r="302" ht="44" customHeight="1">
      <x:c r="A302" s="4" t="n">
        <x:v>3048</x:v>
      </x:c>
      <x:c r="B302" s="4" t="str">
        <x:v>https://blog.skyairline.com/reservar-un-hotel/</x:v>
      </x:c>
      <x:c r="C302" s="9" t="str">
        <x:v>¿Cómo reservar un hotel con SKY?</x:v>
      </x:c>
      <x:c r="D302" s="17" t="d">
        <x:v>2023-06-16T00:00:00.000Z</x:v>
      </x:c>
      <x:c r="E302" s="17" t="d">
        <x:v>2023-06-16T00:00:00.000Z</x:v>
      </x:c>
      <x:c r="F302" s="4" t="str">
        <x:v>Planificación de Viaje</x:v>
      </x:c>
      <x:c r="G302" s="11" t="n">
        <x:v>1093</x:v>
      </x:c>
      <x:c r="H302" s="11" t="n">
        <x:v>200</x:v>
      </x:c>
      <x:c r="I302" s="11" t="n">
        <x:v>1</x:v>
      </x:c>
      <x:c r="J302" s="4" t="str">
        <x:v>https://blog.skyairline.com/reservar-un-hotel/</x:v>
      </x:c>
      <x:c r="K302" s="16" t="b">
        <x:v>0</x:v>
      </x:c>
      <x:c r="L302" s="11" t="n">
        <x:v>0</x:v>
      </x:c>
      <x:c r="M302" s="11" t="n">
        <x:v>5</x:v>
      </x:c>
      <x:c r="N302" s="4"/>
      <x:c r="O302" s="4"/>
      <x:c r="P302" s="11" t="n">
        <x:v>2</x:v>
      </x:c>
      <x:c r="Q302" s="11" t="n">
        <x:v>6</x:v>
      </x:c>
      <x:c r="R302" s="11" t="n">
        <x:f>IF(OR(P302="",Q302=""),"",Q302-P302)</x:f>
        <x:v>4</x:v>
      </x:c>
      <x:c r="S302" s="13" t="n">
        <x:f>IF(OR(P302="",Q302="",P302=0),"",((Q302/30)/(P302/31))-1)</x:f>
        <x:v>2.1</x:v>
      </x:c>
      <x:c r="T302" s="11" t="n">
        <x:v>218</x:v>
      </x:c>
      <x:c r="U302" s="11" t="n">
        <x:v>128</x:v>
      </x:c>
      <x:c r="V302" s="14" t="n">
        <x:v>0.046875</x:v>
      </x:c>
      <x:c r="W302" s="12" t="n">
        <x:v>9.7109375</x:v>
      </x:c>
      <x:c r="X302" s="11" t="n">
        <x:v>5</x:v>
      </x:c>
      <x:c r="Y302" s="11" t="n">
        <x:v>5</x:v>
      </x:c>
      <x:c r="Z302" s="4" t="str">
        <x:v>https://blog.skyairline.com/reservar-un-hotel/</x:v>
      </x:c>
      <x:c r="AA302" s="4" t="str">
        <x:v>https://blog.skyairline.com/reservar-un-hotel/</x:v>
      </x:c>
      <x:c r="AB302" s="4" t="str">
        <x:v>Coincidencia URL</x:v>
      </x:c>
      <x:c r="AC302" s="4" t="str">
        <x:v>Publicado hasta septiembre</x:v>
      </x:c>
      <x:c r="AD302" s="4" t="str">
        <x:v>/reservar-un-hotel/</x:v>
      </x:c>
      <x:c r="AE302" s="4"/>
      <x:c r="AF302" s="16" t="b">
        <x:v>0</x:v>
      </x:c>
    </x:row>
    <x:row r="303" ht="44" customHeight="1">
      <x:c r="A303" s="4" t="n">
        <x:v>3464</x:v>
      </x:c>
      <x:c r="B303" s="4" t="str">
        <x:v>https://blog.skyairline.com/choripanes-en-buenos-aires/</x:v>
      </x:c>
      <x:c r="C303" s="9" t="str">
        <x:v>Dónde comer el mejor choripán argentino en Buenos Aires</x:v>
      </x:c>
      <x:c r="D303" s="17" t="d">
        <x:v>2026-06-29T00:00:00.000Z</x:v>
      </x:c>
      <x:c r="E303" s="17" t="d">
        <x:v>2026-06-25T00:00:00.000Z</x:v>
      </x:c>
      <x:c r="F303" s="4" t="str">
        <x:v>Destinos</x:v>
      </x:c>
      <x:c r="G303" s="11" t="n">
        <x:v>1080</x:v>
      </x:c>
      <x:c r="H303" s="11" t="n">
        <x:v>200</x:v>
      </x:c>
      <x:c r="I303" s="11" t="n">
        <x:v>1</x:v>
      </x:c>
      <x:c r="J303" s="4" t="str">
        <x:v>https://blog.skyairline.com/choripanes-en-buenos-aires/</x:v>
      </x:c>
      <x:c r="K303" s="16" t="b">
        <x:v>0</x:v>
      </x:c>
      <x:c r="L303" s="11" t="n">
        <x:v>0</x:v>
      </x:c>
      <x:c r="M303" s="11" t="n">
        <x:v>0</x:v>
      </x:c>
      <x:c r="N303" s="4"/>
      <x:c r="O303" s="4"/>
      <x:c r="P303" s="11" t="n">
        <x:v>6</x:v>
      </x:c>
      <x:c r="Q303" s="11" t="n">
        <x:v>6</x:v>
      </x:c>
      <x:c r="R303" s="11" t="n">
        <x:f>IF(OR(P303="",Q303=""),"",Q303-P303)</x:f>
        <x:v>0</x:v>
      </x:c>
      <x:c r="S303" s="13" t="n">
        <x:f>IF(OR(P303="",Q303="",P303=0),"",((Q303/30)/(P303/31))-1)</x:f>
        <x:v>0.03333333333333344</x:v>
      </x:c>
      <x:c r="T303" s="11" t="n">
        <x:v>845</x:v>
      </x:c>
      <x:c r="U303" s="11" t="n">
        <x:v>790</x:v>
      </x:c>
      <x:c r="V303" s="14" t="n">
        <x:v>0.007594936708860759</x:v>
      </x:c>
      <x:c r="W303" s="12" t="n">
        <x:v>11.3</x:v>
      </x:c>
      <x:c r="X303" s="11" t="n">
        <x:v>6</x:v>
      </x:c>
      <x:c r="Y303" s="11" t="n">
        <x:v>6</x:v>
      </x:c>
      <x:c r="Z303" s="4" t="str">
        <x:v>https://blog.skyairline.com/choripanes-en-buenos-aires/</x:v>
      </x:c>
      <x:c r="AA303" s="4" t="str">
        <x:v>https://blog.skyairline.com/choripanes-en-buenos-aires/</x:v>
      </x:c>
      <x:c r="AB303" s="4" t="str">
        <x:v>Coincidencia URL</x:v>
      </x:c>
      <x:c r="AC303" s="4" t="str">
        <x:v>Publicado hasta septiembre</x:v>
      </x:c>
      <x:c r="AD303" s="4" t="str">
        <x:v>/choripanes-en-buenos-aires/</x:v>
      </x:c>
      <x:c r="AE303" s="4"/>
      <x:c r="AF303" s="16" t="b">
        <x:v>0</x:v>
      </x:c>
    </x:row>
    <x:row r="304" ht="44" customHeight="1">
      <x:c r="A304" s="4" t="n">
        <x:v>3592</x:v>
      </x:c>
      <x:c r="B304" s="4" t="str">
        <x:v>https://blog.skyairline.com/montevideo-noche/</x:v>
      </x:c>
      <x:c r="C304" s="9" t="str">
        <x:v>Montevideo de noche: mejores opciones que tienes que conocer</x:v>
      </x:c>
      <x:c r="D304" s="17" t="d">
        <x:v>2023-11-02T00:00:00.000Z</x:v>
      </x:c>
      <x:c r="E304" s="17" t="d">
        <x:v>2023-11-02T00:00:00.000Z</x:v>
      </x:c>
      <x:c r="F304" s="4" t="str">
        <x:v>Destinos</x:v>
      </x:c>
      <x:c r="G304" s="11" t="n">
        <x:v>1336</x:v>
      </x:c>
      <x:c r="H304" s="11" t="n">
        <x:v>200</x:v>
      </x:c>
      <x:c r="I304" s="11" t="n">
        <x:v>1</x:v>
      </x:c>
      <x:c r="J304" s="4" t="str">
        <x:v>https://blog.skyairline.com/montevideo-noche/</x:v>
      </x:c>
      <x:c r="K304" s="16" t="b">
        <x:v>0</x:v>
      </x:c>
      <x:c r="L304" s="11" t="n">
        <x:v>0</x:v>
      </x:c>
      <x:c r="M304" s="11" t="n">
        <x:v>4</x:v>
      </x:c>
      <x:c r="N304" s="4"/>
      <x:c r="O304" s="4"/>
      <x:c r="P304" s="11" t="n">
        <x:v>4</x:v>
      </x:c>
      <x:c r="Q304" s="11" t="n">
        <x:v>6</x:v>
      </x:c>
      <x:c r="R304" s="11" t="n">
        <x:f>IF(OR(P304="",Q304=""),"",Q304-P304)</x:f>
        <x:v>2</x:v>
      </x:c>
      <x:c r="S304" s="13" t="n">
        <x:f>IF(OR(P304="",Q304="",P304=0),"",((Q304/30)/(P304/31))-1)</x:f>
        <x:v>0.55</x:v>
      </x:c>
      <x:c r="T304" s="11" t="n">
        <x:v>1009</x:v>
      </x:c>
      <x:c r="U304" s="11" t="n">
        <x:v>774</x:v>
      </x:c>
      <x:c r="V304" s="14" t="n">
        <x:v>0.007751937984496124</x:v>
      </x:c>
      <x:c r="W304" s="12" t="n">
        <x:v>13.350129198966409</x:v>
      </x:c>
      <x:c r="X304" s="11" t="n">
        <x:v>7</x:v>
      </x:c>
      <x:c r="Y304" s="11" t="n">
        <x:v>7</x:v>
      </x:c>
      <x:c r="Z304" s="4" t="str">
        <x:v>https://blog.skyairline.com/montevideo-noche/</x:v>
      </x:c>
      <x:c r="AA304" s="4" t="str">
        <x:v>https://blog.skyairline.com/montevideo-noche/</x:v>
      </x:c>
      <x:c r="AB304" s="4" t="str">
        <x:v>Coincidencia URL</x:v>
      </x:c>
      <x:c r="AC304" s="4" t="str">
        <x:v>Publicado hasta septiembre</x:v>
      </x:c>
      <x:c r="AD304" s="4" t="str">
        <x:v>/montevideo-noche/</x:v>
      </x:c>
      <x:c r="AE304" s="4"/>
      <x:c r="AF304" s="16" t="b">
        <x:v>0</x:v>
      </x:c>
    </x:row>
    <x:row r="305" ht="44" customHeight="1">
      <x:c r="A305" s="4" t="n">
        <x:v>3598</x:v>
      </x:c>
      <x:c r="B305" s="4" t="str">
        <x:v>https://blog.skyairline.com/sky-reafirma-su-compromiso-con-la-sostenibilidad/</x:v>
      </x:c>
      <x:c r="C305" s="9" t="str">
        <x:v>SKY reafirma su compromiso con la sostenibilidad</x:v>
      </x:c>
      <x:c r="D305" s="17" t="d">
        <x:v>2023-10-30T00:00:00.000Z</x:v>
      </x:c>
      <x:c r="E305" s="17" t="d">
        <x:v>2023-10-30T00:00:00.000Z</x:v>
      </x:c>
      <x:c r="F305" s="4" t="str">
        <x:v>Compromiso SKY</x:v>
      </x:c>
      <x:c r="G305" s="11" t="n">
        <x:v>710</x:v>
      </x:c>
      <x:c r="H305" s="11" t="n">
        <x:v>200</x:v>
      </x:c>
      <x:c r="I305" s="11" t="n">
        <x:v>1</x:v>
      </x:c>
      <x:c r="J305" s="4" t="str">
        <x:v>https://blog.skyairline.com/sky-reafirma-su-compromiso-con-la-sostenibilidad/</x:v>
      </x:c>
      <x:c r="K305" s="16" t="b">
        <x:v>0</x:v>
      </x:c>
      <x:c r="L305" s="11" t="n">
        <x:v>0</x:v>
      </x:c>
      <x:c r="M305" s="11" t="n">
        <x:v>0</x:v>
      </x:c>
      <x:c r="N305" s="4"/>
      <x:c r="O305" s="4"/>
      <x:c r="P305" s="11" t="n">
        <x:v>1</x:v>
      </x:c>
      <x:c r="Q305" s="11" t="n">
        <x:v>6</x:v>
      </x:c>
      <x:c r="R305" s="11" t="n">
        <x:f>IF(OR(P305="",Q305=""),"",Q305-P305)</x:f>
        <x:v>5</x:v>
      </x:c>
      <x:c r="S305" s="13" t="n">
        <x:f>IF(OR(P305="",Q305="",P305=0),"",((Q305/30)/(P305/31))-1)</x:f>
        <x:v>5.2</x:v>
      </x:c>
      <x:c r="T305" s="11" t="n">
        <x:v>129</x:v>
      </x:c>
      <x:c r="U305" s="11" t="n">
        <x:v>106</x:v>
      </x:c>
      <x:c r="V305" s="14" t="n">
        <x:v>0.05660377358490566</x:v>
      </x:c>
      <x:c r="W305" s="12" t="n">
        <x:v>5.622641509433962</x:v>
      </x:c>
      <x:c r="X305" s="11" t="n">
        <x:v>10</x:v>
      </x:c>
      <x:c r="Y305" s="11" t="n">
        <x:v>9</x:v>
      </x:c>
      <x:c r="Z305" s="4" t="str">
        <x:v>https://blog.skyairline.com/sky-reafirma-su-compromiso-con-la-sostenibilidad/</x:v>
      </x:c>
      <x:c r="AA305" s="4" t="str">
        <x:v>https://blog.skyairline.com/sky-reafirma-su-compromiso-con-la-sostenibilidad/</x:v>
      </x:c>
      <x:c r="AB305" s="4" t="str">
        <x:v>Coincidencia URL</x:v>
      </x:c>
      <x:c r="AC305" s="4" t="str">
        <x:v>Publicado hasta septiembre</x:v>
      </x:c>
      <x:c r="AD305" s="4" t="str">
        <x:v>/sky-reafirma-su-compromiso-con-la-sostenibilidad/</x:v>
      </x:c>
      <x:c r="AE305" s="4"/>
      <x:c r="AF305" s="16" t="b">
        <x:v>0</x:v>
      </x:c>
    </x:row>
    <x:row r="306" ht="44" customHeight="1">
      <x:c r="A306" s="4" t="n">
        <x:v>3895</x:v>
      </x:c>
      <x:c r="B306" s="4" t="str">
        <x:v>https://blog.skyairline.com/conocer-gente/</x:v>
      </x:c>
      <x:c r="C306" s="9" t="str">
        <x:v>5 formas para conocer gente de otros países</x:v>
      </x:c>
      <x:c r="D306" s="17" t="d">
        <x:v>2024-01-02T00:00:00.000Z</x:v>
      </x:c>
      <x:c r="E306" s="17" t="d">
        <x:v>2024-01-02T00:00:00.000Z</x:v>
      </x:c>
      <x:c r="F306" s="4" t="str">
        <x:v>Planificación de Viaje</x:v>
      </x:c>
      <x:c r="G306" s="11" t="n">
        <x:v>1040</x:v>
      </x:c>
      <x:c r="H306" s="11" t="n">
        <x:v>200</x:v>
      </x:c>
      <x:c r="I306" s="11" t="n">
        <x:v>1</x:v>
      </x:c>
      <x:c r="J306" s="4" t="str">
        <x:v>https://blog.skyairline.com/conocer-gente/</x:v>
      </x:c>
      <x:c r="K306" s="16" t="b">
        <x:v>0</x:v>
      </x:c>
      <x:c r="L306" s="11" t="n">
        <x:v>0</x:v>
      </x:c>
      <x:c r="M306" s="11" t="n">
        <x:v>3</x:v>
      </x:c>
      <x:c r="N306" s="4"/>
      <x:c r="O306" s="4"/>
      <x:c r="P306" s="11" t="n">
        <x:v>12</x:v>
      </x:c>
      <x:c r="Q306" s="11" t="n">
        <x:v>6</x:v>
      </x:c>
      <x:c r="R306" s="11" t="n">
        <x:f>IF(OR(P306="",Q306=""),"",Q306-P306)</x:f>
        <x:v>-6</x:v>
      </x:c>
      <x:c r="S306" s="13" t="n">
        <x:f>IF(OR(P306="",Q306="",P306=0),"",((Q306/30)/(P306/31))-1)</x:f>
        <x:v>-0.4833333333333333</x:v>
      </x:c>
      <x:c r="T306" s="11" t="n">
        <x:v>1040</x:v>
      </x:c>
      <x:c r="U306" s="11" t="n">
        <x:v>503</x:v>
      </x:c>
      <x:c r="V306" s="14" t="n">
        <x:v>0.011928429423459244</x:v>
      </x:c>
      <x:c r="W306" s="12" t="n">
        <x:v>11.288270377733598</x:v>
      </x:c>
      <x:c r="X306" s="11" t="n">
        <x:v>7</x:v>
      </x:c>
      <x:c r="Y306" s="11" t="n">
        <x:v>7</x:v>
      </x:c>
      <x:c r="Z306" s="4" t="str">
        <x:v>https://blog.skyairline.com/conocer-gente/</x:v>
      </x:c>
      <x:c r="AA306" s="4" t="str">
        <x:v>https://blog.skyairline.com/conocer-gente/</x:v>
      </x:c>
      <x:c r="AB306" s="4" t="str">
        <x:v>Coincidencia URL</x:v>
      </x:c>
      <x:c r="AC306" s="4" t="str">
        <x:v>Publicado hasta septiembre</x:v>
      </x:c>
      <x:c r="AD306" s="4" t="str">
        <x:v>/conocer-gente/</x:v>
      </x:c>
      <x:c r="AE306" s="4"/>
      <x:c r="AF306" s="16" t="b">
        <x:v>0</x:v>
      </x:c>
    </x:row>
    <x:row r="307" ht="44" customHeight="1">
      <x:c r="A307" s="4" t="n">
        <x:v>4266</x:v>
      </x:c>
      <x:c r="B307" s="4" t="str">
        <x:v>https://blog.skyairline.com/cuanto-dinero-llevar-miami/</x:v>
      </x:c>
      <x:c r="C307" s="9" t="str">
        <x:v>¿Cuánto dinero debo llevar para viajar a Miami para aprovechar al máximo la jornada?</x:v>
      </x:c>
      <x:c r="D307" s="17" t="d">
        <x:v>2024-05-10T00:00:00.000Z</x:v>
      </x:c>
      <x:c r="E307" s="17" t="d">
        <x:v>2024-05-10T00:00:00.000Z</x:v>
      </x:c>
      <x:c r="F307" s="4" t="str">
        <x:v>Destinos, Planificación de Viaje</x:v>
      </x:c>
      <x:c r="G307" s="11" t="n">
        <x:v>1016</x:v>
      </x:c>
      <x:c r="H307" s="11" t="n">
        <x:v>200</x:v>
      </x:c>
      <x:c r="I307" s="11" t="n">
        <x:v>1</x:v>
      </x:c>
      <x:c r="J307" s="4" t="str">
        <x:v>https://blog.skyairline.com/cuanto-dinero-llevar-miami/</x:v>
      </x:c>
      <x:c r="K307" s="16" t="b">
        <x:v>0</x:v>
      </x:c>
      <x:c r="L307" s="11" t="n">
        <x:v>0</x:v>
      </x:c>
      <x:c r="M307" s="11" t="n">
        <x:v>5</x:v>
      </x:c>
      <x:c r="N307" s="4"/>
      <x:c r="O307" s="4"/>
      <x:c r="P307" s="11" t="n">
        <x:v>11</x:v>
      </x:c>
      <x:c r="Q307" s="11" t="n">
        <x:v>6</x:v>
      </x:c>
      <x:c r="R307" s="11" t="n">
        <x:f>IF(OR(P307="",Q307=""),"",Q307-P307)</x:f>
        <x:v>-5</x:v>
      </x:c>
      <x:c r="S307" s="13" t="n">
        <x:f>IF(OR(P307="",Q307="",P307=0),"",((Q307/30)/(P307/31))-1)</x:f>
        <x:v>-0.4363636363636364</x:v>
      </x:c>
      <x:c r="T307" s="11" t="n">
        <x:v>1871</x:v>
      </x:c>
      <x:c r="U307" s="11" t="n">
        <x:v>1464</x:v>
      </x:c>
      <x:c r="V307" s="14" t="n">
        <x:v>0.004098360655737705</x:v>
      </x:c>
      <x:c r="W307" s="12" t="n">
        <x:v>5.788934426229508</x:v>
      </x:c>
      <x:c r="X307" s="11" t="n">
        <x:v>8</x:v>
      </x:c>
      <x:c r="Y307" s="11" t="n">
        <x:v>11</x:v>
      </x:c>
      <x:c r="Z307" s="4" t="str">
        <x:v>https://blog.skyairline.com/cuanto-dinero-llevar-miami/</x:v>
      </x:c>
      <x:c r="AA307" s="4" t="str">
        <x:v>https://blog.skyairline.com/cuanto-dinero-llevar-miami/</x:v>
      </x:c>
      <x:c r="AB307" s="4" t="str">
        <x:v>Coincidencia URL</x:v>
      </x:c>
      <x:c r="AC307" s="4" t="str">
        <x:v>Publicado hasta septiembre</x:v>
      </x:c>
      <x:c r="AD307" s="4" t="str">
        <x:v>/cuanto-dinero-llevar-miami/</x:v>
      </x:c>
      <x:c r="AE307" s="4"/>
      <x:c r="AF307" s="16" t="b">
        <x:v>1</x:v>
      </x:c>
    </x:row>
    <x:row r="308" ht="44" customHeight="1">
      <x:c r="A308" s="4" t="n">
        <x:v>5145</x:v>
      </x:c>
      <x:c r="B308" s="4" t="str">
        <x:v>https://blog.skyairline.com/costumbres-de-argentina/</x:v>
      </x:c>
      <x:c r="C308" s="9" t="str">
        <x:v>5 costumbres de Argentina que la hacen única</x:v>
      </x:c>
      <x:c r="D308" s="17" t="d">
        <x:v>2024-10-11T00:00:00.000Z</x:v>
      </x:c>
      <x:c r="E308" s="17" t="d">
        <x:v>2024-10-11T00:00:00.000Z</x:v>
      </x:c>
      <x:c r="F308" s="4" t="str">
        <x:v>Bariloche, Destinos</x:v>
      </x:c>
      <x:c r="G308" s="11" t="n">
        <x:v>1110</x:v>
      </x:c>
      <x:c r="H308" s="11" t="n">
        <x:v>200</x:v>
      </x:c>
      <x:c r="I308" s="11" t="n">
        <x:v>1</x:v>
      </x:c>
      <x:c r="J308" s="4" t="str">
        <x:v>https://blog.skyairline.com/costumbres-de-argentina/</x:v>
      </x:c>
      <x:c r="K308" s="16" t="b">
        <x:v>0</x:v>
      </x:c>
      <x:c r="L308" s="11" t="n">
        <x:v>0</x:v>
      </x:c>
      <x:c r="M308" s="11" t="n">
        <x:v>3</x:v>
      </x:c>
      <x:c r="N308" s="4"/>
      <x:c r="O308" s="4"/>
      <x:c r="P308" s="11" t="n">
        <x:v>9</x:v>
      </x:c>
      <x:c r="Q308" s="11" t="n">
        <x:v>6</x:v>
      </x:c>
      <x:c r="R308" s="11" t="n">
        <x:f>IF(OR(P308="",Q308=""),"",Q308-P308)</x:f>
        <x:v>-3</x:v>
      </x:c>
      <x:c r="S308" s="13" t="n">
        <x:f>IF(OR(P308="",Q308="",P308=0),"",((Q308/30)/(P308/31))-1)</x:f>
        <x:v>-0.3111111111111111</x:v>
      </x:c>
      <x:c r="T308" s="11" t="n">
        <x:v>3136</x:v>
      </x:c>
      <x:c r="U308" s="11" t="n">
        <x:v>2241</x:v>
      </x:c>
      <x:c r="V308" s="14" t="n">
        <x:v>0.002677376171352075</x:v>
      </x:c>
      <x:c r="W308" s="12" t="n">
        <x:v>10.941543953592147</x:v>
      </x:c>
      <x:c r="X308" s="11" t="n">
        <x:v>5</x:v>
      </x:c>
      <x:c r="Y308" s="11" t="n">
        <x:v>8</x:v>
      </x:c>
      <x:c r="Z308" s="4" t="str">
        <x:v>https://blog.skyairline.com/costumbres-de-argentina/</x:v>
      </x:c>
      <x:c r="AA308" s="4" t="str">
        <x:v>https://blog.skyairline.com/costumbres-de-argentina/</x:v>
      </x:c>
      <x:c r="AB308" s="4" t="str">
        <x:v>Coincidencia URL</x:v>
      </x:c>
      <x:c r="AC308" s="4" t="str">
        <x:v>Publicado hasta septiembre</x:v>
      </x:c>
      <x:c r="AD308" s="4" t="str">
        <x:v>/costumbres-de-argentina/</x:v>
      </x:c>
      <x:c r="AE308" s="4"/>
      <x:c r="AF308" s="16" t="b">
        <x:v>0</x:v>
      </x:c>
    </x:row>
    <x:row r="309" ht="44" customHeight="1">
      <x:c r="A309" s="4" t="n">
        <x:v>5339</x:v>
      </x:c>
      <x:c r="B309" s="4" t="str">
        <x:v>https://blog.skyairline.com/mejor-fecha-para-viajar-punta-cana/</x:v>
      </x:c>
      <x:c r="C309" s="9" t="str">
        <x:v>¿Cuál es la mejor época para viajar a Punta Cana?</x:v>
      </x:c>
      <x:c r="D309" s="17" t="d">
        <x:v>2024-11-16T00:00:00.000Z</x:v>
      </x:c>
      <x:c r="E309" s="17" t="d">
        <x:v>2024-11-16T00:00:00.000Z</x:v>
      </x:c>
      <x:c r="F309" s="4" t="str">
        <x:v>Destinos</x:v>
      </x:c>
      <x:c r="G309" s="11" t="n">
        <x:v>998</x:v>
      </x:c>
      <x:c r="H309" s="11" t="n">
        <x:v>200</x:v>
      </x:c>
      <x:c r="I309" s="11" t="n">
        <x:v>1</x:v>
      </x:c>
      <x:c r="J309" s="4" t="str">
        <x:v>https://blog.skyairline.com/mejor-fecha-para-viajar-punta-cana/</x:v>
      </x:c>
      <x:c r="K309" s="16" t="b">
        <x:v>0</x:v>
      </x:c>
      <x:c r="L309" s="11" t="n">
        <x:v>0</x:v>
      </x:c>
      <x:c r="M309" s="11" t="n">
        <x:v>6</x:v>
      </x:c>
      <x:c r="N309" s="4"/>
      <x:c r="O309" s="4"/>
      <x:c r="P309" s="11" t="n">
        <x:v>5</x:v>
      </x:c>
      <x:c r="Q309" s="11" t="n">
        <x:v>6</x:v>
      </x:c>
      <x:c r="R309" s="11" t="n">
        <x:f>IF(OR(P309="",Q309=""),"",Q309-P309)</x:f>
        <x:v>1</x:v>
      </x:c>
      <x:c r="S309" s="13" t="n">
        <x:f>IF(OR(P309="",Q309="",P309=0),"",((Q309/30)/(P309/31))-1)</x:f>
        <x:v>0.2400000000000002</x:v>
      </x:c>
      <x:c r="T309" s="11" t="n">
        <x:v>3369</x:v>
      </x:c>
      <x:c r="U309" s="11" t="n">
        <x:v>2445</x:v>
      </x:c>
      <x:c r="V309" s="14" t="n">
        <x:v>0.00245398773006135</x:v>
      </x:c>
      <x:c r="W309" s="12" t="n">
        <x:v>14.461758691206544</x:v>
      </x:c>
      <x:c r="X309" s="11" t="n">
        <x:v>6</x:v>
      </x:c>
      <x:c r="Y309" s="11" t="n">
        <x:v>8</x:v>
      </x:c>
      <x:c r="Z309" s="4" t="str">
        <x:v>https://blog.skyairline.com/mejor-fecha-para-viajar-punta-cana/</x:v>
      </x:c>
      <x:c r="AA309" s="4" t="str">
        <x:v>https://blog.skyairline.com/mejor-fecha-para-viajar-punta-cana/</x:v>
      </x:c>
      <x:c r="AB309" s="4" t="str">
        <x:v>Coincidencia URL</x:v>
      </x:c>
      <x:c r="AC309" s="4" t="str">
        <x:v>Publicado hasta septiembre</x:v>
      </x:c>
      <x:c r="AD309" s="4" t="str">
        <x:v>/mejor-fecha-para-viajar-punta-cana/</x:v>
      </x:c>
      <x:c r="AE309" s="4"/>
      <x:c r="AF309" s="16" t="b">
        <x:v>0</x:v>
      </x:c>
    </x:row>
    <x:row r="310" ht="44" customHeight="1">
      <x:c r="A310" s="4" t="n">
        <x:v>5654</x:v>
      </x:c>
      <x:c r="B310" s="4" t="str">
        <x:v>https://blog.skyairline.com/aprende-donde-queda-lago-ranco-y-como-llegar-desde-osorno/</x:v>
      </x:c>
      <x:c r="C310" s="9" t="str">
        <x:v>Aprende dónde queda Lago Ranco y cómo llegar desde Osorno</x:v>
      </x:c>
      <x:c r="D310" s="17" t="d">
        <x:v>2025-02-22T00:00:00.000Z</x:v>
      </x:c>
      <x:c r="E310" s="17" t="d">
        <x:v>2025-02-22T00:00:00.000Z</x:v>
      </x:c>
      <x:c r="F310" s="4" t="str">
        <x:v>Sin categoría</x:v>
      </x:c>
      <x:c r="G310" s="11" t="n">
        <x:v>1995</x:v>
      </x:c>
      <x:c r="H310" s="11" t="n">
        <x:v>200</x:v>
      </x:c>
      <x:c r="I310" s="11" t="n">
        <x:v>1</x:v>
      </x:c>
      <x:c r="J310" s="4" t="str">
        <x:v>https://blog.skyairline.com/aprende-donde-queda-lago-ranco-y-como-llegar-desde-osorno/</x:v>
      </x:c>
      <x:c r="K310" s="16" t="b">
        <x:v>0</x:v>
      </x:c>
      <x:c r="L310" s="11" t="n">
        <x:v>0</x:v>
      </x:c>
      <x:c r="M310" s="11" t="n">
        <x:v>3</x:v>
      </x:c>
      <x:c r="N310" s="4"/>
      <x:c r="O310" s="4"/>
      <x:c r="P310" s="11" t="n">
        <x:v>8</x:v>
      </x:c>
      <x:c r="Q310" s="11" t="n">
        <x:v>6</x:v>
      </x:c>
      <x:c r="R310" s="11" t="n">
        <x:f>IF(OR(P310="",Q310=""),"",Q310-P310)</x:f>
        <x:v>-2</x:v>
      </x:c>
      <x:c r="S310" s="13" t="n">
        <x:f>IF(OR(P310="",Q310="",P310=0),"",((Q310/30)/(P310/31))-1)</x:f>
        <x:v>-0.22499999999999998</x:v>
      </x:c>
      <x:c r="T310" s="11" t="n">
        <x:v>1585</x:v>
      </x:c>
      <x:c r="U310" s="11" t="n">
        <x:v>1492</x:v>
      </x:c>
      <x:c r="V310" s="14" t="n">
        <x:v>0.004021447721179625</x:v>
      </x:c>
      <x:c r="W310" s="12" t="n">
        <x:v>7.904155495978553</x:v>
      </x:c>
      <x:c r="X310" s="11" t="n">
        <x:v>7</x:v>
      </x:c>
      <x:c r="Y310" s="11" t="n">
        <x:v>9</x:v>
      </x:c>
      <x:c r="Z310" s="4" t="str">
        <x:v>https://blog.skyairline.com/aprende-donde-queda-lago-ranco-y-como-llegar-desde-osorno/</x:v>
      </x:c>
      <x:c r="AA310" s="4" t="str">
        <x:v>https://blog.skyairline.com/aprende-donde-queda-lago-ranco-y-como-llegar-desde-osorno/</x:v>
      </x:c>
      <x:c r="AB310" s="4" t="str">
        <x:v>Coincidencia URL</x:v>
      </x:c>
      <x:c r="AC310" s="4" t="str">
        <x:v>Publicado hasta septiembre</x:v>
      </x:c>
      <x:c r="AD310" s="4" t="str">
        <x:v>/aprende-donde-queda-lago-ranco-y-como-llegar-desde-osorno/</x:v>
      </x:c>
      <x:c r="AE310" s="4"/>
      <x:c r="AF310" s="16" t="b">
        <x:v>0</x:v>
      </x:c>
    </x:row>
    <x:row r="311" ht="44" customHeight="1">
      <x:c r="A311" s="4" t="n">
        <x:v>5865</x:v>
      </x:c>
      <x:c r="B311" s="4" t="str">
        <x:v>https://blog.skyairline.com/nogales/</x:v>
      </x:c>
      <x:c r="C311" s="9" t="str">
        <x:v>Qué hacer en Nogales, Chile: atractivos y gastronomía local</x:v>
      </x:c>
      <x:c r="D311" s="17" t="d">
        <x:v>2025-10-02T00:00:00.000Z</x:v>
      </x:c>
      <x:c r="E311" s="17" t="d">
        <x:v>2026-01-12T00:00:00.000Z</x:v>
      </x:c>
      <x:c r="F311" s="4" t="str">
        <x:v>Destinos</x:v>
      </x:c>
      <x:c r="G311" s="11" t="n">
        <x:v>1117</x:v>
      </x:c>
      <x:c r="H311" s="11" t="n">
        <x:v>200</x:v>
      </x:c>
      <x:c r="I311" s="11" t="n">
        <x:v>1</x:v>
      </x:c>
      <x:c r="J311" s="4" t="str">
        <x:v>https://blog.skyairline.com/nogales/</x:v>
      </x:c>
      <x:c r="K311" s="16" t="b">
        <x:v>0</x:v>
      </x:c>
      <x:c r="L311" s="11" t="n">
        <x:v>0</x:v>
      </x:c>
      <x:c r="M311" s="11" t="n">
        <x:v>4</x:v>
      </x:c>
      <x:c r="N311" s="4"/>
      <x:c r="O311" s="4"/>
      <x:c r="P311" s="11" t="n">
        <x:v>8</x:v>
      </x:c>
      <x:c r="Q311" s="11" t="n">
        <x:v>6</x:v>
      </x:c>
      <x:c r="R311" s="11" t="n">
        <x:f>IF(OR(P311="",Q311=""),"",Q311-P311)</x:f>
        <x:v>-2</x:v>
      </x:c>
      <x:c r="S311" s="13" t="n">
        <x:f>IF(OR(P311="",Q311="",P311=0),"",((Q311/30)/(P311/31))-1)</x:f>
        <x:v>-0.22499999999999998</x:v>
      </x:c>
      <x:c r="T311" s="11" t="n">
        <x:v>1120</x:v>
      </x:c>
      <x:c r="U311" s="11" t="n">
        <x:v>1020</x:v>
      </x:c>
      <x:c r="V311" s="14" t="n">
        <x:v>0.0058823529411764705</x:v>
      </x:c>
      <x:c r="W311" s="12" t="n">
        <x:v>9.137254901960784</x:v>
      </x:c>
      <x:c r="X311" s="11" t="n">
        <x:v>7</x:v>
      </x:c>
      <x:c r="Y311" s="11" t="n">
        <x:v>8</x:v>
      </x:c>
      <x:c r="Z311" s="4" t="str">
        <x:v>https://blog.skyairline.com/nogales/</x:v>
      </x:c>
      <x:c r="AA311" s="4" t="str">
        <x:v>https://blog.skyairline.com/nogales/</x:v>
      </x:c>
      <x:c r="AB311" s="4" t="str">
        <x:v>Coincidencia URL</x:v>
      </x:c>
      <x:c r="AC311" s="4" t="str">
        <x:v>Publicado hasta septiembre</x:v>
      </x:c>
      <x:c r="AD311" s="4" t="str">
        <x:v>/nogales/</x:v>
      </x:c>
      <x:c r="AE311" s="4"/>
      <x:c r="AF311" s="16" t="b">
        <x:v>0</x:v>
      </x:c>
    </x:row>
    <x:row r="312" ht="44" customHeight="1">
      <x:c r="A312" s="4" t="n">
        <x:v>5882</x:v>
      </x:c>
      <x:c r="B312" s="4" t="str">
        <x:v>https://blog.skyairline.com/chile-a-cancun-opciones-de-vuelos-y-recomendaciones/</x:v>
      </x:c>
      <x:c r="C312" s="9" t="str">
        <x:v>Chile a Cancún: opciones de vuelos y recomendaciones</x:v>
      </x:c>
      <x:c r="D312" s="17" t="d">
        <x:v>2025-04-06T00:00:00.000Z</x:v>
      </x:c>
      <x:c r="E312" s="17" t="d">
        <x:v>2025-04-06T00:00:00.000Z</x:v>
      </x:c>
      <x:c r="F312" s="4" t="str">
        <x:v>Planificación de Viaje</x:v>
      </x:c>
      <x:c r="G312" s="11" t="n">
        <x:v>1110</x:v>
      </x:c>
      <x:c r="H312" s="11" t="n">
        <x:v>200</x:v>
      </x:c>
      <x:c r="I312" s="11" t="n">
        <x:v>1</x:v>
      </x:c>
      <x:c r="J312" s="4" t="str">
        <x:v>https://blog.skyairline.com/chile-a-cancun-opciones-de-vuelos-y-recomendaciones/</x:v>
      </x:c>
      <x:c r="K312" s="16" t="b">
        <x:v>0</x:v>
      </x:c>
      <x:c r="L312" s="11" t="n">
        <x:v>0</x:v>
      </x:c>
      <x:c r="M312" s="11" t="n">
        <x:v>0</x:v>
      </x:c>
      <x:c r="N312" s="4"/>
      <x:c r="O312" s="4"/>
      <x:c r="P312" s="11" t="n">
        <x:v>7</x:v>
      </x:c>
      <x:c r="Q312" s="11" t="n">
        <x:v>6</x:v>
      </x:c>
      <x:c r="R312" s="11" t="n">
        <x:f>IF(OR(P312="",Q312=""),"",Q312-P312)</x:f>
        <x:v>-1</x:v>
      </x:c>
      <x:c r="S312" s="13" t="n">
        <x:f>IF(OR(P312="",Q312="",P312=0),"",((Q312/30)/(P312/31))-1)</x:f>
        <x:v>-0.11428571428571421</x:v>
      </x:c>
      <x:c r="T312" s="11" t="n">
        <x:v>811</x:v>
      </x:c>
      <x:c r="U312" s="11" t="n">
        <x:v>957</x:v>
      </x:c>
      <x:c r="V312" s="14" t="n">
        <x:v>0.006269592476489028</x:v>
      </x:c>
      <x:c r="W312" s="12" t="n">
        <x:v>8.77324973876698</x:v>
      </x:c>
      <x:c r="X312" s="11" t="n">
        <x:v>8</x:v>
      </x:c>
      <x:c r="Y312" s="11" t="n">
        <x:v>9</x:v>
      </x:c>
      <x:c r="Z312" s="4" t="str">
        <x:v>https://blog.skyairline.com/chile-a-cancun-opciones-de-vuelos-y-recomendaciones/</x:v>
      </x:c>
      <x:c r="AA312" s="4" t="str">
        <x:v>https://blog.skyairline.com/chile-a-cancun-opciones-de-vuelos-y-recomendaciones/</x:v>
      </x:c>
      <x:c r="AB312" s="4" t="str">
        <x:v>Coincidencia URL</x:v>
      </x:c>
      <x:c r="AC312" s="4" t="str">
        <x:v>Publicado hasta septiembre</x:v>
      </x:c>
      <x:c r="AD312" s="4" t="str">
        <x:v>/chile-a-cancun-opciones-de-vuelos-y-recomendaciones/</x:v>
      </x:c>
      <x:c r="AE312" s="4"/>
      <x:c r="AF312" s="16" t="b">
        <x:v>0</x:v>
      </x:c>
    </x:row>
    <x:row r="313" ht="44" customHeight="1">
      <x:c r="A313" s="4" t="n">
        <x:v>5930</x:v>
      </x:c>
      <x:c r="B313" s="4" t="str">
        <x:v>https://blog.skyairline.com/punta-cana-todo-incluido/</x:v>
      </x:c>
      <x:c r="C313" s="9" t="str">
        <x:v>Punta Cana con todo incluído: cómo elegir el mejor resort</x:v>
      </x:c>
      <x:c r="D313" s="17" t="d">
        <x:v>2025-11-20T00:00:00.000Z</x:v>
      </x:c>
      <x:c r="E313" s="17" t="d">
        <x:v>2026-01-19T00:00:00.000Z</x:v>
      </x:c>
      <x:c r="F313" s="4" t="str">
        <x:v>Planificación de Viaje</x:v>
      </x:c>
      <x:c r="G313" s="11" t="n">
        <x:v>1031</x:v>
      </x:c>
      <x:c r="H313" s="11" t="n">
        <x:v>200</x:v>
      </x:c>
      <x:c r="I313" s="11" t="n">
        <x:v>1</x:v>
      </x:c>
      <x:c r="J313" s="4" t="str">
        <x:v>https://blog.skyairline.com/punta-cana-todo-incluido/</x:v>
      </x:c>
      <x:c r="K313" s="16" t="b">
        <x:v>0</x:v>
      </x:c>
      <x:c r="L313" s="11" t="n">
        <x:v>0</x:v>
      </x:c>
      <x:c r="M313" s="11" t="n">
        <x:v>4</x:v>
      </x:c>
      <x:c r="N313" s="4"/>
      <x:c r="O313" s="4"/>
      <x:c r="P313" s="11" t="n">
        <x:v>12</x:v>
      </x:c>
      <x:c r="Q313" s="11" t="n">
        <x:v>6</x:v>
      </x:c>
      <x:c r="R313" s="11" t="n">
        <x:f>IF(OR(P313="",Q313=""),"",Q313-P313)</x:f>
        <x:v>-6</x:v>
      </x:c>
      <x:c r="S313" s="13" t="n">
        <x:f>IF(OR(P313="",Q313="",P313=0),"",((Q313/30)/(P313/31))-1)</x:f>
        <x:v>-0.4833333333333333</x:v>
      </x:c>
      <x:c r="T313" s="11" t="n">
        <x:v>1840</x:v>
      </x:c>
      <x:c r="U313" s="11" t="n">
        <x:v>910</x:v>
      </x:c>
      <x:c r="V313" s="14" t="n">
        <x:v>0.006593406593406593</x:v>
      </x:c>
      <x:c r="W313" s="12" t="n">
        <x:v>10.330769230769231</x:v>
      </x:c>
      <x:c r="X313" s="11" t="n">
        <x:v>5</x:v>
      </x:c>
      <x:c r="Y313" s="11" t="n">
        <x:v>9</x:v>
      </x:c>
      <x:c r="Z313" s="4" t="str">
        <x:v>https://blog.skyairline.com/punta-cana-todo-incluido/</x:v>
      </x:c>
      <x:c r="AA313" s="4" t="str">
        <x:v>https://blog.skyairline.com/punta-cana-todo-incluido/</x:v>
      </x:c>
      <x:c r="AB313" s="4" t="str">
        <x:v>Coincidencia URL</x:v>
      </x:c>
      <x:c r="AC313" s="4" t="str">
        <x:v>Publicado hasta septiembre</x:v>
      </x:c>
      <x:c r="AD313" s="4" t="str">
        <x:v>/punta-cana-todo-incluido/</x:v>
      </x:c>
      <x:c r="AE313" s="4"/>
      <x:c r="AF313" s="16" t="b">
        <x:v>0</x:v>
      </x:c>
    </x:row>
    <x:row r="314" ht="44" customHeight="1">
      <x:c r="A314" s="4" t="n">
        <x:v>6068</x:v>
      </x:c>
      <x:c r="B314" s="4" t="str">
        <x:v>https://blog.skyairline.com/sky-plus-alcanza-el-millon-de-suscriptores/</x:v>
      </x:c>
      <x:c r="C314" s="9" t="str">
        <x:v>SKY Plus alcanza el millón de suscriptores</x:v>
      </x:c>
      <x:c r="D314" s="17" t="d">
        <x:v>2025-05-05T00:00:00.000Z</x:v>
      </x:c>
      <x:c r="E314" s="17" t="d">
        <x:v>2025-05-05T00:00:00.000Z</x:v>
      </x:c>
      <x:c r="F314" s="4" t="str">
        <x:v>Noticias</x:v>
      </x:c>
      <x:c r="G314" s="11" t="n">
        <x:v>824</x:v>
      </x:c>
      <x:c r="H314" s="11" t="n">
        <x:v>200</x:v>
      </x:c>
      <x:c r="I314" s="11" t="n">
        <x:v>1</x:v>
      </x:c>
      <x:c r="J314" s="4" t="str">
        <x:v>https://blog.skyairline.com/sky-plus-alcanza-el-millon-de-suscriptores/</x:v>
      </x:c>
      <x:c r="K314" s="16" t="b">
        <x:v>0</x:v>
      </x:c>
      <x:c r="L314" s="11" t="n">
        <x:v>0</x:v>
      </x:c>
      <x:c r="M314" s="11" t="n">
        <x:v>0</x:v>
      </x:c>
      <x:c r="N314" s="4"/>
      <x:c r="O314" s="4"/>
      <x:c r="P314" s="11" t="n">
        <x:v>7</x:v>
      </x:c>
      <x:c r="Q314" s="11" t="n">
        <x:v>6</x:v>
      </x:c>
      <x:c r="R314" s="11" t="n">
        <x:f>IF(OR(P314="",Q314=""),"",Q314-P314)</x:f>
        <x:v>-1</x:v>
      </x:c>
      <x:c r="S314" s="13" t="n">
        <x:f>IF(OR(P314="",Q314="",P314=0),"",((Q314/30)/(P314/31))-1)</x:f>
        <x:v>-0.11428571428571421</x:v>
      </x:c>
      <x:c r="T314" s="11" t="n">
        <x:v>2703</x:v>
      </x:c>
      <x:c r="U314" s="11" t="n">
        <x:v>1169</x:v>
      </x:c>
      <x:c r="V314" s="14" t="n">
        <x:v>0.0051325919589392645</x:v>
      </x:c>
      <x:c r="W314" s="12" t="n">
        <x:v>9.48502994011976</x:v>
      </x:c>
      <x:c r="X314" s="11" t="n">
        <x:v>8</x:v>
      </x:c>
      <x:c r="Y314" s="11" t="n">
        <x:v>10</x:v>
      </x:c>
      <x:c r="Z314" s="4" t="str">
        <x:v>https://blog.skyairline.com/sky-plus-alcanza-el-millon-de-suscriptores/</x:v>
      </x:c>
      <x:c r="AA314" s="4" t="str">
        <x:v>https://blog.skyairline.com/sky-plus-alcanza-el-millon-de-suscriptores/</x:v>
      </x:c>
      <x:c r="AB314" s="4" t="str">
        <x:v>Coincidencia URL</x:v>
      </x:c>
      <x:c r="AC314" s="4" t="str">
        <x:v>Publicado hasta septiembre</x:v>
      </x:c>
      <x:c r="AD314" s="4" t="str">
        <x:v>/sky-plus-alcanza-el-millon-de-suscriptores/</x:v>
      </x:c>
      <x:c r="AE314" s="4"/>
      <x:c r="AF314" s="16" t="b">
        <x:v>0</x:v>
      </x:c>
    </x:row>
    <x:row r="315" ht="44" customHeight="1">
      <x:c r="A315" s="4" t="n">
        <x:v>6115</x:v>
      </x:c>
      <x:c r="B315" s="4" t="str">
        <x:v>https://blog.skyairline.com/sargazo-en-punta-cana/</x:v>
      </x:c>
      <x:c r="C315" s="9" t="str">
        <x:v>Sargazo en Punta Cana: ¿cómo afecta a los viajeros?</x:v>
      </x:c>
      <x:c r="D315" s="17" t="d">
        <x:v>2025-05-24T00:00:00.000Z</x:v>
      </x:c>
      <x:c r="E315" s="17" t="d">
        <x:v>2025-05-24T00:00:00.000Z</x:v>
      </x:c>
      <x:c r="F315" s="4" t="str">
        <x:v>Planificación de Viaje</x:v>
      </x:c>
      <x:c r="G315" s="11" t="n">
        <x:v>1178</x:v>
      </x:c>
      <x:c r="H315" s="11" t="n">
        <x:v>200</x:v>
      </x:c>
      <x:c r="I315" s="11" t="n">
        <x:v>1</x:v>
      </x:c>
      <x:c r="J315" s="4" t="str">
        <x:v>https://blog.skyairline.com/sargazo-en-punta-cana/</x:v>
      </x:c>
      <x:c r="K315" s="16" t="b">
        <x:v>0</x:v>
      </x:c>
      <x:c r="L315" s="11" t="n">
        <x:v>0</x:v>
      </x:c>
      <x:c r="M315" s="11" t="n">
        <x:v>0</x:v>
      </x:c>
      <x:c r="N315" s="4"/>
      <x:c r="O315" s="4"/>
      <x:c r="P315" s="11" t="n">
        <x:v>17</x:v>
      </x:c>
      <x:c r="Q315" s="11" t="n">
        <x:v>6</x:v>
      </x:c>
      <x:c r="R315" s="11" t="n">
        <x:f>IF(OR(P315="",Q315=""),"",Q315-P315)</x:f>
        <x:v>-11</x:v>
      </x:c>
      <x:c r="S315" s="13" t="n">
        <x:f>IF(OR(P315="",Q315="",P315=0),"",((Q315/30)/(P315/31))-1)</x:f>
        <x:v>-0.6352941176470588</x:v>
      </x:c>
      <x:c r="T315" s="11" t="n">
        <x:v>4964</x:v>
      </x:c>
      <x:c r="U315" s="11" t="n">
        <x:v>3275</x:v>
      </x:c>
      <x:c r="V315" s="14" t="n">
        <x:v>0.00183206106870229</x:v>
      </x:c>
      <x:c r="W315" s="12" t="n">
        <x:v>8.646412213740458</x:v>
      </x:c>
      <x:c r="X315" s="11" t="n">
        <x:v>17</x:v>
      </x:c>
      <x:c r="Y315" s="11" t="n">
        <x:v>16</x:v>
      </x:c>
      <x:c r="Z315" s="4" t="str">
        <x:v>https://blog.skyairline.com/sargazo-en-punta-cana/</x:v>
      </x:c>
      <x:c r="AA315" s="4" t="str">
        <x:v>https://blog.skyairline.com/sargazo-en-punta-cana/</x:v>
      </x:c>
      <x:c r="AB315" s="4" t="str">
        <x:v>Coincidencia URL</x:v>
      </x:c>
      <x:c r="AC315" s="4" t="str">
        <x:v>Publicado hasta septiembre</x:v>
      </x:c>
      <x:c r="AD315" s="4" t="str">
        <x:v>/sargazo-en-punta-cana/</x:v>
      </x:c>
      <x:c r="AE315" s="4"/>
      <x:c r="AF315" s="16" t="b">
        <x:v>0</x:v>
      </x:c>
    </x:row>
    <x:row r="316" ht="44" customHeight="1">
      <x:c r="A316" s="4" t="n">
        <x:v>6300</x:v>
      </x:c>
      <x:c r="B316" s="4" t="str">
        <x:v>https://blog.skyairline.com/sky-celebra-24-anos-de-historia/</x:v>
      </x:c>
      <x:c r="C316" s="9" t="str">
        <x:v>SKY celebra 24 años de historia</x:v>
      </x:c>
      <x:c r="D316" s="17" t="d">
        <x:v>2025-07-07T00:00:00.000Z</x:v>
      </x:c>
      <x:c r="E316" s="17" t="d">
        <x:v>2025-07-07T00:00:00.000Z</x:v>
      </x:c>
      <x:c r="F316" s="4" t="str">
        <x:v>Noticias</x:v>
      </x:c>
      <x:c r="G316" s="11" t="n">
        <x:v>365</x:v>
      </x:c>
      <x:c r="H316" s="11" t="n">
        <x:v>200</x:v>
      </x:c>
      <x:c r="I316" s="11" t="n">
        <x:v>1</x:v>
      </x:c>
      <x:c r="J316" s="4" t="str">
        <x:v>https://blog.skyairline.com/sky-celebra-24-anos-de-historia/</x:v>
      </x:c>
      <x:c r="K316" s="16" t="b">
        <x:v>0</x:v>
      </x:c>
      <x:c r="L316" s="11" t="n">
        <x:v>0</x:v>
      </x:c>
      <x:c r="M316" s="11" t="n">
        <x:v>0</x:v>
      </x:c>
      <x:c r="N316" s="4"/>
      <x:c r="O316" s="4"/>
      <x:c r="P316" s="11" t="n">
        <x:v>4</x:v>
      </x:c>
      <x:c r="Q316" s="11" t="n">
        <x:v>6</x:v>
      </x:c>
      <x:c r="R316" s="11" t="n">
        <x:f>IF(OR(P316="",Q316=""),"",Q316-P316)</x:f>
        <x:v>2</x:v>
      </x:c>
      <x:c r="S316" s="13" t="n">
        <x:f>IF(OR(P316="",Q316="",P316=0),"",((Q316/30)/(P316/31))-1)</x:f>
        <x:v>0.55</x:v>
      </x:c>
      <x:c r="T316" s="11" t="n">
        <x:v>613</x:v>
      </x:c>
      <x:c r="U316" s="11" t="n">
        <x:v>495</x:v>
      </x:c>
      <x:c r="V316" s="14" t="n">
        <x:v>0.012121212121212121</x:v>
      </x:c>
      <x:c r="W316" s="12" t="n">
        <x:v>7.523232323232323</x:v>
      </x:c>
      <x:c r="X316" s="11" t="n">
        <x:v>5</x:v>
      </x:c>
      <x:c r="Y316" s="11" t="n">
        <x:v>5</x:v>
      </x:c>
      <x:c r="Z316" s="4" t="str">
        <x:v>https://blog.skyairline.com/sky-celebra-24-anos-de-historia/</x:v>
      </x:c>
      <x:c r="AA316" s="4" t="str">
        <x:v>https://blog.skyairline.com/sky-celebra-24-anos-de-historia/</x:v>
      </x:c>
      <x:c r="AB316" s="4" t="str">
        <x:v>Coincidencia URL</x:v>
      </x:c>
      <x:c r="AC316" s="4" t="str">
        <x:v>Publicado hasta septiembre</x:v>
      </x:c>
      <x:c r="AD316" s="4" t="str">
        <x:v>/sky-celebra-24-anos-de-historia/</x:v>
      </x:c>
      <x:c r="AE316" s="4"/>
      <x:c r="AF316" s="16" t="b">
        <x:v>0</x:v>
      </x:c>
    </x:row>
    <x:row r="317" ht="44" customHeight="1">
      <x:c r="A317" s="4" t="n">
        <x:v>6318</x:v>
      </x:c>
      <x:c r="B317" s="4" t="str">
        <x:v>https://blog.skyairline.com/relieve-zona-sur-de-chile/</x:v>
      </x:c>
      <x:c r="C317" s="9" t="str">
        <x:v>¿Cómo es el relieve de la zona sur de Chile y por qué es tan especial?</x:v>
      </x:c>
      <x:c r="D317" s="17" t="d">
        <x:v>2025-07-12T00:00:00.000Z</x:v>
      </x:c>
      <x:c r="E317" s="17" t="d">
        <x:v>2025-07-12T00:00:00.000Z</x:v>
      </x:c>
      <x:c r="F317" s="4" t="str">
        <x:v>Destinos</x:v>
      </x:c>
      <x:c r="G317" s="11" t="n">
        <x:v>959</x:v>
      </x:c>
      <x:c r="H317" s="11" t="n">
        <x:v>200</x:v>
      </x:c>
      <x:c r="I317" s="11" t="n">
        <x:v>1</x:v>
      </x:c>
      <x:c r="J317" s="4" t="str">
        <x:v>https://blog.skyairline.com/relieve-zona-sur-de-chile/</x:v>
      </x:c>
      <x:c r="K317" s="16" t="b">
        <x:v>0</x:v>
      </x:c>
      <x:c r="L317" s="11" t="n">
        <x:v>0</x:v>
      </x:c>
      <x:c r="M317" s="11" t="n">
        <x:v>2</x:v>
      </x:c>
      <x:c r="N317" s="4"/>
      <x:c r="O317" s="4"/>
      <x:c r="P317" s="11" t="n">
        <x:v>7</x:v>
      </x:c>
      <x:c r="Q317" s="11" t="n">
        <x:v>6</x:v>
      </x:c>
      <x:c r="R317" s="11" t="n">
        <x:f>IF(OR(P317="",Q317=""),"",Q317-P317)</x:f>
        <x:v>-1</x:v>
      </x:c>
      <x:c r="S317" s="13" t="n">
        <x:f>IF(OR(P317="",Q317="",P317=0),"",((Q317/30)/(P317/31))-1)</x:f>
        <x:v>-0.11428571428571421</x:v>
      </x:c>
      <x:c r="T317" s="11" t="n">
        <x:v>908</x:v>
      </x:c>
      <x:c r="U317" s="11" t="n">
        <x:v>861</x:v>
      </x:c>
      <x:c r="V317" s="14" t="n">
        <x:v>0.006968641114982578</x:v>
      </x:c>
      <x:c r="W317" s="12" t="n">
        <x:v>9.653890824622533</x:v>
      </x:c>
      <x:c r="X317" s="11" t="n">
        <x:v>7</x:v>
      </x:c>
      <x:c r="Y317" s="11" t="n">
        <x:v>7</x:v>
      </x:c>
      <x:c r="Z317" s="4" t="str">
        <x:v>https://blog.skyairline.com/relieve-zona-sur-de-chile/</x:v>
      </x:c>
      <x:c r="AA317" s="4" t="str">
        <x:v>https://blog.skyairline.com/relieve-zona-sur-de-chile/</x:v>
      </x:c>
      <x:c r="AB317" s="4" t="str">
        <x:v>Coincidencia URL</x:v>
      </x:c>
      <x:c r="AC317" s="4" t="str">
        <x:v>Publicado hasta septiembre</x:v>
      </x:c>
      <x:c r="AD317" s="4" t="str">
        <x:v>/relieve-zona-sur-de-chile/</x:v>
      </x:c>
      <x:c r="AE317" s="4"/>
      <x:c r="AF317" s="16" t="b">
        <x:v>0</x:v>
      </x:c>
    </x:row>
    <x:row r="318" ht="44" customHeight="1">
      <x:c r="A318" s="4" t="n">
        <x:v>6346</x:v>
      </x:c>
      <x:c r="B318" s="4" t="str">
        <x:v>https://blog.skyairline.com/caribe-occidental-paises/</x:v>
      </x:c>
      <x:c r="C318" s="9" t="str">
        <x:v>¿Sabías qué países forman el Caribe occidental? Descúbrelos aquí</x:v>
      </x:c>
      <x:c r="D318" s="17" t="d">
        <x:v>2025-07-20T00:00:00.000Z</x:v>
      </x:c>
      <x:c r="E318" s="17" t="d">
        <x:v>2025-07-20T00:00:00.000Z</x:v>
      </x:c>
      <x:c r="F318" s="4" t="str">
        <x:v>Destinos</x:v>
      </x:c>
      <x:c r="G318" s="11" t="n">
        <x:v>1259</x:v>
      </x:c>
      <x:c r="H318" s="11" t="n">
        <x:v>200</x:v>
      </x:c>
      <x:c r="I318" s="11" t="n">
        <x:v>1</x:v>
      </x:c>
      <x:c r="J318" s="4" t="str">
        <x:v>https://blog.skyairline.com/caribe-occidental-paises/</x:v>
      </x:c>
      <x:c r="K318" s="16" t="b">
        <x:v>0</x:v>
      </x:c>
      <x:c r="L318" s="11" t="n">
        <x:v>0</x:v>
      </x:c>
      <x:c r="M318" s="11" t="n">
        <x:v>2</x:v>
      </x:c>
      <x:c r="N318" s="4"/>
      <x:c r="O318" s="4"/>
      <x:c r="P318" s="11" t="n">
        <x:v>6</x:v>
      </x:c>
      <x:c r="Q318" s="11" t="n">
        <x:v>6</x:v>
      </x:c>
      <x:c r="R318" s="11" t="n">
        <x:f>IF(OR(P318="",Q318=""),"",Q318-P318)</x:f>
        <x:v>0</x:v>
      </x:c>
      <x:c r="S318" s="13" t="n">
        <x:f>IF(OR(P318="",Q318="",P318=0),"",((Q318/30)/(P318/31))-1)</x:f>
        <x:v>0.03333333333333344</x:v>
      </x:c>
      <x:c r="T318" s="11" t="n">
        <x:v>3703</x:v>
      </x:c>
      <x:c r="U318" s="11" t="n">
        <x:v>2358</x:v>
      </x:c>
      <x:c r="V318" s="14" t="n">
        <x:v>0.002544529262086514</x:v>
      </x:c>
      <x:c r="W318" s="12" t="n">
        <x:v>9.725614927905005</x:v>
      </x:c>
      <x:c r="X318" s="11" t="n">
        <x:v>9</x:v>
      </x:c>
      <x:c r="Y318" s="11" t="n">
        <x:v>8</x:v>
      </x:c>
      <x:c r="Z318" s="4" t="str">
        <x:v>https://blog.skyairline.com/caribe-occidental-paises/</x:v>
      </x:c>
      <x:c r="AA318" s="4" t="str">
        <x:v>https://blog.skyairline.com/caribe-occidental-paises/</x:v>
      </x:c>
      <x:c r="AB318" s="4" t="str">
        <x:v>Coincidencia URL</x:v>
      </x:c>
      <x:c r="AC318" s="4" t="str">
        <x:v>Publicado hasta septiembre</x:v>
      </x:c>
      <x:c r="AD318" s="4" t="str">
        <x:v>/caribe-occidental-paises/</x:v>
      </x:c>
      <x:c r="AE318" s="4"/>
      <x:c r="AF318" s="16" t="b">
        <x:v>0</x:v>
      </x:c>
    </x:row>
    <x:row r="319" ht="44" customHeight="1">
      <x:c r="A319" s="4" t="n">
        <x:v>6706</x:v>
      </x:c>
      <x:c r="B319" s="4" t="str">
        <x:v>https://blog.skyairline.com/vida-nocturna-en-porto-alegre/</x:v>
      </x:c>
      <x:c r="C319" s="9" t="str">
        <x:v>Vida nocturna en Porto Alegre: ¿qué esperar?</x:v>
      </x:c>
      <x:c r="D319" s="17" t="d">
        <x:v>2023-04-28T00:00:00.000Z</x:v>
      </x:c>
      <x:c r="E319" s="17" t="d">
        <x:v>2023-04-28T00:00:00.000Z</x:v>
      </x:c>
      <x:c r="F319" s="4" t="str">
        <x:v>Destinos</x:v>
      </x:c>
      <x:c r="G319" s="11" t="n">
        <x:v>1066</x:v>
      </x:c>
      <x:c r="H319" s="11" t="n">
        <x:v>200</x:v>
      </x:c>
      <x:c r="I319" s="11" t="n">
        <x:v>1</x:v>
      </x:c>
      <x:c r="J319" s="4" t="str">
        <x:v>https://blog.skyairline.com/vida-nocturna-en-porto-alegre/</x:v>
      </x:c>
      <x:c r="K319" s="16" t="b">
        <x:v>0</x:v>
      </x:c>
      <x:c r="L319" s="11" t="n">
        <x:v>0</x:v>
      </x:c>
      <x:c r="M319" s="11" t="n">
        <x:v>3</x:v>
      </x:c>
      <x:c r="N319" s="4"/>
      <x:c r="O319" s="4"/>
      <x:c r="P319" s="11" t="n">
        <x:v>4</x:v>
      </x:c>
      <x:c r="Q319" s="11" t="n">
        <x:v>6</x:v>
      </x:c>
      <x:c r="R319" s="11" t="n">
        <x:f>IF(OR(P319="",Q319=""),"",Q319-P319)</x:f>
        <x:v>2</x:v>
      </x:c>
      <x:c r="S319" s="13" t="n">
        <x:f>IF(OR(P319="",Q319="",P319=0),"",((Q319/30)/(P319/31))-1)</x:f>
        <x:v>0.55</x:v>
      </x:c>
      <x:c r="T319" s="11" t="n">
        <x:v>275</x:v>
      </x:c>
      <x:c r="U319" s="11" t="n">
        <x:v>198</x:v>
      </x:c>
      <x:c r="V319" s="14" t="n">
        <x:v>0.030303030303030304</x:v>
      </x:c>
      <x:c r="W319" s="12" t="n">
        <x:v>8.333333333333332</x:v>
      </x:c>
      <x:c r="X319" s="11" t="n">
        <x:v>6</x:v>
      </x:c>
      <x:c r="Y319" s="11" t="n">
        <x:v>7</x:v>
      </x:c>
      <x:c r="Z319" s="4" t="str">
        <x:v>https://blog.skyairline.com/vida-nocturna-en-porto-alegre/</x:v>
      </x:c>
      <x:c r="AA319" s="4" t="str">
        <x:v>https://blog.skyairline.com/vida-nocturna-en-porto-alegre/</x:v>
      </x:c>
      <x:c r="AB319" s="4" t="str">
        <x:v>Coincidencia URL</x:v>
      </x:c>
      <x:c r="AC319" s="4" t="str">
        <x:v>Publicado hasta septiembre</x:v>
      </x:c>
      <x:c r="AD319" s="4" t="str">
        <x:v>/vida-nocturna-en-porto-alegre/</x:v>
      </x:c>
      <x:c r="AE319" s="4"/>
      <x:c r="AF319" s="16" t="b">
        <x:v>0</x:v>
      </x:c>
    </x:row>
    <x:row r="320" ht="44" customHeight="1">
      <x:c r="A320" s="4" t="n">
        <x:v>7110</x:v>
      </x:c>
      <x:c r="B320" s="4" t="str">
        <x:v>https://blog.skyairline.com/antofagasta-vs-iquique/</x:v>
      </x:c>
      <x:c r="C320" s="9" t="str">
        <x:v>Antofagasta vs. Iquique ¿Cuál es el mejor destino en el norte de Chile?</x:v>
      </x:c>
      <x:c r="D320" s="17" t="d">
        <x:v>2025-09-29T00:00:00.000Z</x:v>
      </x:c>
      <x:c r="E320" s="17" t="d">
        <x:v>2025-09-29T00:00:00.000Z</x:v>
      </x:c>
      <x:c r="F320" s="4" t="str">
        <x:v>Destinos</x:v>
      </x:c>
      <x:c r="G320" s="11" t="n">
        <x:v>1069</x:v>
      </x:c>
      <x:c r="H320" s="11" t="n">
        <x:v>200</x:v>
      </x:c>
      <x:c r="I320" s="11" t="n">
        <x:v>1</x:v>
      </x:c>
      <x:c r="J320" s="4" t="str">
        <x:v>https://blog.skyairline.com/antofagasta-vs-iquique/</x:v>
      </x:c>
      <x:c r="K320" s="16" t="b">
        <x:v>0</x:v>
      </x:c>
      <x:c r="L320" s="11" t="n">
        <x:v>0</x:v>
      </x:c>
      <x:c r="M320" s="11" t="n">
        <x:v>4</x:v>
      </x:c>
      <x:c r="N320" s="4"/>
      <x:c r="O320" s="4"/>
      <x:c r="P320" s="11" t="n">
        <x:v>7</x:v>
      </x:c>
      <x:c r="Q320" s="11" t="n">
        <x:v>6</x:v>
      </x:c>
      <x:c r="R320" s="11" t="n">
        <x:f>IF(OR(P320="",Q320=""),"",Q320-P320)</x:f>
        <x:v>-1</x:v>
      </x:c>
      <x:c r="S320" s="13" t="n">
        <x:f>IF(OR(P320="",Q320="",P320=0),"",((Q320/30)/(P320/31))-1)</x:f>
        <x:v>-0.11428571428571421</x:v>
      </x:c>
      <x:c r="T320" s="11" t="n">
        <x:v>1401</x:v>
      </x:c>
      <x:c r="U320" s="11" t="n">
        <x:v>775</x:v>
      </x:c>
      <x:c r="V320" s="14" t="n">
        <x:v>0.007741935483870968</x:v>
      </x:c>
      <x:c r="W320" s="12" t="n">
        <x:v>8.340645161290322</x:v>
      </x:c>
      <x:c r="X320" s="11" t="n">
        <x:v>9</x:v>
      </x:c>
      <x:c r="Y320" s="11" t="n">
        <x:v>12</x:v>
      </x:c>
      <x:c r="Z320" s="4" t="str">
        <x:v>https://blog.skyairline.com/antofagasta-vs-iquique/</x:v>
      </x:c>
      <x:c r="AA320" s="4" t="str">
        <x:v>https://blog.skyairline.com/antofagasta-vs-iquique/</x:v>
      </x:c>
      <x:c r="AB320" s="4" t="str">
        <x:v>Coincidencia URL</x:v>
      </x:c>
      <x:c r="AC320" s="4" t="str">
        <x:v>Publicado hasta septiembre</x:v>
      </x:c>
      <x:c r="AD320" s="4" t="str">
        <x:v>/antofagasta-vs-iquique/</x:v>
      </x:c>
      <x:c r="AE320" s="4"/>
      <x:c r="AF320" s="16" t="b">
        <x:v>0</x:v>
      </x:c>
    </x:row>
    <x:row r="321" ht="44" customHeight="1">
      <x:c r="A321" s="4" t="n">
        <x:v>7405</x:v>
      </x:c>
      <x:c r="B321" s="4" t="str">
        <x:v>https://blog.skyairline.com/puerto-fuy/</x:v>
      </x:c>
      <x:c r="C321" s="9" t="str">
        <x:v>Puerto Fuy, un destino escondido en el corazón de los Andes</x:v>
      </x:c>
      <x:c r="D321" s="17" t="d">
        <x:v>2025-11-02T00:00:00.000Z</x:v>
      </x:c>
      <x:c r="E321" s="17" t="d">
        <x:v>2025-10-31T00:00:00.000Z</x:v>
      </x:c>
      <x:c r="F321" s="4" t="str">
        <x:v>Destinos</x:v>
      </x:c>
      <x:c r="G321" s="11" t="n">
        <x:v>1201</x:v>
      </x:c>
      <x:c r="H321" s="11" t="n">
        <x:v>200</x:v>
      </x:c>
      <x:c r="I321" s="11" t="n">
        <x:v>1</x:v>
      </x:c>
      <x:c r="J321" s="4" t="str">
        <x:v>https://blog.skyairline.com/puerto-fuy/</x:v>
      </x:c>
      <x:c r="K321" s="16" t="b">
        <x:v>0</x:v>
      </x:c>
      <x:c r="L321" s="11" t="n">
        <x:v>0</x:v>
      </x:c>
      <x:c r="M321" s="11" t="n">
        <x:v>1</x:v>
      </x:c>
      <x:c r="N321" s="4"/>
      <x:c r="O321" s="4"/>
      <x:c r="P321" s="11" t="n">
        <x:v>3</x:v>
      </x:c>
      <x:c r="Q321" s="11" t="n">
        <x:v>6</x:v>
      </x:c>
      <x:c r="R321" s="11" t="n">
        <x:f>IF(OR(P321="",Q321=""),"",Q321-P321)</x:f>
        <x:v>3</x:v>
      </x:c>
      <x:c r="S321" s="13" t="n">
        <x:f>IF(OR(P321="",Q321="",P321=0),"",((Q321/30)/(P321/31))-1)</x:f>
        <x:v>1.0666666666666669</x:v>
      </x:c>
      <x:c r="T321" s="11" t="n">
        <x:v>2201</x:v>
      </x:c>
      <x:c r="U321" s="11" t="n">
        <x:v>1660</x:v>
      </x:c>
      <x:c r="V321" s="14" t="n">
        <x:v>0.0036144578313253013</x:v>
      </x:c>
      <x:c r="W321" s="12" t="n">
        <x:v>9.481927710843374</x:v>
      </x:c>
      <x:c r="X321" s="11" t="n">
        <x:v>7</x:v>
      </x:c>
      <x:c r="Y321" s="11" t="n">
        <x:v>6</x:v>
      </x:c>
      <x:c r="Z321" s="4" t="str">
        <x:v>https://blog.skyairline.com/puerto-fuy/</x:v>
      </x:c>
      <x:c r="AA321" s="4" t="str">
        <x:v>https://blog.skyairline.com/puerto-fuy/</x:v>
      </x:c>
      <x:c r="AB321" s="4" t="str">
        <x:v>Coincidencia URL</x:v>
      </x:c>
      <x:c r="AC321" s="4" t="str">
        <x:v>Publicado hasta septiembre</x:v>
      </x:c>
      <x:c r="AD321" s="4" t="str">
        <x:v>/puerto-fuy/</x:v>
      </x:c>
      <x:c r="AE321" s="4"/>
      <x:c r="AF321" s="16" t="b">
        <x:v>0</x:v>
      </x:c>
    </x:row>
    <x:row r="322" ht="44" customHeight="1">
      <x:c r="A322" s="4" t="n">
        <x:v>7517</x:v>
      </x:c>
      <x:c r="B322" s="4" t="str">
        <x:v>https://blog.skyairline.com/bahia-brasil/</x:v>
      </x:c>
      <x:c r="C322" s="9" t="str">
        <x:v>Qué comer en Bahía, Brasil: guía para viajeros</x:v>
      </x:c>
      <x:c r="D322" s="17" t="d">
        <x:v>2025-11-10T00:00:00.000Z</x:v>
      </x:c>
      <x:c r="E322" s="17" t="d">
        <x:v>2025-11-07T00:00:00.000Z</x:v>
      </x:c>
      <x:c r="F322" s="4" t="str">
        <x:v>Destinos</x:v>
      </x:c>
      <x:c r="G322" s="11" t="n">
        <x:v>1025</x:v>
      </x:c>
      <x:c r="H322" s="11" t="n">
        <x:v>200</x:v>
      </x:c>
      <x:c r="I322" s="11" t="n">
        <x:v>1</x:v>
      </x:c>
      <x:c r="J322" s="4" t="str">
        <x:v>https://blog.skyairline.com/bahia-brasil/</x:v>
      </x:c>
      <x:c r="K322" s="16" t="b">
        <x:v>0</x:v>
      </x:c>
      <x:c r="L322" s="11" t="n">
        <x:v>0</x:v>
      </x:c>
      <x:c r="M322" s="11" t="n">
        <x:v>2</x:v>
      </x:c>
      <x:c r="N322" s="4"/>
      <x:c r="O322" s="4"/>
      <x:c r="P322" s="11" t="n">
        <x:v>4</x:v>
      </x:c>
      <x:c r="Q322" s="11" t="n">
        <x:v>6</x:v>
      </x:c>
      <x:c r="R322" s="11" t="n">
        <x:f>IF(OR(P322="",Q322=""),"",Q322-P322)</x:f>
        <x:v>2</x:v>
      </x:c>
      <x:c r="S322" s="13" t="n">
        <x:f>IF(OR(P322="",Q322="",P322=0),"",((Q322/30)/(P322/31))-1)</x:f>
        <x:v>0.55</x:v>
      </x:c>
      <x:c r="T322" s="11" t="n">
        <x:v>952</x:v>
      </x:c>
      <x:c r="U322" s="11" t="n">
        <x:v>715</x:v>
      </x:c>
      <x:c r="V322" s="14" t="n">
        <x:v>0.008391608391608392</x:v>
      </x:c>
      <x:c r="W322" s="12" t="n">
        <x:v>8.283916083916083</x:v>
      </x:c>
      <x:c r="X322" s="11" t="n">
        <x:v>5</x:v>
      </x:c>
      <x:c r="Y322" s="11" t="n">
        <x:v>9</x:v>
      </x:c>
      <x:c r="Z322" s="4" t="str">
        <x:v>https://blog.skyairline.com/bahia-brasil/</x:v>
      </x:c>
      <x:c r="AA322" s="4" t="str">
        <x:v>https://blog.skyairline.com/bahia-brasil/</x:v>
      </x:c>
      <x:c r="AB322" s="4" t="str">
        <x:v>Coincidencia URL</x:v>
      </x:c>
      <x:c r="AC322" s="4" t="str">
        <x:v>Publicado hasta septiembre</x:v>
      </x:c>
      <x:c r="AD322" s="4" t="str">
        <x:v>/bahia-brasil/</x:v>
      </x:c>
      <x:c r="AE322" s="4"/>
      <x:c r="AF322" s="16" t="b">
        <x:v>0</x:v>
      </x:c>
    </x:row>
    <x:row r="323" ht="44" customHeight="1">
      <x:c r="A323" s="4" t="n">
        <x:v>7854</x:v>
      </x:c>
      <x:c r="B323" s="4" t="str">
        <x:v>https://blog.skyairline.com/mano-del-desierto/</x:v>
      </x:c>
      <x:c r="C323" s="9" t="str">
        <x:v>Mano del Desierto: Una escultura que debes visitar al menos una vez en la vida</x:v>
      </x:c>
      <x:c r="D323" s="17" t="d">
        <x:v>2025-12-17T00:00:00.000Z</x:v>
      </x:c>
      <x:c r="E323" s="17" t="d">
        <x:v>2025-12-04T00:00:00.000Z</x:v>
      </x:c>
      <x:c r="F323" s="4" t="str">
        <x:v>Destinos</x:v>
      </x:c>
      <x:c r="G323" s="11" t="n">
        <x:v>1009</x:v>
      </x:c>
      <x:c r="H323" s="11" t="n">
        <x:v>200</x:v>
      </x:c>
      <x:c r="I323" s="11" t="n">
        <x:v>1</x:v>
      </x:c>
      <x:c r="J323" s="4" t="str">
        <x:v>https://blog.skyairline.com/mano-del-desierto/</x:v>
      </x:c>
      <x:c r="K323" s="16" t="b">
        <x:v>0</x:v>
      </x:c>
      <x:c r="L323" s="11" t="n">
        <x:v>0</x:v>
      </x:c>
      <x:c r="M323" s="11" t="n">
        <x:v>0</x:v>
      </x:c>
      <x:c r="N323" s="4"/>
      <x:c r="O323" s="4"/>
      <x:c r="P323" s="11" t="n">
        <x:v>8</x:v>
      </x:c>
      <x:c r="Q323" s="11" t="n">
        <x:v>6</x:v>
      </x:c>
      <x:c r="R323" s="11" t="n">
        <x:f>IF(OR(P323="",Q323=""),"",Q323-P323)</x:f>
        <x:v>-2</x:v>
      </x:c>
      <x:c r="S323" s="13" t="n">
        <x:f>IF(OR(P323="",Q323="",P323=0),"",((Q323/30)/(P323/31))-1)</x:f>
        <x:v>-0.22499999999999998</x:v>
      </x:c>
      <x:c r="T323" s="11" t="n">
        <x:v>2567</x:v>
      </x:c>
      <x:c r="U323" s="11" t="n">
        <x:v>1887</x:v>
      </x:c>
      <x:c r="V323" s="14" t="n">
        <x:v>0.003179650238473768</x:v>
      </x:c>
      <x:c r="W323" s="12" t="n">
        <x:v>7.4827768945416</x:v>
      </x:c>
      <x:c r="X323" s="11" t="n">
        <x:v>12</x:v>
      </x:c>
      <x:c r="Y323" s="11" t="n">
        <x:v>16</x:v>
      </x:c>
      <x:c r="Z323" s="4" t="str">
        <x:v>https://blog.skyairline.com/mano-del-desierto/</x:v>
      </x:c>
      <x:c r="AA323" s="4" t="str">
        <x:v>https://blog.skyairline.com/mano-del-desierto/</x:v>
      </x:c>
      <x:c r="AB323" s="4" t="str">
        <x:v>Coincidencia URL</x:v>
      </x:c>
      <x:c r="AC323" s="4" t="str">
        <x:v>Publicado hasta septiembre</x:v>
      </x:c>
      <x:c r="AD323" s="4" t="str">
        <x:v>/mano-del-desierto/</x:v>
      </x:c>
      <x:c r="AE323" s="4"/>
      <x:c r="AF323" s="16" t="b">
        <x:v>0</x:v>
      </x:c>
    </x:row>
    <x:row r="324" ht="44" customHeight="1">
      <x:c r="A324" s="4" t="n">
        <x:v>7880</x:v>
      </x:c>
      <x:c r="B324" s="4" t="str">
        <x:v>https://blog.skyairline.com/reserva-nacional-de-tambopata/</x:v>
      </x:c>
      <x:c r="C324" s="9" t="str">
        <x:v>Visita a la Reserva Nacional de Tambopata: guía para planear tu viaje desde Perú</x:v>
      </x:c>
      <x:c r="D324" s="17" t="d">
        <x:v>2025-12-22T00:00:00.000Z</x:v>
      </x:c>
      <x:c r="E324" s="17" t="d">
        <x:v>2025-12-05T00:00:00.000Z</x:v>
      </x:c>
      <x:c r="F324" s="4" t="str">
        <x:v>Destinos</x:v>
      </x:c>
      <x:c r="G324" s="11" t="n">
        <x:v>1015</x:v>
      </x:c>
      <x:c r="H324" s="11" t="n">
        <x:v>200</x:v>
      </x:c>
      <x:c r="I324" s="11" t="n">
        <x:v>1</x:v>
      </x:c>
      <x:c r="J324" s="4" t="str">
        <x:v>https://blog.skyairline.com/reserva-nacional-de-tambopata/</x:v>
      </x:c>
      <x:c r="K324" s="16" t="b">
        <x:v>0</x:v>
      </x:c>
      <x:c r="L324" s="11" t="n">
        <x:v>0</x:v>
      </x:c>
      <x:c r="M324" s="11" t="n">
        <x:v>0</x:v>
      </x:c>
      <x:c r="N324" s="4"/>
      <x:c r="O324" s="4"/>
      <x:c r="P324" s="11" t="n">
        <x:v>1</x:v>
      </x:c>
      <x:c r="Q324" s="11" t="n">
        <x:v>6</x:v>
      </x:c>
      <x:c r="R324" s="11" t="n">
        <x:f>IF(OR(P324="",Q324=""),"",Q324-P324)</x:f>
        <x:v>5</x:v>
      </x:c>
      <x:c r="S324" s="13" t="n">
        <x:f>IF(OR(P324="",Q324="",P324=0),"",((Q324/30)/(P324/31))-1)</x:f>
        <x:v>5.2</x:v>
      </x:c>
      <x:c r="T324" s="11" t="n">
        <x:v>597</x:v>
      </x:c>
      <x:c r="U324" s="11" t="n">
        <x:v>358</x:v>
      </x:c>
      <x:c r="V324" s="14" t="n">
        <x:v>0.01675977653631285</x:v>
      </x:c>
      <x:c r="W324" s="12" t="n">
        <x:v>6.578212290502793</x:v>
      </x:c>
      <x:c r="X324" s="11" t="n">
        <x:v>5</x:v>
      </x:c>
      <x:c r="Y324" s="11" t="n">
        <x:v>7</x:v>
      </x:c>
      <x:c r="Z324" s="4" t="str">
        <x:v>https://blog.skyairline.com/reserva-nacional-de-tambopata/</x:v>
      </x:c>
      <x:c r="AA324" s="4" t="str">
        <x:v>https://blog.skyairline.com/reserva-nacional-de-tambopata/</x:v>
      </x:c>
      <x:c r="AB324" s="4" t="str">
        <x:v>Coincidencia URL</x:v>
      </x:c>
      <x:c r="AC324" s="4" t="str">
        <x:v>Publicado hasta septiembre</x:v>
      </x:c>
      <x:c r="AD324" s="4" t="str">
        <x:v>/reserva-nacional-de-tambopata/</x:v>
      </x:c>
      <x:c r="AE324" s="4"/>
      <x:c r="AF324" s="16" t="b">
        <x:v>0</x:v>
      </x:c>
    </x:row>
    <x:row r="325" ht="44" customHeight="1">
      <x:c r="A325" s="4" t="n">
        <x:v>7887</x:v>
      </x:c>
      <x:c r="B325" s="4" t="str">
        <x:v>https://blog.skyairline.com/sky-es-reconocida-por-emin-como-mejor-proveedor-a-nivel-nacional-2025-en-logistica-personas/</x:v>
      </x:c>
      <x:c r="C325" s="9" t="str">
        <x:v>SKY es reconocida por EMIN como “Mejor Proveedor a Nivel Nacional 2025” en Logística Personas</x:v>
      </x:c>
      <x:c r="D325" s="17" t="d">
        <x:v>2025-12-05T00:00:00.000Z</x:v>
      </x:c>
      <x:c r="E325" s="17" t="d">
        <x:v>2025-12-05T00:00:00.000Z</x:v>
      </x:c>
      <x:c r="F325" s="4" t="str">
        <x:v>Uncategorized</x:v>
      </x:c>
      <x:c r="G325" s="11" t="n">
        <x:v>250</x:v>
      </x:c>
      <x:c r="H325" s="11" t="n">
        <x:v>200</x:v>
      </x:c>
      <x:c r="I325" s="11" t="n">
        <x:v>1</x:v>
      </x:c>
      <x:c r="J325" s="4" t="str">
        <x:v>https://blog.skyairline.com/sky-es-reconocida-por-emin-como-mejor-proveedor-a-nivel-nacional-2025-en-logistica-personas/</x:v>
      </x:c>
      <x:c r="K325" s="16" t="b">
        <x:v>0</x:v>
      </x:c>
      <x:c r="L325" s="11" t="n">
        <x:v>0</x:v>
      </x:c>
      <x:c r="M325" s="11" t="n">
        <x:v>0</x:v>
      </x:c>
      <x:c r="N325" s="4"/>
      <x:c r="O325" s="4"/>
      <x:c r="P325" s="11" t="n">
        <x:v>4</x:v>
      </x:c>
      <x:c r="Q325" s="11" t="n">
        <x:v>6</x:v>
      </x:c>
      <x:c r="R325" s="11" t="n">
        <x:f>IF(OR(P325="",Q325=""),"",Q325-P325)</x:f>
        <x:v>2</x:v>
      </x:c>
      <x:c r="S325" s="13" t="n">
        <x:f>IF(OR(P325="",Q325="",P325=0),"",((Q325/30)/(P325/31))-1)</x:f>
        <x:v>0.55</x:v>
      </x:c>
      <x:c r="T325" s="11" t="n">
        <x:v>1339</x:v>
      </x:c>
      <x:c r="U325" s="11" t="n">
        <x:v>971</x:v>
      </x:c>
      <x:c r="V325" s="14" t="n">
        <x:v>0.006179196704428424</x:v>
      </x:c>
      <x:c r="W325" s="12" t="n">
        <x:v>5.438722966014418</x:v>
      </x:c>
      <x:c r="X325" s="11" t="n">
        <x:v>4</x:v>
      </x:c>
      <x:c r="Y325" s="11" t="n">
        <x:v>4</x:v>
      </x:c>
      <x:c r="Z325" s="4" t="str">
        <x:v>https://blog.skyairline.com/sky-es-reconocida-por-emin-como-mejor-proveedor-a-nivel-nacional-2025-en-logistica-personas/</x:v>
      </x:c>
      <x:c r="AA325" s="4" t="str">
        <x:v>https://blog.skyairline.com/sky-es-reconocida-por-emin-como-mejor-proveedor-a-nivel-nacional-2025-en-logistica-personas/</x:v>
      </x:c>
      <x:c r="AB325" s="4" t="str">
        <x:v>Coincidencia URL</x:v>
      </x:c>
      <x:c r="AC325" s="4" t="str">
        <x:v>Publicado hasta septiembre</x:v>
      </x:c>
      <x:c r="AD325" s="4" t="str">
        <x:v>/sky-es-reconocida-por-emin-como-mejor-proveedor-a-nivel-nacional-2025-en-logistica-personas/</x:v>
      </x:c>
      <x:c r="AE325" s="4"/>
      <x:c r="AF325" s="16" t="b">
        <x:v>0</x:v>
      </x:c>
    </x:row>
    <x:row r="326" ht="44" customHeight="1">
      <x:c r="A326" s="4" t="n">
        <x:v>8036</x:v>
      </x:c>
      <x:c r="B326" s="4" t="str">
        <x:v>https://blog.skyairline.com/huascar/</x:v>
      </x:c>
      <x:c r="C326" s="9" t="str">
        <x:v>El Huáscar: historia, patrimonio y memoria a minutos de Concepción</x:v>
      </x:c>
      <x:c r="D326" s="17" t="d">
        <x:v>2025-12-27T00:00:00.000Z</x:v>
      </x:c>
      <x:c r="E326" s="17" t="d">
        <x:v>2025-12-23T00:00:00.000Z</x:v>
      </x:c>
      <x:c r="F326" s="4" t="str">
        <x:v>Cultura</x:v>
      </x:c>
      <x:c r="G326" s="11" t="n">
        <x:v>1013</x:v>
      </x:c>
      <x:c r="H326" s="11" t="n">
        <x:v>200</x:v>
      </x:c>
      <x:c r="I326" s="11" t="n">
        <x:v>1</x:v>
      </x:c>
      <x:c r="J326" s="4" t="str">
        <x:v>https://blog.skyairline.com/huascar/</x:v>
      </x:c>
      <x:c r="K326" s="16" t="b">
        <x:v>0</x:v>
      </x:c>
      <x:c r="L326" s="11" t="n">
        <x:v>0</x:v>
      </x:c>
      <x:c r="M326" s="11" t="n">
        <x:v>0</x:v>
      </x:c>
      <x:c r="N326" s="4"/>
      <x:c r="O326" s="4"/>
      <x:c r="P326" s="11" t="n">
        <x:v>19</x:v>
      </x:c>
      <x:c r="Q326" s="11" t="n">
        <x:v>6</x:v>
      </x:c>
      <x:c r="R326" s="11" t="n">
        <x:f>IF(OR(P326="",Q326=""),"",Q326-P326)</x:f>
        <x:v>-13</x:v>
      </x:c>
      <x:c r="S326" s="13" t="n">
        <x:f>IF(OR(P326="",Q326="",P326=0),"",((Q326/30)/(P326/31))-1)</x:f>
        <x:v>-0.6736842105263158</x:v>
      </x:c>
      <x:c r="T326" s="11" t="n">
        <x:v>8558</x:v>
      </x:c>
      <x:c r="U326" s="11" t="n">
        <x:v>10320</x:v>
      </x:c>
      <x:c r="V326" s="14" t="n">
        <x:v>0.0005813953488372093</x:v>
      </x:c>
      <x:c r="W326" s="12" t="n">
        <x:v>9.95281007751938</x:v>
      </x:c>
      <x:c r="X326" s="11" t="n">
        <x:v>9</x:v>
      </x:c>
      <x:c r="Y326" s="11" t="n">
        <x:v>10</x:v>
      </x:c>
      <x:c r="Z326" s="4" t="str">
        <x:v>https://blog.skyairline.com/huascar/</x:v>
      </x:c>
      <x:c r="AA326" s="4" t="str">
        <x:v>https://blog.skyairline.com/huascar/</x:v>
      </x:c>
      <x:c r="AB326" s="4" t="str">
        <x:v>Coincidencia URL</x:v>
      </x:c>
      <x:c r="AC326" s="4" t="str">
        <x:v>Publicado hasta septiembre</x:v>
      </x:c>
      <x:c r="AD326" s="4" t="str">
        <x:v>/huascar/</x:v>
      </x:c>
      <x:c r="AE326" s="4"/>
      <x:c r="AF326" s="16" t="b">
        <x:v>0</x:v>
      </x:c>
    </x:row>
    <x:row r="327" ht="44" customHeight="1">
      <x:c r="A327" s="4" t="n">
        <x:v>8869</x:v>
      </x:c>
      <x:c r="B327" s="4" t="str">
        <x:v>https://blog.skyairline.com/pasaporte-chileno/</x:v>
      </x:c>
      <x:c r="C327" s="9" t="str">
        <x:v>Pasaporte chileno: cómo obtenerlo, renovarlo y cuidados que debes tener</x:v>
      </x:c>
      <x:c r="D327" s="17" t="d">
        <x:v>2026-06-11T00:00:00.000Z</x:v>
      </x:c>
      <x:c r="E327" s="17" t="d">
        <x:v>2026-06-05T00:00:00.000Z</x:v>
      </x:c>
      <x:c r="F327" s="4" t="str">
        <x:v>Planificación de Viaje</x:v>
      </x:c>
      <x:c r="G327" s="11" t="n">
        <x:v>932</x:v>
      </x:c>
      <x:c r="H327" s="11" t="n">
        <x:v>200</x:v>
      </x:c>
      <x:c r="I327" s="11" t="n">
        <x:v>1</x:v>
      </x:c>
      <x:c r="J327" s="4" t="str">
        <x:v>https://blog.skyairline.com/pasaporte-chileno/</x:v>
      </x:c>
      <x:c r="K327" s="16" t="b">
        <x:v>0</x:v>
      </x:c>
      <x:c r="L327" s="11" t="n">
        <x:v>0</x:v>
      </x:c>
      <x:c r="M327" s="11" t="n">
        <x:v>0</x:v>
      </x:c>
      <x:c r="N327" s="4"/>
      <x:c r="O327" s="4"/>
      <x:c r="P327" s="11" t="n">
        <x:v>5</x:v>
      </x:c>
      <x:c r="Q327" s="11" t="n">
        <x:v>6</x:v>
      </x:c>
      <x:c r="R327" s="11" t="n">
        <x:f>IF(OR(P327="",Q327=""),"",Q327-P327)</x:f>
        <x:v>1</x:v>
      </x:c>
      <x:c r="S327" s="13" t="n">
        <x:f>IF(OR(P327="",Q327="",P327=0),"",((Q327/30)/(P327/31))-1)</x:f>
        <x:v>0.2400000000000002</x:v>
      </x:c>
      <x:c r="T327" s="11" t="n">
        <x:v>2963</x:v>
      </x:c>
      <x:c r="U327" s="11" t="n">
        <x:v>4850</x:v>
      </x:c>
      <x:c r="V327" s="14" t="n">
        <x:v>0.0012371134020618556</x:v>
      </x:c>
      <x:c r="W327" s="12" t="n">
        <x:v>9.52041237113402</x:v>
      </x:c>
      <x:c r="X327" s="11" t="n">
        <x:v>9</x:v>
      </x:c>
      <x:c r="Y327" s="11" t="n">
        <x:v>10</x:v>
      </x:c>
      <x:c r="Z327" s="4" t="str">
        <x:v>https://blog.skyairline.com/pasaporte-chileno/</x:v>
      </x:c>
      <x:c r="AA327" s="4" t="str">
        <x:v>https://blog.skyairline.com/pasaporte-chileno/</x:v>
      </x:c>
      <x:c r="AB327" s="4" t="str">
        <x:v>Coincidencia URL</x:v>
      </x:c>
      <x:c r="AC327" s="4" t="str">
        <x:v>Publicado hasta septiembre</x:v>
      </x:c>
      <x:c r="AD327" s="4" t="str">
        <x:v>/pasaporte-chileno/</x:v>
      </x:c>
      <x:c r="AE327" s="4"/>
      <x:c r="AF327" s="16" t="b">
        <x:v>0</x:v>
      </x:c>
    </x:row>
    <x:row r="328" ht="44" customHeight="1">
      <x:c r="A328" s="4" t="n">
        <x:v>9088</x:v>
      </x:c>
      <x:c r="B328" s="4" t="str">
        <x:v>https://blog.skyairline.com/lago-todos-los-santos/</x:v>
      </x:c>
      <x:c r="C328" s="9" t="str">
        <x:v>Conoce el Lago Todos los Santos y sus alrededores</x:v>
      </x:c>
      <x:c r="D328" s="17" t="d">
        <x:v>2026-08-04T00:00:00.000Z</x:v>
      </x:c>
      <x:c r="E328" s="17" t="d">
        <x:v>2026-07-30T00:00:00.000Z</x:v>
      </x:c>
      <x:c r="F328" s="4" t="str">
        <x:v>Destinos</x:v>
      </x:c>
      <x:c r="G328" s="11" t="n">
        <x:v>1142</x:v>
      </x:c>
      <x:c r="H328" s="11" t="n">
        <x:v>200</x:v>
      </x:c>
      <x:c r="I328" s="11" t="n">
        <x:v>1</x:v>
      </x:c>
      <x:c r="J328" s="4" t="str">
        <x:v>https://blog.skyairline.com/lago-todos-los-santos/</x:v>
      </x:c>
      <x:c r="K328" s="16" t="b">
        <x:v>0</x:v>
      </x:c>
      <x:c r="L328" s="11" t="n">
        <x:v>0</x:v>
      </x:c>
      <x:c r="M328" s="11" t="n">
        <x:v>0</x:v>
      </x:c>
      <x:c r="N328" s="4"/>
      <x:c r="O328" s="4"/>
      <x:c r="P328" s="11" t="n">
        <x:v>1</x:v>
      </x:c>
      <x:c r="Q328" s="11" t="n">
        <x:v>6</x:v>
      </x:c>
      <x:c r="R328" s="11" t="n">
        <x:f>IF(OR(P328="",Q328=""),"",Q328-P328)</x:f>
        <x:v>5</x:v>
      </x:c>
      <x:c r="S328" s="13" t="n">
        <x:f>IF(OR(P328="",Q328="",P328=0),"",((Q328/30)/(P328/31))-1)</x:f>
        <x:v>5.2</x:v>
      </x:c>
      <x:c r="T328" s="11" t="n">
        <x:v>559</x:v>
      </x:c>
      <x:c r="U328" s="11" t="n">
        <x:v>482</x:v>
      </x:c>
      <x:c r="V328" s="14" t="n">
        <x:v>0.012448132780082987</x:v>
      </x:c>
      <x:c r="W328" s="12" t="n">
        <x:v>8.271784232365146</x:v>
      </x:c>
      <x:c r="X328" s="11" t="n">
        <x:v>7</x:v>
      </x:c>
      <x:c r="Y328" s="11" t="n">
        <x:v>8</x:v>
      </x:c>
      <x:c r="Z328" s="4" t="str">
        <x:v>https://blog.skyairline.com/lago-todos-los-santos/</x:v>
      </x:c>
      <x:c r="AA328" s="4" t="str">
        <x:v>https://blog.skyairline.com/lago-todos-los-santos/</x:v>
      </x:c>
      <x:c r="AB328" s="4" t="str">
        <x:v>Coincidencia URL</x:v>
      </x:c>
      <x:c r="AC328" s="4" t="str">
        <x:v>Publicado hasta septiembre</x:v>
      </x:c>
      <x:c r="AD328" s="4" t="str">
        <x:v>/lago-todos-los-santos/</x:v>
      </x:c>
      <x:c r="AE328" s="4"/>
      <x:c r="AF328" s="16" t="b">
        <x:v>0</x:v>
      </x:c>
    </x:row>
    <x:row r="329" ht="44" customHeight="1">
      <x:c r="A329" s="4" t="n">
        <x:v>9267</x:v>
      </x:c>
      <x:c r="B329" s="4" t="str">
        <x:v>https://blog.skyairline.com/proyecto-tamar/</x:v>
      </x:c>
      <x:c r="C329" s="9" t="str">
        <x:v>Proyecto Tamar: el santuario de tortugas marinas a pocos kilómetros de Salvador de Bahía</x:v>
      </x:c>
      <x:c r="D329" s="17" t="d">
        <x:v>2026-09-11T00:00:00.000Z</x:v>
      </x:c>
      <x:c r="E329" s="17" t="d">
        <x:v>2026-09-09T00:00:00.000Z</x:v>
      </x:c>
      <x:c r="F329" s="4" t="str">
        <x:v>Destinos</x:v>
      </x:c>
      <x:c r="G329" s="11" t="n">
        <x:v>977</x:v>
      </x:c>
      <x:c r="H329" s="11" t="n">
        <x:v>200</x:v>
      </x:c>
      <x:c r="I329" s="11" t="n">
        <x:v>1</x:v>
      </x:c>
      <x:c r="J329" s="4" t="str">
        <x:v>https://blog.skyairline.com/proyecto-tamar/</x:v>
      </x:c>
      <x:c r="K329" s="16" t="b">
        <x:v>0</x:v>
      </x:c>
      <x:c r="L329" s="11" t="n">
        <x:v>0</x:v>
      </x:c>
      <x:c r="M329" s="11" t="n">
        <x:v>0</x:v>
      </x:c>
      <x:c r="N329" s="4"/>
      <x:c r="O329" s="4"/>
      <x:c r="P329" s="11"/>
      <x:c r="Q329" s="11" t="n">
        <x:v>6</x:v>
      </x:c>
      <x:c r="R329" s="11" t="str">
        <x:f>IF(OR(P329="",Q329=""),"",Q329-P329)</x:f>
      </x:c>
      <x:c r="S329" s="13" t="str">
        <x:f>IF(OR(P329="",Q329="",P329=0),"",((Q329/30)/(P329/31))-1)</x:f>
      </x:c>
      <x:c r="T329" s="11"/>
      <x:c r="U329" s="11" t="n">
        <x:v>452</x:v>
      </x:c>
      <x:c r="V329" s="14" t="n">
        <x:v>0.01327433628318584</x:v>
      </x:c>
      <x:c r="W329" s="12" t="n">
        <x:v>6.634955752212389</x:v>
      </x:c>
      <x:c r="X329" s="11" t="n">
        <x:v>6</x:v>
      </x:c>
      <x:c r="Y329" s="11" t="n">
        <x:v>8</x:v>
      </x:c>
      <x:c r="Z329" s="4"/>
      <x:c r="AA329" s="4" t="str">
        <x:v>https://blog.skyairline.com/proyecto-tamar/</x:v>
      </x:c>
      <x:c r="AB329" s="4" t="str">
        <x:v>Coincidencia URL</x:v>
      </x:c>
      <x:c r="AC329" s="4" t="str">
        <x:v>Publicado hasta septiembre</x:v>
      </x:c>
      <x:c r="AD329" s="4" t="str">
        <x:v>/proyecto-tamar/</x:v>
      </x:c>
      <x:c r="AE329" s="4"/>
      <x:c r="AF329" s="16" t="b">
        <x:v>0</x:v>
      </x:c>
    </x:row>
    <x:row r="330" ht="44" customHeight="1">
      <x:c r="A330" s="4" t="n">
        <x:v>602</x:v>
      </x:c>
      <x:c r="B330" s="4" t="str">
        <x:v>https://blog.skyairline.com/experiencia-de-viaje/</x:v>
      </x:c>
      <x:c r="C330" s="9" t="str">
        <x:v>Experiencia de viaje cómoda y entretenida: ¿Cómo lograrlo?</x:v>
      </x:c>
      <x:c r="D330" s="17" t="d">
        <x:v>2021-07-29T00:00:00.000Z</x:v>
      </x:c>
      <x:c r="E330" s="17" t="d">
        <x:v>2021-07-29T00:00:00.000Z</x:v>
      </x:c>
      <x:c r="F330" s="4" t="str">
        <x:v>Destinos</x:v>
      </x:c>
      <x:c r="G330" s="11" t="n">
        <x:v>1062</x:v>
      </x:c>
      <x:c r="H330" s="11" t="n">
        <x:v>200</x:v>
      </x:c>
      <x:c r="I330" s="11" t="n">
        <x:v>1</x:v>
      </x:c>
      <x:c r="J330" s="4" t="str">
        <x:v>https://blog.skyairline.com/experiencia-de-viaje/</x:v>
      </x:c>
      <x:c r="K330" s="16" t="b">
        <x:v>0</x:v>
      </x:c>
      <x:c r="L330" s="11" t="n">
        <x:v>0</x:v>
      </x:c>
      <x:c r="M330" s="11" t="n">
        <x:v>1</x:v>
      </x:c>
      <x:c r="N330" s="4"/>
      <x:c r="O330" s="4"/>
      <x:c r="P330" s="11" t="n">
        <x:v>8</x:v>
      </x:c>
      <x:c r="Q330" s="11" t="n">
        <x:v>5</x:v>
      </x:c>
      <x:c r="R330" s="11" t="n">
        <x:f>IF(OR(P330="",Q330=""),"",Q330-P330)</x:f>
        <x:v>-3</x:v>
      </x:c>
      <x:c r="S330" s="13" t="n">
        <x:f>IF(OR(P330="",Q330="",P330=0),"",((Q330/30)/(P330/31))-1)</x:f>
        <x:v>-0.35416666666666663</x:v>
      </x:c>
      <x:c r="T330" s="11" t="n">
        <x:v>462</x:v>
      </x:c>
      <x:c r="U330" s="11" t="n">
        <x:v>312</x:v>
      </x:c>
      <x:c r="V330" s="14" t="n">
        <x:v>0.016025641025641024</x:v>
      </x:c>
      <x:c r="W330" s="12" t="n">
        <x:v>6.201923076923077</x:v>
      </x:c>
      <x:c r="X330" s="11" t="n">
        <x:v>6</x:v>
      </x:c>
      <x:c r="Y330" s="11" t="n">
        <x:v>8</x:v>
      </x:c>
      <x:c r="Z330" s="4" t="str">
        <x:v>https://blog.skyairline.com/experiencia-de-viaje/</x:v>
      </x:c>
      <x:c r="AA330" s="4" t="str">
        <x:v>https://blog.skyairline.com/experiencia-de-viaje/</x:v>
      </x:c>
      <x:c r="AB330" s="4" t="str">
        <x:v>Coincidencia URL</x:v>
      </x:c>
      <x:c r="AC330" s="4" t="str">
        <x:v>Publicado hasta septiembre</x:v>
      </x:c>
      <x:c r="AD330" s="4" t="str">
        <x:v>/experiencia-de-viaje/</x:v>
      </x:c>
      <x:c r="AE330" s="4"/>
      <x:c r="AF330" s="16" t="b">
        <x:v>0</x:v>
      </x:c>
    </x:row>
    <x:row r="331" ht="44" customHeight="1">
      <x:c r="A331" s="4" t="n">
        <x:v>702</x:v>
      </x:c>
      <x:c r="B331" s="4" t="str">
        <x:v>https://blog.skyairline.com/sky-recibe-el-avion-mas-eficiente-ecologico-y-con-mayor-capacidad-para-trasladar-pasajeros/</x:v>
      </x:c>
      <x:c r="C331" s="9" t="str">
        <x:v>SKY recibe el avión más eficiente, ecológico y con mayor capacidad para trasladar pasajeros</x:v>
      </x:c>
      <x:c r="D331" s="17" t="d">
        <x:v>2021-08-18T00:00:00.000Z</x:v>
      </x:c>
      <x:c r="E331" s="17" t="d">
        <x:v>2021-08-18T00:00:00.000Z</x:v>
      </x:c>
      <x:c r="F331" s="4" t="str">
        <x:v>Noticias</x:v>
      </x:c>
      <x:c r="G331" s="11" t="n">
        <x:v>772</x:v>
      </x:c>
      <x:c r="H331" s="11" t="n">
        <x:v>200</x:v>
      </x:c>
      <x:c r="I331" s="11" t="n">
        <x:v>1</x:v>
      </x:c>
      <x:c r="J331" s="4" t="str">
        <x:v>https://blog.skyairline.com/sky-recibe-el-avion-mas-eficiente-ecologico-y-con-mayor-capacidad-para-trasladar-pasajeros/</x:v>
      </x:c>
      <x:c r="K331" s="16" t="b">
        <x:v>0</x:v>
      </x:c>
      <x:c r="L331" s="11" t="n">
        <x:v>0</x:v>
      </x:c>
      <x:c r="M331" s="11" t="n">
        <x:v>0</x:v>
      </x:c>
      <x:c r="N331" s="4"/>
      <x:c r="O331" s="4"/>
      <x:c r="P331" s="11" t="n">
        <x:v>4</x:v>
      </x:c>
      <x:c r="Q331" s="11" t="n">
        <x:v>5</x:v>
      </x:c>
      <x:c r="R331" s="11" t="n">
        <x:f>IF(OR(P331="",Q331=""),"",Q331-P331)</x:f>
        <x:v>1</x:v>
      </x:c>
      <x:c r="S331" s="13" t="n">
        <x:f>IF(OR(P331="",Q331="",P331=0),"",((Q331/30)/(P331/31))-1)</x:f>
        <x:v>0.29166666666666674</x:v>
      </x:c>
      <x:c r="T331" s="11" t="n">
        <x:v>345</x:v>
      </x:c>
      <x:c r="U331" s="11" t="n">
        <x:v>329</x:v>
      </x:c>
      <x:c r="V331" s="14" t="n">
        <x:v>0.015197568389057751</x:v>
      </x:c>
      <x:c r="W331" s="12" t="n">
        <x:v>7.319148936170213</x:v>
      </x:c>
      <x:c r="X331" s="11" t="n">
        <x:v>3</x:v>
      </x:c>
      <x:c r="Y331" s="11" t="n">
        <x:v>3</x:v>
      </x:c>
      <x:c r="Z331" s="4" t="str">
        <x:v>https://blog.skyairline.com/sky-recibe-el-avion-mas-eficiente-ecologico-y-con-mayor-capacidad-para-trasladar-pasajeros/</x:v>
      </x:c>
      <x:c r="AA331" s="4" t="str">
        <x:v>https://blog.skyairline.com/sky-recibe-el-avion-mas-eficiente-ecologico-y-con-mayor-capacidad-para-trasladar-pasajeros/</x:v>
      </x:c>
      <x:c r="AB331" s="4" t="str">
        <x:v>Coincidencia URL</x:v>
      </x:c>
      <x:c r="AC331" s="4" t="str">
        <x:v>Publicado hasta septiembre</x:v>
      </x:c>
      <x:c r="AD331" s="4" t="str">
        <x:v>/sky-recibe-el-avion-mas-eficiente-ecologico-y-con-mayor-capacidad-para-trasladar-pasajeros/</x:v>
      </x:c>
      <x:c r="AE331" s="4"/>
      <x:c r="AF331" s="16" t="b">
        <x:v>0</x:v>
      </x:c>
    </x:row>
    <x:row r="332" ht="44" customHeight="1">
      <x:c r="A332" s="4" t="n">
        <x:v>860</x:v>
      </x:c>
      <x:c r="B332" s="4" t="str">
        <x:v>https://blog.skyairline.com/que-hacer-en-antofagasta/</x:v>
      </x:c>
      <x:c r="C332" s="9" t="str">
        <x:v>¿Qué hacer en Antofagasta? 10 lugares imperdibles</x:v>
      </x:c>
      <x:c r="D332" s="17" t="d">
        <x:v>2025-12-15T00:00:00.000Z</x:v>
      </x:c>
      <x:c r="E332" s="17" t="d">
        <x:v>2025-12-15T00:00:00.000Z</x:v>
      </x:c>
      <x:c r="F332" s="4" t="str">
        <x:v>Destinos</x:v>
      </x:c>
      <x:c r="G332" s="11" t="n">
        <x:v>1971</x:v>
      </x:c>
      <x:c r="H332" s="11" t="n">
        <x:v>200</x:v>
      </x:c>
      <x:c r="I332" s="11" t="n">
        <x:v>1</x:v>
      </x:c>
      <x:c r="J332" s="4" t="str">
        <x:v>https://blog.skyairline.com/que-hacer-en-antofagasta/</x:v>
      </x:c>
      <x:c r="K332" s="16" t="b">
        <x:v>0</x:v>
      </x:c>
      <x:c r="L332" s="11" t="n">
        <x:v>0</x:v>
      </x:c>
      <x:c r="M332" s="11" t="n">
        <x:v>0</x:v>
      </x:c>
      <x:c r="N332" s="4"/>
      <x:c r="O332" s="4"/>
      <x:c r="P332" s="11" t="n">
        <x:v>21</x:v>
      </x:c>
      <x:c r="Q332" s="11" t="n">
        <x:v>5</x:v>
      </x:c>
      <x:c r="R332" s="11" t="n">
        <x:f>IF(OR(P332="",Q332=""),"",Q332-P332)</x:f>
        <x:v>-16</x:v>
      </x:c>
      <x:c r="S332" s="13" t="n">
        <x:f>IF(OR(P332="",Q332="",P332=0),"",((Q332/30)/(P332/31))-1)</x:f>
        <x:v>-0.753968253968254</x:v>
      </x:c>
      <x:c r="T332" s="11" t="n">
        <x:v>2810</x:v>
      </x:c>
      <x:c r="U332" s="11" t="n">
        <x:v>1190</x:v>
      </x:c>
      <x:c r="V332" s="14" t="n">
        <x:v>0.004201680672268907</x:v>
      </x:c>
      <x:c r="W332" s="12" t="n">
        <x:v>10.591596638655462</x:v>
      </x:c>
      <x:c r="X332" s="11" t="n">
        <x:v>6</x:v>
      </x:c>
      <x:c r="Y332" s="11" t="n">
        <x:v>7</x:v>
      </x:c>
      <x:c r="Z332" s="4" t="str">
        <x:v>https://blog.skyairline.com/que-hacer-en-antofagasta/
https://blog.skyairline.com/que-hacer-en-antofagasta</x:v>
      </x:c>
      <x:c r="AA332" s="4" t="str">
        <x:v>https://blog.skyairline.com/que-hacer-en-antofagasta/
https://blog.skyairline.com/que-hacer-en-antofagasta</x:v>
      </x:c>
      <x:c r="AB332" s="4" t="str">
        <x:v>Alias slash agregado</x:v>
      </x:c>
      <x:c r="AC332" s="4" t="str">
        <x:v>Publicado hasta septiembre</x:v>
      </x:c>
      <x:c r="AD332" s="4" t="str">
        <x:v>/que-hacer-en-antofagasta/</x:v>
      </x:c>
      <x:c r="AE332" s="4"/>
      <x:c r="AF332" s="16" t="b">
        <x:v>0</x:v>
      </x:c>
    </x:row>
    <x:row r="333" ht="44" customHeight="1">
      <x:c r="A333" s="4" t="n">
        <x:v>1286</x:v>
      </x:c>
      <x:c r="B333" s="4" t="str">
        <x:v>https://blog.skyairline.com/laguna-de-chacas/</x:v>
      </x:c>
      <x:c r="C333" s="9" t="str">
        <x:v>Laguna de Chacas: conoce esta maravilla natural en Juliaca, en Perú</x:v>
      </x:c>
      <x:c r="D333" s="17" t="d">
        <x:v>2022-01-14T00:00:00.000Z</x:v>
      </x:c>
      <x:c r="E333" s="17" t="d">
        <x:v>2022-01-14T00:00:00.000Z</x:v>
      </x:c>
      <x:c r="F333" s="4" t="str">
        <x:v>Destinos</x:v>
      </x:c>
      <x:c r="G333" s="11" t="n">
        <x:v>1102</x:v>
      </x:c>
      <x:c r="H333" s="11" t="n">
        <x:v>200</x:v>
      </x:c>
      <x:c r="I333" s="11" t="n">
        <x:v>1</x:v>
      </x:c>
      <x:c r="J333" s="4" t="str">
        <x:v>https://blog.skyairline.com/laguna-de-chacas/</x:v>
      </x:c>
      <x:c r="K333" s="16" t="b">
        <x:v>0</x:v>
      </x:c>
      <x:c r="L333" s="11" t="n">
        <x:v>0</x:v>
      </x:c>
      <x:c r="M333" s="11" t="n">
        <x:v>4</x:v>
      </x:c>
      <x:c r="N333" s="4"/>
      <x:c r="O333" s="4"/>
      <x:c r="P333" s="11" t="n">
        <x:v>4</x:v>
      </x:c>
      <x:c r="Q333" s="11" t="n">
        <x:v>5</x:v>
      </x:c>
      <x:c r="R333" s="11" t="n">
        <x:f>IF(OR(P333="",Q333=""),"",Q333-P333)</x:f>
        <x:v>1</x:v>
      </x:c>
      <x:c r="S333" s="13" t="n">
        <x:f>IF(OR(P333="",Q333="",P333=0),"",((Q333/30)/(P333/31))-1)</x:f>
        <x:v>0.29166666666666674</x:v>
      </x:c>
      <x:c r="T333" s="11" t="n">
        <x:v>606</x:v>
      </x:c>
      <x:c r="U333" s="11" t="n">
        <x:v>515</x:v>
      </x:c>
      <x:c r="V333" s="14" t="n">
        <x:v>0.009708737864077669</x:v>
      </x:c>
      <x:c r="W333" s="12" t="n">
        <x:v>6.656310679611651</x:v>
      </x:c>
      <x:c r="X333" s="11" t="n">
        <x:v>7</x:v>
      </x:c>
      <x:c r="Y333" s="11" t="n">
        <x:v>6</x:v>
      </x:c>
      <x:c r="Z333" s="4" t="str">
        <x:v>https://blog.skyairline.com/laguna-de-chacas/</x:v>
      </x:c>
      <x:c r="AA333" s="4" t="str">
        <x:v>https://blog.skyairline.com/laguna-de-chacas/</x:v>
      </x:c>
      <x:c r="AB333" s="4" t="str">
        <x:v>Coincidencia URL</x:v>
      </x:c>
      <x:c r="AC333" s="4" t="str">
        <x:v>Publicado hasta septiembre</x:v>
      </x:c>
      <x:c r="AD333" s="4" t="str">
        <x:v>/laguna-de-chacas/</x:v>
      </x:c>
      <x:c r="AE333" s="4"/>
      <x:c r="AF333" s="16" t="b">
        <x:v>0</x:v>
      </x:c>
    </x:row>
    <x:row r="334" ht="44" customHeight="1">
      <x:c r="A334" s="4" t="n">
        <x:v>1687</x:v>
      </x:c>
      <x:c r="B334" s="4" t="str">
        <x:v>https://blog.skyairline.com/que-comer-en-brasil/</x:v>
      </x:c>
      <x:c r="C334" s="9" t="str">
        <x:v>Qué comer en Brasil: comidas que debes probar</x:v>
      </x:c>
      <x:c r="D334" s="17" t="d">
        <x:v>2025-11-12T00:00:00.000Z</x:v>
      </x:c>
      <x:c r="E334" s="17" t="d">
        <x:v>2026-01-12T00:00:00.000Z</x:v>
      </x:c>
      <x:c r="F334" s="4" t="str">
        <x:v>Cultura</x:v>
      </x:c>
      <x:c r="G334" s="11" t="n">
        <x:v>1077</x:v>
      </x:c>
      <x:c r="H334" s="11" t="n">
        <x:v>200</x:v>
      </x:c>
      <x:c r="I334" s="11" t="n">
        <x:v>1</x:v>
      </x:c>
      <x:c r="J334" s="4" t="str">
        <x:v>https://blog.skyairline.com/que-comer-en-brasil/</x:v>
      </x:c>
      <x:c r="K334" s="16" t="b">
        <x:v>0</x:v>
      </x:c>
      <x:c r="L334" s="11" t="n">
        <x:v>0</x:v>
      </x:c>
      <x:c r="M334" s="11" t="n">
        <x:v>4</x:v>
      </x:c>
      <x:c r="N334" s="4"/>
      <x:c r="O334" s="4"/>
      <x:c r="P334" s="11" t="n">
        <x:v>48</x:v>
      </x:c>
      <x:c r="Q334" s="11" t="n">
        <x:v>5</x:v>
      </x:c>
      <x:c r="R334" s="11" t="n">
        <x:f>IF(OR(P334="",Q334=""),"",Q334-P334)</x:f>
        <x:v>-43</x:v>
      </x:c>
      <x:c r="S334" s="13" t="n">
        <x:f>IF(OR(P334="",Q334="",P334=0),"",((Q334/30)/(P334/31))-1)</x:f>
        <x:v>-0.8923611111111112</x:v>
      </x:c>
      <x:c r="T334" s="11" t="n">
        <x:v>4786</x:v>
      </x:c>
      <x:c r="U334" s="11" t="n">
        <x:v>1191</x:v>
      </x:c>
      <x:c r="V334" s="14" t="n">
        <x:v>0.0041981528127623844</x:v>
      </x:c>
      <x:c r="W334" s="12" t="n">
        <x:v>17.622166246851386</x:v>
      </x:c>
      <x:c r="X334" s="11" t="n">
        <x:v>9</x:v>
      </x:c>
      <x:c r="Y334" s="11" t="n">
        <x:v>10</x:v>
      </x:c>
      <x:c r="Z334" s="4" t="str">
        <x:v>https://blog.skyairline.com/que-comer-en-brasil/</x:v>
      </x:c>
      <x:c r="AA334" s="4" t="str">
        <x:v>https://blog.skyairline.com/que-comer-en-brasil/</x:v>
      </x:c>
      <x:c r="AB334" s="4" t="str">
        <x:v>Coincidencia URL</x:v>
      </x:c>
      <x:c r="AC334" s="4" t="str">
        <x:v>Publicado hasta septiembre</x:v>
      </x:c>
      <x:c r="AD334" s="4" t="str">
        <x:v>/que-comer-en-brasil/</x:v>
      </x:c>
      <x:c r="AE334" s="4"/>
      <x:c r="AF334" s="16" t="b">
        <x:v>0</x:v>
      </x:c>
    </x:row>
    <x:row r="335" ht="44" customHeight="1">
      <x:c r="A335" s="4" t="n">
        <x:v>2190</x:v>
      </x:c>
      <x:c r="B335" s="4" t="str">
        <x:v>https://blog.skyairline.com/viajar-en-auto-2/</x:v>
      </x:c>
      <x:c r="C335" s="9" t="str">
        <x:v>¿Es recomendable viajar en auto por Chile?</x:v>
      </x:c>
      <x:c r="D335" s="17" t="d">
        <x:v>2022-08-17T00:00:00.000Z</x:v>
      </x:c>
      <x:c r="E335" s="17" t="d">
        <x:v>2022-08-17T00:00:00.000Z</x:v>
      </x:c>
      <x:c r="F335" s="4" t="str">
        <x:v>Destinos</x:v>
      </x:c>
      <x:c r="G335" s="11" t="n">
        <x:v>1047</x:v>
      </x:c>
      <x:c r="H335" s="11" t="n">
        <x:v>200</x:v>
      </x:c>
      <x:c r="I335" s="11" t="n">
        <x:v>1</x:v>
      </x:c>
      <x:c r="J335" s="4" t="str">
        <x:v>https://blog.skyairline.com/viajar-en-auto-2/</x:v>
      </x:c>
      <x:c r="K335" s="16" t="b">
        <x:v>0</x:v>
      </x:c>
      <x:c r="L335" s="11" t="n">
        <x:v>0</x:v>
      </x:c>
      <x:c r="M335" s="11" t="n">
        <x:v>3</x:v>
      </x:c>
      <x:c r="N335" s="4"/>
      <x:c r="O335" s="4"/>
      <x:c r="P335" s="11" t="n">
        <x:v>5</x:v>
      </x:c>
      <x:c r="Q335" s="11" t="n">
        <x:v>5</x:v>
      </x:c>
      <x:c r="R335" s="11" t="n">
        <x:f>IF(OR(P335="",Q335=""),"",Q335-P335)</x:f>
        <x:v>0</x:v>
      </x:c>
      <x:c r="S335" s="13" t="n">
        <x:f>IF(OR(P335="",Q335="",P335=0),"",((Q335/30)/(P335/31))-1)</x:f>
        <x:v>0.033333333333333215</x:v>
      </x:c>
      <x:c r="T335" s="11" t="n">
        <x:v>1329</x:v>
      </x:c>
      <x:c r="U335" s="11" t="n">
        <x:v>1051</x:v>
      </x:c>
      <x:c r="V335" s="14" t="n">
        <x:v>0.004757373929590866</x:v>
      </x:c>
      <x:c r="W335" s="12" t="n">
        <x:v>8.798287345385347</x:v>
      </x:c>
      <x:c r="X335" s="11" t="n">
        <x:v>3</x:v>
      </x:c>
      <x:c r="Y335" s="11" t="n">
        <x:v>7</x:v>
      </x:c>
      <x:c r="Z335" s="4" t="str">
        <x:v>https://blog.skyairline.com/viajar-en-auto-2/</x:v>
      </x:c>
      <x:c r="AA335" s="4" t="str">
        <x:v>https://blog.skyairline.com/viajar-en-auto-2/</x:v>
      </x:c>
      <x:c r="AB335" s="4" t="str">
        <x:v>Coincidencia URL</x:v>
      </x:c>
      <x:c r="AC335" s="4" t="str">
        <x:v>Publicado hasta septiembre</x:v>
      </x:c>
      <x:c r="AD335" s="4" t="str">
        <x:v>/viajar-en-auto-2/</x:v>
      </x:c>
      <x:c r="AE335" s="4"/>
      <x:c r="AF335" s="16" t="b">
        <x:v>0</x:v>
      </x:c>
    </x:row>
    <x:row r="336" ht="44" customHeight="1">
      <x:c r="A336" s="4" t="n">
        <x:v>2266</x:v>
      </x:c>
      <x:c r="B336" s="4" t="str">
        <x:v>https://blog.skyairline.com/nevado-rajuntay/</x:v>
      </x:c>
      <x:c r="C336" s="9" t="str">
        <x:v>¿Cómo llegar al Nevado Rajuntay desde Lima?</x:v>
      </x:c>
      <x:c r="D336" s="17" t="d">
        <x:v>2022-09-12T00:00:00.000Z</x:v>
      </x:c>
      <x:c r="E336" s="17" t="d">
        <x:v>2022-09-12T00:00:00.000Z</x:v>
      </x:c>
      <x:c r="F336" s="4" t="str">
        <x:v>Destinos</x:v>
      </x:c>
      <x:c r="G336" s="11" t="n">
        <x:v>1145</x:v>
      </x:c>
      <x:c r="H336" s="11" t="n">
        <x:v>200</x:v>
      </x:c>
      <x:c r="I336" s="11" t="n">
        <x:v>1</x:v>
      </x:c>
      <x:c r="J336" s="4" t="str">
        <x:v>https://blog.skyairline.com/nevado-rajuntay/</x:v>
      </x:c>
      <x:c r="K336" s="16" t="b">
        <x:v>0</x:v>
      </x:c>
      <x:c r="L336" s="11" t="n">
        <x:v>0</x:v>
      </x:c>
      <x:c r="M336" s="11" t="n">
        <x:v>5</x:v>
      </x:c>
      <x:c r="N336" s="4"/>
      <x:c r="O336" s="4"/>
      <x:c r="P336" s="11" t="n">
        <x:v>16</x:v>
      </x:c>
      <x:c r="Q336" s="11" t="n">
        <x:v>5</x:v>
      </x:c>
      <x:c r="R336" s="11" t="n">
        <x:f>IF(OR(P336="",Q336=""),"",Q336-P336)</x:f>
        <x:v>-11</x:v>
      </x:c>
      <x:c r="S336" s="13" t="n">
        <x:f>IF(OR(P336="",Q336="",P336=0),"",((Q336/30)/(P336/31))-1)</x:f>
        <x:v>-0.6770833333333333</x:v>
      </x:c>
      <x:c r="T336" s="11" t="n">
        <x:v>4988</x:v>
      </x:c>
      <x:c r="U336" s="11" t="n">
        <x:v>4040</x:v>
      </x:c>
      <x:c r="V336" s="14" t="n">
        <x:v>0.0012376237623762376</x:v>
      </x:c>
      <x:c r="W336" s="12" t="n">
        <x:v>9.632425742574258</x:v>
      </x:c>
      <x:c r="X336" s="11" t="n">
        <x:v>6</x:v>
      </x:c>
      <x:c r="Y336" s="11" t="n">
        <x:v>7</x:v>
      </x:c>
      <x:c r="Z336" s="4" t="str">
        <x:v>https://blog.skyairline.com/nevado-rajuntay/</x:v>
      </x:c>
      <x:c r="AA336" s="4" t="str">
        <x:v>https://blog.skyairline.com/nevado-rajuntay/</x:v>
      </x:c>
      <x:c r="AB336" s="4" t="str">
        <x:v>Coincidencia URL</x:v>
      </x:c>
      <x:c r="AC336" s="4" t="str">
        <x:v>Publicado hasta septiembre</x:v>
      </x:c>
      <x:c r="AD336" s="4" t="str">
        <x:v>/nevado-rajuntay/</x:v>
      </x:c>
      <x:c r="AE336" s="4"/>
      <x:c r="AF336" s="16" t="b">
        <x:v>0</x:v>
      </x:c>
    </x:row>
    <x:row r="337" ht="44" customHeight="1">
      <x:c r="A337" s="4" t="n">
        <x:v>2305</x:v>
      </x:c>
      <x:c r="B337" s="4" t="str">
        <x:v>https://blog.skyairline.com/primavera-en-chile/</x:v>
      </x:c>
      <x:c r="C337" s="9" t="str">
        <x:v>5 destinos para viajar en primavera en Chile y recargar energías</x:v>
      </x:c>
      <x:c r="D337" s="17" t="d">
        <x:v>2025-11-29T00:00:00.000Z</x:v>
      </x:c>
      <x:c r="E337" s="17" t="d">
        <x:v>2026-01-12T00:00:00.000Z</x:v>
      </x:c>
      <x:c r="F337" s="4" t="str">
        <x:v>Destinos</x:v>
      </x:c>
      <x:c r="G337" s="11" t="n">
        <x:v>1050</x:v>
      </x:c>
      <x:c r="H337" s="11" t="n">
        <x:v>200</x:v>
      </x:c>
      <x:c r="I337" s="11" t="n">
        <x:v>1</x:v>
      </x:c>
      <x:c r="J337" s="4" t="str">
        <x:v>https://blog.skyairline.com/primavera-en-chile/</x:v>
      </x:c>
      <x:c r="K337" s="16" t="b">
        <x:v>0</x:v>
      </x:c>
      <x:c r="L337" s="11" t="n">
        <x:v>0</x:v>
      </x:c>
      <x:c r="M337" s="11" t="n">
        <x:v>4</x:v>
      </x:c>
      <x:c r="N337" s="4"/>
      <x:c r="O337" s="4"/>
      <x:c r="P337" s="11" t="n">
        <x:v>6</x:v>
      </x:c>
      <x:c r="Q337" s="11" t="n">
        <x:v>5</x:v>
      </x:c>
      <x:c r="R337" s="11" t="n">
        <x:f>IF(OR(P337="",Q337=""),"",Q337-P337)</x:f>
        <x:v>-1</x:v>
      </x:c>
      <x:c r="S337" s="13" t="n">
        <x:f>IF(OR(P337="",Q337="",P337=0),"",((Q337/30)/(P337/31))-1)</x:f>
        <x:v>-0.13888888888888895</x:v>
      </x:c>
      <x:c r="T337" s="11" t="n">
        <x:v>270</x:v>
      </x:c>
      <x:c r="U337" s="11" t="n">
        <x:v>254</x:v>
      </x:c>
      <x:c r="V337" s="14" t="n">
        <x:v>0.01968503937007874</x:v>
      </x:c>
      <x:c r="W337" s="12" t="n">
        <x:v>6.744094488188976</x:v>
      </x:c>
      <x:c r="X337" s="11" t="n">
        <x:v>8</x:v>
      </x:c>
      <x:c r="Y337" s="11" t="n">
        <x:v>7</x:v>
      </x:c>
      <x:c r="Z337" s="4" t="str">
        <x:v>https://blog.skyairline.com/primavera-en-chile/</x:v>
      </x:c>
      <x:c r="AA337" s="4" t="str">
        <x:v>https://blog.skyairline.com/primavera-en-chile/</x:v>
      </x:c>
      <x:c r="AB337" s="4" t="str">
        <x:v>Coincidencia URL</x:v>
      </x:c>
      <x:c r="AC337" s="4" t="str">
        <x:v>Publicado hasta septiembre</x:v>
      </x:c>
      <x:c r="AD337" s="4" t="str">
        <x:v>/primavera-en-chile/</x:v>
      </x:c>
      <x:c r="AE337" s="4"/>
      <x:c r="AF337" s="16" t="b">
        <x:v>0</x:v>
      </x:c>
    </x:row>
    <x:row r="338" ht="44" customHeight="1">
      <x:c r="A338" s="4" t="n">
        <x:v>2403</x:v>
      </x:c>
      <x:c r="B338" s="4" t="str">
        <x:v>https://blog.skyairline.com/isla-de-san-andres/</x:v>
      </x:c>
      <x:c r="C338" s="9" t="str">
        <x:v>Isla de San Andrés: ¡Descubre todo lo que necesitas antes de ir!</x:v>
      </x:c>
      <x:c r="D338" s="17" t="d">
        <x:v>2022-10-20T00:00:00.000Z</x:v>
      </x:c>
      <x:c r="E338" s="17" t="d">
        <x:v>2022-10-20T00:00:00.000Z</x:v>
      </x:c>
      <x:c r="F338" s="4" t="str">
        <x:v>Destinos</x:v>
      </x:c>
      <x:c r="G338" s="11" t="n">
        <x:v>1039</x:v>
      </x:c>
      <x:c r="H338" s="11" t="n">
        <x:v>200</x:v>
      </x:c>
      <x:c r="I338" s="11" t="n">
        <x:v>1</x:v>
      </x:c>
      <x:c r="J338" s="4" t="str">
        <x:v>https://blog.skyairline.com/isla-de-san-andres/</x:v>
      </x:c>
      <x:c r="K338" s="16" t="b">
        <x:v>0</x:v>
      </x:c>
      <x:c r="L338" s="11" t="n">
        <x:v>0</x:v>
      </x:c>
      <x:c r="M338" s="11" t="n">
        <x:v>5</x:v>
      </x:c>
      <x:c r="N338" s="4"/>
      <x:c r="O338" s="4"/>
      <x:c r="P338" s="11" t="n">
        <x:v>7</x:v>
      </x:c>
      <x:c r="Q338" s="11" t="n">
        <x:v>5</x:v>
      </x:c>
      <x:c r="R338" s="11" t="n">
        <x:f>IF(OR(P338="",Q338=""),"",Q338-P338)</x:f>
        <x:v>-2</x:v>
      </x:c>
      <x:c r="S338" s="13" t="n">
        <x:f>IF(OR(P338="",Q338="",P338=0),"",((Q338/30)/(P338/31))-1)</x:f>
        <x:v>-0.261904761904762</x:v>
      </x:c>
      <x:c r="T338" s="11" t="n">
        <x:v>154</x:v>
      </x:c>
      <x:c r="U338" s="11" t="n">
        <x:v>57</x:v>
      </x:c>
      <x:c r="V338" s="14" t="n">
        <x:v>0.08771929824561403</x:v>
      </x:c>
      <x:c r="W338" s="12" t="n">
        <x:v>6.578947368421052</x:v>
      </x:c>
      <x:c r="X338" s="11" t="n">
        <x:v>5</x:v>
      </x:c>
      <x:c r="Y338" s="11" t="n">
        <x:v>7</x:v>
      </x:c>
      <x:c r="Z338" s="4" t="str">
        <x:v>https://blog.skyairline.com/isla-de-san-andres/</x:v>
      </x:c>
      <x:c r="AA338" s="4" t="str">
        <x:v>https://blog.skyairline.com/isla-de-san-andres/</x:v>
      </x:c>
      <x:c r="AB338" s="4" t="str">
        <x:v>Coincidencia URL</x:v>
      </x:c>
      <x:c r="AC338" s="4" t="str">
        <x:v>Publicado hasta septiembre</x:v>
      </x:c>
      <x:c r="AD338" s="4" t="str">
        <x:v>/isla-de-san-andres/</x:v>
      </x:c>
      <x:c r="AE338" s="4"/>
      <x:c r="AF338" s="16" t="b">
        <x:v>1</x:v>
      </x:c>
    </x:row>
    <x:row r="339" ht="44" customHeight="1">
      <x:c r="A339" s="4" t="n">
        <x:v>2952</x:v>
      </x:c>
      <x:c r="B339" s="4" t="str">
        <x:v>https://blog.skyairline.com/catedral-de-tacna/</x:v>
      </x:c>
      <x:c r="C339" s="9" t="str">
        <x:v>Catedral de Tacna: conoce su fascinante historia</x:v>
      </x:c>
      <x:c r="D339" s="17" t="d">
        <x:v>2023-05-24T00:00:00.000Z</x:v>
      </x:c>
      <x:c r="E339" s="17" t="d">
        <x:v>2023-05-24T00:00:00.000Z</x:v>
      </x:c>
      <x:c r="F339" s="4" t="str">
        <x:v>Cultura</x:v>
      </x:c>
      <x:c r="G339" s="11" t="n">
        <x:v>1020</x:v>
      </x:c>
      <x:c r="H339" s="11" t="n">
        <x:v>200</x:v>
      </x:c>
      <x:c r="I339" s="11" t="n">
        <x:v>1</x:v>
      </x:c>
      <x:c r="J339" s="4" t="str">
        <x:v>https://blog.skyairline.com/catedral-de-tacna/</x:v>
      </x:c>
      <x:c r="K339" s="16" t="b">
        <x:v>0</x:v>
      </x:c>
      <x:c r="L339" s="11" t="n">
        <x:v>0</x:v>
      </x:c>
      <x:c r="M339" s="11" t="n">
        <x:v>4</x:v>
      </x:c>
      <x:c r="N339" s="4"/>
      <x:c r="O339" s="4"/>
      <x:c r="P339" s="11" t="n">
        <x:v>36</x:v>
      </x:c>
      <x:c r="Q339" s="11" t="n">
        <x:v>5</x:v>
      </x:c>
      <x:c r="R339" s="11" t="n">
        <x:f>IF(OR(P339="",Q339=""),"",Q339-P339)</x:f>
        <x:v>-31</x:v>
      </x:c>
      <x:c r="S339" s="13" t="n">
        <x:f>IF(OR(P339="",Q339="",P339=0),"",((Q339/30)/(P339/31))-1)</x:f>
        <x:v>-0.8564814814814815</x:v>
      </x:c>
      <x:c r="T339" s="11" t="n">
        <x:v>5878</x:v>
      </x:c>
      <x:c r="U339" s="11" t="n">
        <x:v>2418</x:v>
      </x:c>
      <x:c r="V339" s="14" t="n">
        <x:v>0.0020678246484698098</x:v>
      </x:c>
      <x:c r="W339" s="12" t="n">
        <x:v>6.920595533498759</x:v>
      </x:c>
      <x:c r="X339" s="11" t="n">
        <x:v>9</x:v>
      </x:c>
      <x:c r="Y339" s="11" t="n">
        <x:v>8</x:v>
      </x:c>
      <x:c r="Z339" s="4" t="str">
        <x:v>https://blog.skyairline.com/catedral-de-tacna/</x:v>
      </x:c>
      <x:c r="AA339" s="4" t="str">
        <x:v>https://blog.skyairline.com/catedral-de-tacna/</x:v>
      </x:c>
      <x:c r="AB339" s="4" t="str">
        <x:v>Coincidencia URL</x:v>
      </x:c>
      <x:c r="AC339" s="4" t="str">
        <x:v>Publicado hasta septiembre</x:v>
      </x:c>
      <x:c r="AD339" s="4" t="str">
        <x:v>/catedral-de-tacna/</x:v>
      </x:c>
      <x:c r="AE339" s="4"/>
      <x:c r="AF339" s="16" t="b">
        <x:v>0</x:v>
      </x:c>
    </x:row>
    <x:row r="340" ht="44" customHeight="1">
      <x:c r="A340" s="4" t="n">
        <x:v>2955</x:v>
      </x:c>
      <x:c r="B340" s="4" t="str">
        <x:v>https://blog.skyairline.com/lami-e-ipanema/</x:v>
      </x:c>
      <x:c r="C340" s="9" t="str">
        <x:v>Lami e Ipanema: las playas de agua dulce más conocidas de Porto Alegre</x:v>
      </x:c>
      <x:c r="D340" s="17" t="d">
        <x:v>2023-05-25T00:00:00.000Z</x:v>
      </x:c>
      <x:c r="E340" s="17" t="d">
        <x:v>2023-05-25T00:00:00.000Z</x:v>
      </x:c>
      <x:c r="F340" s="4" t="str">
        <x:v>Destinos</x:v>
      </x:c>
      <x:c r="G340" s="11" t="n">
        <x:v>1039</x:v>
      </x:c>
      <x:c r="H340" s="11" t="n">
        <x:v>200</x:v>
      </x:c>
      <x:c r="I340" s="11" t="n">
        <x:v>1</x:v>
      </x:c>
      <x:c r="J340" s="4" t="str">
        <x:v>https://blog.skyairline.com/lami-e-ipanema/</x:v>
      </x:c>
      <x:c r="K340" s="16" t="b">
        <x:v>0</x:v>
      </x:c>
      <x:c r="L340" s="11" t="n">
        <x:v>0</x:v>
      </x:c>
      <x:c r="M340" s="11" t="n">
        <x:v>1</x:v>
      </x:c>
      <x:c r="N340" s="4"/>
      <x:c r="O340" s="4"/>
      <x:c r="P340" s="11" t="n">
        <x:v>0</x:v>
      </x:c>
      <x:c r="Q340" s="11" t="n">
        <x:v>5</x:v>
      </x:c>
      <x:c r="R340" s="11" t="str">
        <x:f>IF(OR(P340="",Q340=""),"",Q340-P340)</x:f>
      </x:c>
      <x:c r="S340" s="13" t="str">
        <x:f>IF(OR(P340="",Q340="",P340=0),"",((Q340/30)/(P340/31))-1)</x:f>
      </x:c>
      <x:c r="T340" s="11" t="n">
        <x:v>466</x:v>
      </x:c>
      <x:c r="U340" s="11" t="n">
        <x:v>380</x:v>
      </x:c>
      <x:c r="V340" s="14" t="n">
        <x:v>0.013157894736842105</x:v>
      </x:c>
      <x:c r="W340" s="12" t="n">
        <x:v>9.531578947368422</x:v>
      </x:c>
      <x:c r="X340" s="11" t="n">
        <x:v>5</x:v>
      </x:c>
      <x:c r="Y340" s="11" t="n">
        <x:v>5</x:v>
      </x:c>
      <x:c r="Z340" s="4" t="str">
        <x:v>https://blog.skyairline.com/lami-e-ipanema/</x:v>
      </x:c>
      <x:c r="AA340" s="4" t="str">
        <x:v>https://blog.skyairline.com/lami-e-ipanema/</x:v>
      </x:c>
      <x:c r="AB340" s="4" t="str">
        <x:v>Coincidencia URL</x:v>
      </x:c>
      <x:c r="AC340" s="4" t="str">
        <x:v>Publicado hasta septiembre</x:v>
      </x:c>
      <x:c r="AD340" s="4" t="str">
        <x:v>/lami-e-ipanema/</x:v>
      </x:c>
      <x:c r="AE340" s="4"/>
      <x:c r="AF340" s="16" t="b">
        <x:v>0</x:v>
      </x:c>
    </x:row>
    <x:row r="341" ht="44" customHeight="1">
      <x:c r="A341" s="4" t="n">
        <x:v>2964</x:v>
      </x:c>
      <x:c r="B341" s="4" t="str">
        <x:v>https://blog.skyairline.com/petroglificos-de-miculla/</x:v>
      </x:c>
      <x:c r="C341" s="9" t="str">
        <x:v>Petroglifos de Miculla: ¿qué es y cómo llegar a este lugar de Tacna?</x:v>
      </x:c>
      <x:c r="D341" s="17" t="d">
        <x:v>2023-05-30T00:00:00.000Z</x:v>
      </x:c>
      <x:c r="E341" s="17" t="d">
        <x:v>2023-05-30T00:00:00.000Z</x:v>
      </x:c>
      <x:c r="F341" s="4" t="str">
        <x:v>Destinos</x:v>
      </x:c>
      <x:c r="G341" s="11" t="n">
        <x:v>1010</x:v>
      </x:c>
      <x:c r="H341" s="11" t="n">
        <x:v>200</x:v>
      </x:c>
      <x:c r="I341" s="11" t="n">
        <x:v>1</x:v>
      </x:c>
      <x:c r="J341" s="4" t="str">
        <x:v>https://blog.skyairline.com/petroglificos-de-miculla/</x:v>
      </x:c>
      <x:c r="K341" s="16" t="b">
        <x:v>0</x:v>
      </x:c>
      <x:c r="L341" s="11" t="n">
        <x:v>0</x:v>
      </x:c>
      <x:c r="M341" s="11" t="n">
        <x:v>3</x:v>
      </x:c>
      <x:c r="N341" s="4"/>
      <x:c r="O341" s="4"/>
      <x:c r="P341" s="11" t="n">
        <x:v>5</x:v>
      </x:c>
      <x:c r="Q341" s="11" t="n">
        <x:v>5</x:v>
      </x:c>
      <x:c r="R341" s="11" t="n">
        <x:f>IF(OR(P341="",Q341=""),"",Q341-P341)</x:f>
        <x:v>0</x:v>
      </x:c>
      <x:c r="S341" s="13" t="n">
        <x:f>IF(OR(P341="",Q341="",P341=0),"",((Q341/30)/(P341/31))-1)</x:f>
        <x:v>0.033333333333333215</x:v>
      </x:c>
      <x:c r="T341" s="11" t="n">
        <x:v>701</x:v>
      </x:c>
      <x:c r="U341" s="11" t="n">
        <x:v>330</x:v>
      </x:c>
      <x:c r="V341" s="14" t="n">
        <x:v>0.015151515151515152</x:v>
      </x:c>
      <x:c r="W341" s="12" t="n">
        <x:v>7.906060606060606</x:v>
      </x:c>
      <x:c r="X341" s="11" t="n">
        <x:v>5</x:v>
      </x:c>
      <x:c r="Y341" s="11" t="n">
        <x:v>7</x:v>
      </x:c>
      <x:c r="Z341" s="4" t="str">
        <x:v>https://blog.skyairline.com/petroglificos-de-miculla/</x:v>
      </x:c>
      <x:c r="AA341" s="4" t="str">
        <x:v>https://blog.skyairline.com/petroglificos-de-miculla/</x:v>
      </x:c>
      <x:c r="AB341" s="4" t="str">
        <x:v>Coincidencia URL</x:v>
      </x:c>
      <x:c r="AC341" s="4" t="str">
        <x:v>Publicado hasta septiembre</x:v>
      </x:c>
      <x:c r="AD341" s="4" t="str">
        <x:v>/petroglificos-de-miculla/</x:v>
      </x:c>
      <x:c r="AE341" s="4"/>
      <x:c r="AF341" s="16" t="b">
        <x:v>0</x:v>
      </x:c>
    </x:row>
    <x:row r="342" ht="44" customHeight="1">
      <x:c r="A342" s="4" t="n">
        <x:v>3207</x:v>
      </x:c>
      <x:c r="B342" s="4" t="str">
        <x:v>https://blog.skyairline.com/esquiar-en-bariloche/</x:v>
      </x:c>
      <x:c r="C342" s="9" t="str">
        <x:v>¿Dónde esquiar en Bariloche? 4 lugares ideales</x:v>
      </x:c>
      <x:c r="D342" s="17" t="d">
        <x:v>2024-08-02T00:00:00.000Z</x:v>
      </x:c>
      <x:c r="E342" s="17" t="d">
        <x:v>2024-08-02T00:00:00.000Z</x:v>
      </x:c>
      <x:c r="F342" s="4" t="str">
        <x:v>Bariloche, Destinos</x:v>
      </x:c>
      <x:c r="G342" s="11" t="n">
        <x:v>1106</x:v>
      </x:c>
      <x:c r="H342" s="11" t="n">
        <x:v>200</x:v>
      </x:c>
      <x:c r="I342" s="11" t="n">
        <x:v>1</x:v>
      </x:c>
      <x:c r="J342" s="4" t="str">
        <x:v>https://blog.skyairline.com/esquiar-en-bariloche/</x:v>
      </x:c>
      <x:c r="K342" s="16" t="b">
        <x:v>0</x:v>
      </x:c>
      <x:c r="L342" s="11" t="n">
        <x:v>0</x:v>
      </x:c>
      <x:c r="M342" s="11" t="n">
        <x:v>4</x:v>
      </x:c>
      <x:c r="N342" s="4"/>
      <x:c r="O342" s="4"/>
      <x:c r="P342" s="11" t="n">
        <x:v>14</x:v>
      </x:c>
      <x:c r="Q342" s="11" t="n">
        <x:v>5</x:v>
      </x:c>
      <x:c r="R342" s="11" t="n">
        <x:f>IF(OR(P342="",Q342=""),"",Q342-P342)</x:f>
        <x:v>-9</x:v>
      </x:c>
      <x:c r="S342" s="13" t="n">
        <x:f>IF(OR(P342="",Q342="",P342=0),"",((Q342/30)/(P342/31))-1)</x:f>
        <x:v>-0.6309523809523809</x:v>
      </x:c>
      <x:c r="T342" s="11" t="n">
        <x:v>1174</x:v>
      </x:c>
      <x:c r="U342" s="11" t="n">
        <x:v>424</x:v>
      </x:c>
      <x:c r="V342" s="14" t="n">
        <x:v>0.01179245283018868</x:v>
      </x:c>
      <x:c r="W342" s="12" t="n">
        <x:v>11.568396226415095</x:v>
      </x:c>
      <x:c r="X342" s="11" t="n">
        <x:v>6</x:v>
      </x:c>
      <x:c r="Y342" s="11" t="n">
        <x:v>6</x:v>
      </x:c>
      <x:c r="Z342" s="4" t="str">
        <x:v>https://blog.skyairline.com/esquiar-en-bariloche/</x:v>
      </x:c>
      <x:c r="AA342" s="4" t="str">
        <x:v>https://blog.skyairline.com/esquiar-en-bariloche/</x:v>
      </x:c>
      <x:c r="AB342" s="4" t="str">
        <x:v>Coincidencia URL</x:v>
      </x:c>
      <x:c r="AC342" s="4" t="str">
        <x:v>Publicado hasta septiembre</x:v>
      </x:c>
      <x:c r="AD342" s="4" t="str">
        <x:v>/esquiar-en-bariloche/</x:v>
      </x:c>
      <x:c r="AE342" s="4"/>
      <x:c r="AF342" s="16" t="b">
        <x:v>1</x:v>
      </x:c>
    </x:row>
    <x:row r="343" ht="44" customHeight="1">
      <x:c r="A343" s="4" t="n">
        <x:v>3307</x:v>
      </x:c>
      <x:c r="B343" s="4" t="str">
        <x:v>https://blog.skyairline.com/clima-del-desierto-de-atacama/</x:v>
      </x:c>
      <x:c r="C343" s="9" t="str">
        <x:v>Conoce el clima el desierto de Atacama y cuándo es mejor visitarlo</x:v>
      </x:c>
      <x:c r="D343" s="17" t="d">
        <x:v>2025-09-05T00:00:00.000Z</x:v>
      </x:c>
      <x:c r="E343" s="17" t="d">
        <x:v>2026-01-12T00:00:00.000Z</x:v>
      </x:c>
      <x:c r="F343" s="4" t="str">
        <x:v>Planificación de Viaje</x:v>
      </x:c>
      <x:c r="G343" s="11" t="n">
        <x:v>1128</x:v>
      </x:c>
      <x:c r="H343" s="11" t="n">
        <x:v>200</x:v>
      </x:c>
      <x:c r="I343" s="11" t="n">
        <x:v>1</x:v>
      </x:c>
      <x:c r="J343" s="4" t="str">
        <x:v>https://blog.skyairline.com/clima-del-desierto-de-atacama/</x:v>
      </x:c>
      <x:c r="K343" s="16" t="b">
        <x:v>0</x:v>
      </x:c>
      <x:c r="L343" s="11" t="n">
        <x:v>0</x:v>
      </x:c>
      <x:c r="M343" s="11" t="n">
        <x:v>0</x:v>
      </x:c>
      <x:c r="N343" s="4"/>
      <x:c r="O343" s="4"/>
      <x:c r="P343" s="11" t="n">
        <x:v>7</x:v>
      </x:c>
      <x:c r="Q343" s="11" t="n">
        <x:v>5</x:v>
      </x:c>
      <x:c r="R343" s="11" t="n">
        <x:f>IF(OR(P343="",Q343=""),"",Q343-P343)</x:f>
        <x:v>-2</x:v>
      </x:c>
      <x:c r="S343" s="13" t="n">
        <x:f>IF(OR(P343="",Q343="",P343=0),"",((Q343/30)/(P343/31))-1)</x:f>
        <x:v>-0.261904761904762</x:v>
      </x:c>
      <x:c r="T343" s="11" t="n">
        <x:v>2582</x:v>
      </x:c>
      <x:c r="U343" s="11" t="n">
        <x:v>1407</x:v>
      </x:c>
      <x:c r="V343" s="14" t="n">
        <x:v>0.0035536602700781805</x:v>
      </x:c>
      <x:c r="W343" s="12" t="n">
        <x:v>7.975124378109452</x:v>
      </x:c>
      <x:c r="X343" s="11" t="n">
        <x:v>5</x:v>
      </x:c>
      <x:c r="Y343" s="11" t="n">
        <x:v>5</x:v>
      </x:c>
      <x:c r="Z343" s="4" t="str">
        <x:v>https://blog.skyairline.com/clima-del-desierto-de-atacama/</x:v>
      </x:c>
      <x:c r="AA343" s="4" t="str">
        <x:v>https://blog.skyairline.com/clima-del-desierto-de-atacama/</x:v>
      </x:c>
      <x:c r="AB343" s="4" t="str">
        <x:v>Coincidencia URL</x:v>
      </x:c>
      <x:c r="AC343" s="4" t="str">
        <x:v>Publicado hasta septiembre</x:v>
      </x:c>
      <x:c r="AD343" s="4" t="str">
        <x:v>/clima-del-desierto-de-atacama/</x:v>
      </x:c>
      <x:c r="AE343" s="4"/>
      <x:c r="AF343" s="16" t="b">
        <x:v>0</x:v>
      </x:c>
    </x:row>
    <x:row r="344" ht="44" customHeight="1">
      <x:c r="A344" s="4" t="n">
        <x:v>3325</x:v>
      </x:c>
      <x:c r="B344" s="4" t="str">
        <x:v>https://blog.skyairline.com/el-tiempo-en-florianopolis/</x:v>
      </x:c>
      <x:c r="C344" s="9" t="str">
        <x:v>Aprovecha el tiempo en Florianópolis conociendo su mejor época para visitar</x:v>
      </x:c>
      <x:c r="D344" s="17" t="d">
        <x:v>2025-11-12T00:00:00.000Z</x:v>
      </x:c>
      <x:c r="E344" s="17" t="d">
        <x:v>2026-01-12T00:00:00.000Z</x:v>
      </x:c>
      <x:c r="F344" s="4" t="str">
        <x:v>Destinos, Florianópolis</x:v>
      </x:c>
      <x:c r="G344" s="11" t="n">
        <x:v>1074</x:v>
      </x:c>
      <x:c r="H344" s="11" t="n">
        <x:v>200</x:v>
      </x:c>
      <x:c r="I344" s="11" t="n">
        <x:v>1</x:v>
      </x:c>
      <x:c r="J344" s="4" t="str">
        <x:v>https://blog.skyairline.com/el-tiempo-en-florianopolis/</x:v>
      </x:c>
      <x:c r="K344" s="16" t="b">
        <x:v>0</x:v>
      </x:c>
      <x:c r="L344" s="11" t="n">
        <x:v>0</x:v>
      </x:c>
      <x:c r="M344" s="11" t="n">
        <x:v>0</x:v>
      </x:c>
      <x:c r="N344" s="4"/>
      <x:c r="O344" s="4"/>
      <x:c r="P344" s="11" t="n">
        <x:v>18</x:v>
      </x:c>
      <x:c r="Q344" s="11" t="n">
        <x:v>5</x:v>
      </x:c>
      <x:c r="R344" s="11" t="n">
        <x:f>IF(OR(P344="",Q344=""),"",Q344-P344)</x:f>
        <x:v>-13</x:v>
      </x:c>
      <x:c r="S344" s="13" t="n">
        <x:f>IF(OR(P344="",Q344="",P344=0),"",((Q344/30)/(P344/31))-1)</x:f>
        <x:v>-0.712962962962963</x:v>
      </x:c>
      <x:c r="T344" s="11" t="n">
        <x:v>9778</x:v>
      </x:c>
      <x:c r="U344" s="11" t="n">
        <x:v>2693</x:v>
      </x:c>
      <x:c r="V344" s="14" t="n">
        <x:v>0.001856665428889714</x:v>
      </x:c>
      <x:c r="W344" s="12" t="n">
        <x:v>9.838841440772374</x:v>
      </x:c>
      <x:c r="X344" s="11" t="n">
        <x:v>6</x:v>
      </x:c>
      <x:c r="Y344" s="11" t="n">
        <x:v>8</x:v>
      </x:c>
      <x:c r="Z344" s="4" t="str">
        <x:v>https://blog.skyairline.com/el-tiempo-en-florianopolis/</x:v>
      </x:c>
      <x:c r="AA344" s="4" t="str">
        <x:v>https://blog.skyairline.com/el-tiempo-en-florianopolis/</x:v>
      </x:c>
      <x:c r="AB344" s="4" t="str">
        <x:v>Coincidencia URL</x:v>
      </x:c>
      <x:c r="AC344" s="4" t="str">
        <x:v>Publicado hasta septiembre</x:v>
      </x:c>
      <x:c r="AD344" s="4" t="str">
        <x:v>/el-tiempo-en-florianopolis/</x:v>
      </x:c>
      <x:c r="AE344" s="4"/>
      <x:c r="AF344" s="16" t="b">
        <x:v>0</x:v>
      </x:c>
    </x:row>
    <x:row r="345" ht="44" customHeight="1">
      <x:c r="A345" s="4" t="n">
        <x:v>3544</x:v>
      </x:c>
      <x:c r="B345" s="4" t="str">
        <x:v>https://blog.skyairline.com/paises-caribe/</x:v>
      </x:c>
      <x:c r="C345" s="9" t="str">
        <x:v>Países del Caribe: Conoce los mejores para visitar y qué tienen para ofrecer</x:v>
      </x:c>
      <x:c r="D345" s="17" t="d">
        <x:v>2023-10-19T00:00:00.000Z</x:v>
      </x:c>
      <x:c r="E345" s="17" t="d">
        <x:v>2023-10-19T00:00:00.000Z</x:v>
      </x:c>
      <x:c r="F345" s="4" t="str">
        <x:v>Destinos</x:v>
      </x:c>
      <x:c r="G345" s="11" t="n">
        <x:v>1105</x:v>
      </x:c>
      <x:c r="H345" s="11" t="n">
        <x:v>200</x:v>
      </x:c>
      <x:c r="I345" s="11" t="n">
        <x:v>1</x:v>
      </x:c>
      <x:c r="J345" s="4" t="str">
        <x:v>https://blog.skyairline.com/paises-caribe/</x:v>
      </x:c>
      <x:c r="K345" s="16" t="b">
        <x:v>0</x:v>
      </x:c>
      <x:c r="L345" s="11" t="n">
        <x:v>0</x:v>
      </x:c>
      <x:c r="M345" s="11" t="n">
        <x:v>8</x:v>
      </x:c>
      <x:c r="N345" s="4"/>
      <x:c r="O345" s="4"/>
      <x:c r="P345" s="11" t="n">
        <x:v>5</x:v>
      </x:c>
      <x:c r="Q345" s="11" t="n">
        <x:v>5</x:v>
      </x:c>
      <x:c r="R345" s="11" t="n">
        <x:f>IF(OR(P345="",Q345=""),"",Q345-P345)</x:f>
        <x:v>0</x:v>
      </x:c>
      <x:c r="S345" s="13" t="n">
        <x:f>IF(OR(P345="",Q345="",P345=0),"",((Q345/30)/(P345/31))-1)</x:f>
        <x:v>0.033333333333333215</x:v>
      </x:c>
      <x:c r="T345" s="11" t="n">
        <x:v>3137</x:v>
      </x:c>
      <x:c r="U345" s="11" t="n">
        <x:v>1778</x:v>
      </x:c>
      <x:c r="V345" s="14" t="n">
        <x:v>0.00281214848143982</x:v>
      </x:c>
      <x:c r="W345" s="12" t="n">
        <x:v>14.58323959505062</x:v>
      </x:c>
      <x:c r="X345" s="11" t="n">
        <x:v>7</x:v>
      </x:c>
      <x:c r="Y345" s="11" t="n">
        <x:v>9</x:v>
      </x:c>
      <x:c r="Z345" s="4" t="str">
        <x:v>https://blog.skyairline.com/paises-caribe/</x:v>
      </x:c>
      <x:c r="AA345" s="4" t="str">
        <x:v>https://blog.skyairline.com/paises-caribe/</x:v>
      </x:c>
      <x:c r="AB345" s="4" t="str">
        <x:v>Coincidencia URL</x:v>
      </x:c>
      <x:c r="AC345" s="4" t="str">
        <x:v>Publicado hasta septiembre</x:v>
      </x:c>
      <x:c r="AD345" s="4" t="str">
        <x:v>/paises-caribe/</x:v>
      </x:c>
      <x:c r="AE345" s="4"/>
      <x:c r="AF345" s="16" t="b">
        <x:v>0</x:v>
      </x:c>
    </x:row>
    <x:row r="346" ht="44" customHeight="1">
      <x:c r="A346" s="4" t="n">
        <x:v>4631</x:v>
      </x:c>
      <x:c r="B346" s="4" t="str">
        <x:v>https://blog.skyairline.com/rioja-peru/</x:v>
      </x:c>
      <x:c r="C346" s="9" t="str">
        <x:v>Rioja, Perú: un destino para los amantes de la naturaleza y la aventura</x:v>
      </x:c>
      <x:c r="D346" s="17" t="d">
        <x:v>2024-05-30T00:00:00.000Z</x:v>
      </x:c>
      <x:c r="E346" s="17" t="d">
        <x:v>2024-05-30T00:00:00.000Z</x:v>
      </x:c>
      <x:c r="F346" s="4" t="str">
        <x:v>Destinos</x:v>
      </x:c>
      <x:c r="G346" s="11" t="n">
        <x:v>1969</x:v>
      </x:c>
      <x:c r="H346" s="11" t="n">
        <x:v>200</x:v>
      </x:c>
      <x:c r="I346" s="11" t="n">
        <x:v>1</x:v>
      </x:c>
      <x:c r="J346" s="4" t="str">
        <x:v>https://blog.skyairline.com/rioja-peru/</x:v>
      </x:c>
      <x:c r="K346" s="16" t="b">
        <x:v>0</x:v>
      </x:c>
      <x:c r="L346" s="11" t="n">
        <x:v>0</x:v>
      </x:c>
      <x:c r="M346" s="11" t="n">
        <x:v>3</x:v>
      </x:c>
      <x:c r="N346" s="4"/>
      <x:c r="O346" s="4"/>
      <x:c r="P346" s="11" t="n">
        <x:v>4</x:v>
      </x:c>
      <x:c r="Q346" s="11" t="n">
        <x:v>5</x:v>
      </x:c>
      <x:c r="R346" s="11" t="n">
        <x:f>IF(OR(P346="",Q346=""),"",Q346-P346)</x:f>
        <x:v>1</x:v>
      </x:c>
      <x:c r="S346" s="13" t="n">
        <x:f>IF(OR(P346="",Q346="",P346=0),"",((Q346/30)/(P346/31))-1)</x:f>
        <x:v>0.29166666666666674</x:v>
      </x:c>
      <x:c r="T346" s="11" t="n">
        <x:v>1813</x:v>
      </x:c>
      <x:c r="U346" s="11" t="n">
        <x:v>956</x:v>
      </x:c>
      <x:c r="V346" s="14" t="n">
        <x:v>0.005230125523012552</x:v>
      </x:c>
      <x:c r="W346" s="12" t="n">
        <x:v>10.548117154811715</x:v>
      </x:c>
      <x:c r="X346" s="11" t="n">
        <x:v>6</x:v>
      </x:c>
      <x:c r="Y346" s="11" t="n">
        <x:v>11</x:v>
      </x:c>
      <x:c r="Z346" s="4" t="str">
        <x:v>https://blog.skyairline.com/rioja-peru/</x:v>
      </x:c>
      <x:c r="AA346" s="4" t="str">
        <x:v>https://blog.skyairline.com/rioja-peru/</x:v>
      </x:c>
      <x:c r="AB346" s="4" t="str">
        <x:v>Coincidencia URL</x:v>
      </x:c>
      <x:c r="AC346" s="4" t="str">
        <x:v>Publicado hasta septiembre</x:v>
      </x:c>
      <x:c r="AD346" s="4" t="str">
        <x:v>/rioja-peru/</x:v>
      </x:c>
      <x:c r="AE346" s="4"/>
      <x:c r="AF346" s="16" t="b">
        <x:v>0</x:v>
      </x:c>
    </x:row>
    <x:row r="347" ht="44" customHeight="1">
      <x:c r="A347" s="4" t="n">
        <x:v>4962</x:v>
      </x:c>
      <x:c r="B347" s="4" t="str">
        <x:v>https://blog.skyairline.com/visa-para-viajar-a-mexico-desde-peru/</x:v>
      </x:c>
      <x:c r="C347" s="9" t="str">
        <x:v>Visa para viajar a México desde Perú: entiende el paso a paso para sacar el permiso</x:v>
      </x:c>
      <x:c r="D347" s="17" t="d">
        <x:v>2024-09-06T00:00:00.000Z</x:v>
      </x:c>
      <x:c r="E347" s="17" t="d">
        <x:v>2024-09-06T00:00:00.000Z</x:v>
      </x:c>
      <x:c r="F347" s="4" t="str">
        <x:v>Planificación de Viaje</x:v>
      </x:c>
      <x:c r="G347" s="11" t="n">
        <x:v>1030</x:v>
      </x:c>
      <x:c r="H347" s="11" t="n">
        <x:v>200</x:v>
      </x:c>
      <x:c r="I347" s="11" t="n">
        <x:v>1</x:v>
      </x:c>
      <x:c r="J347" s="4" t="str">
        <x:v>https://blog.skyairline.com/visa-para-viajar-a-mexico-desde-peru/</x:v>
      </x:c>
      <x:c r="K347" s="16" t="b">
        <x:v>0</x:v>
      </x:c>
      <x:c r="L347" s="11" t="n">
        <x:v>0</x:v>
      </x:c>
      <x:c r="M347" s="11" t="n">
        <x:v>4</x:v>
      </x:c>
      <x:c r="N347" s="4"/>
      <x:c r="O347" s="4"/>
      <x:c r="P347" s="11" t="n">
        <x:v>3</x:v>
      </x:c>
      <x:c r="Q347" s="11" t="n">
        <x:v>5</x:v>
      </x:c>
      <x:c r="R347" s="11" t="n">
        <x:f>IF(OR(P347="",Q347=""),"",Q347-P347)</x:f>
        <x:v>2</x:v>
      </x:c>
      <x:c r="S347" s="13" t="n">
        <x:f>IF(OR(P347="",Q347="",P347=0),"",((Q347/30)/(P347/31))-1)</x:f>
        <x:v>0.7222222222222221</x:v>
      </x:c>
      <x:c r="T347" s="11" t="n">
        <x:v>654</x:v>
      </x:c>
      <x:c r="U347" s="11" t="n">
        <x:v>1320</x:v>
      </x:c>
      <x:c r="V347" s="14" t="n">
        <x:v>0.003787878787878788</x:v>
      </x:c>
      <x:c r="W347" s="12" t="n">
        <x:v>10.453787878787878</x:v>
      </x:c>
      <x:c r="X347" s="11" t="n">
        <x:v>6</x:v>
      </x:c>
      <x:c r="Y347" s="11" t="n">
        <x:v>5</x:v>
      </x:c>
      <x:c r="Z347" s="4" t="str">
        <x:v>https://blog.skyairline.com/visa-para-viajar-a-mexico-desde-peru/</x:v>
      </x:c>
      <x:c r="AA347" s="4" t="str">
        <x:v>https://blog.skyairline.com/visa-para-viajar-a-mexico-desde-peru/</x:v>
      </x:c>
      <x:c r="AB347" s="4" t="str">
        <x:v>Coincidencia URL</x:v>
      </x:c>
      <x:c r="AC347" s="4" t="str">
        <x:v>Publicado hasta septiembre</x:v>
      </x:c>
      <x:c r="AD347" s="4" t="str">
        <x:v>/visa-para-viajar-a-mexico-desde-peru/</x:v>
      </x:c>
      <x:c r="AE347" s="4"/>
      <x:c r="AF347" s="16" t="b">
        <x:v>0</x:v>
      </x:c>
    </x:row>
    <x:row r="348" ht="44" customHeight="1">
      <x:c r="A348" s="4" t="n">
        <x:v>5828</x:v>
      </x:c>
      <x:c r="B348" s="4" t="str">
        <x:v>https://blog.skyairline.com/bosque-de-araucarias-en-chile-donde-encontrarlos-y-que-ver/</x:v>
      </x:c>
      <x:c r="C348" s="9" t="str">
        <x:v>Bosque de araucarias en Chile: dónde encontrarlos y qué ver</x:v>
      </x:c>
      <x:c r="D348" s="17" t="d">
        <x:v>2025-10-24T00:00:00.000Z</x:v>
      </x:c>
      <x:c r="E348" s="17" t="d">
        <x:v>2026-01-12T00:00:00.000Z</x:v>
      </x:c>
      <x:c r="F348" s="4" t="str">
        <x:v>Destinos</x:v>
      </x:c>
      <x:c r="G348" s="11" t="n">
        <x:v>1200</x:v>
      </x:c>
      <x:c r="H348" s="11" t="n">
        <x:v>200</x:v>
      </x:c>
      <x:c r="I348" s="11" t="n">
        <x:v>1</x:v>
      </x:c>
      <x:c r="J348" s="4" t="str">
        <x:v>https://blog.skyairline.com/bosque-de-araucarias-en-chile-donde-encontrarlos-y-que-ver/</x:v>
      </x:c>
      <x:c r="K348" s="16" t="b">
        <x:v>0</x:v>
      </x:c>
      <x:c r="L348" s="11" t="n">
        <x:v>0</x:v>
      </x:c>
      <x:c r="M348" s="11" t="n">
        <x:v>0</x:v>
      </x:c>
      <x:c r="N348" s="4"/>
      <x:c r="O348" s="4"/>
      <x:c r="P348" s="11" t="n">
        <x:v>11</x:v>
      </x:c>
      <x:c r="Q348" s="11" t="n">
        <x:v>5</x:v>
      </x:c>
      <x:c r="R348" s="11" t="n">
        <x:f>IF(OR(P348="",Q348=""),"",Q348-P348)</x:f>
        <x:v>-6</x:v>
      </x:c>
      <x:c r="S348" s="13" t="n">
        <x:f>IF(OR(P348="",Q348="",P348=0),"",((Q348/30)/(P348/31))-1)</x:f>
        <x:v>-0.5303030303030303</x:v>
      </x:c>
      <x:c r="T348" s="11" t="n">
        <x:v>1431</x:v>
      </x:c>
      <x:c r="U348" s="11" t="n">
        <x:v>1068</x:v>
      </x:c>
      <x:c r="V348" s="14" t="n">
        <x:v>0.0046816479400749065</x:v>
      </x:c>
      <x:c r="W348" s="12" t="n">
        <x:v>8.02996254681648</x:v>
      </x:c>
      <x:c r="X348" s="11" t="n">
        <x:v>17</x:v>
      </x:c>
      <x:c r="Y348" s="11" t="n">
        <x:v>15</x:v>
      </x:c>
      <x:c r="Z348" s="4" t="str">
        <x:v>https://blog.skyairline.com/bosque-de-araucarias-en-chile-donde-encontrarlos-y-que-ver/</x:v>
      </x:c>
      <x:c r="AA348" s="4" t="str">
        <x:v>https://blog.skyairline.com/bosque-de-araucarias-en-chile-donde-encontrarlos-y-que-ver/
https://blog.skyairline.com/bosque-de-araucarias-en-chile-donde-encontrarlos-y-que-ver</x:v>
      </x:c>
      <x:c r="AB348" s="4" t="str">
        <x:v>Alias slash agregado</x:v>
      </x:c>
      <x:c r="AC348" s="4" t="str">
        <x:v>Publicado hasta septiembre</x:v>
      </x:c>
      <x:c r="AD348" s="4" t="str">
        <x:v>/bosque-de-araucarias-en-chile-donde-encontrarlos-y-que-ver/</x:v>
      </x:c>
      <x:c r="AE348" s="4"/>
      <x:c r="AF348" s="16" t="b">
        <x:v>0</x:v>
      </x:c>
    </x:row>
    <x:row r="349" ht="44" customHeight="1">
      <x:c r="A349" s="4" t="n">
        <x:v>5996</x:v>
      </x:c>
      <x:c r="B349" s="4" t="str">
        <x:v>https://blog.skyairline.com/bahia-principe-guia-de-hoteles-y-experiencias-en-el-caribe/</x:v>
      </x:c>
      <x:c r="C349" s="9" t="str">
        <x:v>Bahía Príncipe: guía de hoteles y experiencias en el Caribe</x:v>
      </x:c>
      <x:c r="D349" s="17" t="d">
        <x:v>2025-05-03T00:00:00.000Z</x:v>
      </x:c>
      <x:c r="E349" s="17" t="d">
        <x:v>2025-05-03T00:00:00.000Z</x:v>
      </x:c>
      <x:c r="F349" s="4" t="str">
        <x:v>Planificación de Viaje</x:v>
      </x:c>
      <x:c r="G349" s="11" t="n">
        <x:v>981</x:v>
      </x:c>
      <x:c r="H349" s="11" t="n">
        <x:v>200</x:v>
      </x:c>
      <x:c r="I349" s="11" t="n">
        <x:v>1</x:v>
      </x:c>
      <x:c r="J349" s="4" t="str">
        <x:v>https://blog.skyairline.com/bahia-principe-guia-de-hoteles-y-experiencias-en-el-caribe/</x:v>
      </x:c>
      <x:c r="K349" s="16" t="b">
        <x:v>0</x:v>
      </x:c>
      <x:c r="L349" s="11" t="n">
        <x:v>0</x:v>
      </x:c>
      <x:c r="M349" s="11" t="n">
        <x:v>0</x:v>
      </x:c>
      <x:c r="N349" s="4"/>
      <x:c r="O349" s="4"/>
      <x:c r="P349" s="11" t="n">
        <x:v>2</x:v>
      </x:c>
      <x:c r="Q349" s="11" t="n">
        <x:v>5</x:v>
      </x:c>
      <x:c r="R349" s="11" t="n">
        <x:f>IF(OR(P349="",Q349=""),"",Q349-P349)</x:f>
        <x:v>3</x:v>
      </x:c>
      <x:c r="S349" s="13" t="n">
        <x:f>IF(OR(P349="",Q349="",P349=0),"",((Q349/30)/(P349/31))-1)</x:f>
        <x:v>1.5833333333333335</x:v>
      </x:c>
      <x:c r="T349" s="11" t="n">
        <x:v>1237</x:v>
      </x:c>
      <x:c r="U349" s="11" t="n">
        <x:v>2034</x:v>
      </x:c>
      <x:c r="V349" s="14" t="n">
        <x:v>0.0024582104228121925</x:v>
      </x:c>
      <x:c r="W349" s="12" t="n">
        <x:v>7.675024582104228</x:v>
      </x:c>
      <x:c r="X349" s="11" t="n">
        <x:v>4</x:v>
      </x:c>
      <x:c r="Y349" s="11" t="n">
        <x:v>4</x:v>
      </x:c>
      <x:c r="Z349" s="4" t="str">
        <x:v>https://blog.skyairline.com/bahia-principe-guia-de-hoteles-y-experiencias-en-el-caribe/</x:v>
      </x:c>
      <x:c r="AA349" s="4" t="str">
        <x:v>https://blog.skyairline.com/bahia-principe-guia-de-hoteles-y-experiencias-en-el-caribe/</x:v>
      </x:c>
      <x:c r="AB349" s="4" t="str">
        <x:v>Coincidencia URL</x:v>
      </x:c>
      <x:c r="AC349" s="4" t="str">
        <x:v>Publicado hasta septiembre</x:v>
      </x:c>
      <x:c r="AD349" s="4" t="str">
        <x:v>/bahia-principe-guia-de-hoteles-y-experiencias-en-el-caribe/</x:v>
      </x:c>
      <x:c r="AE349" s="4"/>
      <x:c r="AF349" s="16" t="b">
        <x:v>0</x:v>
      </x:c>
    </x:row>
    <x:row r="350" ht="44" customHeight="1">
      <x:c r="A350" s="4" t="n">
        <x:v>6041</x:v>
      </x:c>
      <x:c r="B350" s="4" t="str">
        <x:v>https://blog.skyairline.com/descubre-las-fiestas-religiosas-de-chile-mas-famosas/</x:v>
      </x:c>
      <x:c r="C350" s="9" t="str">
        <x:v>Descubre las fiestas religiosas de Chile más famosas</x:v>
      </x:c>
      <x:c r="D350" s="17" t="d">
        <x:v>2025-05-16T00:00:00.000Z</x:v>
      </x:c>
      <x:c r="E350" s="17" t="d">
        <x:v>2025-05-16T00:00:00.000Z</x:v>
      </x:c>
      <x:c r="F350" s="4" t="str">
        <x:v>Cultura</x:v>
      </x:c>
      <x:c r="G350" s="11" t="n">
        <x:v>1188</x:v>
      </x:c>
      <x:c r="H350" s="11" t="n">
        <x:v>200</x:v>
      </x:c>
      <x:c r="I350" s="11" t="n">
        <x:v>1</x:v>
      </x:c>
      <x:c r="J350" s="4" t="str">
        <x:v>https://blog.skyairline.com/descubre-las-fiestas-religiosas-de-chile-mas-famosas/</x:v>
      </x:c>
      <x:c r="K350" s="16" t="b">
        <x:v>0</x:v>
      </x:c>
      <x:c r="L350" s="11" t="n">
        <x:v>0</x:v>
      </x:c>
      <x:c r="M350" s="11" t="n">
        <x:v>3</x:v>
      </x:c>
      <x:c r="N350" s="4"/>
      <x:c r="O350" s="4"/>
      <x:c r="P350" s="11" t="n">
        <x:v>6</x:v>
      </x:c>
      <x:c r="Q350" s="11" t="n">
        <x:v>5</x:v>
      </x:c>
      <x:c r="R350" s="11" t="n">
        <x:f>IF(OR(P350="",Q350=""),"",Q350-P350)</x:f>
        <x:v>-1</x:v>
      </x:c>
      <x:c r="S350" s="13" t="n">
        <x:f>IF(OR(P350="",Q350="",P350=0),"",((Q350/30)/(P350/31))-1)</x:f>
        <x:v>-0.13888888888888895</x:v>
      </x:c>
      <x:c r="T350" s="11" t="n">
        <x:v>1316</x:v>
      </x:c>
      <x:c r="U350" s="11" t="n">
        <x:v>1527</x:v>
      </x:c>
      <x:c r="V350" s="14" t="n">
        <x:v>0.0032743942370661427</x:v>
      </x:c>
      <x:c r="W350" s="12" t="n">
        <x:v>5.747216764898494</x:v>
      </x:c>
      <x:c r="X350" s="11" t="n">
        <x:v>6</x:v>
      </x:c>
      <x:c r="Y350" s="11" t="n">
        <x:v>8</x:v>
      </x:c>
      <x:c r="Z350" s="4" t="str">
        <x:v>https://blog.skyairline.com/descubre-las-fiestas-religiosas-de-chile-mas-famosas/</x:v>
      </x:c>
      <x:c r="AA350" s="4" t="str">
        <x:v>https://blog.skyairline.com/descubre-las-fiestas-religiosas-de-chile-mas-famosas/</x:v>
      </x:c>
      <x:c r="AB350" s="4" t="str">
        <x:v>Coincidencia URL</x:v>
      </x:c>
      <x:c r="AC350" s="4" t="str">
        <x:v>Publicado hasta septiembre</x:v>
      </x:c>
      <x:c r="AD350" s="4" t="str">
        <x:v>/descubre-las-fiestas-religiosas-de-chile-mas-famosas/</x:v>
      </x:c>
      <x:c r="AE350" s="4"/>
      <x:c r="AF350" s="16" t="b">
        <x:v>0</x:v>
      </x:c>
    </x:row>
    <x:row r="351" ht="44" customHeight="1">
      <x:c r="A351" s="4" t="n">
        <x:v>6165</x:v>
      </x:c>
      <x:c r="B351" s="4" t="str">
        <x:v>https://blog.skyairline.com/patagonia-chilena-o-argentina-cual-elegir-para-tu-viaje/</x:v>
      </x:c>
      <x:c r="C351" s="9" t="str">
        <x:v>Patagonia chilena o argentina: ¿cuál elegir para tu viaje?</x:v>
      </x:c>
      <x:c r="D351" s="17" t="d">
        <x:v>2025-06-09T00:00:00.000Z</x:v>
      </x:c>
      <x:c r="E351" s="17" t="d">
        <x:v>2025-06-09T00:00:00.000Z</x:v>
      </x:c>
      <x:c r="F351" s="4" t="str">
        <x:v>Planificación de Viaje</x:v>
      </x:c>
      <x:c r="G351" s="11" t="n">
        <x:v>957</x:v>
      </x:c>
      <x:c r="H351" s="11" t="n">
        <x:v>200</x:v>
      </x:c>
      <x:c r="I351" s="11" t="n">
        <x:v>1</x:v>
      </x:c>
      <x:c r="J351" s="4" t="str">
        <x:v>https://blog.skyairline.com/patagonia-chilena-o-argentina-cual-elegir-para-tu-viaje/</x:v>
      </x:c>
      <x:c r="K351" s="16" t="b">
        <x:v>0</x:v>
      </x:c>
      <x:c r="L351" s="11" t="n">
        <x:v>0</x:v>
      </x:c>
      <x:c r="M351" s="11" t="n">
        <x:v>0</x:v>
      </x:c>
      <x:c r="N351" s="4"/>
      <x:c r="O351" s="4"/>
      <x:c r="P351" s="11" t="n">
        <x:v>10</x:v>
      </x:c>
      <x:c r="Q351" s="11" t="n">
        <x:v>5</x:v>
      </x:c>
      <x:c r="R351" s="11" t="n">
        <x:f>IF(OR(P351="",Q351=""),"",Q351-P351)</x:f>
        <x:v>-5</x:v>
      </x:c>
      <x:c r="S351" s="13" t="n">
        <x:f>IF(OR(P351="",Q351="",P351=0),"",((Q351/30)/(P351/31))-1)</x:f>
        <x:v>-0.4833333333333334</x:v>
      </x:c>
      <x:c r="T351" s="11" t="n">
        <x:v>1262</x:v>
      </x:c>
      <x:c r="U351" s="11" t="n">
        <x:v>949</x:v>
      </x:c>
      <x:c r="V351" s="14" t="n">
        <x:v>0.005268703898840885</x:v>
      </x:c>
      <x:c r="W351" s="12" t="n">
        <x:v>15.177028451001053</x:v>
      </x:c>
      <x:c r="X351" s="11" t="n">
        <x:v>13</x:v>
      </x:c>
      <x:c r="Y351" s="11" t="n">
        <x:v>21</x:v>
      </x:c>
      <x:c r="Z351" s="4" t="str">
        <x:v>https://blog.skyairline.com/patagonia-chilena-o-argentina-cual-elegir-para-tu-viaje/</x:v>
      </x:c>
      <x:c r="AA351" s="4" t="str">
        <x:v>https://blog.skyairline.com/patagonia-chilena-o-argentina-cual-elegir-para-tu-viaje/</x:v>
      </x:c>
      <x:c r="AB351" s="4" t="str">
        <x:v>Coincidencia URL</x:v>
      </x:c>
      <x:c r="AC351" s="4" t="str">
        <x:v>Publicado hasta septiembre</x:v>
      </x:c>
      <x:c r="AD351" s="4" t="str">
        <x:v>/patagonia-chilena-o-argentina-cual-elegir-para-tu-viaje/</x:v>
      </x:c>
      <x:c r="AE351" s="4"/>
      <x:c r="AF351" s="16" t="b">
        <x:v>0</x:v>
      </x:c>
    </x:row>
    <x:row r="352" ht="44" customHeight="1">
      <x:c r="A352" s="4" t="n">
        <x:v>6514</x:v>
      </x:c>
      <x:c r="B352" s="4" t="str">
        <x:v>https://blog.skyairline.com/volcanes-de-la-region-de-la-araucania/</x:v>
      </x:c>
      <x:c r="C352" s="9" t="str">
        <x:v>Los principales volcanes de la Región de la Araucanía para explorar</x:v>
      </x:c>
      <x:c r="D352" s="17" t="d">
        <x:v>2025-08-28T00:00:00.000Z</x:v>
      </x:c>
      <x:c r="E352" s="17" t="d">
        <x:v>2025-08-28T00:00:00.000Z</x:v>
      </x:c>
      <x:c r="F352" s="4" t="str">
        <x:v>Destinos</x:v>
      </x:c>
      <x:c r="G352" s="11" t="n">
        <x:v>1051</x:v>
      </x:c>
      <x:c r="H352" s="11" t="n">
        <x:v>200</x:v>
      </x:c>
      <x:c r="I352" s="11" t="n">
        <x:v>1</x:v>
      </x:c>
      <x:c r="J352" s="4" t="str">
        <x:v>https://blog.skyairline.com/volcanes-de-la-region-de-la-araucania/</x:v>
      </x:c>
      <x:c r="K352" s="16" t="b">
        <x:v>0</x:v>
      </x:c>
      <x:c r="L352" s="11" t="n">
        <x:v>0</x:v>
      </x:c>
      <x:c r="M352" s="11" t="n">
        <x:v>3</x:v>
      </x:c>
      <x:c r="N352" s="4"/>
      <x:c r="O352" s="4"/>
      <x:c r="P352" s="11" t="n">
        <x:v>9</x:v>
      </x:c>
      <x:c r="Q352" s="11" t="n">
        <x:v>5</x:v>
      </x:c>
      <x:c r="R352" s="11" t="n">
        <x:f>IF(OR(P352="",Q352=""),"",Q352-P352)</x:f>
        <x:v>-4</x:v>
      </x:c>
      <x:c r="S352" s="13" t="n">
        <x:f>IF(OR(P352="",Q352="",P352=0),"",((Q352/30)/(P352/31))-1)</x:f>
        <x:v>-0.42592592592592604</x:v>
      </x:c>
      <x:c r="T352" s="11" t="n">
        <x:v>1598</x:v>
      </x:c>
      <x:c r="U352" s="11" t="n">
        <x:v>1724</x:v>
      </x:c>
      <x:c r="V352" s="14" t="n">
        <x:v>0.002900232018561485</x:v>
      </x:c>
      <x:c r="W352" s="12" t="n">
        <x:v>7.950696055684455</x:v>
      </x:c>
      <x:c r="X352" s="11" t="n">
        <x:v>7</x:v>
      </x:c>
      <x:c r="Y352" s="11" t="n">
        <x:v>10</x:v>
      </x:c>
      <x:c r="Z352" s="4" t="str">
        <x:v>https://blog.skyairline.com/volcanes-de-la-region-de-la-araucania/</x:v>
      </x:c>
      <x:c r="AA352" s="4" t="str">
        <x:v>https://blog.skyairline.com/volcanes-de-la-region-de-la-araucania/</x:v>
      </x:c>
      <x:c r="AB352" s="4" t="str">
        <x:v>Coincidencia URL</x:v>
      </x:c>
      <x:c r="AC352" s="4" t="str">
        <x:v>Publicado hasta septiembre</x:v>
      </x:c>
      <x:c r="AD352" s="4" t="str">
        <x:v>/volcanes-de-la-region-de-la-araucania/</x:v>
      </x:c>
      <x:c r="AE352" s="4"/>
      <x:c r="AF352" s="16" t="b">
        <x:v>0</x:v>
      </x:c>
    </x:row>
    <x:row r="353" ht="44" customHeight="1">
      <x:c r="A353" s="4" t="n">
        <x:v>7475</x:v>
      </x:c>
      <x:c r="B353" s="4" t="str">
        <x:v>https://blog.skyairline.com/reales-a-pesos-chilenos/</x:v>
      </x:c>
      <x:c r="C353" s="9" t="str">
        <x:v>¿Cuántos pesos chilenos son un real? Guía para viajeros entre Chile y Brasil</x:v>
      </x:c>
      <x:c r="D353" s="17" t="d">
        <x:v>2025-11-04T00:00:00.000Z</x:v>
      </x:c>
      <x:c r="E353" s="17" t="d">
        <x:v>2025-11-03T00:00:00.000Z</x:v>
      </x:c>
      <x:c r="F353" s="4" t="str">
        <x:v>Destinos</x:v>
      </x:c>
      <x:c r="G353" s="11" t="n">
        <x:v>1126</x:v>
      </x:c>
      <x:c r="H353" s="11" t="n">
        <x:v>200</x:v>
      </x:c>
      <x:c r="I353" s="11" t="n">
        <x:v>1</x:v>
      </x:c>
      <x:c r="J353" s="4" t="str">
        <x:v>https://blog.skyairline.com/reales-a-pesos-chilenos/</x:v>
      </x:c>
      <x:c r="K353" s="16" t="b">
        <x:v>0</x:v>
      </x:c>
      <x:c r="L353" s="11" t="n">
        <x:v>0</x:v>
      </x:c>
      <x:c r="M353" s="11" t="n">
        <x:v>2</x:v>
      </x:c>
      <x:c r="N353" s="4"/>
      <x:c r="O353" s="4"/>
      <x:c r="P353" s="11" t="n">
        <x:v>7</x:v>
      </x:c>
      <x:c r="Q353" s="11" t="n">
        <x:v>5</x:v>
      </x:c>
      <x:c r="R353" s="11" t="n">
        <x:f>IF(OR(P353="",Q353=""),"",Q353-P353)</x:f>
        <x:v>-2</x:v>
      </x:c>
      <x:c r="S353" s="13" t="n">
        <x:f>IF(OR(P353="",Q353="",P353=0),"",((Q353/30)/(P353/31))-1)</x:f>
        <x:v>-0.261904761904762</x:v>
      </x:c>
      <x:c r="T353" s="11" t="n">
        <x:v>2427</x:v>
      </x:c>
      <x:c r="U353" s="11" t="n">
        <x:v>1849</x:v>
      </x:c>
      <x:c r="V353" s="14" t="n">
        <x:v>0.0027041644131963224</x:v>
      </x:c>
      <x:c r="W353" s="12" t="n">
        <x:v>8.756084369929692</x:v>
      </x:c>
      <x:c r="X353" s="11" t="n">
        <x:v>8</x:v>
      </x:c>
      <x:c r="Y353" s="11" t="n">
        <x:v>9</x:v>
      </x:c>
      <x:c r="Z353" s="4" t="str">
        <x:v>https://blog.skyairline.com/reales-a-pesos-chilenos/</x:v>
      </x:c>
      <x:c r="AA353" s="4" t="str">
        <x:v>https://blog.skyairline.com/reales-a-pesos-chilenos/</x:v>
      </x:c>
      <x:c r="AB353" s="4" t="str">
        <x:v>Coincidencia URL</x:v>
      </x:c>
      <x:c r="AC353" s="4" t="str">
        <x:v>Publicado hasta septiembre</x:v>
      </x:c>
      <x:c r="AD353" s="4" t="str">
        <x:v>/reales-a-pesos-chilenos/</x:v>
      </x:c>
      <x:c r="AE353" s="4"/>
      <x:c r="AF353" s="16" t="b">
        <x:v>0</x:v>
      </x:c>
    </x:row>
    <x:row r="354" ht="44" customHeight="1">
      <x:c r="A354" s="4" t="n">
        <x:v>7552</x:v>
      </x:c>
      <x:c r="B354" s="4" t="str">
        <x:v>https://blog.skyairline.com/tiempo-en-calama/</x:v>
      </x:c>
      <x:c r="C354" s="9" t="str">
        <x:v>Clima y tiempo en Calama: cuándo viajar y qué esperar</x:v>
      </x:c>
      <x:c r="D354" s="17" t="d">
        <x:v>2025-11-13T00:00:00.000Z</x:v>
      </x:c>
      <x:c r="E354" s="17" t="d">
        <x:v>2025-11-11T00:00:00.000Z</x:v>
      </x:c>
      <x:c r="F354" s="4" t="str">
        <x:v>Destinos</x:v>
      </x:c>
      <x:c r="G354" s="11" t="n">
        <x:v>1088</x:v>
      </x:c>
      <x:c r="H354" s="11" t="n">
        <x:v>200</x:v>
      </x:c>
      <x:c r="I354" s="11" t="n">
        <x:v>1</x:v>
      </x:c>
      <x:c r="J354" s="4" t="str">
        <x:v>https://blog.skyairline.com/tiempo-en-calama/</x:v>
      </x:c>
      <x:c r="K354" s="16" t="b">
        <x:v>0</x:v>
      </x:c>
      <x:c r="L354" s="11" t="n">
        <x:v>0</x:v>
      </x:c>
      <x:c r="M354" s="11" t="n">
        <x:v>3</x:v>
      </x:c>
      <x:c r="N354" s="4"/>
      <x:c r="O354" s="4"/>
      <x:c r="P354" s="11" t="n">
        <x:v>15</x:v>
      </x:c>
      <x:c r="Q354" s="11" t="n">
        <x:v>5</x:v>
      </x:c>
      <x:c r="R354" s="11" t="n">
        <x:f>IF(OR(P354="",Q354=""),"",Q354-P354)</x:f>
        <x:v>-10</x:v>
      </x:c>
      <x:c r="S354" s="13" t="n">
        <x:f>IF(OR(P354="",Q354="",P354=0),"",((Q354/30)/(P354/31))-1)</x:f>
        <x:v>-0.6555555555555556</x:v>
      </x:c>
      <x:c r="T354" s="11" t="n">
        <x:v>4828</x:v>
      </x:c>
      <x:c r="U354" s="11" t="n">
        <x:v>1016</x:v>
      </x:c>
      <x:c r="V354" s="14" t="n">
        <x:v>0.004921259842519685</x:v>
      </x:c>
      <x:c r="W354" s="12" t="n">
        <x:v>5.979330708661418</x:v>
      </x:c>
      <x:c r="X354" s="11" t="n">
        <x:v>5</x:v>
      </x:c>
      <x:c r="Y354" s="11" t="n">
        <x:v>7</x:v>
      </x:c>
      <x:c r="Z354" s="4" t="str">
        <x:v>https://blog.skyairline.com/tiempo-en-calama/</x:v>
      </x:c>
      <x:c r="AA354" s="4" t="str">
        <x:v>https://blog.skyairline.com/tiempo-en-calama/</x:v>
      </x:c>
      <x:c r="AB354" s="4" t="str">
        <x:v>Coincidencia URL</x:v>
      </x:c>
      <x:c r="AC354" s="4" t="str">
        <x:v>Publicado hasta septiembre</x:v>
      </x:c>
      <x:c r="AD354" s="4" t="str">
        <x:v>/tiempo-en-calama/</x:v>
      </x:c>
      <x:c r="AE354" s="4"/>
      <x:c r="AF354" s="16" t="b">
        <x:v>0</x:v>
      </x:c>
    </x:row>
    <x:row r="355" ht="44" customHeight="1">
      <x:c r="A355" s="4" t="n">
        <x:v>7733</x:v>
      </x:c>
      <x:c r="B355" s="4" t="str">
        <x:v>https://blog.skyairline.com/lugares-turisticos-2/</x:v>
      </x:c>
      <x:c r="C355" s="9" t="str">
        <x:v>Lugares turísticos: Paseo Cívico de Tacna</x:v>
      </x:c>
      <x:c r="D355" s="17" t="d">
        <x:v>2025-12-01T00:00:00.000Z</x:v>
      </x:c>
      <x:c r="E355" s="17" t="d">
        <x:v>2025-11-17T00:00:00.000Z</x:v>
      </x:c>
      <x:c r="F355" s="4" t="str">
        <x:v>Destinos</x:v>
      </x:c>
      <x:c r="G355" s="11" t="n">
        <x:v>1093</x:v>
      </x:c>
      <x:c r="H355" s="11" t="n">
        <x:v>200</x:v>
      </x:c>
      <x:c r="I355" s="11" t="n">
        <x:v>1</x:v>
      </x:c>
      <x:c r="J355" s="4" t="str">
        <x:v>https://blog.skyairline.com/lugares-turisticos-2/</x:v>
      </x:c>
      <x:c r="K355" s="16" t="b">
        <x:v>0</x:v>
      </x:c>
      <x:c r="L355" s="11" t="n">
        <x:v>0</x:v>
      </x:c>
      <x:c r="M355" s="11" t="n">
        <x:v>4</x:v>
      </x:c>
      <x:c r="N355" s="4"/>
      <x:c r="O355" s="4"/>
      <x:c r="P355" s="11" t="n">
        <x:v>14</x:v>
      </x:c>
      <x:c r="Q355" s="11" t="n">
        <x:v>5</x:v>
      </x:c>
      <x:c r="R355" s="11" t="n">
        <x:f>IF(OR(P355="",Q355=""),"",Q355-P355)</x:f>
        <x:v>-9</x:v>
      </x:c>
      <x:c r="S355" s="13" t="n">
        <x:f>IF(OR(P355="",Q355="",P355=0),"",((Q355/30)/(P355/31))-1)</x:f>
        <x:v>-0.6309523809523809</x:v>
      </x:c>
      <x:c r="T355" s="11" t="n">
        <x:v>4340</x:v>
      </x:c>
      <x:c r="U355" s="11" t="n">
        <x:v>2109</x:v>
      </x:c>
      <x:c r="V355" s="14" t="n">
        <x:v>0.002370791844476055</x:v>
      </x:c>
      <x:c r="W355" s="12" t="n">
        <x:v>7.851114272166904</x:v>
      </x:c>
      <x:c r="X355" s="11" t="n">
        <x:v>5</x:v>
      </x:c>
      <x:c r="Y355" s="11" t="n">
        <x:v>6</x:v>
      </x:c>
      <x:c r="Z355" s="4" t="str">
        <x:v>https://blog.skyairline.com/lugares-turisticos-2/</x:v>
      </x:c>
      <x:c r="AA355" s="4" t="str">
        <x:v>https://blog.skyairline.com/lugares-turisticos-2/</x:v>
      </x:c>
      <x:c r="AB355" s="4" t="str">
        <x:v>Coincidencia URL</x:v>
      </x:c>
      <x:c r="AC355" s="4" t="str">
        <x:v>Publicado hasta septiembre</x:v>
      </x:c>
      <x:c r="AD355" s="4" t="str">
        <x:v>/lugares-turisticos-2/</x:v>
      </x:c>
      <x:c r="AE355" s="4"/>
      <x:c r="AF355" s="16" t="b">
        <x:v>0</x:v>
      </x:c>
    </x:row>
    <x:row r="356" ht="44" customHeight="1">
      <x:c r="A356" s="4" t="n">
        <x:v>7842</x:v>
      </x:c>
      <x:c r="B356" s="4" t="str">
        <x:v>https://blog.skyairline.com/valle-de-la-luna/</x:v>
      </x:c>
      <x:c r="C356" s="9" t="str">
        <x:v>Valle de la luna: todo lo esencial para tu visita</x:v>
      </x:c>
      <x:c r="D356" s="17" t="d">
        <x:v>2025-12-15T00:00:00.000Z</x:v>
      </x:c>
      <x:c r="E356" s="17" t="d">
        <x:v>2025-12-04T00:00:00.000Z</x:v>
      </x:c>
      <x:c r="F356" s="4" t="str">
        <x:v>Destinos</x:v>
      </x:c>
      <x:c r="G356" s="11" t="n">
        <x:v>1072</x:v>
      </x:c>
      <x:c r="H356" s="11" t="n">
        <x:v>200</x:v>
      </x:c>
      <x:c r="I356" s="11" t="n">
        <x:v>1</x:v>
      </x:c>
      <x:c r="J356" s="4" t="str">
        <x:v>https://blog.skyairline.com/valle-de-la-luna/</x:v>
      </x:c>
      <x:c r="K356" s="16" t="b">
        <x:v>0</x:v>
      </x:c>
      <x:c r="L356" s="11" t="n">
        <x:v>0</x:v>
      </x:c>
      <x:c r="M356" s="11" t="n">
        <x:v>0</x:v>
      </x:c>
      <x:c r="N356" s="4"/>
      <x:c r="O356" s="4"/>
      <x:c r="P356" s="11" t="n">
        <x:v>2</x:v>
      </x:c>
      <x:c r="Q356" s="11" t="n">
        <x:v>5</x:v>
      </x:c>
      <x:c r="R356" s="11" t="n">
        <x:f>IF(OR(P356="",Q356=""),"",Q356-P356)</x:f>
        <x:v>3</x:v>
      </x:c>
      <x:c r="S356" s="13" t="n">
        <x:f>IF(OR(P356="",Q356="",P356=0),"",((Q356/30)/(P356/31))-1)</x:f>
        <x:v>1.5833333333333335</x:v>
      </x:c>
      <x:c r="T356" s="11" t="n">
        <x:v>667</x:v>
      </x:c>
      <x:c r="U356" s="11" t="n">
        <x:v>558</x:v>
      </x:c>
      <x:c r="V356" s="14" t="n">
        <x:v>0.008960573476702509</x:v>
      </x:c>
      <x:c r="W356" s="12" t="n">
        <x:v>11.605734767025089</x:v>
      </x:c>
      <x:c r="X356" s="11" t="n">
        <x:v>6</x:v>
      </x:c>
      <x:c r="Y356" s="11" t="n">
        <x:v>6</x:v>
      </x:c>
      <x:c r="Z356" s="4" t="str">
        <x:v>https://blog.skyairline.com/valle-de-la-luna/</x:v>
      </x:c>
      <x:c r="AA356" s="4" t="str">
        <x:v>https://blog.skyairline.com/valle-de-la-luna/</x:v>
      </x:c>
      <x:c r="AB356" s="4" t="str">
        <x:v>Coincidencia URL</x:v>
      </x:c>
      <x:c r="AC356" s="4" t="str">
        <x:v>Publicado hasta septiembre</x:v>
      </x:c>
      <x:c r="AD356" s="4" t="str">
        <x:v>/valle-de-la-luna/</x:v>
      </x:c>
      <x:c r="AE356" s="4"/>
      <x:c r="AF356" s="16" t="b">
        <x:v>0</x:v>
      </x:c>
    </x:row>
    <x:row r="357" ht="44" customHeight="1">
      <x:c r="A357" s="4" t="n">
        <x:v>7866</x:v>
      </x:c>
      <x:c r="B357" s="4" t="str">
        <x:v>https://blog.skyairline.com/caldera/</x:v>
      </x:c>
      <x:c r="C357" s="9" t="str">
        <x:v>Caldera: Playas, historia y naturaleza que te sorprenderán</x:v>
      </x:c>
      <x:c r="D357" s="17" t="d">
        <x:v>2025-12-19T00:00:00.000Z</x:v>
      </x:c>
      <x:c r="E357" s="17" t="d">
        <x:v>2025-12-04T00:00:00.000Z</x:v>
      </x:c>
      <x:c r="F357" s="4" t="str">
        <x:v>Destinos</x:v>
      </x:c>
      <x:c r="G357" s="11" t="n">
        <x:v>1070</x:v>
      </x:c>
      <x:c r="H357" s="11" t="n">
        <x:v>200</x:v>
      </x:c>
      <x:c r="I357" s="11" t="n">
        <x:v>1</x:v>
      </x:c>
      <x:c r="J357" s="4" t="str">
        <x:v>https://blog.skyairline.com/caldera/</x:v>
      </x:c>
      <x:c r="K357" s="16" t="b">
        <x:v>0</x:v>
      </x:c>
      <x:c r="L357" s="11" t="n">
        <x:v>0</x:v>
      </x:c>
      <x:c r="M357" s="11" t="n">
        <x:v>0</x:v>
      </x:c>
      <x:c r="N357" s="4"/>
      <x:c r="O357" s="4"/>
      <x:c r="P357" s="11" t="n">
        <x:v>3</x:v>
      </x:c>
      <x:c r="Q357" s="11" t="n">
        <x:v>5</x:v>
      </x:c>
      <x:c r="R357" s="11" t="n">
        <x:f>IF(OR(P357="",Q357=""),"",Q357-P357)</x:f>
        <x:v>2</x:v>
      </x:c>
      <x:c r="S357" s="13" t="n">
        <x:f>IF(OR(P357="",Q357="",P357=0),"",((Q357/30)/(P357/31))-1)</x:f>
        <x:v>0.7222222222222221</x:v>
      </x:c>
      <x:c r="T357" s="11" t="n">
        <x:v>1464</x:v>
      </x:c>
      <x:c r="U357" s="11" t="n">
        <x:v>1915</x:v>
      </x:c>
      <x:c r="V357" s="14" t="n">
        <x:v>0.0026109660574412533</x:v>
      </x:c>
      <x:c r="W357" s="12" t="n">
        <x:v>10.387467362924282</x:v>
      </x:c>
      <x:c r="X357" s="11" t="n">
        <x:v>7</x:v>
      </x:c>
      <x:c r="Y357" s="11" t="n">
        <x:v>16</x:v>
      </x:c>
      <x:c r="Z357" s="4" t="str">
        <x:v>https://blog.skyairline.com/caldera/</x:v>
      </x:c>
      <x:c r="AA357" s="4" t="str">
        <x:v>https://blog.skyairline.com/caldera/</x:v>
      </x:c>
      <x:c r="AB357" s="4" t="str">
        <x:v>Coincidencia URL</x:v>
      </x:c>
      <x:c r="AC357" s="4" t="str">
        <x:v>Publicado hasta septiembre</x:v>
      </x:c>
      <x:c r="AD357" s="4" t="str">
        <x:v>/caldera/</x:v>
      </x:c>
      <x:c r="AE357" s="4"/>
      <x:c r="AF357" s="16" t="b">
        <x:v>0</x:v>
      </x:c>
    </x:row>
    <x:row r="358" ht="44" customHeight="1">
      <x:c r="A358" s="4" t="n">
        <x:v>8314</x:v>
      </x:c>
      <x:c r="B358" s="4" t="str">
        <x:v>https://blog.skyairline.com/sky-se-suma-a-universitario-de-deportes-como-patrocinador-y-aerolinea-oficial-para-el-2026/</x:v>
      </x:c>
      <x:c r="C358" s="9" t="str">
        <x:v>SKY es patrocinador y Aerolínea oficial de Universitario de Deportes</x:v>
      </x:c>
      <x:c r="D358" s="17" t="d">
        <x:v>2026-02-18T00:00:00.000Z</x:v>
      </x:c>
      <x:c r="E358" s="17" t="d">
        <x:v>2026-02-18T00:00:00.000Z</x:v>
      </x:c>
      <x:c r="F358" s="4" t="str">
        <x:v>Noticias</x:v>
      </x:c>
      <x:c r="G358" s="11" t="n">
        <x:v>158</x:v>
      </x:c>
      <x:c r="H358" s="11" t="n">
        <x:v>200</x:v>
      </x:c>
      <x:c r="I358" s="11" t="n">
        <x:v>1</x:v>
      </x:c>
      <x:c r="J358" s="4" t="str">
        <x:v>https://blog.skyairline.com/sky-se-suma-a-universitario-de-deportes-como-patrocinador-y-aerolinea-oficial-para-el-2026/</x:v>
      </x:c>
      <x:c r="K358" s="16" t="b">
        <x:v>0</x:v>
      </x:c>
      <x:c r="L358" s="11" t="n">
        <x:v>0</x:v>
      </x:c>
      <x:c r="M358" s="11" t="n">
        <x:v>0</x:v>
      </x:c>
      <x:c r="N358" s="4"/>
      <x:c r="O358" s="4"/>
      <x:c r="P358" s="11" t="n">
        <x:v>8</x:v>
      </x:c>
      <x:c r="Q358" s="11" t="n">
        <x:v>5</x:v>
      </x:c>
      <x:c r="R358" s="11" t="n">
        <x:f>IF(OR(P358="",Q358=""),"",Q358-P358)</x:f>
        <x:v>-3</x:v>
      </x:c>
      <x:c r="S358" s="13" t="n">
        <x:f>IF(OR(P358="",Q358="",P358=0),"",((Q358/30)/(P358/31))-1)</x:f>
        <x:v>-0.35416666666666663</x:v>
      </x:c>
      <x:c r="T358" s="11" t="n">
        <x:v>131</x:v>
      </x:c>
      <x:c r="U358" s="11" t="n">
        <x:v>137</x:v>
      </x:c>
      <x:c r="V358" s="14" t="n">
        <x:v>0.0364963503649635</x:v>
      </x:c>
      <x:c r="W358" s="12" t="n">
        <x:v>4.131386861313867</x:v>
      </x:c>
      <x:c r="X358" s="11" t="n">
        <x:v>5</x:v>
      </x:c>
      <x:c r="Y358" s="11" t="n">
        <x:v>5</x:v>
      </x:c>
      <x:c r="Z358" s="4" t="str">
        <x:v>https://blog.skyairline.com/sky-se-suma-a-universitario-de-deportes-como-patrocinador-y-aerolinea-oficial-para-el-2026/</x:v>
      </x:c>
      <x:c r="AA358" s="4" t="str">
        <x:v>https://blog.skyairline.com/sky-se-suma-a-universitario-de-deportes-como-patrocinador-y-aerolinea-oficial-para-el-2026/
https://blog.skyairline.com/sky-se-suma-a-universitario-de-deportes-como-patrocinador-y-aerolinea-oficial-para-el-2026</x:v>
      </x:c>
      <x:c r="AB358" s="4" t="str">
        <x:v>Alias slash agregado</x:v>
      </x:c>
      <x:c r="AC358" s="4" t="str">
        <x:v>Publicado hasta septiembre</x:v>
      </x:c>
      <x:c r="AD358" s="4" t="str">
        <x:v>/sky-se-suma-a-universitario-de-deportes-como-patrocinador-y-aerolinea-oficial-para-el-2026/</x:v>
      </x:c>
      <x:c r="AE358" s="4"/>
      <x:c r="AF358" s="16" t="b">
        <x:v>0</x:v>
      </x:c>
    </x:row>
    <x:row r="359" ht="44" customHeight="1">
      <x:c r="A359" s="4" t="n">
        <x:v>8406</x:v>
      </x:c>
      <x:c r="B359" s="4" t="str">
        <x:v>https://blog.skyairline.com/centro-historico-lima/</x:v>
      </x:c>
      <x:c r="C359" s="9" t="str">
        <x:v>Centro histórico de Lima: recorrido cultural (a pie) y consejos prácticos</x:v>
      </x:c>
      <x:c r="D359" s="17" t="d">
        <x:v>2026-03-06T00:00:00.000Z</x:v>
      </x:c>
      <x:c r="E359" s="17" t="d">
        <x:v>2026-03-02T00:00:00.000Z</x:v>
      </x:c>
      <x:c r="F359" s="4" t="str">
        <x:v>Cultura</x:v>
      </x:c>
      <x:c r="G359" s="11" t="n">
        <x:v>1019</x:v>
      </x:c>
      <x:c r="H359" s="11" t="n">
        <x:v>200</x:v>
      </x:c>
      <x:c r="I359" s="11" t="n">
        <x:v>1</x:v>
      </x:c>
      <x:c r="J359" s="4" t="str">
        <x:v>https://blog.skyairline.com/centro-historico-lima/</x:v>
      </x:c>
      <x:c r="K359" s="16" t="b">
        <x:v>0</x:v>
      </x:c>
      <x:c r="L359" s="11" t="n">
        <x:v>0</x:v>
      </x:c>
      <x:c r="M359" s="11" t="n">
        <x:v>0</x:v>
      </x:c>
      <x:c r="N359" s="4"/>
      <x:c r="O359" s="4"/>
      <x:c r="P359" s="11" t="n">
        <x:v>12</x:v>
      </x:c>
      <x:c r="Q359" s="11" t="n">
        <x:v>5</x:v>
      </x:c>
      <x:c r="R359" s="11" t="n">
        <x:f>IF(OR(P359="",Q359=""),"",Q359-P359)</x:f>
        <x:v>-7</x:v>
      </x:c>
      <x:c r="S359" s="13" t="n">
        <x:f>IF(OR(P359="",Q359="",P359=0),"",((Q359/30)/(P359/31))-1)</x:f>
        <x:v>-0.5694444444444444</x:v>
      </x:c>
      <x:c r="T359" s="11" t="n">
        <x:v>744</x:v>
      </x:c>
      <x:c r="U359" s="11" t="n">
        <x:v>360</x:v>
      </x:c>
      <x:c r="V359" s="14" t="n">
        <x:v>0.013888888888888888</x:v>
      </x:c>
      <x:c r="W359" s="12" t="n">
        <x:v>12.338888888888889</x:v>
      </x:c>
      <x:c r="X359" s="11" t="n">
        <x:v>10</x:v>
      </x:c>
      <x:c r="Y359" s="11" t="n">
        <x:v>10</x:v>
      </x:c>
      <x:c r="Z359" s="4" t="str">
        <x:v>https://blog.skyairline.com/centro-historico-lima/</x:v>
      </x:c>
      <x:c r="AA359" s="4" t="str">
        <x:v>https://blog.skyairline.com/centro-historico-lima/</x:v>
      </x:c>
      <x:c r="AB359" s="4" t="str">
        <x:v>Coincidencia URL</x:v>
      </x:c>
      <x:c r="AC359" s="4" t="str">
        <x:v>Publicado hasta septiembre</x:v>
      </x:c>
      <x:c r="AD359" s="4" t="str">
        <x:v>/centro-historico-lima/</x:v>
      </x:c>
      <x:c r="AE359" s="4"/>
      <x:c r="AF359" s="16" t="b">
        <x:v>0</x:v>
      </x:c>
    </x:row>
    <x:row r="360" ht="44" customHeight="1">
      <x:c r="A360" s="4" t="n">
        <x:v>8614</x:v>
      </x:c>
      <x:c r="B360" s="4" t="str">
        <x:v>https://blog.skyairline.com/sky-y-air-europa-lanzan-acuerdo-de-codigo-compartido/</x:v>
      </x:c>
      <x:c r="C360" s="9" t="str">
        <x:v>SKY y Air Europa lanzan acuerdo de código compartido</x:v>
      </x:c>
      <x:c r="D360" s="17" t="d">
        <x:v>2026-04-08T00:00:00.000Z</x:v>
      </x:c>
      <x:c r="E360" s="17" t="d">
        <x:v>2026-04-08T00:00:00.000Z</x:v>
      </x:c>
      <x:c r="F360" s="4" t="str">
        <x:v>Noticias</x:v>
      </x:c>
      <x:c r="G360" s="11" t="n">
        <x:v>158</x:v>
      </x:c>
      <x:c r="H360" s="11" t="n">
        <x:v>200</x:v>
      </x:c>
      <x:c r="I360" s="11" t="n">
        <x:v>1</x:v>
      </x:c>
      <x:c r="J360" s="4" t="str">
        <x:v>https://blog.skyairline.com/sky-y-air-europa-lanzan-acuerdo-de-codigo-compartido/</x:v>
      </x:c>
      <x:c r="K360" s="16" t="b">
        <x:v>0</x:v>
      </x:c>
      <x:c r="L360" s="11" t="n">
        <x:v>0</x:v>
      </x:c>
      <x:c r="M360" s="11" t="n">
        <x:v>0</x:v>
      </x:c>
      <x:c r="N360" s="4"/>
      <x:c r="O360" s="4"/>
      <x:c r="P360" s="11" t="n">
        <x:v>5</x:v>
      </x:c>
      <x:c r="Q360" s="11" t="n">
        <x:v>5</x:v>
      </x:c>
      <x:c r="R360" s="11" t="n">
        <x:f>IF(OR(P360="",Q360=""),"",Q360-P360)</x:f>
        <x:v>0</x:v>
      </x:c>
      <x:c r="S360" s="13" t="n">
        <x:f>IF(OR(P360="",Q360="",P360=0),"",((Q360/30)/(P360/31))-1)</x:f>
        <x:v>0.033333333333333215</x:v>
      </x:c>
      <x:c r="T360" s="11" t="n">
        <x:v>121</x:v>
      </x:c>
      <x:c r="U360" s="11" t="n">
        <x:v>124</x:v>
      </x:c>
      <x:c r="V360" s="14" t="n">
        <x:v>0.04032258064516129</x:v>
      </x:c>
      <x:c r="W360" s="12" t="n">
        <x:v>4.524193548387097</x:v>
      </x:c>
      <x:c r="X360" s="11" t="n">
        <x:v>7</x:v>
      </x:c>
      <x:c r="Y360" s="11" t="n">
        <x:v>11</x:v>
      </x:c>
      <x:c r="Z360" s="4" t="str">
        <x:v>https://blog.skyairline.com/sky-y-air-europa-lanzan-acuerdo-de-codigo-compartido/</x:v>
      </x:c>
      <x:c r="AA360" s="4" t="str">
        <x:v>https://blog.skyairline.com/sky-y-air-europa-lanzan-acuerdo-de-codigo-compartido/
https://blog.skyairline.com/sky-y-air-europa-lanzan-acuerdo-de-codigo-compartido</x:v>
      </x:c>
      <x:c r="AB360" s="4" t="str">
        <x:v>Alias slash agregado</x:v>
      </x:c>
      <x:c r="AC360" s="4" t="str">
        <x:v>Publicado hasta septiembre</x:v>
      </x:c>
      <x:c r="AD360" s="4" t="str">
        <x:v>/sky-y-air-europa-lanzan-acuerdo-de-codigo-compartido/</x:v>
      </x:c>
      <x:c r="AE360" s="4"/>
      <x:c r="AF360" s="16" t="b">
        <x:v>0</x:v>
      </x:c>
    </x:row>
    <x:row r="361" ht="44" customHeight="1">
      <x:c r="A361" s="4" t="n">
        <x:v>8750</x:v>
      </x:c>
      <x:c r="B361" s="4" t="str">
        <x:v>https://blog.skyairline.com/maletas-de-viaje/</x:v>
      </x:c>
      <x:c r="C361" s="9" t="str">
        <x:v>Cómo escoger las maletas de viaje ideales (tipos y consejos)</x:v>
      </x:c>
      <x:c r="D361" s="17" t="d">
        <x:v>2026-05-19T00:00:00.000Z</x:v>
      </x:c>
      <x:c r="E361" s="17" t="d">
        <x:v>2026-05-12T00:00:00.000Z</x:v>
      </x:c>
      <x:c r="F361" s="4" t="str">
        <x:v>Planificación de Viaje</x:v>
      </x:c>
      <x:c r="G361" s="11" t="n">
        <x:v>978</x:v>
      </x:c>
      <x:c r="H361" s="11" t="n">
        <x:v>200</x:v>
      </x:c>
      <x:c r="I361" s="11" t="n">
        <x:v>1</x:v>
      </x:c>
      <x:c r="J361" s="4" t="str">
        <x:v>https://blog.skyairline.com/maletas-de-viaje/</x:v>
      </x:c>
      <x:c r="K361" s="16" t="b">
        <x:v>0</x:v>
      </x:c>
      <x:c r="L361" s="11" t="n">
        <x:v>0</x:v>
      </x:c>
      <x:c r="M361" s="11" t="n">
        <x:v>0</x:v>
      </x:c>
      <x:c r="N361" s="4"/>
      <x:c r="O361" s="4"/>
      <x:c r="P361" s="11" t="n">
        <x:v>6</x:v>
      </x:c>
      <x:c r="Q361" s="11" t="n">
        <x:v>5</x:v>
      </x:c>
      <x:c r="R361" s="11" t="n">
        <x:f>IF(OR(P361="",Q361=""),"",Q361-P361)</x:f>
        <x:v>-1</x:v>
      </x:c>
      <x:c r="S361" s="13" t="n">
        <x:f>IF(OR(P361="",Q361="",P361=0),"",((Q361/30)/(P361/31))-1)</x:f>
        <x:v>-0.13888888888888895</x:v>
      </x:c>
      <x:c r="T361" s="11" t="n">
        <x:v>456</x:v>
      </x:c>
      <x:c r="U361" s="11" t="n">
        <x:v>531</x:v>
      </x:c>
      <x:c r="V361" s="14" t="n">
        <x:v>0.009416195856873822</x:v>
      </x:c>
      <x:c r="W361" s="12" t="n">
        <x:v>11.173258003766477</x:v>
      </x:c>
      <x:c r="X361" s="11" t="n">
        <x:v>11</x:v>
      </x:c>
      <x:c r="Y361" s="11" t="n">
        <x:v>11</x:v>
      </x:c>
      <x:c r="Z361" s="4" t="str">
        <x:v>https://blog.skyairline.com/maletas-de-viaje/</x:v>
      </x:c>
      <x:c r="AA361" s="4" t="str">
        <x:v>https://blog.skyairline.com/maletas-de-viaje/</x:v>
      </x:c>
      <x:c r="AB361" s="4" t="str">
        <x:v>Coincidencia URL</x:v>
      </x:c>
      <x:c r="AC361" s="4" t="str">
        <x:v>Publicado hasta septiembre</x:v>
      </x:c>
      <x:c r="AD361" s="4" t="str">
        <x:v>/maletas-de-viaje/</x:v>
      </x:c>
      <x:c r="AE361" s="4"/>
      <x:c r="AF361" s="16" t="b">
        <x:v>0</x:v>
      </x:c>
    </x:row>
    <x:row r="362" ht="44" customHeight="1">
      <x:c r="A362" s="4" t="n">
        <x:v>8805</x:v>
      </x:c>
      <x:c r="B362" s="4" t="str">
        <x:v>https://blog.skyairline.com/lago-villarrica/</x:v>
      </x:c>
      <x:c r="C362" s="9" t="str">
        <x:v>Lago Villarrica: visita uno de los puntos turísticos favoritos de la novena región</x:v>
      </x:c>
      <x:c r="D362" s="17" t="d">
        <x:v>2026-05-30T00:00:00.000Z</x:v>
      </x:c>
      <x:c r="E362" s="17" t="d">
        <x:v>2026-05-27T00:00:00.000Z</x:v>
      </x:c>
      <x:c r="F362" s="4" t="str">
        <x:v>Destinos</x:v>
      </x:c>
      <x:c r="G362" s="11" t="n">
        <x:v>1012</x:v>
      </x:c>
      <x:c r="H362" s="11" t="n">
        <x:v>200</x:v>
      </x:c>
      <x:c r="I362" s="11" t="n">
        <x:v>1</x:v>
      </x:c>
      <x:c r="J362" s="4" t="str">
        <x:v>https://blog.skyairline.com/lago-villarrica/</x:v>
      </x:c>
      <x:c r="K362" s="16" t="b">
        <x:v>0</x:v>
      </x:c>
      <x:c r="L362" s="11" t="n">
        <x:v>0</x:v>
      </x:c>
      <x:c r="M362" s="11" t="n">
        <x:v>0</x:v>
      </x:c>
      <x:c r="N362" s="4"/>
      <x:c r="O362" s="4"/>
      <x:c r="P362" s="11" t="n">
        <x:v>3</x:v>
      </x:c>
      <x:c r="Q362" s="11" t="n">
        <x:v>5</x:v>
      </x:c>
      <x:c r="R362" s="11" t="n">
        <x:f>IF(OR(P362="",Q362=""),"",Q362-P362)</x:f>
        <x:v>2</x:v>
      </x:c>
      <x:c r="S362" s="13" t="n">
        <x:f>IF(OR(P362="",Q362="",P362=0),"",((Q362/30)/(P362/31))-1)</x:f>
        <x:v>0.7222222222222221</x:v>
      </x:c>
      <x:c r="T362" s="11" t="n">
        <x:v>799</x:v>
      </x:c>
      <x:c r="U362" s="11" t="n">
        <x:v>471</x:v>
      </x:c>
      <x:c r="V362" s="14" t="n">
        <x:v>0.010615711252653927</x:v>
      </x:c>
      <x:c r="W362" s="12" t="n">
        <x:v>10.54140127388535</x:v>
      </x:c>
      <x:c r="X362" s="11" t="n">
        <x:v>5</x:v>
      </x:c>
      <x:c r="Y362" s="11" t="n">
        <x:v>8</x:v>
      </x:c>
      <x:c r="Z362" s="4" t="str">
        <x:v>https://blog.skyairline.com/lago-villarrica/</x:v>
      </x:c>
      <x:c r="AA362" s="4" t="str">
        <x:v>https://blog.skyairline.com/lago-villarrica/</x:v>
      </x:c>
      <x:c r="AB362" s="4" t="str">
        <x:v>Coincidencia URL</x:v>
      </x:c>
      <x:c r="AC362" s="4" t="str">
        <x:v>Publicado hasta septiembre</x:v>
      </x:c>
      <x:c r="AD362" s="4" t="str">
        <x:v>/lago-villarrica/</x:v>
      </x:c>
      <x:c r="AE362" s="4"/>
      <x:c r="AF362" s="16" t="b">
        <x:v>0</x:v>
      </x:c>
    </x:row>
    <x:row r="363" ht="44" customHeight="1">
      <x:c r="A363" s="4" t="n">
        <x:v>9044</x:v>
      </x:c>
      <x:c r="B363" s="4" t="str">
        <x:v>https://blog.skyairline.com/bombinhas/</x:v>
      </x:c>
      <x:c r="C363" s="9" t="str">
        <x:v>Bombinhas: buceo y las aguas cristalinas cerca de Florianópolis</x:v>
      </x:c>
      <x:c r="D363" s="17" t="d">
        <x:v>2026-07-27T00:00:00.000Z</x:v>
      </x:c>
      <x:c r="E363" s="17" t="d">
        <x:v>2026-07-20T00:00:00.000Z</x:v>
      </x:c>
      <x:c r="F363" s="4" t="str">
        <x:v>Destinos</x:v>
      </x:c>
      <x:c r="G363" s="11" t="n">
        <x:v>1017</x:v>
      </x:c>
      <x:c r="H363" s="11" t="n">
        <x:v>200</x:v>
      </x:c>
      <x:c r="I363" s="11" t="n">
        <x:v>1</x:v>
      </x:c>
      <x:c r="J363" s="4" t="str">
        <x:v>https://blog.skyairline.com/bombinhas/</x:v>
      </x:c>
      <x:c r="K363" s="16" t="b">
        <x:v>0</x:v>
      </x:c>
      <x:c r="L363" s="11" t="n">
        <x:v>0</x:v>
      </x:c>
      <x:c r="M363" s="11" t="n">
        <x:v>0</x:v>
      </x:c>
      <x:c r="N363" s="4"/>
      <x:c r="O363" s="4"/>
      <x:c r="P363" s="11" t="n">
        <x:v>1</x:v>
      </x:c>
      <x:c r="Q363" s="11" t="n">
        <x:v>5</x:v>
      </x:c>
      <x:c r="R363" s="11" t="n">
        <x:f>IF(OR(P363="",Q363=""),"",Q363-P363)</x:f>
        <x:v>4</x:v>
      </x:c>
      <x:c r="S363" s="13" t="n">
        <x:f>IF(OR(P363="",Q363="",P363=0),"",((Q363/30)/(P363/31))-1)</x:f>
        <x:v>4.166666666666667</x:v>
      </x:c>
      <x:c r="T363" s="11" t="n">
        <x:v>204</x:v>
      </x:c>
      <x:c r="U363" s="11" t="n">
        <x:v>293</x:v>
      </x:c>
      <x:c r="V363" s="14" t="n">
        <x:v>0.017064846416382253</x:v>
      </x:c>
      <x:c r="W363" s="12" t="n">
        <x:v>8.30716723549488</x:v>
      </x:c>
      <x:c r="X363" s="11" t="n">
        <x:v>12</x:v>
      </x:c>
      <x:c r="Y363" s="11" t="n">
        <x:v>12</x:v>
      </x:c>
      <x:c r="Z363" s="4" t="str">
        <x:v>https://blog.skyairline.com/bombinhas/</x:v>
      </x:c>
      <x:c r="AA363" s="4" t="str">
        <x:v>https://blog.skyairline.com/bombinhas/</x:v>
      </x:c>
      <x:c r="AB363" s="4" t="str">
        <x:v>Coincidencia URL</x:v>
      </x:c>
      <x:c r="AC363" s="4" t="str">
        <x:v>Publicado hasta septiembre</x:v>
      </x:c>
      <x:c r="AD363" s="4" t="str">
        <x:v>/bombinhas/</x:v>
      </x:c>
      <x:c r="AE363" s="4"/>
      <x:c r="AF363" s="16" t="b">
        <x:v>0</x:v>
      </x:c>
    </x:row>
    <x:row r="364" ht="44" customHeight="1">
      <x:c r="A364" s="4" t="n">
        <x:v>9152</x:v>
      </x:c>
      <x:c r="B364" s="4" t="str">
        <x:v>https://blog.skyairline.com/isla-san-lorenzo-callao/</x:v>
      </x:c>
      <x:c r="C364" s="9" t="str">
        <x:v>Isla San Lorenzo (Callao): qué saber antes de ir, qué ver y consejos para una visita responsable</x:v>
      </x:c>
      <x:c r="D364" s="17" t="d">
        <x:v>2026-08-11T00:00:00.000Z</x:v>
      </x:c>
      <x:c r="E364" s="17" t="d">
        <x:v>2026-08-11T00:00:00.000Z</x:v>
      </x:c>
      <x:c r="F364" s="4" t="str">
        <x:v>Destinos</x:v>
      </x:c>
      <x:c r="G364" s="11" t="n">
        <x:v>1046</x:v>
      </x:c>
      <x:c r="H364" s="11" t="n">
        <x:v>200</x:v>
      </x:c>
      <x:c r="I364" s="11" t="n">
        <x:v>1</x:v>
      </x:c>
      <x:c r="J364" s="4" t="str">
        <x:v>https://blog.skyairline.com/isla-san-lorenzo-callao/</x:v>
      </x:c>
      <x:c r="K364" s="16" t="b">
        <x:v>0</x:v>
      </x:c>
      <x:c r="L364" s="11" t="n">
        <x:v>0</x:v>
      </x:c>
      <x:c r="M364" s="11" t="n">
        <x:v>0</x:v>
      </x:c>
      <x:c r="N364" s="4"/>
      <x:c r="O364" s="4"/>
      <x:c r="P364" s="11" t="n">
        <x:v>10</x:v>
      </x:c>
      <x:c r="Q364" s="11" t="n">
        <x:v>5</x:v>
      </x:c>
      <x:c r="R364" s="11" t="n">
        <x:f>IF(OR(P364="",Q364=""),"",Q364-P364)</x:f>
        <x:v>-5</x:v>
      </x:c>
      <x:c r="S364" s="13" t="n">
        <x:f>IF(OR(P364="",Q364="",P364=0),"",((Q364/30)/(P364/31))-1)</x:f>
        <x:v>-0.4833333333333334</x:v>
      </x:c>
      <x:c r="T364" s="11" t="n">
        <x:v>1042</x:v>
      </x:c>
      <x:c r="U364" s="11" t="n">
        <x:v>940</x:v>
      </x:c>
      <x:c r="V364" s="14" t="n">
        <x:v>0.005319148936170213</x:v>
      </x:c>
      <x:c r="W364" s="12" t="n">
        <x:v>9.013829787234043</x:v>
      </x:c>
      <x:c r="X364" s="11" t="n">
        <x:v>6</x:v>
      </x:c>
      <x:c r="Y364" s="11" t="n">
        <x:v>6</x:v>
      </x:c>
      <x:c r="Z364" s="4" t="str">
        <x:v>https://blog.skyairline.com/isla-san-lorenzo-callao/</x:v>
      </x:c>
      <x:c r="AA364" s="4" t="str">
        <x:v>https://blog.skyairline.com/isla-san-lorenzo-callao/
https://blog.skyairline.com/isla-san-lorenzo-callao</x:v>
      </x:c>
      <x:c r="AB364" s="4" t="str">
        <x:v>Alias slash agregado</x:v>
      </x:c>
      <x:c r="AC364" s="4" t="str">
        <x:v>Publicado hasta septiembre</x:v>
      </x:c>
      <x:c r="AD364" s="4" t="str">
        <x:v>/isla-san-lorenzo-callao/</x:v>
      </x:c>
      <x:c r="AE364" s="4"/>
      <x:c r="AF364" s="16" t="b">
        <x:v>0</x:v>
      </x:c>
    </x:row>
    <x:row r="365" ht="44" customHeight="1">
      <x:c r="A365" s="4" t="n">
        <x:v>9170</x:v>
      </x:c>
      <x:c r="B365" s="4" t="str">
        <x:v>https://blog.skyairline.com/nieve-en-santiago-de-chile/</x:v>
      </x:c>
      <x:c r="C365" s="9" t="str">
        <x:v>¿Cuándo y dónde ver nieve en Santiago de Chile?</x:v>
      </x:c>
      <x:c r="D365" s="17" t="d">
        <x:v>2026-08-21T00:00:00.000Z</x:v>
      </x:c>
      <x:c r="E365" s="17" t="d">
        <x:v>2026-08-20T00:00:00.000Z</x:v>
      </x:c>
      <x:c r="F365" s="4" t="str">
        <x:v>Planificación de Viaje</x:v>
      </x:c>
      <x:c r="G365" s="11" t="n">
        <x:v>1132</x:v>
      </x:c>
      <x:c r="H365" s="11" t="n">
        <x:v>200</x:v>
      </x:c>
      <x:c r="I365" s="11" t="n">
        <x:v>1</x:v>
      </x:c>
      <x:c r="J365" s="4" t="str">
        <x:v>https://blog.skyairline.com/nieve-en-santiago-de-chile/</x:v>
      </x:c>
      <x:c r="K365" s="16" t="b">
        <x:v>0</x:v>
      </x:c>
      <x:c r="L365" s="11" t="n">
        <x:v>0</x:v>
      </x:c>
      <x:c r="M365" s="11" t="n">
        <x:v>0</x:v>
      </x:c>
      <x:c r="N365" s="4"/>
      <x:c r="O365" s="4"/>
      <x:c r="P365" s="11" t="n">
        <x:v>2</x:v>
      </x:c>
      <x:c r="Q365" s="11" t="n">
        <x:v>5</x:v>
      </x:c>
      <x:c r="R365" s="11" t="n">
        <x:f>IF(OR(P365="",Q365=""),"",Q365-P365)</x:f>
        <x:v>3</x:v>
      </x:c>
      <x:c r="S365" s="13" t="n">
        <x:f>IF(OR(P365="",Q365="",P365=0),"",((Q365/30)/(P365/31))-1)</x:f>
        <x:v>1.5833333333333335</x:v>
      </x:c>
      <x:c r="T365" s="11" t="n">
        <x:v>587</x:v>
      </x:c>
      <x:c r="U365" s="11" t="n">
        <x:v>481</x:v>
      </x:c>
      <x:c r="V365" s="14" t="n">
        <x:v>0.010395010395010396</x:v>
      </x:c>
      <x:c r="W365" s="12" t="n">
        <x:v>13.966735966735968</x:v>
      </x:c>
      <x:c r="X365" s="11" t="n">
        <x:v>15</x:v>
      </x:c>
      <x:c r="Y365" s="11" t="n">
        <x:v>16</x:v>
      </x:c>
      <x:c r="Z365" s="4" t="str">
        <x:v>https://blog.skyairline.com/nieve-en-santiago-de-chile/</x:v>
      </x:c>
      <x:c r="AA365" s="4" t="str">
        <x:v>https://blog.skyairline.com/nieve-en-santiago-de-chile/</x:v>
      </x:c>
      <x:c r="AB365" s="4" t="str">
        <x:v>Coincidencia URL</x:v>
      </x:c>
      <x:c r="AC365" s="4" t="str">
        <x:v>Publicado hasta septiembre</x:v>
      </x:c>
      <x:c r="AD365" s="4" t="str">
        <x:v>/nieve-en-santiago-de-chile/</x:v>
      </x:c>
      <x:c r="AE365" s="4"/>
      <x:c r="AF365" s="16" t="b">
        <x:v>0</x:v>
      </x:c>
    </x:row>
    <x:row r="366" ht="44" customHeight="1">
      <x:c r="A366" s="4" t="n">
        <x:v>9190</x:v>
      </x:c>
      <x:c r="B366" s="4" t="str">
        <x:v>https://blog.skyairline.com/primavera-en-chile-2/</x:v>
      </x:c>
      <x:c r="C366" s="9" t="str">
        <x:v>Primavera en Chile: fenómenos naturales y qué visitar</x:v>
      </x:c>
      <x:c r="D366" s="17" t="d">
        <x:v>2026-08-28T00:00:00.000Z</x:v>
      </x:c>
      <x:c r="E366" s="17" t="d">
        <x:v>2026-08-28T00:00:00.000Z</x:v>
      </x:c>
      <x:c r="F366" s="4" t="str">
        <x:v>Planificación de Viaje</x:v>
      </x:c>
      <x:c r="G366" s="11" t="n">
        <x:v>985</x:v>
      </x:c>
      <x:c r="H366" s="11" t="n">
        <x:v>200</x:v>
      </x:c>
      <x:c r="I366" s="11" t="n">
        <x:v>1</x:v>
      </x:c>
      <x:c r="J366" s="4" t="str">
        <x:v>https://blog.skyairline.com/primavera-en-chile-2/</x:v>
      </x:c>
      <x:c r="K366" s="16" t="b">
        <x:v>0</x:v>
      </x:c>
      <x:c r="L366" s="11" t="n">
        <x:v>0</x:v>
      </x:c>
      <x:c r="M366" s="11" t="n">
        <x:v>0</x:v>
      </x:c>
      <x:c r="N366" s="4"/>
      <x:c r="O366" s="4"/>
      <x:c r="P366" s="11" t="n">
        <x:v>1</x:v>
      </x:c>
      <x:c r="Q366" s="11" t="n">
        <x:v>5</x:v>
      </x:c>
      <x:c r="R366" s="11" t="n">
        <x:f>IF(OR(P366="",Q366=""),"",Q366-P366)</x:f>
        <x:v>4</x:v>
      </x:c>
      <x:c r="S366" s="13" t="n">
        <x:f>IF(OR(P366="",Q366="",P366=0),"",((Q366/30)/(P366/31))-1)</x:f>
        <x:v>4.166666666666667</x:v>
      </x:c>
      <x:c r="T366" s="11" t="n">
        <x:v>280</x:v>
      </x:c>
      <x:c r="U366" s="11" t="n">
        <x:v>653</x:v>
      </x:c>
      <x:c r="V366" s="14" t="n">
        <x:v>0.007656967840735069</x:v>
      </x:c>
      <x:c r="W366" s="12" t="n">
        <x:v>6.656967840735069</x:v>
      </x:c>
      <x:c r="X366" s="11" t="n">
        <x:v>6</x:v>
      </x:c>
      <x:c r="Y366" s="11" t="n">
        <x:v>7</x:v>
      </x:c>
      <x:c r="Z366" s="4" t="str">
        <x:v>https://blog.skyairline.com/primavera-en-chile-2/</x:v>
      </x:c>
      <x:c r="AA366" s="4" t="str">
        <x:v>https://blog.skyairline.com/primavera-en-chile-2/</x:v>
      </x:c>
      <x:c r="AB366" s="4" t="str">
        <x:v>Coincidencia URL</x:v>
      </x:c>
      <x:c r="AC366" s="4" t="str">
        <x:v>Publicado hasta septiembre</x:v>
      </x:c>
      <x:c r="AD366" s="4" t="str">
        <x:v>/primavera-en-chile-2/</x:v>
      </x:c>
      <x:c r="AE366" s="4"/>
      <x:c r="AF366" s="16" t="b">
        <x:v>0</x:v>
      </x:c>
    </x:row>
    <x:row r="367" ht="44" customHeight="1">
      <x:c r="A367" s="4" t="n">
        <x:v>9257</x:v>
      </x:c>
      <x:c r="B367" s="4" t="str">
        <x:v>https://blog.skyairline.com/edificios-patrimoniales-de-chile/</x:v>
      </x:c>
      <x:c r="C367" s="9" t="str">
        <x:v>7 edificios patrimoniales de Chile que debes conocer</x:v>
      </x:c>
      <x:c r="D367" s="17" t="d">
        <x:v>2026-09-10T00:00:00.000Z</x:v>
      </x:c>
      <x:c r="E367" s="17" t="d">
        <x:v>2026-09-08T00:00:00.000Z</x:v>
      </x:c>
      <x:c r="F367" s="4" t="str">
        <x:v>Cultura</x:v>
      </x:c>
      <x:c r="G367" s="11" t="n">
        <x:v>1133</x:v>
      </x:c>
      <x:c r="H367" s="11" t="n">
        <x:v>200</x:v>
      </x:c>
      <x:c r="I367" s="11" t="n">
        <x:v>1</x:v>
      </x:c>
      <x:c r="J367" s="4" t="str">
        <x:v>https://blog.skyairline.com/edificios-patrimoniales-de-chile/</x:v>
      </x:c>
      <x:c r="K367" s="16" t="b">
        <x:v>0</x:v>
      </x:c>
      <x:c r="L367" s="11" t="n">
        <x:v>0</x:v>
      </x:c>
      <x:c r="M367" s="11" t="n">
        <x:v>0</x:v>
      </x:c>
      <x:c r="N367" s="4"/>
      <x:c r="O367" s="4"/>
      <x:c r="P367" s="11"/>
      <x:c r="Q367" s="11" t="n">
        <x:v>5</x:v>
      </x:c>
      <x:c r="R367" s="11" t="str">
        <x:f>IF(OR(P367="",Q367=""),"",Q367-P367)</x:f>
      </x:c>
      <x:c r="S367" s="13" t="str">
        <x:f>IF(OR(P367="",Q367="",P367=0),"",((Q367/30)/(P367/31))-1)</x:f>
      </x:c>
      <x:c r="T367" s="11"/>
      <x:c r="U367" s="11" t="n">
        <x:v>698</x:v>
      </x:c>
      <x:c r="V367" s="14" t="n">
        <x:v>0.0071633237822349575</x:v>
      </x:c>
      <x:c r="W367" s="12" t="n">
        <x:v>6.292263610315186</x:v>
      </x:c>
      <x:c r="X367" s="11" t="n">
        <x:v>5</x:v>
      </x:c>
      <x:c r="Y367" s="11" t="n">
        <x:v>5</x:v>
      </x:c>
      <x:c r="Z367" s="4"/>
      <x:c r="AA367" s="4" t="str">
        <x:v>https://blog.skyairline.com/edificios-patrimoniales-de-chile/</x:v>
      </x:c>
      <x:c r="AB367" s="4" t="str">
        <x:v>Coincidencia URL</x:v>
      </x:c>
      <x:c r="AC367" s="4" t="str">
        <x:v>Publicado hasta septiembre</x:v>
      </x:c>
      <x:c r="AD367" s="4" t="str">
        <x:v>/edificios-patrimoniales-de-chile/</x:v>
      </x:c>
      <x:c r="AE367" s="4"/>
      <x:c r="AF367" s="16" t="b">
        <x:v>0</x:v>
      </x:c>
    </x:row>
    <x:row r="368" ht="44" customHeight="1">
      <x:c r="A368" s="4" t="n">
        <x:v>838</x:v>
      </x:c>
      <x:c r="B368" s="4" t="str">
        <x:v>https://blog.skyairline.com/vuelos-baratos/</x:v>
      </x:c>
      <x:c r="C368" s="9" t="str">
        <x:v>Vuelos baratos: Días, horarios y otros consejos</x:v>
      </x:c>
      <x:c r="D368" s="17" t="d">
        <x:v>2021-09-15T00:00:00.000Z</x:v>
      </x:c>
      <x:c r="E368" s="17" t="d">
        <x:v>2021-09-15T00:00:00.000Z</x:v>
      </x:c>
      <x:c r="F368" s="4" t="str">
        <x:v>Planificación de Viaje</x:v>
      </x:c>
      <x:c r="G368" s="11" t="n">
        <x:v>961</x:v>
      </x:c>
      <x:c r="H368" s="11" t="n">
        <x:v>200</x:v>
      </x:c>
      <x:c r="I368" s="11" t="n">
        <x:v>1</x:v>
      </x:c>
      <x:c r="J368" s="4" t="str">
        <x:v>https://blog.skyairline.com/vuelos-baratos/</x:v>
      </x:c>
      <x:c r="K368" s="16" t="b">
        <x:v>0</x:v>
      </x:c>
      <x:c r="L368" s="11" t="n">
        <x:v>0</x:v>
      </x:c>
      <x:c r="M368" s="11" t="n">
        <x:v>3</x:v>
      </x:c>
      <x:c r="N368" s="4"/>
      <x:c r="O368" s="4"/>
      <x:c r="P368" s="11" t="n">
        <x:v>5</x:v>
      </x:c>
      <x:c r="Q368" s="11" t="n">
        <x:v>4</x:v>
      </x:c>
      <x:c r="R368" s="11" t="n">
        <x:f>IF(OR(P368="",Q368=""),"",Q368-P368)</x:f>
        <x:v>-1</x:v>
      </x:c>
      <x:c r="S368" s="13" t="n">
        <x:f>IF(OR(P368="",Q368="",P368=0),"",((Q368/30)/(P368/31))-1)</x:f>
        <x:v>-0.17333333333333334</x:v>
      </x:c>
      <x:c r="T368" s="11" t="n">
        <x:v>787</x:v>
      </x:c>
      <x:c r="U368" s="11" t="n">
        <x:v>746</x:v>
      </x:c>
      <x:c r="V368" s="14" t="n">
        <x:v>0.005361930294906166</x:v>
      </x:c>
      <x:c r="W368" s="12" t="n">
        <x:v>6.971849865951743</x:v>
      </x:c>
      <x:c r="X368" s="11" t="n">
        <x:v>2</x:v>
      </x:c>
      <x:c r="Y368" s="11" t="n">
        <x:v>2</x:v>
      </x:c>
      <x:c r="Z368" s="4" t="str">
        <x:v>https://blog.skyairline.com/vuelos-baratos/</x:v>
      </x:c>
      <x:c r="AA368" s="4" t="str">
        <x:v>https://blog.skyairline.com/vuelos-baratos/</x:v>
      </x:c>
      <x:c r="AB368" s="4" t="str">
        <x:v>Coincidencia URL</x:v>
      </x:c>
      <x:c r="AC368" s="4" t="str">
        <x:v>Publicado hasta septiembre</x:v>
      </x:c>
      <x:c r="AD368" s="4" t="str">
        <x:v>/vuelos-baratos/</x:v>
      </x:c>
      <x:c r="AE368" s="4"/>
      <x:c r="AF368" s="16" t="b">
        <x:v>0</x:v>
      </x:c>
    </x:row>
    <x:row r="369" ht="44" customHeight="1">
      <x:c r="A369" s="4" t="n">
        <x:v>929</x:v>
      </x:c>
      <x:c r="B369" s="4" t="str">
        <x:v>https://blog.skyairline.com/checklist-para-hacer-maleta/</x:v>
      </x:c>
      <x:c r="C369" s="9" t="str">
        <x:v>Checklist para hacer maleta: tipos de cosas que no puedes olvidar</x:v>
      </x:c>
      <x:c r="D369" s="17" t="d">
        <x:v>2021-10-13T00:00:00.000Z</x:v>
      </x:c>
      <x:c r="E369" s="17" t="d">
        <x:v>2021-10-13T00:00:00.000Z</x:v>
      </x:c>
      <x:c r="F369" s="4" t="str">
        <x:v>Planificación de Viaje</x:v>
      </x:c>
      <x:c r="G369" s="11" t="n">
        <x:v>989</x:v>
      </x:c>
      <x:c r="H369" s="11" t="n">
        <x:v>200</x:v>
      </x:c>
      <x:c r="I369" s="11" t="n">
        <x:v>1</x:v>
      </x:c>
      <x:c r="J369" s="4" t="str">
        <x:v>https://blog.skyairline.com/checklist-para-hacer-maleta/</x:v>
      </x:c>
      <x:c r="K369" s="16" t="b">
        <x:v>0</x:v>
      </x:c>
      <x:c r="L369" s="11" t="n">
        <x:v>0</x:v>
      </x:c>
      <x:c r="M369" s="11" t="n">
        <x:v>3</x:v>
      </x:c>
      <x:c r="N369" s="4"/>
      <x:c r="O369" s="4"/>
      <x:c r="P369" s="11" t="n">
        <x:v>4</x:v>
      </x:c>
      <x:c r="Q369" s="11" t="n">
        <x:v>4</x:v>
      </x:c>
      <x:c r="R369" s="11" t="n">
        <x:f>IF(OR(P369="",Q369=""),"",Q369-P369)</x:f>
        <x:v>0</x:v>
      </x:c>
      <x:c r="S369" s="13" t="n">
        <x:f>IF(OR(P369="",Q369="",P369=0),"",((Q369/30)/(P369/31))-1)</x:f>
        <x:v>0.03333333333333344</x:v>
      </x:c>
      <x:c r="T369" s="11" t="n">
        <x:v>1610</x:v>
      </x:c>
      <x:c r="U369" s="11" t="n">
        <x:v>934</x:v>
      </x:c>
      <x:c r="V369" s="14" t="n">
        <x:v>0.004282655246252677</x:v>
      </x:c>
      <x:c r="W369" s="12" t="n">
        <x:v>38.11134903640257</x:v>
      </x:c>
      <x:c r="X369" s="11" t="n">
        <x:v>10</x:v>
      </x:c>
      <x:c r="Y369" s="11" t="n">
        <x:v>11</x:v>
      </x:c>
      <x:c r="Z369" s="4" t="str">
        <x:v>https://blog.skyairline.com/checklist-para-hacer-maleta/</x:v>
      </x:c>
      <x:c r="AA369" s="4" t="str">
        <x:v>https://blog.skyairline.com/checklist-para-hacer-maleta/</x:v>
      </x:c>
      <x:c r="AB369" s="4" t="str">
        <x:v>Coincidencia URL</x:v>
      </x:c>
      <x:c r="AC369" s="4" t="str">
        <x:v>Publicado hasta septiembre</x:v>
      </x:c>
      <x:c r="AD369" s="4" t="str">
        <x:v>/checklist-para-hacer-maleta/</x:v>
      </x:c>
      <x:c r="AE369" s="4"/>
      <x:c r="AF369" s="16" t="b">
        <x:v>0</x:v>
      </x:c>
    </x:row>
    <x:row r="370" ht="44" customHeight="1">
      <x:c r="A370" s="4" t="n">
        <x:v>1370</x:v>
      </x:c>
      <x:c r="B370" s="4" t="str">
        <x:v>https://blog.skyairline.com/documentales-de-viajes/</x:v>
      </x:c>
      <x:c r="C370" s="9" t="str">
        <x:v>7 series y documentales de viajes que puedes ver en Netflix</x:v>
      </x:c>
      <x:c r="D370" s="17" t="d">
        <x:v>2022-01-30T00:00:00.000Z</x:v>
      </x:c>
      <x:c r="E370" s="17" t="d">
        <x:v>2022-01-30T00:00:00.000Z</x:v>
      </x:c>
      <x:c r="F370" s="4" t="str">
        <x:v>Destinos</x:v>
      </x:c>
      <x:c r="G370" s="11" t="n">
        <x:v>932</x:v>
      </x:c>
      <x:c r="H370" s="11" t="n">
        <x:v>200</x:v>
      </x:c>
      <x:c r="I370" s="11" t="n">
        <x:v>1</x:v>
      </x:c>
      <x:c r="J370" s="4" t="str">
        <x:v>https://blog.skyairline.com/documentales-de-viajes/</x:v>
      </x:c>
      <x:c r="K370" s="16" t="b">
        <x:v>0</x:v>
      </x:c>
      <x:c r="L370" s="11" t="n">
        <x:v>0</x:v>
      </x:c>
      <x:c r="M370" s="11" t="n">
        <x:v>4</x:v>
      </x:c>
      <x:c r="N370" s="4"/>
      <x:c r="O370" s="4"/>
      <x:c r="P370" s="11" t="n">
        <x:v>5</x:v>
      </x:c>
      <x:c r="Q370" s="11" t="n">
        <x:v>4</x:v>
      </x:c>
      <x:c r="R370" s="11" t="n">
        <x:f>IF(OR(P370="",Q370=""),"",Q370-P370)</x:f>
        <x:v>-1</x:v>
      </x:c>
      <x:c r="S370" s="13" t="n">
        <x:f>IF(OR(P370="",Q370="",P370=0),"",((Q370/30)/(P370/31))-1)</x:f>
        <x:v>-0.17333333333333334</x:v>
      </x:c>
      <x:c r="T370" s="11" t="n">
        <x:v>617</x:v>
      </x:c>
      <x:c r="U370" s="11" t="n">
        <x:v>620</x:v>
      </x:c>
      <x:c r="V370" s="14" t="n">
        <x:v>0.0064516129032258064</x:v>
      </x:c>
      <x:c r="W370" s="12" t="n">
        <x:v>12.885483870967741</x:v>
      </x:c>
      <x:c r="X370" s="11" t="n">
        <x:v>7</x:v>
      </x:c>
      <x:c r="Y370" s="11" t="n">
        <x:v>6</x:v>
      </x:c>
      <x:c r="Z370" s="4" t="str">
        <x:v>https://blog.skyairline.com/documentales-de-viajes/</x:v>
      </x:c>
      <x:c r="AA370" s="4" t="str">
        <x:v>https://blog.skyairline.com/documentales-de-viajes/</x:v>
      </x:c>
      <x:c r="AB370" s="4" t="str">
        <x:v>Coincidencia URL</x:v>
      </x:c>
      <x:c r="AC370" s="4" t="str">
        <x:v>Publicado hasta septiembre</x:v>
      </x:c>
      <x:c r="AD370" s="4" t="str">
        <x:v>/documentales-de-viajes/</x:v>
      </x:c>
      <x:c r="AE370" s="4"/>
      <x:c r="AF370" s="16" t="b">
        <x:v>0</x:v>
      </x:c>
    </x:row>
    <x:row r="371" ht="44" customHeight="1">
      <x:c r="A371" s="4" t="n">
        <x:v>1379</x:v>
      </x:c>
      <x:c r="B371" s="4" t="str">
        <x:v>https://blog.skyairline.com/aeroparque-de-buenos-aires/</x:v>
      </x:c>
      <x:c r="C371" s="9" t="str">
        <x:v>Aeroparque de Buenos Aires: ¿Por qué es una excelente opción para llegar a Argentina?</x:v>
      </x:c>
      <x:c r="D371" s="17" t="d">
        <x:v>2022-02-02T00:00:00.000Z</x:v>
      </x:c>
      <x:c r="E371" s="17" t="d">
        <x:v>2022-02-02T00:00:00.000Z</x:v>
      </x:c>
      <x:c r="F371" s="4" t="str">
        <x:v>Destinos</x:v>
      </x:c>
      <x:c r="G371" s="11" t="n">
        <x:v>1004</x:v>
      </x:c>
      <x:c r="H371" s="11" t="n">
        <x:v>200</x:v>
      </x:c>
      <x:c r="I371" s="11" t="n">
        <x:v>1</x:v>
      </x:c>
      <x:c r="J371" s="4" t="str">
        <x:v>https://blog.skyairline.com/aeroparque-de-buenos-aires/</x:v>
      </x:c>
      <x:c r="K371" s="16" t="b">
        <x:v>0</x:v>
      </x:c>
      <x:c r="L371" s="11" t="n">
        <x:v>0</x:v>
      </x:c>
      <x:c r="M371" s="11" t="n">
        <x:v>4</x:v>
      </x:c>
      <x:c r="N371" s="4"/>
      <x:c r="O371" s="4"/>
      <x:c r="P371" s="11" t="n">
        <x:v>2</x:v>
      </x:c>
      <x:c r="Q371" s="11" t="n">
        <x:v>4</x:v>
      </x:c>
      <x:c r="R371" s="11" t="n">
        <x:f>IF(OR(P371="",Q371=""),"",Q371-P371)</x:f>
        <x:v>2</x:v>
      </x:c>
      <x:c r="S371" s="13" t="n">
        <x:f>IF(OR(P371="",Q371="",P371=0),"",((Q371/30)/(P371/31))-1)</x:f>
        <x:v>1.0666666666666669</x:v>
      </x:c>
      <x:c r="T371" s="11" t="n">
        <x:v>1774</x:v>
      </x:c>
      <x:c r="U371" s="11" t="n">
        <x:v>1410</x:v>
      </x:c>
      <x:c r="V371" s="14" t="n">
        <x:v>0.0028368794326241137</x:v>
      </x:c>
      <x:c r="W371" s="12" t="n">
        <x:v>12.943971631205674</x:v>
      </x:c>
      <x:c r="X371" s="11" t="n">
        <x:v>3</x:v>
      </x:c>
      <x:c r="Y371" s="11" t="n">
        <x:v>4</x:v>
      </x:c>
      <x:c r="Z371" s="4" t="str">
        <x:v>https://blog.skyairline.com/aeroparque-de-buenos-aires/</x:v>
      </x:c>
      <x:c r="AA371" s="4" t="str">
        <x:v>https://blog.skyairline.com/aeroparque-de-buenos-aires/</x:v>
      </x:c>
      <x:c r="AB371" s="4" t="str">
        <x:v>Coincidencia URL</x:v>
      </x:c>
      <x:c r="AC371" s="4" t="str">
        <x:v>Publicado hasta septiembre</x:v>
      </x:c>
      <x:c r="AD371" s="4" t="str">
        <x:v>/aeroparque-de-buenos-aires/</x:v>
      </x:c>
      <x:c r="AE371" s="4"/>
      <x:c r="AF371" s="16" t="b">
        <x:v>0</x:v>
      </x:c>
    </x:row>
    <x:row r="372" ht="44" customHeight="1">
      <x:c r="A372" s="4" t="n">
        <x:v>1435</x:v>
      </x:c>
      <x:c r="B372" s="4" t="str">
        <x:v>https://blog.skyairline.com/estafas-a-viajeros/</x:v>
      </x:c>
      <x:c r="C372" s="9" t="str">
        <x:v>3 estafas a viajeros de las que tienes que cuidarte</x:v>
      </x:c>
      <x:c r="D372" s="17" t="d">
        <x:v>2022-02-18T00:00:00.000Z</x:v>
      </x:c>
      <x:c r="E372" s="17" t="d">
        <x:v>2022-02-18T00:00:00.000Z</x:v>
      </x:c>
      <x:c r="F372" s="4" t="str">
        <x:v>Planificación de Viaje</x:v>
      </x:c>
      <x:c r="G372" s="11" t="n">
        <x:v>962</x:v>
      </x:c>
      <x:c r="H372" s="11" t="n">
        <x:v>200</x:v>
      </x:c>
      <x:c r="I372" s="11" t="n">
        <x:v>1</x:v>
      </x:c>
      <x:c r="J372" s="4" t="str">
        <x:v>https://blog.skyairline.com/estafas-a-viajeros/</x:v>
      </x:c>
      <x:c r="K372" s="16" t="b">
        <x:v>0</x:v>
      </x:c>
      <x:c r="L372" s="11" t="n">
        <x:v>0</x:v>
      </x:c>
      <x:c r="M372" s="11" t="n">
        <x:v>3</x:v>
      </x:c>
      <x:c r="N372" s="4"/>
      <x:c r="O372" s="4"/>
      <x:c r="P372" s="11" t="n">
        <x:v>5</x:v>
      </x:c>
      <x:c r="Q372" s="11" t="n">
        <x:v>4</x:v>
      </x:c>
      <x:c r="R372" s="11" t="n">
        <x:f>IF(OR(P372="",Q372=""),"",Q372-P372)</x:f>
        <x:v>-1</x:v>
      </x:c>
      <x:c r="S372" s="13" t="n">
        <x:f>IF(OR(P372="",Q372="",P372=0),"",((Q372/30)/(P372/31))-1)</x:f>
        <x:v>-0.17333333333333334</x:v>
      </x:c>
      <x:c r="T372" s="11" t="n">
        <x:v>378</x:v>
      </x:c>
      <x:c r="U372" s="11" t="n">
        <x:v>478</x:v>
      </x:c>
      <x:c r="V372" s="14" t="n">
        <x:v>0.008368200836820083</x:v>
      </x:c>
      <x:c r="W372" s="12" t="n">
        <x:v>6.941422594142259</x:v>
      </x:c>
      <x:c r="X372" s="11" t="n">
        <x:v>4</x:v>
      </x:c>
      <x:c r="Y372" s="11" t="n">
        <x:v>6</x:v>
      </x:c>
      <x:c r="Z372" s="4" t="str">
        <x:v>https://blog.skyairline.com/estafas-a-viajeros/</x:v>
      </x:c>
      <x:c r="AA372" s="4" t="str">
        <x:v>https://blog.skyairline.com/estafas-a-viajeros/</x:v>
      </x:c>
      <x:c r="AB372" s="4" t="str">
        <x:v>Coincidencia URL</x:v>
      </x:c>
      <x:c r="AC372" s="4" t="str">
        <x:v>Publicado hasta septiembre</x:v>
      </x:c>
      <x:c r="AD372" s="4" t="str">
        <x:v>/estafas-a-viajeros/</x:v>
      </x:c>
      <x:c r="AE372" s="4"/>
      <x:c r="AF372" s="16" t="b">
        <x:v>0</x:v>
      </x:c>
    </x:row>
    <x:row r="373" ht="44" customHeight="1">
      <x:c r="A373" s="4" t="n">
        <x:v>1669</x:v>
      </x:c>
      <x:c r="B373" s="4" t="str">
        <x:v>https://blog.skyairline.com/cosas-gratis-en-cancun/</x:v>
      </x:c>
      <x:c r="C373" s="9" t="str">
        <x:v>Cosas gratis en Cancún: disfruta de actividades sin gastar de más</x:v>
      </x:c>
      <x:c r="D373" s="17" t="d">
        <x:v>2024-11-20T00:00:00.000Z</x:v>
      </x:c>
      <x:c r="E373" s="17" t="d">
        <x:v>2024-11-20T00:00:00.000Z</x:v>
      </x:c>
      <x:c r="F373" s="4" t="str">
        <x:v>Cancún, Destinos</x:v>
      </x:c>
      <x:c r="G373" s="11" t="n">
        <x:v>2241</x:v>
      </x:c>
      <x:c r="H373" s="11" t="n">
        <x:v>200</x:v>
      </x:c>
      <x:c r="I373" s="11" t="n">
        <x:v>1</x:v>
      </x:c>
      <x:c r="J373" s="4" t="str">
        <x:v>https://blog.skyairline.com/cosas-gratis-en-cancun/</x:v>
      </x:c>
      <x:c r="K373" s="16" t="b">
        <x:v>0</x:v>
      </x:c>
      <x:c r="L373" s="11" t="n">
        <x:v>0</x:v>
      </x:c>
      <x:c r="M373" s="11" t="n">
        <x:v>3</x:v>
      </x:c>
      <x:c r="N373" s="4"/>
      <x:c r="O373" s="4"/>
      <x:c r="P373" s="11" t="n">
        <x:v>13</x:v>
      </x:c>
      <x:c r="Q373" s="11" t="n">
        <x:v>4</x:v>
      </x:c>
      <x:c r="R373" s="11" t="n">
        <x:f>IF(OR(P373="",Q373=""),"",Q373-P373)</x:f>
        <x:v>-9</x:v>
      </x:c>
      <x:c r="S373" s="13" t="n">
        <x:f>IF(OR(P373="",Q373="",P373=0),"",((Q373/30)/(P373/31))-1)</x:f>
        <x:v>-0.6820512820512821</x:v>
      </x:c>
      <x:c r="T373" s="11" t="n">
        <x:v>973</x:v>
      </x:c>
      <x:c r="U373" s="11" t="n">
        <x:v>373</x:v>
      </x:c>
      <x:c r="V373" s="14" t="n">
        <x:v>0.010723860589812333</x:v>
      </x:c>
      <x:c r="W373" s="12" t="n">
        <x:v>11.576407506702413</x:v>
      </x:c>
      <x:c r="X373" s="11" t="n">
        <x:v>4</x:v>
      </x:c>
      <x:c r="Y373" s="11" t="n">
        <x:v>7</x:v>
      </x:c>
      <x:c r="Z373" s="4" t="str">
        <x:v>https://blog.skyairline.com/cosas-gratis-en-cancun/</x:v>
      </x:c>
      <x:c r="AA373" s="4" t="str">
        <x:v>https://blog.skyairline.com/cosas-gratis-en-cancun/</x:v>
      </x:c>
      <x:c r="AB373" s="4" t="str">
        <x:v>Coincidencia URL</x:v>
      </x:c>
      <x:c r="AC373" s="4" t="str">
        <x:v>Publicado hasta septiembre</x:v>
      </x:c>
      <x:c r="AD373" s="4" t="str">
        <x:v>/cosas-gratis-en-cancun/</x:v>
      </x:c>
      <x:c r="AE373" s="4"/>
      <x:c r="AF373" s="16" t="b">
        <x:v>1</x:v>
      </x:c>
    </x:row>
    <x:row r="374" ht="44" customHeight="1">
      <x:c r="A374" s="4" t="n">
        <x:v>1678</x:v>
      </x:c>
      <x:c r="B374" s="4" t="str">
        <x:v>https://blog.skyairline.com/pasar-migracion/</x:v>
      </x:c>
      <x:c r="C374" s="9" t="str">
        <x:v>7 consejos para pasar por migración sin errores ni malos ratos</x:v>
      </x:c>
      <x:c r="D374" s="17" t="d">
        <x:v>2024-06-04T00:00:00.000Z</x:v>
      </x:c>
      <x:c r="E374" s="17" t="d">
        <x:v>2024-06-04T00:00:00.000Z</x:v>
      </x:c>
      <x:c r="F374" s="4" t="str">
        <x:v>Planificación de Viaje</x:v>
      </x:c>
      <x:c r="G374" s="11" t="n">
        <x:v>1035</x:v>
      </x:c>
      <x:c r="H374" s="11" t="n">
        <x:v>200</x:v>
      </x:c>
      <x:c r="I374" s="11" t="n">
        <x:v>1</x:v>
      </x:c>
      <x:c r="J374" s="4" t="str">
        <x:v>https://blog.skyairline.com/pasar-migracion/</x:v>
      </x:c>
      <x:c r="K374" s="16" t="b">
        <x:v>0</x:v>
      </x:c>
      <x:c r="L374" s="11" t="n">
        <x:v>0</x:v>
      </x:c>
      <x:c r="M374" s="11" t="n">
        <x:v>3</x:v>
      </x:c>
      <x:c r="N374" s="4"/>
      <x:c r="O374" s="4"/>
      <x:c r="P374" s="11" t="n">
        <x:v>2</x:v>
      </x:c>
      <x:c r="Q374" s="11" t="n">
        <x:v>4</x:v>
      </x:c>
      <x:c r="R374" s="11" t="n">
        <x:f>IF(OR(P374="",Q374=""),"",Q374-P374)</x:f>
        <x:v>2</x:v>
      </x:c>
      <x:c r="S374" s="13" t="n">
        <x:f>IF(OR(P374="",Q374="",P374=0),"",((Q374/30)/(P374/31))-1)</x:f>
        <x:v>1.0666666666666669</x:v>
      </x:c>
      <x:c r="T374" s="11" t="n">
        <x:v>398</x:v>
      </x:c>
      <x:c r="U374" s="11" t="n">
        <x:v>217</x:v>
      </x:c>
      <x:c r="V374" s="14" t="n">
        <x:v>0.018433179723502304</x:v>
      </x:c>
      <x:c r="W374" s="12" t="n">
        <x:v>6.875576036866359</x:v>
      </x:c>
      <x:c r="X374" s="11" t="n">
        <x:v>4</x:v>
      </x:c>
      <x:c r="Y374" s="11" t="n">
        <x:v>5</x:v>
      </x:c>
      <x:c r="Z374" s="4" t="str">
        <x:v>https://blog.skyairline.com/pasar-migracion/</x:v>
      </x:c>
      <x:c r="AA374" s="4" t="str">
        <x:v>https://blog.skyairline.com/pasar-migracion/</x:v>
      </x:c>
      <x:c r="AB374" s="4" t="str">
        <x:v>Coincidencia URL</x:v>
      </x:c>
      <x:c r="AC374" s="4" t="str">
        <x:v>Publicado hasta septiembre</x:v>
      </x:c>
      <x:c r="AD374" s="4" t="str">
        <x:v>/pasar-migracion/</x:v>
      </x:c>
      <x:c r="AE374" s="4"/>
      <x:c r="AF374" s="16" t="b">
        <x:v>0</x:v>
      </x:c>
    </x:row>
    <x:row r="375" ht="44" customHeight="1">
      <x:c r="A375" s="4" t="n">
        <x:v>1841</x:v>
      </x:c>
      <x:c r="B375" s="4" t="str">
        <x:v>https://blog.skyairline.com/restaurantes-de-bogota/</x:v>
      </x:c>
      <x:c r="C375" s="9" t="str">
        <x:v>6 restaurantes de Bogotá imperdibles para turistas</x:v>
      </x:c>
      <x:c r="D375" s="17" t="d">
        <x:v>2022-05-20T00:00:00.000Z</x:v>
      </x:c>
      <x:c r="E375" s="17" t="d">
        <x:v>2022-05-20T00:00:00.000Z</x:v>
      </x:c>
      <x:c r="F375" s="4" t="str">
        <x:v>Destinos</x:v>
      </x:c>
      <x:c r="G375" s="11" t="n">
        <x:v>1032</x:v>
      </x:c>
      <x:c r="H375" s="11" t="n">
        <x:v>200</x:v>
      </x:c>
      <x:c r="I375" s="11" t="n">
        <x:v>1</x:v>
      </x:c>
      <x:c r="J375" s="4" t="str">
        <x:v>https://blog.skyairline.com/restaurantes-de-bogota/</x:v>
      </x:c>
      <x:c r="K375" s="16" t="b">
        <x:v>0</x:v>
      </x:c>
      <x:c r="L375" s="11" t="n">
        <x:v>0</x:v>
      </x:c>
      <x:c r="M375" s="11" t="n">
        <x:v>4</x:v>
      </x:c>
      <x:c r="N375" s="4"/>
      <x:c r="O375" s="4"/>
      <x:c r="P375" s="11" t="n">
        <x:v>12</x:v>
      </x:c>
      <x:c r="Q375" s="11" t="n">
        <x:v>4</x:v>
      </x:c>
      <x:c r="R375" s="11" t="n">
        <x:f>IF(OR(P375="",Q375=""),"",Q375-P375)</x:f>
        <x:v>-8</x:v>
      </x:c>
      <x:c r="S375" s="13" t="n">
        <x:f>IF(OR(P375="",Q375="",P375=0),"",((Q375/30)/(P375/31))-1)</x:f>
        <x:v>-0.6555555555555556</x:v>
      </x:c>
      <x:c r="T375" s="11" t="n">
        <x:v>788</x:v>
      </x:c>
      <x:c r="U375" s="11" t="n">
        <x:v>625</x:v>
      </x:c>
      <x:c r="V375" s="14" t="n">
        <x:v>0.0064</x:v>
      </x:c>
      <x:c r="W375" s="12" t="n">
        <x:v>17.16</x:v>
      </x:c>
      <x:c r="X375" s="11" t="n">
        <x:v>4</x:v>
      </x:c>
      <x:c r="Y375" s="11" t="n">
        <x:v>3</x:v>
      </x:c>
      <x:c r="Z375" s="4" t="str">
        <x:v>https://blog.skyairline.com/restaurantes-de-bogota/</x:v>
      </x:c>
      <x:c r="AA375" s="4" t="str">
        <x:v>https://blog.skyairline.com/restaurantes-de-bogota/</x:v>
      </x:c>
      <x:c r="AB375" s="4" t="str">
        <x:v>Coincidencia URL</x:v>
      </x:c>
      <x:c r="AC375" s="4" t="str">
        <x:v>Publicado hasta septiembre</x:v>
      </x:c>
      <x:c r="AD375" s="4" t="str">
        <x:v>/restaurantes-de-bogota/</x:v>
      </x:c>
      <x:c r="AE375" s="4"/>
      <x:c r="AF375" s="16" t="b">
        <x:v>0</x:v>
      </x:c>
    </x:row>
    <x:row r="376" ht="44" customHeight="1">
      <x:c r="A376" s="4" t="n">
        <x:v>1894</x:v>
      </x:c>
      <x:c r="B376" s="4" t="str">
        <x:v>https://blog.skyairline.com/barra-da-lagoa-el-corazon-de-florianopolis/</x:v>
      </x:c>
      <x:c r="C376" s="9" t="str">
        <x:v>Barra da Lagoa: El corazón de Florianópolis</x:v>
      </x:c>
      <x:c r="D376" s="17" t="d">
        <x:v>2022-06-30T00:00:00.000Z</x:v>
      </x:c>
      <x:c r="E376" s="17" t="d">
        <x:v>2022-06-30T00:00:00.000Z</x:v>
      </x:c>
      <x:c r="F376" s="4" t="str">
        <x:v>Destinos</x:v>
      </x:c>
      <x:c r="G376" s="11" t="n">
        <x:v>1017</x:v>
      </x:c>
      <x:c r="H376" s="11" t="n">
        <x:v>200</x:v>
      </x:c>
      <x:c r="I376" s="11" t="n">
        <x:v>1</x:v>
      </x:c>
      <x:c r="J376" s="4" t="str">
        <x:v>https://blog.skyairline.com/barra-da-lagoa-el-corazon-de-florianopolis/</x:v>
      </x:c>
      <x:c r="K376" s="16" t="b">
        <x:v>0</x:v>
      </x:c>
      <x:c r="L376" s="11" t="n">
        <x:v>0</x:v>
      </x:c>
      <x:c r="M376" s="11" t="n">
        <x:v>4</x:v>
      </x:c>
      <x:c r="N376" s="4"/>
      <x:c r="O376" s="4"/>
      <x:c r="P376" s="11" t="n">
        <x:v>6</x:v>
      </x:c>
      <x:c r="Q376" s="11" t="n">
        <x:v>4</x:v>
      </x:c>
      <x:c r="R376" s="11" t="n">
        <x:f>IF(OR(P376="",Q376=""),"",Q376-P376)</x:f>
        <x:v>-2</x:v>
      </x:c>
      <x:c r="S376" s="13" t="n">
        <x:f>IF(OR(P376="",Q376="",P376=0),"",((Q376/30)/(P376/31))-1)</x:f>
        <x:v>-0.3111111111111111</x:v>
      </x:c>
      <x:c r="T376" s="11" t="n">
        <x:v>1275</x:v>
      </x:c>
      <x:c r="U376" s="11" t="n">
        <x:v>1022</x:v>
      </x:c>
      <x:c r="V376" s="14" t="n">
        <x:v>0.003913894324853229</x:v>
      </x:c>
      <x:c r="W376" s="12" t="n">
        <x:v>11.194716242661448</x:v>
      </x:c>
      <x:c r="X376" s="11" t="n">
        <x:v>5</x:v>
      </x:c>
      <x:c r="Y376" s="11" t="n">
        <x:v>6</x:v>
      </x:c>
      <x:c r="Z376" s="4" t="str">
        <x:v>https://blog.skyairline.com/barra-da-lagoa-el-corazon-de-florianopolis/</x:v>
      </x:c>
      <x:c r="AA376" s="4" t="str">
        <x:v>https://blog.skyairline.com/barra-da-lagoa-el-corazon-de-florianopolis/</x:v>
      </x:c>
      <x:c r="AB376" s="4" t="str">
        <x:v>Coincidencia URL</x:v>
      </x:c>
      <x:c r="AC376" s="4" t="str">
        <x:v>Publicado hasta septiembre</x:v>
      </x:c>
      <x:c r="AD376" s="4" t="str">
        <x:v>/barra-da-lagoa-el-corazon-de-florianopolis/</x:v>
      </x:c>
      <x:c r="AE376" s="4"/>
      <x:c r="AF376" s="16" t="b">
        <x:v>0</x:v>
      </x:c>
    </x:row>
    <x:row r="377" ht="44" customHeight="1">
      <x:c r="A377" s="4" t="n">
        <x:v>1968</x:v>
      </x:c>
      <x:c r="B377" s="4" t="str">
        <x:v>https://blog.skyairline.com/arrecifes/</x:v>
      </x:c>
      <x:c r="C377" s="9" t="str">
        <x:v> Buceo por los arrecifes más hermosos de América Latina</x:v>
      </x:c>
      <x:c r="D377" s="17" t="d">
        <x:v>2025-10-18T00:00:00.000Z</x:v>
      </x:c>
      <x:c r="E377" s="17" t="d">
        <x:v>2026-01-12T00:00:00.000Z</x:v>
      </x:c>
      <x:c r="F377" s="4" t="str">
        <x:v>Destinos</x:v>
      </x:c>
      <x:c r="G377" s="11" t="n">
        <x:v>1339</x:v>
      </x:c>
      <x:c r="H377" s="11" t="n">
        <x:v>200</x:v>
      </x:c>
      <x:c r="I377" s="11" t="n">
        <x:v>1</x:v>
      </x:c>
      <x:c r="J377" s="4" t="str">
        <x:v>https://blog.skyairline.com/arrecifes/</x:v>
      </x:c>
      <x:c r="K377" s="16" t="b">
        <x:v>0</x:v>
      </x:c>
      <x:c r="L377" s="11" t="n">
        <x:v>0</x:v>
      </x:c>
      <x:c r="M377" s="11" t="n">
        <x:v>1</x:v>
      </x:c>
      <x:c r="N377" s="4"/>
      <x:c r="O377" s="4"/>
      <x:c r="P377" s="11" t="n">
        <x:v>1</x:v>
      </x:c>
      <x:c r="Q377" s="11" t="n">
        <x:v>4</x:v>
      </x:c>
      <x:c r="R377" s="11" t="n">
        <x:f>IF(OR(P377="",Q377=""),"",Q377-P377)</x:f>
        <x:v>3</x:v>
      </x:c>
      <x:c r="S377" s="13" t="n">
        <x:f>IF(OR(P377="",Q377="",P377=0),"",((Q377/30)/(P377/31))-1)</x:f>
        <x:v>3.1333333333333337</x:v>
      </x:c>
      <x:c r="T377" s="11" t="n">
        <x:v>498</x:v>
      </x:c>
      <x:c r="U377" s="11" t="n">
        <x:v>429</x:v>
      </x:c>
      <x:c r="V377" s="14" t="n">
        <x:v>0.009324009324009324</x:v>
      </x:c>
      <x:c r="W377" s="12" t="n">
        <x:v>7.391608391608392</x:v>
      </x:c>
      <x:c r="X377" s="11" t="n">
        <x:v>4</x:v>
      </x:c>
      <x:c r="Y377" s="11" t="n">
        <x:v>5</x:v>
      </x:c>
      <x:c r="Z377" s="4" t="str">
        <x:v>https://blog.skyairline.com/arrecifes/</x:v>
      </x:c>
      <x:c r="AA377" s="4" t="str">
        <x:v>https://blog.skyairline.com/arrecifes/</x:v>
      </x:c>
      <x:c r="AB377" s="4" t="str">
        <x:v>Coincidencia URL</x:v>
      </x:c>
      <x:c r="AC377" s="4" t="str">
        <x:v>Publicado hasta septiembre</x:v>
      </x:c>
      <x:c r="AD377" s="4" t="str">
        <x:v>/arrecifes/</x:v>
      </x:c>
      <x:c r="AE377" s="4"/>
      <x:c r="AF377" s="16" t="b">
        <x:v>0</x:v>
      </x:c>
    </x:row>
    <x:row r="378" ht="44" customHeight="1">
      <x:c r="A378" s="4" t="n">
        <x:v>2173</x:v>
      </x:c>
      <x:c r="B378" s="4" t="str">
        <x:v>https://blog.skyairline.com/parques-de-atracciones-en-miami/</x:v>
      </x:c>
      <x:c r="C378" s="9" t="str">
        <x:v>Parques de diversiones en Miami</x:v>
      </x:c>
      <x:c r="D378" s="17" t="d">
        <x:v>2026-06-26T00:00:00.000Z</x:v>
      </x:c>
      <x:c r="E378" s="17" t="d">
        <x:v>2026-06-25T00:00:00.000Z</x:v>
      </x:c>
      <x:c r="F378" s="4" t="str">
        <x:v>Destinos</x:v>
      </x:c>
      <x:c r="G378" s="11" t="n">
        <x:v>1072</x:v>
      </x:c>
      <x:c r="H378" s="11" t="n">
        <x:v>200</x:v>
      </x:c>
      <x:c r="I378" s="11" t="n">
        <x:v>1</x:v>
      </x:c>
      <x:c r="J378" s="4" t="str">
        <x:v>https://blog.skyairline.com/parques-de-atracciones-en-miami/</x:v>
      </x:c>
      <x:c r="K378" s="16" t="b">
        <x:v>0</x:v>
      </x:c>
      <x:c r="L378" s="11" t="n">
        <x:v>0</x:v>
      </x:c>
      <x:c r="M378" s="11" t="n">
        <x:v>0</x:v>
      </x:c>
      <x:c r="N378" s="4"/>
      <x:c r="O378" s="4"/>
      <x:c r="P378" s="11" t="n">
        <x:v>15</x:v>
      </x:c>
      <x:c r="Q378" s="11" t="n">
        <x:v>4</x:v>
      </x:c>
      <x:c r="R378" s="11" t="n">
        <x:f>IF(OR(P378="",Q378=""),"",Q378-P378)</x:f>
        <x:v>-11</x:v>
      </x:c>
      <x:c r="S378" s="13" t="n">
        <x:f>IF(OR(P378="",Q378="",P378=0),"",((Q378/30)/(P378/31))-1)</x:f>
        <x:v>-0.7244444444444444</x:v>
      </x:c>
      <x:c r="T378" s="11" t="n">
        <x:v>1221</x:v>
      </x:c>
      <x:c r="U378" s="11" t="n">
        <x:v>740</x:v>
      </x:c>
      <x:c r="V378" s="14" t="n">
        <x:v>0.005405405405405406</x:v>
      </x:c>
      <x:c r="W378" s="12" t="n">
        <x:v>9.725675675675676</x:v>
      </x:c>
      <x:c r="X378" s="11" t="n">
        <x:v>5</x:v>
      </x:c>
      <x:c r="Y378" s="11" t="n">
        <x:v>8</x:v>
      </x:c>
      <x:c r="Z378" s="4" t="str">
        <x:v>https://blog.skyairline.com/parques-de-atracciones-en-miami/</x:v>
      </x:c>
      <x:c r="AA378" s="4" t="str">
        <x:v>https://blog.skyairline.com/parques-de-atracciones-en-miami/</x:v>
      </x:c>
      <x:c r="AB378" s="4" t="str">
        <x:v>Coincidencia URL</x:v>
      </x:c>
      <x:c r="AC378" s="4" t="str">
        <x:v>Publicado hasta septiembre</x:v>
      </x:c>
      <x:c r="AD378" s="4" t="str">
        <x:v>/parques-de-atracciones-en-miami/</x:v>
      </x:c>
      <x:c r="AE378" s="4"/>
      <x:c r="AF378" s="16" t="b">
        <x:v>0</x:v>
      </x:c>
    </x:row>
    <x:row r="379" ht="44" customHeight="1">
      <x:c r="A379" s="4" t="n">
        <x:v>2269</x:v>
      </x:c>
      <x:c r="B379" s="4" t="str">
        <x:v>https://blog.skyairline.com/estadio-nacional-de-chile/</x:v>
      </x:c>
      <x:c r="C379" s="9" t="str">
        <x:v>Estadio Nacional de Chile: una parada para los fanáticos del fútbol</x:v>
      </x:c>
      <x:c r="D379" s="17" t="d">
        <x:v>2025-06-13T00:00:00.000Z</x:v>
      </x:c>
      <x:c r="E379" s="17" t="d">
        <x:v>2025-12-19T00:00:00.000Z</x:v>
      </x:c>
      <x:c r="F379" s="4" t="str">
        <x:v>Destinos</x:v>
      </x:c>
      <x:c r="G379" s="11" t="n">
        <x:v>1247</x:v>
      </x:c>
      <x:c r="H379" s="11" t="n">
        <x:v>200</x:v>
      </x:c>
      <x:c r="I379" s="11" t="n">
        <x:v>1</x:v>
      </x:c>
      <x:c r="J379" s="4" t="str">
        <x:v>https://blog.skyairline.com/estadio-nacional-de-chile/</x:v>
      </x:c>
      <x:c r="K379" s="16" t="b">
        <x:v>0</x:v>
      </x:c>
      <x:c r="L379" s="11" t="n">
        <x:v>0</x:v>
      </x:c>
      <x:c r="M379" s="11" t="n">
        <x:v>2</x:v>
      </x:c>
      <x:c r="N379" s="4"/>
      <x:c r="O379" s="4"/>
      <x:c r="P379" s="11" t="n">
        <x:v>0</x:v>
      </x:c>
      <x:c r="Q379" s="11" t="n">
        <x:v>4</x:v>
      </x:c>
      <x:c r="R379" s="11" t="str">
        <x:f>IF(OR(P379="",Q379=""),"",Q379-P379)</x:f>
      </x:c>
      <x:c r="S379" s="13" t="str">
        <x:f>IF(OR(P379="",Q379="",P379=0),"",((Q379/30)/(P379/31))-1)</x:f>
      </x:c>
      <x:c r="T379" s="11" t="n">
        <x:v>2602</x:v>
      </x:c>
      <x:c r="U379" s="11" t="n">
        <x:v>2436</x:v>
      </x:c>
      <x:c r="V379" s="14" t="n">
        <x:v>0.0016420361247947454</x:v>
      </x:c>
      <x:c r="W379" s="12" t="n">
        <x:v>10.09072249589491</x:v>
      </x:c>
      <x:c r="X379" s="11" t="n">
        <x:v>4</x:v>
      </x:c>
      <x:c r="Y379" s="11" t="n">
        <x:v>4</x:v>
      </x:c>
      <x:c r="Z379" s="4" t="str">
        <x:v>https://blog.skyairline.com/estadio-nacional-de-chile/</x:v>
      </x:c>
      <x:c r="AA379" s="4" t="str">
        <x:v>https://blog.skyairline.com/estadio-nacional-de-chile/</x:v>
      </x:c>
      <x:c r="AB379" s="4" t="str">
        <x:v>Coincidencia URL</x:v>
      </x:c>
      <x:c r="AC379" s="4" t="str">
        <x:v>Publicado hasta septiembre</x:v>
      </x:c>
      <x:c r="AD379" s="4" t="str">
        <x:v>/estadio-nacional-de-chile/</x:v>
      </x:c>
      <x:c r="AE379" s="4"/>
      <x:c r="AF379" s="16" t="b">
        <x:v>0</x:v>
      </x:c>
    </x:row>
    <x:row r="380" ht="44" customHeight="1">
      <x:c r="A380" s="4" t="n">
        <x:v>2445</x:v>
      </x:c>
      <x:c r="B380" s="4" t="str">
        <x:v>https://blog.skyairline.com/lagos-de-chile/</x:v>
      </x:c>
      <x:c r="C380" s="9" t="str">
        <x:v>5 Lagos de Chile con características únicas</x:v>
      </x:c>
      <x:c r="D380" s="17" t="d">
        <x:v>2026-04-20T00:00:00.000Z</x:v>
      </x:c>
      <x:c r="E380" s="17" t="d">
        <x:v>2026-04-16T00:00:00.000Z</x:v>
      </x:c>
      <x:c r="F380" s="4" t="str">
        <x:v>Destinos</x:v>
      </x:c>
      <x:c r="G380" s="11" t="n">
        <x:v>1032</x:v>
      </x:c>
      <x:c r="H380" s="11" t="n">
        <x:v>200</x:v>
      </x:c>
      <x:c r="I380" s="11" t="n">
        <x:v>1</x:v>
      </x:c>
      <x:c r="J380" s="4" t="str">
        <x:v>https://blog.skyairline.com/lagos-de-chile/</x:v>
      </x:c>
      <x:c r="K380" s="16" t="b">
        <x:v>0</x:v>
      </x:c>
      <x:c r="L380" s="11" t="n">
        <x:v>0</x:v>
      </x:c>
      <x:c r="M380" s="11" t="n">
        <x:v>0</x:v>
      </x:c>
      <x:c r="N380" s="4"/>
      <x:c r="O380" s="4"/>
      <x:c r="P380" s="11" t="n">
        <x:v>3</x:v>
      </x:c>
      <x:c r="Q380" s="11" t="n">
        <x:v>4</x:v>
      </x:c>
      <x:c r="R380" s="11" t="n">
        <x:f>IF(OR(P380="",Q380=""),"",Q380-P380)</x:f>
        <x:v>1</x:v>
      </x:c>
      <x:c r="S380" s="13" t="n">
        <x:f>IF(OR(P380="",Q380="",P380=0),"",((Q380/30)/(P380/31))-1)</x:f>
        <x:v>0.37777777777777777</x:v>
      </x:c>
      <x:c r="T380" s="11" t="n">
        <x:v>1084</x:v>
      </x:c>
      <x:c r="U380" s="11" t="n">
        <x:v>919</x:v>
      </x:c>
      <x:c r="V380" s="14" t="n">
        <x:v>0.004352557127312296</x:v>
      </x:c>
      <x:c r="W380" s="12" t="n">
        <x:v>9.396082698585419</x:v>
      </x:c>
      <x:c r="X380" s="11" t="n">
        <x:v>6</x:v>
      </x:c>
      <x:c r="Y380" s="11" t="n">
        <x:v>9</x:v>
      </x:c>
      <x:c r="Z380" s="4" t="str">
        <x:v>https://blog.skyairline.com/lagos-de-chile/</x:v>
      </x:c>
      <x:c r="AA380" s="4" t="str">
        <x:v>https://blog.skyairline.com/lagos-de-chile/</x:v>
      </x:c>
      <x:c r="AB380" s="4" t="str">
        <x:v>Coincidencia URL</x:v>
      </x:c>
      <x:c r="AC380" s="4" t="str">
        <x:v>Publicado hasta septiembre</x:v>
      </x:c>
      <x:c r="AD380" s="4" t="str">
        <x:v>/lagos-de-chile/</x:v>
      </x:c>
      <x:c r="AE380" s="4"/>
      <x:c r="AF380" s="16" t="b">
        <x:v>0</x:v>
      </x:c>
    </x:row>
    <x:row r="381" ht="44" customHeight="1">
      <x:c r="A381" s="4" t="n">
        <x:v>2567</x:v>
      </x:c>
      <x:c r="B381" s="4" t="str">
        <x:v>https://blog.skyairline.com/diferencia-horaria/</x:v>
      </x:c>
      <x:c r="C381" s="9" t="str">
        <x:v>Aprende a planificar tus viajes en Latinoamérica sin sufrir de jetlag</x:v>
      </x:c>
      <x:c r="D381" s="17" t="d">
        <x:v>2026-08-05T00:00:00.000Z</x:v>
      </x:c>
      <x:c r="E381" s="17" t="d">
        <x:v>2026-08-06T00:00:00.000Z</x:v>
      </x:c>
      <x:c r="F381" s="4" t="str">
        <x:v>Planificación de Viaje</x:v>
      </x:c>
      <x:c r="G381" s="11" t="n">
        <x:v>1103</x:v>
      </x:c>
      <x:c r="H381" s="11" t="n">
        <x:v>200</x:v>
      </x:c>
      <x:c r="I381" s="11" t="n">
        <x:v>1</x:v>
      </x:c>
      <x:c r="J381" s="4" t="str">
        <x:v>https://blog.skyairline.com/diferencia-horaria/</x:v>
      </x:c>
      <x:c r="K381" s="16" t="b">
        <x:v>0</x:v>
      </x:c>
      <x:c r="L381" s="11" t="n">
        <x:v>0</x:v>
      </x:c>
      <x:c r="M381" s="11" t="n">
        <x:v>0</x:v>
      </x:c>
      <x:c r="N381" s="4"/>
      <x:c r="O381" s="4"/>
      <x:c r="P381" s="11" t="n">
        <x:v>5</x:v>
      </x:c>
      <x:c r="Q381" s="11" t="n">
        <x:v>4</x:v>
      </x:c>
      <x:c r="R381" s="11" t="n">
        <x:f>IF(OR(P381="",Q381=""),"",Q381-P381)</x:f>
        <x:v>-1</x:v>
      </x:c>
      <x:c r="S381" s="13" t="n">
        <x:f>IF(OR(P381="",Q381="",P381=0),"",((Q381/30)/(P381/31))-1)</x:f>
        <x:v>-0.17333333333333334</x:v>
      </x:c>
      <x:c r="T381" s="11" t="n">
        <x:v>1091</x:v>
      </x:c>
      <x:c r="U381" s="11" t="n">
        <x:v>700</x:v>
      </x:c>
      <x:c r="V381" s="14" t="n">
        <x:v>0.005714285714285714</x:v>
      </x:c>
      <x:c r="W381" s="12" t="n">
        <x:v>9.522857142857143</x:v>
      </x:c>
      <x:c r="X381" s="11" t="n">
        <x:v>5</x:v>
      </x:c>
      <x:c r="Y381" s="11" t="n">
        <x:v>5</x:v>
      </x:c>
      <x:c r="Z381" s="4" t="str">
        <x:v>https://blog.skyairline.com/diferencia-horaria/</x:v>
      </x:c>
      <x:c r="AA381" s="4" t="str">
        <x:v>https://blog.skyairline.com/diferencia-horaria/</x:v>
      </x:c>
      <x:c r="AB381" s="4" t="str">
        <x:v>Coincidencia URL</x:v>
      </x:c>
      <x:c r="AC381" s="4" t="str">
        <x:v>Publicado hasta septiembre</x:v>
      </x:c>
      <x:c r="AD381" s="4" t="str">
        <x:v>/diferencia-horaria/</x:v>
      </x:c>
      <x:c r="AE381" s="4"/>
      <x:c r="AF381" s="16" t="b">
        <x:v>0</x:v>
      </x:c>
    </x:row>
    <x:row r="382" ht="44" customHeight="1">
      <x:c r="A382" s="4" t="n">
        <x:v>2587</x:v>
      </x:c>
      <x:c r="B382" s="4" t="str">
        <x:v>https://blog.skyairline.com/viajar-a-mendoza/</x:v>
      </x:c>
      <x:c r="C382" s="9" t="str">
        <x:v>¿Cuál es la mejor época para viajar a Mendoza?</x:v>
      </x:c>
      <x:c r="D382" s="17" t="d">
        <x:v>2022-12-18T00:00:00.000Z</x:v>
      </x:c>
      <x:c r="E382" s="17" t="d">
        <x:v>2022-12-18T00:00:00.000Z</x:v>
      </x:c>
      <x:c r="F382" s="4" t="str">
        <x:v>Destinos</x:v>
      </x:c>
      <x:c r="G382" s="11" t="n">
        <x:v>1035</x:v>
      </x:c>
      <x:c r="H382" s="11" t="n">
        <x:v>200</x:v>
      </x:c>
      <x:c r="I382" s="11" t="n">
        <x:v>1</x:v>
      </x:c>
      <x:c r="J382" s="4" t="str">
        <x:v>https://blog.skyairline.com/viajar-a-mendoza/</x:v>
      </x:c>
      <x:c r="K382" s="16" t="b">
        <x:v>0</x:v>
      </x:c>
      <x:c r="L382" s="11" t="n">
        <x:v>0</x:v>
      </x:c>
      <x:c r="M382" s="11" t="n">
        <x:v>0</x:v>
      </x:c>
      <x:c r="N382" s="4"/>
      <x:c r="O382" s="4"/>
      <x:c r="P382" s="11" t="n">
        <x:v>3</x:v>
      </x:c>
      <x:c r="Q382" s="11" t="n">
        <x:v>4</x:v>
      </x:c>
      <x:c r="R382" s="11" t="n">
        <x:f>IF(OR(P382="",Q382=""),"",Q382-P382)</x:f>
        <x:v>1</x:v>
      </x:c>
      <x:c r="S382" s="13" t="n">
        <x:f>IF(OR(P382="",Q382="",P382=0),"",((Q382/30)/(P382/31))-1)</x:f>
        <x:v>0.37777777777777777</x:v>
      </x:c>
      <x:c r="T382" s="11" t="n">
        <x:v>751</x:v>
      </x:c>
      <x:c r="U382" s="11" t="n">
        <x:v>524</x:v>
      </x:c>
      <x:c r="V382" s="14" t="n">
        <x:v>0.007633587786259542</x:v>
      </x:c>
      <x:c r="W382" s="12" t="n">
        <x:v>6.679389312977099</x:v>
      </x:c>
      <x:c r="X382" s="11" t="n">
        <x:v>5</x:v>
      </x:c>
      <x:c r="Y382" s="11" t="n">
        <x:v>5</x:v>
      </x:c>
      <x:c r="Z382" s="4" t="str">
        <x:v>https://blog.skyairline.com/viajar-a-mendoza/</x:v>
      </x:c>
      <x:c r="AA382" s="4" t="str">
        <x:v>https://blog.skyairline.com/viajar-a-mendoza/</x:v>
      </x:c>
      <x:c r="AB382" s="4" t="str">
        <x:v>Coincidencia URL</x:v>
      </x:c>
      <x:c r="AC382" s="4" t="str">
        <x:v>Publicado hasta septiembre</x:v>
      </x:c>
      <x:c r="AD382" s="4" t="str">
        <x:v>/viajar-a-mendoza/</x:v>
      </x:c>
      <x:c r="AE382" s="4"/>
      <x:c r="AF382" s="16" t="b">
        <x:v>0</x:v>
      </x:c>
    </x:row>
    <x:row r="383" ht="44" customHeight="1">
      <x:c r="A383" s="4" t="n">
        <x:v>2664</x:v>
      </x:c>
      <x:c r="B383" s="4" t="str">
        <x:v>https://blog.skyairline.com/sky-inaugura-primera-sucursal-de-carga-en-vina-del-mar/</x:v>
      </x:c>
      <x:c r="C383" s="9" t="str">
        <x:v>SKY inaugura primera sucursal de carga en Viña del Mar</x:v>
      </x:c>
      <x:c r="D383" s="17" t="d">
        <x:v>2023-01-27T00:00:00.000Z</x:v>
      </x:c>
      <x:c r="E383" s="17" t="d">
        <x:v>2023-01-27T00:00:00.000Z</x:v>
      </x:c>
      <x:c r="F383" s="4" t="str">
        <x:v>Noticias</x:v>
      </x:c>
      <x:c r="G383" s="11" t="n">
        <x:v>455</x:v>
      </x:c>
      <x:c r="H383" s="11" t="n">
        <x:v>200</x:v>
      </x:c>
      <x:c r="I383" s="11" t="n">
        <x:v>1</x:v>
      </x:c>
      <x:c r="J383" s="4" t="str">
        <x:v>https://blog.skyairline.com/sky-inaugura-primera-sucursal-de-carga-en-vina-del-mar/</x:v>
      </x:c>
      <x:c r="K383" s="16" t="b">
        <x:v>0</x:v>
      </x:c>
      <x:c r="L383" s="11" t="n">
        <x:v>0</x:v>
      </x:c>
      <x:c r="M383" s="11" t="n">
        <x:v>0</x:v>
      </x:c>
      <x:c r="N383" s="4"/>
      <x:c r="O383" s="4"/>
      <x:c r="P383" s="11" t="n">
        <x:v>3</x:v>
      </x:c>
      <x:c r="Q383" s="11" t="n">
        <x:v>4</x:v>
      </x:c>
      <x:c r="R383" s="11" t="n">
        <x:f>IF(OR(P383="",Q383=""),"",Q383-P383)</x:f>
        <x:v>1</x:v>
      </x:c>
      <x:c r="S383" s="13" t="n">
        <x:f>IF(OR(P383="",Q383="",P383=0),"",((Q383/30)/(P383/31))-1)</x:f>
        <x:v>0.37777777777777777</x:v>
      </x:c>
      <x:c r="T383" s="11" t="n">
        <x:v>202</x:v>
      </x:c>
      <x:c r="U383" s="11" t="n">
        <x:v>306</x:v>
      </x:c>
      <x:c r="V383" s="14" t="n">
        <x:v>0.013071895424836602</x:v>
      </x:c>
      <x:c r="W383" s="12" t="n">
        <x:v>6.803921568627451</x:v>
      </x:c>
      <x:c r="X383" s="11" t="n">
        <x:v>4</x:v>
      </x:c>
      <x:c r="Y383" s="11" t="n">
        <x:v>4</x:v>
      </x:c>
      <x:c r="Z383" s="4" t="str">
        <x:v>https://blog.skyairline.com/sky-inaugura-primera-sucursal-de-carga-en-vina-del-mar/</x:v>
      </x:c>
      <x:c r="AA383" s="4" t="str">
        <x:v>https://blog.skyairline.com/sky-inaugura-primera-sucursal-de-carga-en-vina-del-mar/</x:v>
      </x:c>
      <x:c r="AB383" s="4" t="str">
        <x:v>Coincidencia URL</x:v>
      </x:c>
      <x:c r="AC383" s="4" t="str">
        <x:v>Publicado hasta septiembre</x:v>
      </x:c>
      <x:c r="AD383" s="4" t="str">
        <x:v>/sky-inaugura-primera-sucursal-de-carga-en-vina-del-mar/</x:v>
      </x:c>
      <x:c r="AE383" s="4"/>
      <x:c r="AF383" s="16" t="b">
        <x:v>0</x:v>
      </x:c>
    </x:row>
    <x:row r="384" ht="44" customHeight="1">
      <x:c r="A384" s="4" t="n">
        <x:v>2737</x:v>
      </x:c>
      <x:c r="B384" s="4" t="str">
        <x:v>https://blog.skyairline.com/cerro-de-la-cruz/</x:v>
      </x:c>
      <x:c r="C384" s="9" t="str">
        <x:v>Todo lo que debes saber sobre el Cerro de La Cruz en Punta Arenas</x:v>
      </x:c>
      <x:c r="D384" s="17" t="d">
        <x:v>2023-03-14T00:00:00.000Z</x:v>
      </x:c>
      <x:c r="E384" s="17" t="d">
        <x:v>2023-03-14T00:00:00.000Z</x:v>
      </x:c>
      <x:c r="F384" s="4" t="str">
        <x:v>Destinos</x:v>
      </x:c>
      <x:c r="G384" s="11" t="n">
        <x:v>1044</x:v>
      </x:c>
      <x:c r="H384" s="11" t="n">
        <x:v>200</x:v>
      </x:c>
      <x:c r="I384" s="11" t="n">
        <x:v>1</x:v>
      </x:c>
      <x:c r="J384" s="4" t="str">
        <x:v>https://blog.skyairline.com/cerro-de-la-cruz/</x:v>
      </x:c>
      <x:c r="K384" s="16" t="b">
        <x:v>0</x:v>
      </x:c>
      <x:c r="L384" s="11" t="n">
        <x:v>0</x:v>
      </x:c>
      <x:c r="M384" s="11" t="n">
        <x:v>5</x:v>
      </x:c>
      <x:c r="N384" s="4"/>
      <x:c r="O384" s="4"/>
      <x:c r="P384" s="11" t="n">
        <x:v>2</x:v>
      </x:c>
      <x:c r="Q384" s="11" t="n">
        <x:v>4</x:v>
      </x:c>
      <x:c r="R384" s="11" t="n">
        <x:f>IF(OR(P384="",Q384=""),"",Q384-P384)</x:f>
        <x:v>2</x:v>
      </x:c>
      <x:c r="S384" s="13" t="n">
        <x:f>IF(OR(P384="",Q384="",P384=0),"",((Q384/30)/(P384/31))-1)</x:f>
        <x:v>1.0666666666666669</x:v>
      </x:c>
      <x:c r="T384" s="11" t="n">
        <x:v>486</x:v>
      </x:c>
      <x:c r="U384" s="11" t="n">
        <x:v>454</x:v>
      </x:c>
      <x:c r="V384" s="14" t="n">
        <x:v>0.00881057268722467</x:v>
      </x:c>
      <x:c r="W384" s="12" t="n">
        <x:v>7.70704845814978</x:v>
      </x:c>
      <x:c r="X384" s="11" t="n">
        <x:v>7</x:v>
      </x:c>
      <x:c r="Y384" s="11" t="n">
        <x:v>8</x:v>
      </x:c>
      <x:c r="Z384" s="4" t="str">
        <x:v>https://blog.skyairline.com/cerro-de-la-cruz/</x:v>
      </x:c>
      <x:c r="AA384" s="4" t="str">
        <x:v>https://blog.skyairline.com/cerro-de-la-cruz/</x:v>
      </x:c>
      <x:c r="AB384" s="4" t="str">
        <x:v>Coincidencia URL</x:v>
      </x:c>
      <x:c r="AC384" s="4" t="str">
        <x:v>Publicado hasta septiembre</x:v>
      </x:c>
      <x:c r="AD384" s="4" t="str">
        <x:v>/cerro-de-la-cruz/</x:v>
      </x:c>
      <x:c r="AE384" s="4"/>
      <x:c r="AF384" s="16" t="b">
        <x:v>0</x:v>
      </x:c>
    </x:row>
    <x:row r="385" ht="44" customHeight="1">
      <x:c r="A385" s="4" t="n">
        <x:v>2765</x:v>
      </x:c>
      <x:c r="B385" s="4" t="str">
        <x:v>https://blog.skyairline.com/lugares-turisticos-de-piura/</x:v>
      </x:c>
      <x:c r="C385" s="9" t="str">
        <x:v>Qué hacer en Piura: playas, naturaleza y cultura para armar tu itinerario</x:v>
      </x:c>
      <x:c r="D385" s="17" t="d">
        <x:v>2026-04-19T00:00:00.000Z</x:v>
      </x:c>
      <x:c r="E385" s="17" t="d">
        <x:v>2026-04-14T00:00:00.000Z</x:v>
      </x:c>
      <x:c r="F385" s="4" t="str">
        <x:v>Planificación de Viaje</x:v>
      </x:c>
      <x:c r="G385" s="11" t="n">
        <x:v>1086</x:v>
      </x:c>
      <x:c r="H385" s="11" t="n">
        <x:v>200</x:v>
      </x:c>
      <x:c r="I385" s="11" t="n">
        <x:v>1</x:v>
      </x:c>
      <x:c r="J385" s="4" t="str">
        <x:v>https://blog.skyairline.com/lugares-turisticos-de-piura/</x:v>
      </x:c>
      <x:c r="K385" s="16" t="b">
        <x:v>0</x:v>
      </x:c>
      <x:c r="L385" s="11" t="n">
        <x:v>0</x:v>
      </x:c>
      <x:c r="M385" s="11" t="n">
        <x:v>0</x:v>
      </x:c>
      <x:c r="N385" s="4"/>
      <x:c r="O385" s="4"/>
      <x:c r="P385" s="11" t="n">
        <x:v>3</x:v>
      </x:c>
      <x:c r="Q385" s="11" t="n">
        <x:v>4</x:v>
      </x:c>
      <x:c r="R385" s="11" t="n">
        <x:f>IF(OR(P385="",Q385=""),"",Q385-P385)</x:f>
        <x:v>1</x:v>
      </x:c>
      <x:c r="S385" s="13" t="n">
        <x:f>IF(OR(P385="",Q385="",P385=0),"",((Q385/30)/(P385/31))-1)</x:f>
        <x:v>0.37777777777777777</x:v>
      </x:c>
      <x:c r="T385" s="11" t="n">
        <x:v>2542</x:v>
      </x:c>
      <x:c r="U385" s="11" t="n">
        <x:v>1365</x:v>
      </x:c>
      <x:c r="V385" s="14" t="n">
        <x:v>0.0029304029304029304</x:v>
      </x:c>
      <x:c r="W385" s="12" t="n">
        <x:v>13.010989010989011</x:v>
      </x:c>
      <x:c r="X385" s="11" t="n">
        <x:v>15</x:v>
      </x:c>
      <x:c r="Y385" s="11" t="n">
        <x:v>22</x:v>
      </x:c>
      <x:c r="Z385" s="4" t="str">
        <x:v>https://blog.skyairline.com/lugares-turisticos-de-piura/</x:v>
      </x:c>
      <x:c r="AA385" s="4" t="str">
        <x:v>https://blog.skyairline.com/lugares-turisticos-de-piura/</x:v>
      </x:c>
      <x:c r="AB385" s="4" t="str">
        <x:v>Coincidencia URL</x:v>
      </x:c>
      <x:c r="AC385" s="4" t="str">
        <x:v>Publicado hasta septiembre</x:v>
      </x:c>
      <x:c r="AD385" s="4" t="str">
        <x:v>/lugares-turisticos-de-piura/</x:v>
      </x:c>
      <x:c r="AE385" s="4"/>
      <x:c r="AF385" s="16" t="b">
        <x:v>0</x:v>
      </x:c>
    </x:row>
    <x:row r="386" ht="44" customHeight="1">
      <x:c r="A386" s="4" t="n">
        <x:v>2881</x:v>
      </x:c>
      <x:c r="B386" s="4" t="str">
        <x:v>https://blog.skyairline.com/tunanmarca/</x:v>
      </x:c>
      <x:c r="C386" s="9" t="str">
        <x:v>Complejo Arqueológico De Tunanmarca, un lugar imperdible en Jauja</x:v>
      </x:c>
      <x:c r="D386" s="17" t="d">
        <x:v>2023-04-30T00:00:00.000Z</x:v>
      </x:c>
      <x:c r="E386" s="17" t="d">
        <x:v>2023-04-30T00:00:00.000Z</x:v>
      </x:c>
      <x:c r="F386" s="4" t="str">
        <x:v>Cultura</x:v>
      </x:c>
      <x:c r="G386" s="11" t="n">
        <x:v>993</x:v>
      </x:c>
      <x:c r="H386" s="11" t="n">
        <x:v>200</x:v>
      </x:c>
      <x:c r="I386" s="11" t="n">
        <x:v>1</x:v>
      </x:c>
      <x:c r="J386" s="4" t="str">
        <x:v>https://blog.skyairline.com/tunanmarca/</x:v>
      </x:c>
      <x:c r="K386" s="16" t="b">
        <x:v>0</x:v>
      </x:c>
      <x:c r="L386" s="11" t="n">
        <x:v>0</x:v>
      </x:c>
      <x:c r="M386" s="11" t="n">
        <x:v>3</x:v>
      </x:c>
      <x:c r="N386" s="4"/>
      <x:c r="O386" s="4"/>
      <x:c r="P386" s="11" t="n">
        <x:v>3</x:v>
      </x:c>
      <x:c r="Q386" s="11" t="n">
        <x:v>4</x:v>
      </x:c>
      <x:c r="R386" s="11" t="n">
        <x:f>IF(OR(P386="",Q386=""),"",Q386-P386)</x:f>
        <x:v>1</x:v>
      </x:c>
      <x:c r="S386" s="13" t="n">
        <x:f>IF(OR(P386="",Q386="",P386=0),"",((Q386/30)/(P386/31))-1)</x:f>
        <x:v>0.37777777777777777</x:v>
      </x:c>
      <x:c r="T386" s="11" t="n">
        <x:v>920</x:v>
      </x:c>
      <x:c r="U386" s="11" t="n">
        <x:v>1197</x:v>
      </x:c>
      <x:c r="V386" s="14" t="n">
        <x:v>0.003341687552213868</x:v>
      </x:c>
      <x:c r="W386" s="12" t="n">
        <x:v>8.216374269005847</x:v>
      </x:c>
      <x:c r="X386" s="11" t="n">
        <x:v>7</x:v>
      </x:c>
      <x:c r="Y386" s="11" t="n">
        <x:v>7</x:v>
      </x:c>
      <x:c r="Z386" s="4" t="str">
        <x:v>https://blog.skyairline.com/tunanmarca/</x:v>
      </x:c>
      <x:c r="AA386" s="4" t="str">
        <x:v>https://blog.skyairline.com/tunanmarca/</x:v>
      </x:c>
      <x:c r="AB386" s="4" t="str">
        <x:v>Coincidencia URL</x:v>
      </x:c>
      <x:c r="AC386" s="4" t="str">
        <x:v>Publicado hasta septiembre</x:v>
      </x:c>
      <x:c r="AD386" s="4" t="str">
        <x:v>/tunanmarca/</x:v>
      </x:c>
      <x:c r="AE386" s="4"/>
      <x:c r="AF386" s="16" t="b">
        <x:v>0</x:v>
      </x:c>
    </x:row>
    <x:row r="387" ht="44" customHeight="1">
      <x:c r="A387" s="4" t="n">
        <x:v>2931</x:v>
      </x:c>
      <x:c r="B387" s="4" t="str">
        <x:v>https://blog.skyairline.com/museo-del-desiento-y-el-mar-de-tacna/</x:v>
      </x:c>
      <x:c r="C387" s="9" t="str">
        <x:v>Todo lo que debes saber sobre el Museo del Desierto y el Mar de Tacna</x:v>
      </x:c>
      <x:c r="D387" s="17" t="d">
        <x:v>2023-05-15T00:00:00.000Z</x:v>
      </x:c>
      <x:c r="E387" s="17" t="d">
        <x:v>2023-05-15T00:00:00.000Z</x:v>
      </x:c>
      <x:c r="F387" s="4" t="str">
        <x:v>Destinos</x:v>
      </x:c>
      <x:c r="G387" s="11" t="n">
        <x:v>1049</x:v>
      </x:c>
      <x:c r="H387" s="11" t="n">
        <x:v>200</x:v>
      </x:c>
      <x:c r="I387" s="11" t="n">
        <x:v>1</x:v>
      </x:c>
      <x:c r="J387" s="4" t="str">
        <x:v>https://blog.skyairline.com/museo-del-desiento-y-el-mar-de-tacna/</x:v>
      </x:c>
      <x:c r="K387" s="16" t="b">
        <x:v>0</x:v>
      </x:c>
      <x:c r="L387" s="11" t="n">
        <x:v>0</x:v>
      </x:c>
      <x:c r="M387" s="11" t="n">
        <x:v>5</x:v>
      </x:c>
      <x:c r="N387" s="4"/>
      <x:c r="O387" s="4"/>
      <x:c r="P387" s="11" t="n">
        <x:v>1</x:v>
      </x:c>
      <x:c r="Q387" s="11" t="n">
        <x:v>4</x:v>
      </x:c>
      <x:c r="R387" s="11" t="n">
        <x:f>IF(OR(P387="",Q387=""),"",Q387-P387)</x:f>
        <x:v>3</x:v>
      </x:c>
      <x:c r="S387" s="13" t="n">
        <x:f>IF(OR(P387="",Q387="",P387=0),"",((Q387/30)/(P387/31))-1)</x:f>
        <x:v>3.1333333333333337</x:v>
      </x:c>
      <x:c r="T387" s="11" t="n">
        <x:v>92</x:v>
      </x:c>
      <x:c r="U387" s="11" t="n">
        <x:v>60</x:v>
      </x:c>
      <x:c r="V387" s="14" t="n">
        <x:v>0.06666666666666667</x:v>
      </x:c>
      <x:c r="W387" s="12" t="n">
        <x:v>6.283333333333333</x:v>
      </x:c>
      <x:c r="X387" s="11" t="n">
        <x:v>4</x:v>
      </x:c>
      <x:c r="Y387" s="11" t="n">
        <x:v>5</x:v>
      </x:c>
      <x:c r="Z387" s="4" t="str">
        <x:v>https://blog.skyairline.com/museo-del-desiento-y-el-mar-de-tacna/</x:v>
      </x:c>
      <x:c r="AA387" s="4" t="str">
        <x:v>https://blog.skyairline.com/museo-del-desiento-y-el-mar-de-tacna/</x:v>
      </x:c>
      <x:c r="AB387" s="4" t="str">
        <x:v>Coincidencia URL</x:v>
      </x:c>
      <x:c r="AC387" s="4" t="str">
        <x:v>Publicado hasta septiembre</x:v>
      </x:c>
      <x:c r="AD387" s="4" t="str">
        <x:v>/museo-del-desiento-y-el-mar-de-tacna/</x:v>
      </x:c>
      <x:c r="AE387" s="4"/>
      <x:c r="AF387" s="16" t="b">
        <x:v>0</x:v>
      </x:c>
    </x:row>
    <x:row r="388" ht="44" customHeight="1">
      <x:c r="A388" s="4" t="n">
        <x:v>2934</x:v>
      </x:c>
      <x:c r="B388" s="4" t="str">
        <x:v>https://blog.skyairline.com/planificacion-de-viaje/</x:v>
      </x:c>
      <x:c r="C388" s="9" t="str">
        <x:v>Planificación de Viaje: ¿Qué hacer en Bogotá en 3 días?</x:v>
      </x:c>
      <x:c r="D388" s="17" t="d">
        <x:v>2023-05-16T00:00:00.000Z</x:v>
      </x:c>
      <x:c r="E388" s="17" t="d">
        <x:v>2023-05-16T00:00:00.000Z</x:v>
      </x:c>
      <x:c r="F388" s="4" t="str">
        <x:v>Destinos</x:v>
      </x:c>
      <x:c r="G388" s="11" t="n">
        <x:v>1217</x:v>
      </x:c>
      <x:c r="H388" s="11" t="n">
        <x:v>200</x:v>
      </x:c>
      <x:c r="I388" s="11" t="n">
        <x:v>1</x:v>
      </x:c>
      <x:c r="J388" s="4" t="str">
        <x:v>https://blog.skyairline.com/planificacion-de-viaje/</x:v>
      </x:c>
      <x:c r="K388" s="16" t="b">
        <x:v>0</x:v>
      </x:c>
      <x:c r="L388" s="11" t="n">
        <x:v>0</x:v>
      </x:c>
      <x:c r="M388" s="11" t="n">
        <x:v>6</x:v>
      </x:c>
      <x:c r="N388" s="4"/>
      <x:c r="O388" s="4"/>
      <x:c r="P388" s="11" t="n">
        <x:v>0</x:v>
      </x:c>
      <x:c r="Q388" s="11" t="n">
        <x:v>4</x:v>
      </x:c>
      <x:c r="R388" s="11" t="str">
        <x:f>IF(OR(P388="",Q388=""),"",Q388-P388)</x:f>
      </x:c>
      <x:c r="S388" s="13" t="str">
        <x:f>IF(OR(P388="",Q388="",P388=0),"",((Q388/30)/(P388/31))-1)</x:f>
      </x:c>
      <x:c r="T388" s="11" t="n">
        <x:v>108</x:v>
      </x:c>
      <x:c r="U388" s="11" t="n">
        <x:v>118</x:v>
      </x:c>
      <x:c r="V388" s="14" t="n">
        <x:v>0.03389830508474576</x:v>
      </x:c>
      <x:c r="W388" s="12" t="n">
        <x:v>8.533898305084746</x:v>
      </x:c>
      <x:c r="X388" s="11" t="n">
        <x:v>3</x:v>
      </x:c>
      <x:c r="Y388" s="11" t="n">
        <x:v>3</x:v>
      </x:c>
      <x:c r="Z388" s="4" t="str">
        <x:v>https://blog.skyairline.com/planificacion-de-viaje/</x:v>
      </x:c>
      <x:c r="AA388" s="4" t="str">
        <x:v>https://blog.skyairline.com/planificacion-de-viaje/</x:v>
      </x:c>
      <x:c r="AB388" s="4" t="str">
        <x:v>Coincidencia URL</x:v>
      </x:c>
      <x:c r="AC388" s="4" t="str">
        <x:v>Publicado hasta septiembre</x:v>
      </x:c>
      <x:c r="AD388" s="4" t="str">
        <x:v>/planificacion-de-viaje/</x:v>
      </x:c>
      <x:c r="AE388" s="4"/>
      <x:c r="AF388" s="16" t="b">
        <x:v>0</x:v>
      </x:c>
    </x:row>
    <x:row r="389" ht="44" customHeight="1">
      <x:c r="A389" s="4" t="n">
        <x:v>2958</x:v>
      </x:c>
      <x:c r="B389" s="4" t="str">
        <x:v>https://blog.skyairline.com/banos-termales-en-tacna/</x:v>
      </x:c>
      <x:c r="C389" s="9" t="str">
        <x:v>Baños termales en Tacna que puedes visitar</x:v>
      </x:c>
      <x:c r="D389" s="17" t="d">
        <x:v>2023-05-26T00:00:00.000Z</x:v>
      </x:c>
      <x:c r="E389" s="17" t="d">
        <x:v>2023-05-26T00:00:00.000Z</x:v>
      </x:c>
      <x:c r="F389" s="4" t="str">
        <x:v>Destinos</x:v>
      </x:c>
      <x:c r="G389" s="11" t="n">
        <x:v>1050</x:v>
      </x:c>
      <x:c r="H389" s="11" t="n">
        <x:v>200</x:v>
      </x:c>
      <x:c r="I389" s="11" t="n">
        <x:v>1</x:v>
      </x:c>
      <x:c r="J389" s="4" t="str">
        <x:v>https://blog.skyairline.com/banos-termales-en-tacna/</x:v>
      </x:c>
      <x:c r="K389" s="16" t="b">
        <x:v>0</x:v>
      </x:c>
      <x:c r="L389" s="11" t="n">
        <x:v>0</x:v>
      </x:c>
      <x:c r="M389" s="11" t="n">
        <x:v>2</x:v>
      </x:c>
      <x:c r="N389" s="4"/>
      <x:c r="O389" s="4"/>
      <x:c r="P389" s="11" t="n">
        <x:v>7</x:v>
      </x:c>
      <x:c r="Q389" s="11" t="n">
        <x:v>4</x:v>
      </x:c>
      <x:c r="R389" s="11" t="n">
        <x:f>IF(OR(P389="",Q389=""),"",Q389-P389)</x:f>
        <x:v>-3</x:v>
      </x:c>
      <x:c r="S389" s="13" t="n">
        <x:f>IF(OR(P389="",Q389="",P389=0),"",((Q389/30)/(P389/31))-1)</x:f>
        <x:v>-0.4095238095238095</x:v>
      </x:c>
      <x:c r="T389" s="11" t="n">
        <x:v>1750</x:v>
      </x:c>
      <x:c r="U389" s="11" t="n">
        <x:v>1071</x:v>
      </x:c>
      <x:c r="V389" s="14" t="n">
        <x:v>0.003734827264239029</x:v>
      </x:c>
      <x:c r="W389" s="12" t="n">
        <x:v>10.299719887955183</x:v>
      </x:c>
      <x:c r="X389" s="11" t="n">
        <x:v>5</x:v>
      </x:c>
      <x:c r="Y389" s="11" t="n">
        <x:v>5</x:v>
      </x:c>
      <x:c r="Z389" s="4" t="str">
        <x:v>https://blog.skyairline.com/banos-termales-en-tacna/</x:v>
      </x:c>
      <x:c r="AA389" s="4" t="str">
        <x:v>https://blog.skyairline.com/banos-termales-en-tacna/</x:v>
      </x:c>
      <x:c r="AB389" s="4" t="str">
        <x:v>Coincidencia URL</x:v>
      </x:c>
      <x:c r="AC389" s="4" t="str">
        <x:v>Publicado hasta septiembre</x:v>
      </x:c>
      <x:c r="AD389" s="4" t="str">
        <x:v>/banos-termales-en-tacna/</x:v>
      </x:c>
      <x:c r="AE389" s="4"/>
      <x:c r="AF389" s="16" t="b">
        <x:v>0</x:v>
      </x:c>
    </x:row>
    <x:row r="390" ht="44" customHeight="1">
      <x:c r="A390" s="4" t="n">
        <x:v>3166</x:v>
      </x:c>
      <x:c r="B390" s="4" t="str">
        <x:v>https://blog.skyairline.com/vuelos-sky-internacionales/</x:v>
      </x:c>
      <x:c r="C390" s="9" t="str">
        <x:v>Ofertas y destinos de vuelos SKY internacionales</x:v>
      </x:c>
      <x:c r="D390" s="17" t="d">
        <x:v>2025-10-09T00:00:00.000Z</x:v>
      </x:c>
      <x:c r="E390" s="17" t="d">
        <x:v>2026-01-12T00:00:00.000Z</x:v>
      </x:c>
      <x:c r="F390" s="4" t="str">
        <x:v>Planificación de Viaje</x:v>
      </x:c>
      <x:c r="G390" s="11" t="n">
        <x:v>1058</x:v>
      </x:c>
      <x:c r="H390" s="11" t="n">
        <x:v>200</x:v>
      </x:c>
      <x:c r="I390" s="11" t="n">
        <x:v>1</x:v>
      </x:c>
      <x:c r="J390" s="4" t="str">
        <x:v>https://blog.skyairline.com/vuelos-sky-internacionales/</x:v>
      </x:c>
      <x:c r="K390" s="16" t="b">
        <x:v>0</x:v>
      </x:c>
      <x:c r="L390" s="11" t="n">
        <x:v>0</x:v>
      </x:c>
      <x:c r="M390" s="11" t="n">
        <x:v>3</x:v>
      </x:c>
      <x:c r="N390" s="4"/>
      <x:c r="O390" s="4"/>
      <x:c r="P390" s="11" t="n">
        <x:v>4</x:v>
      </x:c>
      <x:c r="Q390" s="11" t="n">
        <x:v>4</x:v>
      </x:c>
      <x:c r="R390" s="11" t="n">
        <x:f>IF(OR(P390="",Q390=""),"",Q390-P390)</x:f>
        <x:v>0</x:v>
      </x:c>
      <x:c r="S390" s="13" t="n">
        <x:f>IF(OR(P390="",Q390="",P390=0),"",((Q390/30)/(P390/31))-1)</x:f>
        <x:v>0.03333333333333344</x:v>
      </x:c>
      <x:c r="T390" s="11" t="n">
        <x:v>889</x:v>
      </x:c>
      <x:c r="U390" s="11" t="n">
        <x:v>531</x:v>
      </x:c>
      <x:c r="V390" s="14" t="n">
        <x:v>0.007532956685499058</x:v>
      </x:c>
      <x:c r="W390" s="12" t="n">
        <x:v>8.448210922787194</x:v>
      </x:c>
      <x:c r="X390" s="11" t="n">
        <x:v>6</x:v>
      </x:c>
      <x:c r="Y390" s="11" t="n">
        <x:v>10</x:v>
      </x:c>
      <x:c r="Z390" s="4" t="str">
        <x:v>https://blog.skyairline.com/vuelos-sky-internacionales/</x:v>
      </x:c>
      <x:c r="AA390" s="4" t="str">
        <x:v>https://blog.skyairline.com/vuelos-sky-internacionales/</x:v>
      </x:c>
      <x:c r="AB390" s="4" t="str">
        <x:v>Coincidencia URL</x:v>
      </x:c>
      <x:c r="AC390" s="4" t="str">
        <x:v>Publicado hasta septiembre</x:v>
      </x:c>
      <x:c r="AD390" s="4" t="str">
        <x:v>/vuelos-sky-internacionales/</x:v>
      </x:c>
      <x:c r="AE390" s="4"/>
      <x:c r="AF390" s="16" t="b">
        <x:v>0</x:v>
      </x:c>
    </x:row>
    <x:row r="391" ht="44" customHeight="1">
      <x:c r="A391" s="4" t="n">
        <x:v>3274</x:v>
      </x:c>
      <x:c r="B391" s="4" t="str">
        <x:v>https://blog.skyairline.com/hoteles-para-ir-con-ninos/</x:v>
      </x:c>
      <x:c r="C391" s="9" t="str">
        <x:v>7 hoteles para ir con niños en Punta Cana</x:v>
      </x:c>
      <x:c r="D391" s="17" t="d">
        <x:v>2023-08-24T00:00:00.000Z</x:v>
      </x:c>
      <x:c r="E391" s="17" t="d">
        <x:v>2023-08-24T00:00:00.000Z</x:v>
      </x:c>
      <x:c r="F391" s="4" t="str">
        <x:v>Destinos</x:v>
      </x:c>
      <x:c r="G391" s="11" t="n">
        <x:v>1041</x:v>
      </x:c>
      <x:c r="H391" s="11" t="n">
        <x:v>200</x:v>
      </x:c>
      <x:c r="I391" s="11" t="n">
        <x:v>1</x:v>
      </x:c>
      <x:c r="J391" s="4" t="str">
        <x:v>https://blog.skyairline.com/hoteles-para-ir-con-ninos/</x:v>
      </x:c>
      <x:c r="K391" s="16" t="b">
        <x:v>0</x:v>
      </x:c>
      <x:c r="L391" s="11" t="n">
        <x:v>0</x:v>
      </x:c>
      <x:c r="M391" s="11" t="n">
        <x:v>3</x:v>
      </x:c>
      <x:c r="N391" s="4"/>
      <x:c r="O391" s="4"/>
      <x:c r="P391" s="11" t="n">
        <x:v>10</x:v>
      </x:c>
      <x:c r="Q391" s="11" t="n">
        <x:v>4</x:v>
      </x:c>
      <x:c r="R391" s="11" t="n">
        <x:f>IF(OR(P391="",Q391=""),"",Q391-P391)</x:f>
        <x:v>-6</x:v>
      </x:c>
      <x:c r="S391" s="13" t="n">
        <x:f>IF(OR(P391="",Q391="",P391=0),"",((Q391/30)/(P391/31))-1)</x:f>
        <x:v>-0.5866666666666667</x:v>
      </x:c>
      <x:c r="T391" s="11" t="n">
        <x:v>1533</x:v>
      </x:c>
      <x:c r="U391" s="11" t="n">
        <x:v>1507</x:v>
      </x:c>
      <x:c r="V391" s="14" t="n">
        <x:v>0.0026542800265428003</x:v>
      </x:c>
      <x:c r="W391" s="12" t="n">
        <x:v>14.122096881220969</x:v>
      </x:c>
      <x:c r="X391" s="11" t="n">
        <x:v>4</x:v>
      </x:c>
      <x:c r="Y391" s="11" t="n">
        <x:v>5</x:v>
      </x:c>
      <x:c r="Z391" s="4" t="str">
        <x:v>https://blog.skyairline.com/hoteles-para-ir-con-ninos/</x:v>
      </x:c>
      <x:c r="AA391" s="4" t="str">
        <x:v>https://blog.skyairline.com/hoteles-para-ir-con-ninos/</x:v>
      </x:c>
      <x:c r="AB391" s="4" t="str">
        <x:v>Coincidencia URL</x:v>
      </x:c>
      <x:c r="AC391" s="4" t="str">
        <x:v>Publicado hasta septiembre</x:v>
      </x:c>
      <x:c r="AD391" s="4" t="str">
        <x:v>/hoteles-para-ir-con-ninos/</x:v>
      </x:c>
      <x:c r="AE391" s="4"/>
      <x:c r="AF391" s="16" t="b">
        <x:v>0</x:v>
      </x:c>
    </x:row>
    <x:row r="392" ht="44" customHeight="1">
      <x:c r="A392" s="4" t="n">
        <x:v>3322</x:v>
      </x:c>
      <x:c r="B392" s="4" t="str">
        <x:v>https://blog.skyairline.com/isla-campeche/</x:v>
      </x:c>
      <x:c r="C392" s="9" t="str">
        <x:v>Isla de Campeche: ¡no te la pierdas en tu visita a Florianópolis!</x:v>
      </x:c>
      <x:c r="D392" s="17" t="d">
        <x:v>2025-07-07T00:00:00.000Z</x:v>
      </x:c>
      <x:c r="E392" s="17" t="d">
        <x:v>2025-12-19T00:00:00.000Z</x:v>
      </x:c>
      <x:c r="F392" s="4" t="str">
        <x:v>Destinos</x:v>
      </x:c>
      <x:c r="G392" s="11" t="n">
        <x:v>1171</x:v>
      </x:c>
      <x:c r="H392" s="11" t="n">
        <x:v>200</x:v>
      </x:c>
      <x:c r="I392" s="11" t="n">
        <x:v>1</x:v>
      </x:c>
      <x:c r="J392" s="4" t="str">
        <x:v>https://blog.skyairline.com/isla-campeche/</x:v>
      </x:c>
      <x:c r="K392" s="16" t="b">
        <x:v>0</x:v>
      </x:c>
      <x:c r="L392" s="11" t="n">
        <x:v>0</x:v>
      </x:c>
      <x:c r="M392" s="11" t="n">
        <x:v>1</x:v>
      </x:c>
      <x:c r="N392" s="4"/>
      <x:c r="O392" s="4"/>
      <x:c r="P392" s="11" t="n">
        <x:v>2</x:v>
      </x:c>
      <x:c r="Q392" s="11" t="n">
        <x:v>4</x:v>
      </x:c>
      <x:c r="R392" s="11" t="n">
        <x:f>IF(OR(P392="",Q392=""),"",Q392-P392)</x:f>
        <x:v>2</x:v>
      </x:c>
      <x:c r="S392" s="13" t="n">
        <x:f>IF(OR(P392="",Q392="",P392=0),"",((Q392/30)/(P392/31))-1)</x:f>
        <x:v>1.0666666666666669</x:v>
      </x:c>
      <x:c r="T392" s="11" t="n">
        <x:v>304</x:v>
      </x:c>
      <x:c r="U392" s="11" t="n">
        <x:v>253</x:v>
      </x:c>
      <x:c r="V392" s="14" t="n">
        <x:v>0.015810276679841896</x:v>
      </x:c>
      <x:c r="W392" s="12" t="n">
        <x:v>17.790513833992094</x:v>
      </x:c>
      <x:c r="X392" s="11" t="n">
        <x:v>4</x:v>
      </x:c>
      <x:c r="Y392" s="11" t="n">
        <x:v>8</x:v>
      </x:c>
      <x:c r="Z392" s="4" t="str">
        <x:v>https://blog.skyairline.com/isla-campeche/</x:v>
      </x:c>
      <x:c r="AA392" s="4" t="str">
        <x:v>https://blog.skyairline.com/isla-campeche/</x:v>
      </x:c>
      <x:c r="AB392" s="4" t="str">
        <x:v>Coincidencia URL</x:v>
      </x:c>
      <x:c r="AC392" s="4" t="str">
        <x:v>Publicado hasta septiembre</x:v>
      </x:c>
      <x:c r="AD392" s="4" t="str">
        <x:v>/isla-campeche/</x:v>
      </x:c>
      <x:c r="AE392" s="4"/>
      <x:c r="AF392" s="16" t="b">
        <x:v>0</x:v>
      </x:c>
    </x:row>
    <x:row r="393" ht="44" customHeight="1">
      <x:c r="A393" s="4" t="n">
        <x:v>3668</x:v>
      </x:c>
      <x:c r="B393" s="4" t="str">
        <x:v>https://blog.skyairline.com/nueva-helvecia/</x:v>
      </x:c>
      <x:c r="C393" s="9" t="str">
        <x:v>Qué hacer en Uruguay: ruta cultural por Nueva Helvecia (Colonia Suiza) y alrededores</x:v>
      </x:c>
      <x:c r="D393" s="17" t="d">
        <x:v>2026-03-03T00:00:00.000Z</x:v>
      </x:c>
      <x:c r="E393" s="17" t="d">
        <x:v>2026-03-02T00:00:00.000Z</x:v>
      </x:c>
      <x:c r="F393" s="4" t="str">
        <x:v>Destinos</x:v>
      </x:c>
      <x:c r="G393" s="11" t="n">
        <x:v>1051</x:v>
      </x:c>
      <x:c r="H393" s="11" t="n">
        <x:v>200</x:v>
      </x:c>
      <x:c r="I393" s="11" t="n">
        <x:v>1</x:v>
      </x:c>
      <x:c r="J393" s="4" t="str">
        <x:v>https://blog.skyairline.com/nueva-helvecia/</x:v>
      </x:c>
      <x:c r="K393" s="16" t="b">
        <x:v>0</x:v>
      </x:c>
      <x:c r="L393" s="11" t="n">
        <x:v>0</x:v>
      </x:c>
      <x:c r="M393" s="11" t="n">
        <x:v>0</x:v>
      </x:c>
      <x:c r="N393" s="4"/>
      <x:c r="O393" s="4"/>
      <x:c r="P393" s="11" t="n">
        <x:v>11</x:v>
      </x:c>
      <x:c r="Q393" s="11" t="n">
        <x:v>4</x:v>
      </x:c>
      <x:c r="R393" s="11" t="n">
        <x:f>IF(OR(P393="",Q393=""),"",Q393-P393)</x:f>
        <x:v>-7</x:v>
      </x:c>
      <x:c r="S393" s="13" t="n">
        <x:f>IF(OR(P393="",Q393="",P393=0),"",((Q393/30)/(P393/31))-1)</x:f>
        <x:v>-0.6242424242424243</x:v>
      </x:c>
      <x:c r="T393" s="11" t="n">
        <x:v>856</x:v>
      </x:c>
      <x:c r="U393" s="11" t="n">
        <x:v>600</x:v>
      </x:c>
      <x:c r="V393" s="14" t="n">
        <x:v>0.006666666666666667</x:v>
      </x:c>
      <x:c r="W393" s="12" t="n">
        <x:v>10.085</x:v>
      </x:c>
      <x:c r="X393" s="11" t="n">
        <x:v>6</x:v>
      </x:c>
      <x:c r="Y393" s="11" t="n">
        <x:v>6</x:v>
      </x:c>
      <x:c r="Z393" s="4" t="str">
        <x:v>https://blog.skyairline.com/nueva-helvecia/</x:v>
      </x:c>
      <x:c r="AA393" s="4" t="str">
        <x:v>https://blog.skyairline.com/nueva-helvecia/</x:v>
      </x:c>
      <x:c r="AB393" s="4" t="str">
        <x:v>Coincidencia URL</x:v>
      </x:c>
      <x:c r="AC393" s="4" t="str">
        <x:v>Publicado hasta septiembre</x:v>
      </x:c>
      <x:c r="AD393" s="4" t="str">
        <x:v>/nueva-helvecia/</x:v>
      </x:c>
      <x:c r="AE393" s="4"/>
      <x:c r="AF393" s="16" t="b">
        <x:v>0</x:v>
      </x:c>
    </x:row>
    <x:row r="394" ht="44" customHeight="1">
      <x:c r="A394" s="4" t="n">
        <x:v>4026</x:v>
      </x:c>
      <x:c r="B394" s="4" t="str">
        <x:v>https://blog.skyairline.com/couchsurfing/</x:v>
      </x:c>
      <x:c r="C394" s="9" t="str">
        <x:v>Todo sobre el couchsurfing: consejos para viajeros</x:v>
      </x:c>
      <x:c r="D394" s="17" t="d">
        <x:v>2025-10-05T00:00:00.000Z</x:v>
      </x:c>
      <x:c r="E394" s="17" t="d">
        <x:v>2026-01-12T00:00:00.000Z</x:v>
      </x:c>
      <x:c r="F394" s="4" t="str">
        <x:v>Planificación de Viaje</x:v>
      </x:c>
      <x:c r="G394" s="11" t="n">
        <x:v>1217</x:v>
      </x:c>
      <x:c r="H394" s="11" t="n">
        <x:v>200</x:v>
      </x:c>
      <x:c r="I394" s="11" t="n">
        <x:v>1</x:v>
      </x:c>
      <x:c r="J394" s="4" t="str">
        <x:v>https://blog.skyairline.com/couchsurfing/</x:v>
      </x:c>
      <x:c r="K394" s="16" t="b">
        <x:v>0</x:v>
      </x:c>
      <x:c r="L394" s="11" t="n">
        <x:v>0</x:v>
      </x:c>
      <x:c r="M394" s="11" t="n">
        <x:v>3</x:v>
      </x:c>
      <x:c r="N394" s="4"/>
      <x:c r="O394" s="4"/>
      <x:c r="P394" s="11" t="n">
        <x:v>2</x:v>
      </x:c>
      <x:c r="Q394" s="11" t="n">
        <x:v>4</x:v>
      </x:c>
      <x:c r="R394" s="11" t="n">
        <x:f>IF(OR(P394="",Q394=""),"",Q394-P394)</x:f>
        <x:v>2</x:v>
      </x:c>
      <x:c r="S394" s="13" t="n">
        <x:f>IF(OR(P394="",Q394="",P394=0),"",((Q394/30)/(P394/31))-1)</x:f>
        <x:v>1.0666666666666669</x:v>
      </x:c>
      <x:c r="T394" s="11" t="n">
        <x:v>1671</x:v>
      </x:c>
      <x:c r="U394" s="11" t="n">
        <x:v>1964</x:v>
      </x:c>
      <x:c r="V394" s="14" t="n">
        <x:v>0.002036659877800407</x:v>
      </x:c>
      <x:c r="W394" s="12" t="n">
        <x:v>7.616089613034624</x:v>
      </x:c>
      <x:c r="X394" s="11" t="n">
        <x:v>3</x:v>
      </x:c>
      <x:c r="Y394" s="11" t="n">
        <x:v>3</x:v>
      </x:c>
      <x:c r="Z394" s="4" t="str">
        <x:v>https://blog.skyairline.com/couchsurfing/</x:v>
      </x:c>
      <x:c r="AA394" s="4" t="str">
        <x:v>https://blog.skyairline.com/couchsurfing/</x:v>
      </x:c>
      <x:c r="AB394" s="4" t="str">
        <x:v>Coincidencia URL</x:v>
      </x:c>
      <x:c r="AC394" s="4" t="str">
        <x:v>Publicado hasta septiembre</x:v>
      </x:c>
      <x:c r="AD394" s="4" t="str">
        <x:v>/couchsurfing/</x:v>
      </x:c>
      <x:c r="AE394" s="4"/>
      <x:c r="AF394" s="16" t="b">
        <x:v>0</x:v>
      </x:c>
    </x:row>
    <x:row r="395" ht="44" customHeight="1">
      <x:c r="A395" s="4" t="n">
        <x:v>4321</x:v>
      </x:c>
      <x:c r="B395" s="4" t="str">
        <x:v>https://blog.skyairline.com/vuelos-colombia-desde-chile/</x:v>
      </x:c>
      <x:c r="C395" s="9" t="str">
        <x:v>Vuelos a Colombia desde Chile: descubre tu próxima aventura con SKY</x:v>
      </x:c>
      <x:c r="D395" s="17" t="d">
        <x:v>2024-03-21T00:00:00.000Z</x:v>
      </x:c>
      <x:c r="E395" s="17" t="d">
        <x:v>2024-03-21T00:00:00.000Z</x:v>
      </x:c>
      <x:c r="F395" s="4" t="str">
        <x:v>Destinos</x:v>
      </x:c>
      <x:c r="G395" s="11" t="n">
        <x:v>1048</x:v>
      </x:c>
      <x:c r="H395" s="11" t="n">
        <x:v>200</x:v>
      </x:c>
      <x:c r="I395" s="11" t="n">
        <x:v>1</x:v>
      </x:c>
      <x:c r="J395" s="4" t="str">
        <x:v>https://blog.skyairline.com/vuelos-colombia-desde-chile/</x:v>
      </x:c>
      <x:c r="K395" s="16" t="b">
        <x:v>0</x:v>
      </x:c>
      <x:c r="L395" s="11" t="n">
        <x:v>0</x:v>
      </x:c>
      <x:c r="M395" s="11" t="n">
        <x:v>2</x:v>
      </x:c>
      <x:c r="N395" s="4"/>
      <x:c r="O395" s="4"/>
      <x:c r="P395" s="11" t="n">
        <x:v>12</x:v>
      </x:c>
      <x:c r="Q395" s="11" t="n">
        <x:v>4</x:v>
      </x:c>
      <x:c r="R395" s="11" t="n">
        <x:f>IF(OR(P395="",Q395=""),"",Q395-P395)</x:f>
        <x:v>-8</x:v>
      </x:c>
      <x:c r="S395" s="13" t="n">
        <x:f>IF(OR(P395="",Q395="",P395=0),"",((Q395/30)/(P395/31))-1)</x:f>
        <x:v>-0.6555555555555556</x:v>
      </x:c>
      <x:c r="T395" s="11" t="n">
        <x:v>501</x:v>
      </x:c>
      <x:c r="U395" s="11" t="n">
        <x:v>348</x:v>
      </x:c>
      <x:c r="V395" s="14" t="n">
        <x:v>0.011494252873563218</x:v>
      </x:c>
      <x:c r="W395" s="12" t="n">
        <x:v>7.238505747126437</x:v>
      </x:c>
      <x:c r="X395" s="11" t="n">
        <x:v>3</x:v>
      </x:c>
      <x:c r="Y395" s="11" t="n">
        <x:v>3</x:v>
      </x:c>
      <x:c r="Z395" s="4" t="str">
        <x:v>https://blog.skyairline.com/vuelos-colombia-desde-chile/</x:v>
      </x:c>
      <x:c r="AA395" s="4" t="str">
        <x:v>https://blog.skyairline.com/vuelos-colombia-desde-chile/</x:v>
      </x:c>
      <x:c r="AB395" s="4" t="str">
        <x:v>Coincidencia URL</x:v>
      </x:c>
      <x:c r="AC395" s="4" t="str">
        <x:v>Publicado hasta septiembre</x:v>
      </x:c>
      <x:c r="AD395" s="4" t="str">
        <x:v>/vuelos-colombia-desde-chile/</x:v>
      </x:c>
      <x:c r="AE395" s="4"/>
      <x:c r="AF395" s="16" t="b">
        <x:v>0</x:v>
      </x:c>
    </x:row>
    <x:row r="396" ht="44" customHeight="1">
      <x:c r="A396" s="4" t="n">
        <x:v>4664</x:v>
      </x:c>
      <x:c r="B396" s="4" t="str">
        <x:v>https://blog.skyairline.com/como-llegar-a-santa-cruz/</x:v>
      </x:c>
      <x:c r="C396" s="9" t="str">
        <x:v>Cómo llegar a Santa Cruz y qué hacer una vez ahí</x:v>
      </x:c>
      <x:c r="D396" s="17" t="d">
        <x:v>2025-10-01T00:00:00.000Z</x:v>
      </x:c>
      <x:c r="E396" s="17" t="d">
        <x:v>2026-01-12T00:00:00.000Z</x:v>
      </x:c>
      <x:c r="F396" s="4" t="str">
        <x:v>Destinos</x:v>
      </x:c>
      <x:c r="G396" s="11" t="n">
        <x:v>1199</x:v>
      </x:c>
      <x:c r="H396" s="11" t="n">
        <x:v>200</x:v>
      </x:c>
      <x:c r="I396" s="11" t="n">
        <x:v>1</x:v>
      </x:c>
      <x:c r="J396" s="4" t="str">
        <x:v>https://blog.skyairline.com/como-llegar-a-santa-cruz/</x:v>
      </x:c>
      <x:c r="K396" s="16" t="b">
        <x:v>0</x:v>
      </x:c>
      <x:c r="L396" s="11" t="n">
        <x:v>0</x:v>
      </x:c>
      <x:c r="M396" s="11" t="n">
        <x:v>3</x:v>
      </x:c>
      <x:c r="N396" s="4"/>
      <x:c r="O396" s="4"/>
      <x:c r="P396" s="11" t="n">
        <x:v>7</x:v>
      </x:c>
      <x:c r="Q396" s="11" t="n">
        <x:v>4</x:v>
      </x:c>
      <x:c r="R396" s="11" t="n">
        <x:f>IF(OR(P396="",Q396=""),"",Q396-P396)</x:f>
        <x:v>-3</x:v>
      </x:c>
      <x:c r="S396" s="13" t="n">
        <x:f>IF(OR(P396="",Q396="",P396=0),"",((Q396/30)/(P396/31))-1)</x:f>
        <x:v>-0.4095238095238095</x:v>
      </x:c>
      <x:c r="T396" s="11" t="n">
        <x:v>2069</x:v>
      </x:c>
      <x:c r="U396" s="11" t="n">
        <x:v>2387</x:v>
      </x:c>
      <x:c r="V396" s="14" t="n">
        <x:v>0.0016757436112274822</x:v>
      </x:c>
      <x:c r="W396" s="12" t="n">
        <x:v>8.548806032677</x:v>
      </x:c>
      <x:c r="X396" s="11" t="n">
        <x:v>6</x:v>
      </x:c>
      <x:c r="Y396" s="11" t="n">
        <x:v>6</x:v>
      </x:c>
      <x:c r="Z396" s="4" t="str">
        <x:v>https://blog.skyairline.com/como-llegar-a-santa-cruz/</x:v>
      </x:c>
      <x:c r="AA396" s="4" t="str">
        <x:v>https://blog.skyairline.com/como-llegar-a-santa-cruz/</x:v>
      </x:c>
      <x:c r="AB396" s="4" t="str">
        <x:v>Coincidencia URL</x:v>
      </x:c>
      <x:c r="AC396" s="4" t="str">
        <x:v>Publicado hasta septiembre</x:v>
      </x:c>
      <x:c r="AD396" s="4" t="str">
        <x:v>/como-llegar-a-santa-cruz/</x:v>
      </x:c>
      <x:c r="AE396" s="4"/>
      <x:c r="AF396" s="16" t="b">
        <x:v>0</x:v>
      </x:c>
    </x:row>
    <x:row r="397" ht="44" customHeight="1">
      <x:c r="A397" s="4" t="n">
        <x:v>4791</x:v>
      </x:c>
      <x:c r="B397" s="4" t="str">
        <x:v>https://blog.skyairline.com/aeropuerto-puerto-montt/</x:v>
      </x:c>
      <x:c r="C397" s="9" t="str">
        <x:v>Aeropuerto de Puerto Montt: ¿Cómo llegar a El Tepual y qué hacer en sus cercanías?</x:v>
      </x:c>
      <x:c r="D397" s="17" t="d">
        <x:v>2024-07-15T00:00:00.000Z</x:v>
      </x:c>
      <x:c r="E397" s="17" t="d">
        <x:v>2024-07-15T00:00:00.000Z</x:v>
      </x:c>
      <x:c r="F397" s="4" t="str">
        <x:v>Destinos</x:v>
      </x:c>
      <x:c r="G397" s="11" t="n">
        <x:v>985</x:v>
      </x:c>
      <x:c r="H397" s="11" t="n">
        <x:v>200</x:v>
      </x:c>
      <x:c r="I397" s="11" t="n">
        <x:v>1</x:v>
      </x:c>
      <x:c r="J397" s="4" t="str">
        <x:v>https://blog.skyairline.com/aeropuerto-puerto-montt/</x:v>
      </x:c>
      <x:c r="K397" s="16" t="b">
        <x:v>0</x:v>
      </x:c>
      <x:c r="L397" s="11" t="n">
        <x:v>0</x:v>
      </x:c>
      <x:c r="M397" s="11" t="n">
        <x:v>2</x:v>
      </x:c>
      <x:c r="N397" s="4"/>
      <x:c r="O397" s="4"/>
      <x:c r="P397" s="11" t="n">
        <x:v>5</x:v>
      </x:c>
      <x:c r="Q397" s="11" t="n">
        <x:v>4</x:v>
      </x:c>
      <x:c r="R397" s="11" t="n">
        <x:f>IF(OR(P397="",Q397=""),"",Q397-P397)</x:f>
        <x:v>-1</x:v>
      </x:c>
      <x:c r="S397" s="13" t="n">
        <x:f>IF(OR(P397="",Q397="",P397=0),"",((Q397/30)/(P397/31))-1)</x:f>
        <x:v>-0.17333333333333334</x:v>
      </x:c>
      <x:c r="T397" s="11" t="n">
        <x:v>2625</x:v>
      </x:c>
      <x:c r="U397" s="11" t="n">
        <x:v>2494</x:v>
      </x:c>
      <x:c r="V397" s="14" t="n">
        <x:v>0.0016038492381716118</x:v>
      </x:c>
      <x:c r="W397" s="12" t="n">
        <x:v>8.660785886126703</x:v>
      </x:c>
      <x:c r="X397" s="11" t="n">
        <x:v>7</x:v>
      </x:c>
      <x:c r="Y397" s="11" t="n">
        <x:v>8</x:v>
      </x:c>
      <x:c r="Z397" s="4" t="str">
        <x:v>https://blog.skyairline.com/aeropuerto-puerto-montt/</x:v>
      </x:c>
      <x:c r="AA397" s="4" t="str">
        <x:v>https://blog.skyairline.com/aeropuerto-puerto-montt/</x:v>
      </x:c>
      <x:c r="AB397" s="4" t="str">
        <x:v>Coincidencia URL</x:v>
      </x:c>
      <x:c r="AC397" s="4" t="str">
        <x:v>Publicado hasta septiembre</x:v>
      </x:c>
      <x:c r="AD397" s="4" t="str">
        <x:v>/aeropuerto-puerto-montt/</x:v>
      </x:c>
      <x:c r="AE397" s="4"/>
      <x:c r="AF397" s="16" t="b">
        <x:v>0</x:v>
      </x:c>
    </x:row>
    <x:row r="398" ht="44" customHeight="1">
      <x:c r="A398" s="4" t="n">
        <x:v>5104</x:v>
      </x:c>
      <x:c r="B398" s="4" t="str">
        <x:v>https://blog.skyairline.com/trujillo-peru/</x:v>
      </x:c>
      <x:c r="C398" s="9" t="str">
        <x:v>Guía completa de Trujillo, Perú para conocerla completa</x:v>
      </x:c>
      <x:c r="D398" s="17" t="d">
        <x:v>2024-10-08T00:00:00.000Z</x:v>
      </x:c>
      <x:c r="E398" s="17" t="d">
        <x:v>2024-10-08T00:00:00.000Z</x:v>
      </x:c>
      <x:c r="F398" s="4" t="str">
        <x:v>Destinos</x:v>
      </x:c>
      <x:c r="G398" s="11" t="n">
        <x:v>1233</x:v>
      </x:c>
      <x:c r="H398" s="11" t="n">
        <x:v>200</x:v>
      </x:c>
      <x:c r="I398" s="11" t="n">
        <x:v>1</x:v>
      </x:c>
      <x:c r="J398" s="4" t="str">
        <x:v>https://blog.skyairline.com/trujillo-peru/</x:v>
      </x:c>
      <x:c r="K398" s="16" t="b">
        <x:v>0</x:v>
      </x:c>
      <x:c r="L398" s="11" t="n">
        <x:v>0</x:v>
      </x:c>
      <x:c r="M398" s="11" t="n">
        <x:v>3</x:v>
      </x:c>
      <x:c r="N398" s="4"/>
      <x:c r="O398" s="4"/>
      <x:c r="P398" s="11" t="n">
        <x:v>2</x:v>
      </x:c>
      <x:c r="Q398" s="11" t="n">
        <x:v>4</x:v>
      </x:c>
      <x:c r="R398" s="11" t="n">
        <x:f>IF(OR(P398="",Q398=""),"",Q398-P398)</x:f>
        <x:v>2</x:v>
      </x:c>
      <x:c r="S398" s="13" t="n">
        <x:f>IF(OR(P398="",Q398="",P398=0),"",((Q398/30)/(P398/31))-1)</x:f>
        <x:v>1.0666666666666669</x:v>
      </x:c>
      <x:c r="T398" s="11" t="n">
        <x:v>3554</x:v>
      </x:c>
      <x:c r="U398" s="11" t="n">
        <x:v>2913</x:v>
      </x:c>
      <x:c r="V398" s="14" t="n">
        <x:v>0.0013731548232063166</x:v>
      </x:c>
      <x:c r="W398" s="12" t="n">
        <x:v>10.93031239272228</x:v>
      </x:c>
      <x:c r="X398" s="11" t="n">
        <x:v>6</x:v>
      </x:c>
      <x:c r="Y398" s="11" t="n">
        <x:v>5</x:v>
      </x:c>
      <x:c r="Z398" s="4" t="str">
        <x:v>https://blog.skyairline.com/trujillo-peru/</x:v>
      </x:c>
      <x:c r="AA398" s="4" t="str">
        <x:v>https://blog.skyairline.com/trujillo-peru/</x:v>
      </x:c>
      <x:c r="AB398" s="4" t="str">
        <x:v>Coincidencia URL</x:v>
      </x:c>
      <x:c r="AC398" s="4" t="str">
        <x:v>Publicado hasta septiembre</x:v>
      </x:c>
      <x:c r="AD398" s="4" t="str">
        <x:v>/trujillo-peru/</x:v>
      </x:c>
      <x:c r="AE398" s="4"/>
      <x:c r="AF398" s="16" t="b">
        <x:v>0</x:v>
      </x:c>
    </x:row>
    <x:row r="399" ht="44" customHeight="1">
      <x:c r="A399" s="4" t="n">
        <x:v>5573</x:v>
      </x:c>
      <x:c r="B399" s="4" t="str">
        <x:v>https://blog.skyairline.com/sitios-en-puerto-montt-que-no-todos-conocen/</x:v>
      </x:c>
      <x:c r="C399" s="9" t="str">
        <x:v>Sitios en Puerto Montt que no todos conocen</x:v>
      </x:c>
      <x:c r="D399" s="17" t="d">
        <x:v>2025-01-30T00:00:00.000Z</x:v>
      </x:c>
      <x:c r="E399" s="17" t="d">
        <x:v>2025-01-30T00:00:00.000Z</x:v>
      </x:c>
      <x:c r="F399" s="4" t="str">
        <x:v>Sin categoría</x:v>
      </x:c>
      <x:c r="G399" s="11" t="n">
        <x:v>1116</x:v>
      </x:c>
      <x:c r="H399" s="11" t="n">
        <x:v>200</x:v>
      </x:c>
      <x:c r="I399" s="11" t="n">
        <x:v>1</x:v>
      </x:c>
      <x:c r="J399" s="4" t="str">
        <x:v>https://blog.skyairline.com/sitios-en-puerto-montt-que-no-todos-conocen/</x:v>
      </x:c>
      <x:c r="K399" s="16" t="b">
        <x:v>0</x:v>
      </x:c>
      <x:c r="L399" s="11" t="n">
        <x:v>0</x:v>
      </x:c>
      <x:c r="M399" s="11" t="n">
        <x:v>3</x:v>
      </x:c>
      <x:c r="N399" s="4"/>
      <x:c r="O399" s="4"/>
      <x:c r="P399" s="11" t="n">
        <x:v>2</x:v>
      </x:c>
      <x:c r="Q399" s="11" t="n">
        <x:v>4</x:v>
      </x:c>
      <x:c r="R399" s="11" t="n">
        <x:f>IF(OR(P399="",Q399=""),"",Q399-P399)</x:f>
        <x:v>2</x:v>
      </x:c>
      <x:c r="S399" s="13" t="n">
        <x:f>IF(OR(P399="",Q399="",P399=0),"",((Q399/30)/(P399/31))-1)</x:f>
        <x:v>1.0666666666666669</x:v>
      </x:c>
      <x:c r="T399" s="11" t="n">
        <x:v>357</x:v>
      </x:c>
      <x:c r="U399" s="11" t="n">
        <x:v>324</x:v>
      </x:c>
      <x:c r="V399" s="14" t="n">
        <x:v>0.012345679012345678</x:v>
      </x:c>
      <x:c r="W399" s="12" t="n">
        <x:v>13.830246913580247</x:v>
      </x:c>
      <x:c r="X399" s="11" t="n">
        <x:v>4</x:v>
      </x:c>
      <x:c r="Y399" s="11" t="n">
        <x:v>4</x:v>
      </x:c>
      <x:c r="Z399" s="4" t="str">
        <x:v>https://blog.skyairline.com/sitios-en-puerto-montt-que-no-todos-conocen/</x:v>
      </x:c>
      <x:c r="AA399" s="4" t="str">
        <x:v>https://blog.skyairline.com/sitios-en-puerto-montt-que-no-todos-conocen/</x:v>
      </x:c>
      <x:c r="AB399" s="4" t="str">
        <x:v>Coincidencia URL</x:v>
      </x:c>
      <x:c r="AC399" s="4" t="str">
        <x:v>Publicado hasta septiembre</x:v>
      </x:c>
      <x:c r="AD399" s="4" t="str">
        <x:v>/sitios-en-puerto-montt-que-no-todos-conocen/</x:v>
      </x:c>
      <x:c r="AE399" s="4"/>
      <x:c r="AF399" s="16" t="b">
        <x:v>0</x:v>
      </x:c>
    </x:row>
    <x:row r="400" ht="44" customHeight="1">
      <x:c r="A400" s="4" t="n">
        <x:v>5580</x:v>
      </x:c>
      <x:c r="B400" s="4" t="str">
        <x:v>https://blog.skyairline.com/region-de-arica-4-lugares-escondidos-que-no-todo-turista-conoce/</x:v>
      </x:c>
      <x:c r="C400" s="9" t="str">
        <x:v>Región de Arica: 4 lugares escondidos que no todo turista conoce</x:v>
      </x:c>
      <x:c r="D400" s="17" t="d">
        <x:v>2025-02-01T00:00:00.000Z</x:v>
      </x:c>
      <x:c r="E400" s="17" t="d">
        <x:v>2025-02-01T00:00:00.000Z</x:v>
      </x:c>
      <x:c r="F400" s="4" t="str">
        <x:v>Sin categoría</x:v>
      </x:c>
      <x:c r="G400" s="11" t="n">
        <x:v>1027</x:v>
      </x:c>
      <x:c r="H400" s="11" t="n">
        <x:v>200</x:v>
      </x:c>
      <x:c r="I400" s="11" t="n">
        <x:v>1</x:v>
      </x:c>
      <x:c r="J400" s="4" t="str">
        <x:v>https://blog.skyairline.com/region-de-arica-4-lugares-escondidos-que-no-todo-turista-conoce/</x:v>
      </x:c>
      <x:c r="K400" s="16" t="b">
        <x:v>0</x:v>
      </x:c>
      <x:c r="L400" s="11" t="n">
        <x:v>0</x:v>
      </x:c>
      <x:c r="M400" s="11" t="n">
        <x:v>3</x:v>
      </x:c>
      <x:c r="N400" s="4"/>
      <x:c r="O400" s="4"/>
      <x:c r="P400" s="11" t="n">
        <x:v>7</x:v>
      </x:c>
      <x:c r="Q400" s="11" t="n">
        <x:v>4</x:v>
      </x:c>
      <x:c r="R400" s="11" t="n">
        <x:f>IF(OR(P400="",Q400=""),"",Q400-P400)</x:f>
        <x:v>-3</x:v>
      </x:c>
      <x:c r="S400" s="13" t="n">
        <x:f>IF(OR(P400="",Q400="",P400=0),"",((Q400/30)/(P400/31))-1)</x:f>
        <x:v>-0.4095238095238095</x:v>
      </x:c>
      <x:c r="T400" s="11" t="n">
        <x:v>216</x:v>
      </x:c>
      <x:c r="U400" s="11" t="n">
        <x:v>353</x:v>
      </x:c>
      <x:c r="V400" s="14" t="n">
        <x:v>0.0113314447592068</x:v>
      </x:c>
      <x:c r="W400" s="12" t="n">
        <x:v>5.804532577903683</x:v>
      </x:c>
      <x:c r="X400" s="11" t="n">
        <x:v>6</x:v>
      </x:c>
      <x:c r="Y400" s="11" t="n">
        <x:v>8</x:v>
      </x:c>
      <x:c r="Z400" s="4" t="str">
        <x:v>https://blog.skyairline.com/region-de-arica-4-lugares-escondidos-que-no-todo-turista-conoce/</x:v>
      </x:c>
      <x:c r="AA400" s="4" t="str">
        <x:v>https://blog.skyairline.com/region-de-arica-4-lugares-escondidos-que-no-todo-turista-conoce/</x:v>
      </x:c>
      <x:c r="AB400" s="4" t="str">
        <x:v>Coincidencia URL</x:v>
      </x:c>
      <x:c r="AC400" s="4" t="str">
        <x:v>Publicado hasta septiembre</x:v>
      </x:c>
      <x:c r="AD400" s="4" t="str">
        <x:v>/region-de-arica-4-lugares-escondidos-que-no-todo-turista-conoce/</x:v>
      </x:c>
      <x:c r="AE400" s="4"/>
      <x:c r="AF400" s="16" t="b">
        <x:v>0</x:v>
      </x:c>
    </x:row>
    <x:row r="401" ht="44" customHeight="1">
      <x:c r="A401" s="4" t="n">
        <x:v>5696</x:v>
      </x:c>
      <x:c r="B401" s="4" t="str">
        <x:v>https://blog.skyairline.com/sky-lanza-nueva-ruta-directa-que-conectara-puerto-montt-con-bariloche/</x:v>
      </x:c>
      <x:c r="C401" s="9" t="str">
        <x:v>SKY lanza nueva ruta directa que conectará Puerto Montt con Bariloche</x:v>
      </x:c>
      <x:c r="D401" s="17" t="d">
        <x:v>2025-02-03T00:00:00.000Z</x:v>
      </x:c>
      <x:c r="E401" s="17" t="d">
        <x:v>2025-02-03T00:00:00.000Z</x:v>
      </x:c>
      <x:c r="F401" s="4" t="str">
        <x:v>Sin categoría</x:v>
      </x:c>
      <x:c r="G401" s="11" t="n">
        <x:v>336</x:v>
      </x:c>
      <x:c r="H401" s="11" t="n">
        <x:v>200</x:v>
      </x:c>
      <x:c r="I401" s="11" t="n">
        <x:v>1</x:v>
      </x:c>
      <x:c r="J401" s="4" t="str">
        <x:v>https://blog.skyairline.com/sky-lanza-nueva-ruta-directa-que-conectara-puerto-montt-con-bariloche/</x:v>
      </x:c>
      <x:c r="K401" s="16" t="b">
        <x:v>0</x:v>
      </x:c>
      <x:c r="L401" s="11" t="n">
        <x:v>0</x:v>
      </x:c>
      <x:c r="M401" s="11" t="n">
        <x:v>0</x:v>
      </x:c>
      <x:c r="N401" s="4"/>
      <x:c r="O401" s="4"/>
      <x:c r="P401" s="11" t="n">
        <x:v>2</x:v>
      </x:c>
      <x:c r="Q401" s="11" t="n">
        <x:v>4</x:v>
      </x:c>
      <x:c r="R401" s="11" t="n">
        <x:f>IF(OR(P401="",Q401=""),"",Q401-P401)</x:f>
        <x:v>2</x:v>
      </x:c>
      <x:c r="S401" s="13" t="n">
        <x:f>IF(OR(P401="",Q401="",P401=0),"",((Q401/30)/(P401/31))-1)</x:f>
        <x:v>1.0666666666666669</x:v>
      </x:c>
      <x:c r="T401" s="11" t="n">
        <x:v>260</x:v>
      </x:c>
      <x:c r="U401" s="11" t="n">
        <x:v>228</x:v>
      </x:c>
      <x:c r="V401" s="14" t="n">
        <x:v>0.017543859649122806</x:v>
      </x:c>
      <x:c r="W401" s="12" t="n">
        <x:v>8.87280701754386</x:v>
      </x:c>
      <x:c r="X401" s="11" t="n">
        <x:v>4</x:v>
      </x:c>
      <x:c r="Y401" s="11" t="n">
        <x:v>4</x:v>
      </x:c>
      <x:c r="Z401" s="4" t="str">
        <x:v>https://blog.skyairline.com/sky-lanza-nueva-ruta-directa-que-conectara-puerto-montt-con-bariloche/</x:v>
      </x:c>
      <x:c r="AA401" s="4" t="str">
        <x:v>https://blog.skyairline.com/sky-lanza-nueva-ruta-directa-que-conectara-puerto-montt-con-bariloche/</x:v>
      </x:c>
      <x:c r="AB401" s="4" t="str">
        <x:v>Coincidencia URL</x:v>
      </x:c>
      <x:c r="AC401" s="4" t="str">
        <x:v>Publicado hasta septiembre</x:v>
      </x:c>
      <x:c r="AD401" s="4" t="str">
        <x:v>/sky-lanza-nueva-ruta-directa-que-conectara-puerto-montt-con-bariloche/</x:v>
      </x:c>
      <x:c r="AE401" s="4"/>
      <x:c r="AF401" s="16" t="b">
        <x:v>0</x:v>
      </x:c>
    </x:row>
    <x:row r="402" ht="44" customHeight="1">
      <x:c r="A402" s="4" t="n">
        <x:v>6246</x:v>
      </x:c>
      <x:c r="B402" s="4" t="str">
        <x:v>https://blog.skyairline.com/arrecifes-en-brasil/</x:v>
      </x:c>
      <x:c r="C402" s="9" t="str">
        <x:v>Mejores arrecifes en Brasil que puedes explorar</x:v>
      </x:c>
      <x:c r="D402" s="17" t="d">
        <x:v>2025-06-25T00:00:00.000Z</x:v>
      </x:c>
      <x:c r="E402" s="17" t="d">
        <x:v>2025-06-25T00:00:00.000Z</x:v>
      </x:c>
      <x:c r="F402" s="4" t="str">
        <x:v>Destinos</x:v>
      </x:c>
      <x:c r="G402" s="11" t="n">
        <x:v>977</x:v>
      </x:c>
      <x:c r="H402" s="11" t="n">
        <x:v>200</x:v>
      </x:c>
      <x:c r="I402" s="11" t="n">
        <x:v>1</x:v>
      </x:c>
      <x:c r="J402" s="4" t="str">
        <x:v>https://blog.skyairline.com/arrecifes-en-brasil/</x:v>
      </x:c>
      <x:c r="K402" s="16" t="b">
        <x:v>0</x:v>
      </x:c>
      <x:c r="L402" s="11" t="n">
        <x:v>0</x:v>
      </x:c>
      <x:c r="M402" s="11" t="n">
        <x:v>0</x:v>
      </x:c>
      <x:c r="N402" s="4"/>
      <x:c r="O402" s="4"/>
      <x:c r="P402" s="11" t="n">
        <x:v>4</x:v>
      </x:c>
      <x:c r="Q402" s="11" t="n">
        <x:v>4</x:v>
      </x:c>
      <x:c r="R402" s="11" t="n">
        <x:f>IF(OR(P402="",Q402=""),"",Q402-P402)</x:f>
        <x:v>0</x:v>
      </x:c>
      <x:c r="S402" s="13" t="n">
        <x:f>IF(OR(P402="",Q402="",P402=0),"",((Q402/30)/(P402/31))-1)</x:f>
        <x:v>0.03333333333333344</x:v>
      </x:c>
      <x:c r="T402" s="11" t="n">
        <x:v>403</x:v>
      </x:c>
      <x:c r="U402" s="11" t="n">
        <x:v>297</x:v>
      </x:c>
      <x:c r="V402" s="14" t="n">
        <x:v>0.013468013468013467</x:v>
      </x:c>
      <x:c r="W402" s="12" t="n">
        <x:v>7.2592592592592595</x:v>
      </x:c>
      <x:c r="X402" s="11" t="n">
        <x:v>5</x:v>
      </x:c>
      <x:c r="Y402" s="11" t="n">
        <x:v>5</x:v>
      </x:c>
      <x:c r="Z402" s="4" t="str">
        <x:v>https://blog.skyairline.com/arrecifes-en-brasil/</x:v>
      </x:c>
      <x:c r="AA402" s="4" t="str">
        <x:v>https://blog.skyairline.com/arrecifes-en-brasil/</x:v>
      </x:c>
      <x:c r="AB402" s="4" t="str">
        <x:v>Coincidencia URL</x:v>
      </x:c>
      <x:c r="AC402" s="4" t="str">
        <x:v>Publicado hasta septiembre</x:v>
      </x:c>
      <x:c r="AD402" s="4" t="str">
        <x:v>/arrecifes-en-brasil/</x:v>
      </x:c>
      <x:c r="AE402" s="4"/>
      <x:c r="AF402" s="16" t="b">
        <x:v>0</x:v>
      </x:c>
    </x:row>
    <x:row r="403" ht="44" customHeight="1">
      <x:c r="A403" s="4" t="n">
        <x:v>6264</x:v>
      </x:c>
      <x:c r="B403" s="4" t="str">
        <x:v>https://blog.skyairline.com/patrimonios-culturales-de-chile/</x:v>
      </x:c>
      <x:c r="C403" s="9" t="str">
        <x:v>9 patrimonios culturales de Chile que tienes que conocer</x:v>
      </x:c>
      <x:c r="D403" s="17" t="d">
        <x:v>2025-11-30T00:00:00.000Z</x:v>
      </x:c>
      <x:c r="E403" s="17" t="d">
        <x:v>2026-01-12T00:00:00.000Z</x:v>
      </x:c>
      <x:c r="F403" s="4" t="str">
        <x:v>Cultura</x:v>
      </x:c>
      <x:c r="G403" s="11" t="n">
        <x:v>1160</x:v>
      </x:c>
      <x:c r="H403" s="11" t="n">
        <x:v>200</x:v>
      </x:c>
      <x:c r="I403" s="11" t="n">
        <x:v>1</x:v>
      </x:c>
      <x:c r="J403" s="4" t="str">
        <x:v>https://blog.skyairline.com/patrimonios-culturales-de-chile/</x:v>
      </x:c>
      <x:c r="K403" s="16" t="b">
        <x:v>0</x:v>
      </x:c>
      <x:c r="L403" s="11" t="n">
        <x:v>0</x:v>
      </x:c>
      <x:c r="M403" s="11" t="n">
        <x:v>4</x:v>
      </x:c>
      <x:c r="N403" s="4"/>
      <x:c r="O403" s="4"/>
      <x:c r="P403" s="11" t="n">
        <x:v>4</x:v>
      </x:c>
      <x:c r="Q403" s="11" t="n">
        <x:v>4</x:v>
      </x:c>
      <x:c r="R403" s="11" t="n">
        <x:f>IF(OR(P403="",Q403=""),"",Q403-P403)</x:f>
        <x:v>0</x:v>
      </x:c>
      <x:c r="S403" s="13" t="n">
        <x:f>IF(OR(P403="",Q403="",P403=0),"",((Q403/30)/(P403/31))-1)</x:f>
        <x:v>0.03333333333333344</x:v>
      </x:c>
      <x:c r="T403" s="11" t="n">
        <x:v>689</x:v>
      </x:c>
      <x:c r="U403" s="11" t="n">
        <x:v>525</x:v>
      </x:c>
      <x:c r="V403" s="14" t="n">
        <x:v>0.007619047619047619</x:v>
      </x:c>
      <x:c r="W403" s="12" t="n">
        <x:v>9.902857142857142</x:v>
      </x:c>
      <x:c r="X403" s="11" t="n">
        <x:v>6</x:v>
      </x:c>
      <x:c r="Y403" s="11" t="n">
        <x:v>6</x:v>
      </x:c>
      <x:c r="Z403" s="4" t="str">
        <x:v>https://blog.skyairline.com/patrimonios-culturales-de-chile/</x:v>
      </x:c>
      <x:c r="AA403" s="4" t="str">
        <x:v>https://blog.skyairline.com/patrimonios-culturales-de-chile/</x:v>
      </x:c>
      <x:c r="AB403" s="4" t="str">
        <x:v>Coincidencia URL</x:v>
      </x:c>
      <x:c r="AC403" s="4" t="str">
        <x:v>Publicado hasta septiembre</x:v>
      </x:c>
      <x:c r="AD403" s="4" t="str">
        <x:v>/patrimonios-culturales-de-chile/</x:v>
      </x:c>
      <x:c r="AE403" s="4"/>
      <x:c r="AF403" s="16" t="b">
        <x:v>0</x:v>
      </x:c>
    </x:row>
    <x:row r="404" ht="44" customHeight="1">
      <x:c r="A404" s="4" t="n">
        <x:v>6393</x:v>
      </x:c>
      <x:c r="B404" s="4" t="str">
        <x:v>https://blog.skyairline.com/el-fruto-del-calafate/</x:v>
      </x:c>
      <x:c r="C404" s="9" t="str">
        <x:v>¿Qué es el fruto del calafate y dónde encontrarlo en Chile?</x:v>
      </x:c>
      <x:c r="D404" s="17" t="d">
        <x:v>2025-08-03T00:00:00.000Z</x:v>
      </x:c>
      <x:c r="E404" s="17" t="d">
        <x:v>2025-08-03T00:00:00.000Z</x:v>
      </x:c>
      <x:c r="F404" s="4" t="str">
        <x:v>Destinos</x:v>
      </x:c>
      <x:c r="G404" s="11" t="n">
        <x:v>921</x:v>
      </x:c>
      <x:c r="H404" s="11" t="n">
        <x:v>200</x:v>
      </x:c>
      <x:c r="I404" s="11" t="n">
        <x:v>1</x:v>
      </x:c>
      <x:c r="J404" s="4" t="str">
        <x:v>https://blog.skyairline.com/el-fruto-del-calafate/</x:v>
      </x:c>
      <x:c r="K404" s="16" t="b">
        <x:v>0</x:v>
      </x:c>
      <x:c r="L404" s="11" t="n">
        <x:v>0</x:v>
      </x:c>
      <x:c r="M404" s="11" t="n">
        <x:v>0</x:v>
      </x:c>
      <x:c r="N404" s="4"/>
      <x:c r="O404" s="4"/>
      <x:c r="P404" s="11" t="n">
        <x:v>5</x:v>
      </x:c>
      <x:c r="Q404" s="11" t="n">
        <x:v>4</x:v>
      </x:c>
      <x:c r="R404" s="11" t="n">
        <x:f>IF(OR(P404="",Q404=""),"",Q404-P404)</x:f>
        <x:v>-1</x:v>
      </x:c>
      <x:c r="S404" s="13" t="n">
        <x:f>IF(OR(P404="",Q404="",P404=0),"",((Q404/30)/(P404/31))-1)</x:f>
        <x:v>-0.17333333333333334</x:v>
      </x:c>
      <x:c r="T404" s="11" t="n">
        <x:v>2324</x:v>
      </x:c>
      <x:c r="U404" s="11" t="n">
        <x:v>2318</x:v>
      </x:c>
      <x:c r="V404" s="14" t="n">
        <x:v>0.001725625539257981</x:v>
      </x:c>
      <x:c r="W404" s="12" t="n">
        <x:v>8.296807592752373</x:v>
      </x:c>
      <x:c r="X404" s="11" t="n">
        <x:v>6</x:v>
      </x:c>
      <x:c r="Y404" s="11" t="n">
        <x:v>8</x:v>
      </x:c>
      <x:c r="Z404" s="4" t="str">
        <x:v>https://blog.skyairline.com/el-fruto-del-calafate/</x:v>
      </x:c>
      <x:c r="AA404" s="4" t="str">
        <x:v>https://blog.skyairline.com/el-fruto-del-calafate/</x:v>
      </x:c>
      <x:c r="AB404" s="4" t="str">
        <x:v>Coincidencia URL</x:v>
      </x:c>
      <x:c r="AC404" s="4" t="str">
        <x:v>Publicado hasta septiembre</x:v>
      </x:c>
      <x:c r="AD404" s="4" t="str">
        <x:v>/el-fruto-del-calafate/</x:v>
      </x:c>
      <x:c r="AE404" s="4"/>
      <x:c r="AF404" s="16" t="b">
        <x:v>0</x:v>
      </x:c>
    </x:row>
    <x:row r="405" ht="44" customHeight="1">
      <x:c r="A405" s="4" t="n">
        <x:v>6466</x:v>
      </x:c>
      <x:c r="B405" s="4" t="str">
        <x:v>https://blog.skyairline.com/botanical-garden-de-florianopolis/</x:v>
      </x:c>
      <x:c r="C405" s="9" t="str">
        <x:v>Qué ver en el Botanical Garden de Florianópolis</x:v>
      </x:c>
      <x:c r="D405" s="17" t="d">
        <x:v>2025-08-14T00:00:00.000Z</x:v>
      </x:c>
      <x:c r="E405" s="17" t="d">
        <x:v>2025-08-14T00:00:00.000Z</x:v>
      </x:c>
      <x:c r="F405" s="4" t="str">
        <x:v>Planificación de Viaje</x:v>
      </x:c>
      <x:c r="G405" s="11" t="n">
        <x:v>1173</x:v>
      </x:c>
      <x:c r="H405" s="11" t="n">
        <x:v>200</x:v>
      </x:c>
      <x:c r="I405" s="11" t="n">
        <x:v>1</x:v>
      </x:c>
      <x:c r="J405" s="4" t="str">
        <x:v>https://blog.skyairline.com/botanical-garden-de-florianopolis/</x:v>
      </x:c>
      <x:c r="K405" s="16" t="b">
        <x:v>0</x:v>
      </x:c>
      <x:c r="L405" s="11" t="n">
        <x:v>0</x:v>
      </x:c>
      <x:c r="M405" s="11" t="n">
        <x:v>3</x:v>
      </x:c>
      <x:c r="N405" s="4"/>
      <x:c r="O405" s="4"/>
      <x:c r="P405" s="11" t="n">
        <x:v>1</x:v>
      </x:c>
      <x:c r="Q405" s="11" t="n">
        <x:v>4</x:v>
      </x:c>
      <x:c r="R405" s="11" t="n">
        <x:f>IF(OR(P405="",Q405=""),"",Q405-P405)</x:f>
        <x:v>3</x:v>
      </x:c>
      <x:c r="S405" s="13" t="n">
        <x:f>IF(OR(P405="",Q405="",P405=0),"",((Q405/30)/(P405/31))-1)</x:f>
        <x:v>3.1333333333333337</x:v>
      </x:c>
      <x:c r="T405" s="11" t="n">
        <x:v>350</x:v>
      </x:c>
      <x:c r="U405" s="11" t="n">
        <x:v>477</x:v>
      </x:c>
      <x:c r="V405" s="14" t="n">
        <x:v>0.008385744234800839</x:v>
      </x:c>
      <x:c r="W405" s="12" t="n">
        <x:v>6.408805031446541</x:v>
      </x:c>
      <x:c r="X405" s="11" t="n">
        <x:v>4</x:v>
      </x:c>
      <x:c r="Y405" s="11" t="n">
        <x:v>4</x:v>
      </x:c>
      <x:c r="Z405" s="4" t="str">
        <x:v>https://blog.skyairline.com/botanical-garden-de-florianopolis/</x:v>
      </x:c>
      <x:c r="AA405" s="4" t="str">
        <x:v>https://blog.skyairline.com/botanical-garden-de-florianopolis/</x:v>
      </x:c>
      <x:c r="AB405" s="4" t="str">
        <x:v>Coincidencia URL</x:v>
      </x:c>
      <x:c r="AC405" s="4" t="str">
        <x:v>Publicado hasta septiembre</x:v>
      </x:c>
      <x:c r="AD405" s="4" t="str">
        <x:v>/botanical-garden-de-florianopolis/</x:v>
      </x:c>
      <x:c r="AE405" s="4"/>
      <x:c r="AF405" s="16" t="b">
        <x:v>0</x:v>
      </x:c>
    </x:row>
    <x:row r="406" ht="44" customHeight="1">
      <x:c r="A406" s="4" t="n">
        <x:v>6547</x:v>
      </x:c>
      <x:c r="B406" s="4" t="str">
        <x:v>https://blog.skyairline.com/termas-del-cajon-del-maipo/</x:v>
      </x:c>
      <x:c r="C406" s="9" t="str">
        <x:v>Guía completa para visitar las termas del Cajón del Maipo</x:v>
      </x:c>
      <x:c r="D406" s="17" t="d">
        <x:v>2025-09-08T00:00:00.000Z</x:v>
      </x:c>
      <x:c r="E406" s="17" t="d">
        <x:v>2025-09-08T00:00:00.000Z</x:v>
      </x:c>
      <x:c r="F406" s="4" t="str">
        <x:v>Destinos</x:v>
      </x:c>
      <x:c r="G406" s="11" t="n">
        <x:v>945</x:v>
      </x:c>
      <x:c r="H406" s="11" t="n">
        <x:v>200</x:v>
      </x:c>
      <x:c r="I406" s="11" t="n">
        <x:v>1</x:v>
      </x:c>
      <x:c r="J406" s="4" t="str">
        <x:v>https://blog.skyairline.com/termas-del-cajon-del-maipo/</x:v>
      </x:c>
      <x:c r="K406" s="16" t="b">
        <x:v>0</x:v>
      </x:c>
      <x:c r="L406" s="11" t="n">
        <x:v>0</x:v>
      </x:c>
      <x:c r="M406" s="11" t="n">
        <x:v>3</x:v>
      </x:c>
      <x:c r="N406" s="4"/>
      <x:c r="O406" s="4"/>
      <x:c r="P406" s="11" t="n">
        <x:v>2</x:v>
      </x:c>
      <x:c r="Q406" s="11" t="n">
        <x:v>4</x:v>
      </x:c>
      <x:c r="R406" s="11" t="n">
        <x:f>IF(OR(P406="",Q406=""),"",Q406-P406)</x:f>
        <x:v>2</x:v>
      </x:c>
      <x:c r="S406" s="13" t="n">
        <x:f>IF(OR(P406="",Q406="",P406=0),"",((Q406/30)/(P406/31))-1)</x:f>
        <x:v>1.0666666666666669</x:v>
      </x:c>
      <x:c r="T406" s="11" t="n">
        <x:v>717</x:v>
      </x:c>
      <x:c r="U406" s="11" t="n">
        <x:v>577</x:v>
      </x:c>
      <x:c r="V406" s="14" t="n">
        <x:v>0.006932409012131715</x:v>
      </x:c>
      <x:c r="W406" s="12" t="n">
        <x:v>9.41421143847487</x:v>
      </x:c>
      <x:c r="X406" s="11" t="n">
        <x:v>8</x:v>
      </x:c>
      <x:c r="Y406" s="11" t="n">
        <x:v>12</x:v>
      </x:c>
      <x:c r="Z406" s="4" t="str">
        <x:v>https://blog.skyairline.com/termas-del-cajon-del-maipo/</x:v>
      </x:c>
      <x:c r="AA406" s="4" t="str">
        <x:v>https://blog.skyairline.com/termas-del-cajon-del-maipo/</x:v>
      </x:c>
      <x:c r="AB406" s="4" t="str">
        <x:v>Coincidencia URL</x:v>
      </x:c>
      <x:c r="AC406" s="4" t="str">
        <x:v>Publicado hasta septiembre</x:v>
      </x:c>
      <x:c r="AD406" s="4" t="str">
        <x:v>/termas-del-cajon-del-maipo/</x:v>
      </x:c>
      <x:c r="AE406" s="4"/>
      <x:c r="AF406" s="16" t="b">
        <x:v>0</x:v>
      </x:c>
    </x:row>
    <x:row r="407" ht="44" customHeight="1">
      <x:c r="A407" s="4" t="n">
        <x:v>6553</x:v>
      </x:c>
      <x:c r="B407" s="4" t="str">
        <x:v>https://blog.skyairline.com/paisajes-de-chiloe/</x:v>
      </x:c>
      <x:c r="C407" s="9" t="str">
        <x:v>Los mejores paisajes de Chiloé para fotografiar y explorar</x:v>
      </x:c>
      <x:c r="D407" s="17" t="d">
        <x:v>2025-09-10T00:00:00.000Z</x:v>
      </x:c>
      <x:c r="E407" s="17" t="d">
        <x:v>2025-09-10T00:00:00.000Z</x:v>
      </x:c>
      <x:c r="F407" s="4" t="str">
        <x:v>Destinos</x:v>
      </x:c>
      <x:c r="G407" s="11" t="n">
        <x:v>1079</x:v>
      </x:c>
      <x:c r="H407" s="11" t="n">
        <x:v>200</x:v>
      </x:c>
      <x:c r="I407" s="11" t="n">
        <x:v>1</x:v>
      </x:c>
      <x:c r="J407" s="4" t="str">
        <x:v>https://blog.skyairline.com/paisajes-de-chiloe/</x:v>
      </x:c>
      <x:c r="K407" s="16" t="b">
        <x:v>0</x:v>
      </x:c>
      <x:c r="L407" s="11" t="n">
        <x:v>0</x:v>
      </x:c>
      <x:c r="M407" s="11" t="n">
        <x:v>3</x:v>
      </x:c>
      <x:c r="N407" s="4"/>
      <x:c r="O407" s="4"/>
      <x:c r="P407" s="11" t="n">
        <x:v>13</x:v>
      </x:c>
      <x:c r="Q407" s="11" t="n">
        <x:v>4</x:v>
      </x:c>
      <x:c r="R407" s="11" t="n">
        <x:f>IF(OR(P407="",Q407=""),"",Q407-P407)</x:f>
        <x:v>-9</x:v>
      </x:c>
      <x:c r="S407" s="13" t="n">
        <x:f>IF(OR(P407="",Q407="",P407=0),"",((Q407/30)/(P407/31))-1)</x:f>
        <x:v>-0.6820512820512821</x:v>
      </x:c>
      <x:c r="T407" s="11" t="n">
        <x:v>959</x:v>
      </x:c>
      <x:c r="U407" s="11" t="n">
        <x:v>878</x:v>
      </x:c>
      <x:c r="V407" s="14" t="n">
        <x:v>0.004555808656036446</x:v>
      </x:c>
      <x:c r="W407" s="12" t="n">
        <x:v>6.695899772209567</x:v>
      </x:c>
      <x:c r="X407" s="11" t="n">
        <x:v>8</x:v>
      </x:c>
      <x:c r="Y407" s="11" t="n">
        <x:v>11</x:v>
      </x:c>
      <x:c r="Z407" s="4" t="str">
        <x:v>https://blog.skyairline.com/paisajes-de-chiloe/</x:v>
      </x:c>
      <x:c r="AA407" s="4" t="str">
        <x:v>https://blog.skyairline.com/paisajes-de-chiloe/</x:v>
      </x:c>
      <x:c r="AB407" s="4" t="str">
        <x:v>Coincidencia URL</x:v>
      </x:c>
      <x:c r="AC407" s="4" t="str">
        <x:v>Publicado hasta septiembre</x:v>
      </x:c>
      <x:c r="AD407" s="4" t="str">
        <x:v>/paisajes-de-chiloe/</x:v>
      </x:c>
      <x:c r="AE407" s="4"/>
      <x:c r="AF407" s="16" t="b">
        <x:v>0</x:v>
      </x:c>
    </x:row>
    <x:row r="408" ht="44" customHeight="1">
      <x:c r="A408" s="4" t="n">
        <x:v>6575</x:v>
      </x:c>
      <x:c r="B408" s="4" t="str">
        <x:v>https://blog.skyairline.com/parque-nacional-huascaran/</x:v>
      </x:c>
      <x:c r="C408" s="9" t="str">
        <x:v>Guía para recorrer el Parque Nacional Huascarán</x:v>
      </x:c>
      <x:c r="D408" s="17" t="d">
        <x:v>2025-09-17T00:00:00.000Z</x:v>
      </x:c>
      <x:c r="E408" s="17" t="d">
        <x:v>2025-09-17T00:00:00.000Z</x:v>
      </x:c>
      <x:c r="F408" s="4" t="str">
        <x:v>Destinos</x:v>
      </x:c>
      <x:c r="G408" s="11" t="n">
        <x:v>1156</x:v>
      </x:c>
      <x:c r="H408" s="11" t="n">
        <x:v>200</x:v>
      </x:c>
      <x:c r="I408" s="11" t="n">
        <x:v>1</x:v>
      </x:c>
      <x:c r="J408" s="4" t="str">
        <x:v>https://blog.skyairline.com/parque-nacional-huascaran/</x:v>
      </x:c>
      <x:c r="K408" s="16" t="b">
        <x:v>0</x:v>
      </x:c>
      <x:c r="L408" s="11" t="n">
        <x:v>0</x:v>
      </x:c>
      <x:c r="M408" s="11" t="n">
        <x:v>3</x:v>
      </x:c>
      <x:c r="N408" s="4"/>
      <x:c r="O408" s="4"/>
      <x:c r="P408" s="11" t="n">
        <x:v>9</x:v>
      </x:c>
      <x:c r="Q408" s="11" t="n">
        <x:v>4</x:v>
      </x:c>
      <x:c r="R408" s="11" t="n">
        <x:f>IF(OR(P408="",Q408=""),"",Q408-P408)</x:f>
        <x:v>-5</x:v>
      </x:c>
      <x:c r="S408" s="13" t="n">
        <x:f>IF(OR(P408="",Q408="",P408=0),"",((Q408/30)/(P408/31))-1)</x:f>
        <x:v>-0.5407407407407407</x:v>
      </x:c>
      <x:c r="T408" s="11" t="n">
        <x:v>1734</x:v>
      </x:c>
      <x:c r="U408" s="11" t="n">
        <x:v>1063</x:v>
      </x:c>
      <x:c r="V408" s="14" t="n">
        <x:v>0.0037629350893697085</x:v>
      </x:c>
      <x:c r="W408" s="12" t="n">
        <x:v>12.17779868297272</x:v>
      </x:c>
      <x:c r="X408" s="11" t="n">
        <x:v>4</x:v>
      </x:c>
      <x:c r="Y408" s="11" t="n">
        <x:v>4</x:v>
      </x:c>
      <x:c r="Z408" s="4" t="str">
        <x:v>https://blog.skyairline.com/parque-nacional-huascaran/</x:v>
      </x:c>
      <x:c r="AA408" s="4" t="str">
        <x:v>https://blog.skyairline.com/parque-nacional-huascaran/</x:v>
      </x:c>
      <x:c r="AB408" s="4" t="str">
        <x:v>Coincidencia URL</x:v>
      </x:c>
      <x:c r="AC408" s="4" t="str">
        <x:v>Publicado hasta septiembre</x:v>
      </x:c>
      <x:c r="AD408" s="4" t="str">
        <x:v>/parque-nacional-huascaran/</x:v>
      </x:c>
      <x:c r="AE408" s="4"/>
      <x:c r="AF408" s="16" t="b">
        <x:v>0</x:v>
      </x:c>
    </x:row>
    <x:row r="409" ht="44" customHeight="1">
      <x:c r="A409" s="4" t="n">
        <x:v>7365</x:v>
      </x:c>
      <x:c r="B409" s="4" t="str">
        <x:v>https://blog.skyairline.com/cristo-redentor/</x:v>
      </x:c>
      <x:c r="C409" s="9" t="str">
        <x:v>¿Cómo llegar al Cristo Redentor?</x:v>
      </x:c>
      <x:c r="D409" s="17" t="d">
        <x:v>2025-10-30T00:00:00.000Z</x:v>
      </x:c>
      <x:c r="E409" s="17" t="d">
        <x:v>2025-10-27T00:00:00.000Z</x:v>
      </x:c>
      <x:c r="F409" s="4" t="str">
        <x:v>Destinos</x:v>
      </x:c>
      <x:c r="G409" s="11" t="n">
        <x:v>1107</x:v>
      </x:c>
      <x:c r="H409" s="11" t="n">
        <x:v>200</x:v>
      </x:c>
      <x:c r="I409" s="11" t="n">
        <x:v>1</x:v>
      </x:c>
      <x:c r="J409" s="4" t="str">
        <x:v>https://blog.skyairline.com/cristo-redentor/</x:v>
      </x:c>
      <x:c r="K409" s="16" t="b">
        <x:v>0</x:v>
      </x:c>
      <x:c r="L409" s="11" t="n">
        <x:v>0</x:v>
      </x:c>
      <x:c r="M409" s="11" t="n">
        <x:v>3</x:v>
      </x:c>
      <x:c r="N409" s="4"/>
      <x:c r="O409" s="4"/>
      <x:c r="P409" s="11" t="n">
        <x:v>7</x:v>
      </x:c>
      <x:c r="Q409" s="11" t="n">
        <x:v>4</x:v>
      </x:c>
      <x:c r="R409" s="11" t="n">
        <x:f>IF(OR(P409="",Q409=""),"",Q409-P409)</x:f>
        <x:v>-3</x:v>
      </x:c>
      <x:c r="S409" s="13" t="n">
        <x:f>IF(OR(P409="",Q409="",P409=0),"",((Q409/30)/(P409/31))-1)</x:f>
        <x:v>-0.4095238095238095</x:v>
      </x:c>
      <x:c r="T409" s="11" t="n">
        <x:v>2212</x:v>
      </x:c>
      <x:c r="U409" s="11" t="n">
        <x:v>1347</x:v>
      </x:c>
      <x:c r="V409" s="14" t="n">
        <x:v>0.002969561989606533</x:v>
      </x:c>
      <x:c r="W409" s="12" t="n">
        <x:v>8.920564216778025</x:v>
      </x:c>
      <x:c r="X409" s="11" t="n">
        <x:v>6</x:v>
      </x:c>
      <x:c r="Y409" s="11" t="n">
        <x:v>7</x:v>
      </x:c>
      <x:c r="Z409" s="4" t="str">
        <x:v>https://blog.skyairline.com/cristo-redentor/</x:v>
      </x:c>
      <x:c r="AA409" s="4" t="str">
        <x:v>https://blog.skyairline.com/cristo-redentor/</x:v>
      </x:c>
      <x:c r="AB409" s="4" t="str">
        <x:v>Coincidencia URL</x:v>
      </x:c>
      <x:c r="AC409" s="4" t="str">
        <x:v>Publicado hasta septiembre</x:v>
      </x:c>
      <x:c r="AD409" s="4" t="str">
        <x:v>/cristo-redentor/</x:v>
      </x:c>
      <x:c r="AE409" s="4"/>
      <x:c r="AF409" s="16" t="b">
        <x:v>0</x:v>
      </x:c>
    </x:row>
    <x:row r="410" ht="44" customHeight="1">
      <x:c r="A410" s="4" t="n">
        <x:v>7528</x:v>
      </x:c>
      <x:c r="B410" s="4" t="str">
        <x:v>https://blog.skyairline.com/el-tiempo-en-osorno/</x:v>
      </x:c>
      <x:c r="C410" s="9" t="str">
        <x:v>Conoce el clima y tiempo en Osorno para planificar tu viaje</x:v>
      </x:c>
      <x:c r="D410" s="17" t="d">
        <x:v>2025-11-08T00:00:00.000Z</x:v>
      </x:c>
      <x:c r="E410" s="17" t="d">
        <x:v>2025-11-07T00:00:00.000Z</x:v>
      </x:c>
      <x:c r="F410" s="4" t="str">
        <x:v>Destinos</x:v>
      </x:c>
      <x:c r="G410" s="11" t="n">
        <x:v>1059</x:v>
      </x:c>
      <x:c r="H410" s="11" t="n">
        <x:v>200</x:v>
      </x:c>
      <x:c r="I410" s="11" t="n">
        <x:v>1</x:v>
      </x:c>
      <x:c r="J410" s="4" t="str">
        <x:v>https://blog.skyairline.com/el-tiempo-en-osorno/</x:v>
      </x:c>
      <x:c r="K410" s="16" t="b">
        <x:v>0</x:v>
      </x:c>
      <x:c r="L410" s="11" t="n">
        <x:v>0</x:v>
      </x:c>
      <x:c r="M410" s="11" t="n">
        <x:v>3</x:v>
      </x:c>
      <x:c r="N410" s="4"/>
      <x:c r="O410" s="4"/>
      <x:c r="P410" s="11" t="n">
        <x:v>8</x:v>
      </x:c>
      <x:c r="Q410" s="11" t="n">
        <x:v>4</x:v>
      </x:c>
      <x:c r="R410" s="11" t="n">
        <x:f>IF(OR(P410="",Q410=""),"",Q410-P410)</x:f>
        <x:v>-4</x:v>
      </x:c>
      <x:c r="S410" s="13" t="n">
        <x:f>IF(OR(P410="",Q410="",P410=0),"",((Q410/30)/(P410/31))-1)</x:f>
        <x:v>-0.4833333333333333</x:v>
      </x:c>
      <x:c r="T410" s="11" t="n">
        <x:v>1819</x:v>
      </x:c>
      <x:c r="U410" s="11" t="n">
        <x:v>1339</x:v>
      </x:c>
      <x:c r="V410" s="14" t="n">
        <x:v>0.002987303958177745</x:v>
      </x:c>
      <x:c r="W410" s="12" t="n">
        <x:v>7.019417475728155</x:v>
      </x:c>
      <x:c r="X410" s="11" t="n">
        <x:v>4</x:v>
      </x:c>
      <x:c r="Y410" s="11" t="n">
        <x:v>4</x:v>
      </x:c>
      <x:c r="Z410" s="4" t="str">
        <x:v>https://blog.skyairline.com/el-tiempo-en-osorno/</x:v>
      </x:c>
      <x:c r="AA410" s="4" t="str">
        <x:v>https://blog.skyairline.com/el-tiempo-en-osorno/</x:v>
      </x:c>
      <x:c r="AB410" s="4" t="str">
        <x:v>Coincidencia URL</x:v>
      </x:c>
      <x:c r="AC410" s="4" t="str">
        <x:v>Publicado hasta septiembre</x:v>
      </x:c>
      <x:c r="AD410" s="4" t="str">
        <x:v>/el-tiempo-en-osorno/</x:v>
      </x:c>
      <x:c r="AE410" s="4"/>
      <x:c r="AF410" s="16" t="b">
        <x:v>0</x:v>
      </x:c>
    </x:row>
    <x:row r="411" ht="44" customHeight="1">
      <x:c r="A411" s="4" t="n">
        <x:v>7730</x:v>
      </x:c>
      <x:c r="B411" s="4" t="str">
        <x:v>https://blog.skyairline.com/lugares-turisticos-de-tacna/</x:v>
      </x:c>
      <x:c r="C411" s="9" t="str">
        <x:v>Lugares turísticos de Tacna</x:v>
      </x:c>
      <x:c r="D411" s="17" t="d">
        <x:v>2025-11-30T00:00:00.000Z</x:v>
      </x:c>
      <x:c r="E411" s="17" t="d">
        <x:v>2025-11-17T00:00:00.000Z</x:v>
      </x:c>
      <x:c r="F411" s="4" t="str">
        <x:v>Destinos</x:v>
      </x:c>
      <x:c r="G411" s="11" t="n">
        <x:v>1001</x:v>
      </x:c>
      <x:c r="H411" s="11" t="n">
        <x:v>200</x:v>
      </x:c>
      <x:c r="I411" s="11" t="n">
        <x:v>1</x:v>
      </x:c>
      <x:c r="J411" s="4" t="str">
        <x:v>https://blog.skyairline.com/lugares-turisticos-de-tacna/</x:v>
      </x:c>
      <x:c r="K411" s="16" t="b">
        <x:v>0</x:v>
      </x:c>
      <x:c r="L411" s="11" t="n">
        <x:v>0</x:v>
      </x:c>
      <x:c r="M411" s="11" t="n">
        <x:v>5</x:v>
      </x:c>
      <x:c r="N411" s="4"/>
      <x:c r="O411" s="4"/>
      <x:c r="P411" s="11" t="n">
        <x:v>16</x:v>
      </x:c>
      <x:c r="Q411" s="11" t="n">
        <x:v>4</x:v>
      </x:c>
      <x:c r="R411" s="11" t="n">
        <x:f>IF(OR(P411="",Q411=""),"",Q411-P411)</x:f>
        <x:v>-12</x:v>
      </x:c>
      <x:c r="S411" s="13" t="n">
        <x:f>IF(OR(P411="",Q411="",P411=0),"",((Q411/30)/(P411/31))-1)</x:f>
        <x:v>-0.7416666666666667</x:v>
      </x:c>
      <x:c r="T411" s="11" t="n">
        <x:v>2388</x:v>
      </x:c>
      <x:c r="U411" s="11" t="n">
        <x:v>561</x:v>
      </x:c>
      <x:c r="V411" s="14" t="n">
        <x:v>0.0071301247771836</x:v>
      </x:c>
      <x:c r="W411" s="12" t="n">
        <x:v>10.80035650623886</x:v>
      </x:c>
      <x:c r="X411" s="11" t="n">
        <x:v>3</x:v>
      </x:c>
      <x:c r="Y411" s="11" t="n">
        <x:v>5</x:v>
      </x:c>
      <x:c r="Z411" s="4" t="str">
        <x:v>https://blog.skyairline.com/lugares-turisticos-de-tacna/</x:v>
      </x:c>
      <x:c r="AA411" s="4" t="str">
        <x:v>https://blog.skyairline.com/lugares-turisticos-de-tacna/</x:v>
      </x:c>
      <x:c r="AB411" s="4" t="str">
        <x:v>Coincidencia URL</x:v>
      </x:c>
      <x:c r="AC411" s="4" t="str">
        <x:v>Publicado hasta septiembre</x:v>
      </x:c>
      <x:c r="AD411" s="4" t="str">
        <x:v>/lugares-turisticos-de-tacna/</x:v>
      </x:c>
      <x:c r="AE411" s="4"/>
      <x:c r="AF411" s="16" t="b">
        <x:v>0</x:v>
      </x:c>
    </x:row>
    <x:row r="412" ht="44" customHeight="1">
      <x:c r="A412" s="4" t="n">
        <x:v>7830</x:v>
      </x:c>
      <x:c r="B412" s="4" t="str">
        <x:v>https://blog.skyairline.com/humberstone/</x:v>
      </x:c>
      <x:c r="C412" s="9" t="str">
        <x:v>Humberstone: historia viva del salitre a pocos kilómetros de Iquique</x:v>
      </x:c>
      <x:c r="D412" s="17" t="d">
        <x:v>2025-12-12T00:00:00.000Z</x:v>
      </x:c>
      <x:c r="E412" s="17" t="d">
        <x:v>2025-12-04T00:00:00.000Z</x:v>
      </x:c>
      <x:c r="F412" s="4" t="str">
        <x:v>Destinos</x:v>
      </x:c>
      <x:c r="G412" s="11" t="n">
        <x:v>1008</x:v>
      </x:c>
      <x:c r="H412" s="11" t="n">
        <x:v>200</x:v>
      </x:c>
      <x:c r="I412" s="11" t="n">
        <x:v>1</x:v>
      </x:c>
      <x:c r="J412" s="4" t="str">
        <x:v>https://blog.skyairline.com/humberstone/</x:v>
      </x:c>
      <x:c r="K412" s="16" t="b">
        <x:v>0</x:v>
      </x:c>
      <x:c r="L412" s="11" t="n">
        <x:v>0</x:v>
      </x:c>
      <x:c r="M412" s="11" t="n">
        <x:v>0</x:v>
      </x:c>
      <x:c r="N412" s="4"/>
      <x:c r="O412" s="4"/>
      <x:c r="P412" s="11" t="n">
        <x:v>1</x:v>
      </x:c>
      <x:c r="Q412" s="11" t="n">
        <x:v>4</x:v>
      </x:c>
      <x:c r="R412" s="11" t="n">
        <x:f>IF(OR(P412="",Q412=""),"",Q412-P412)</x:f>
        <x:v>3</x:v>
      </x:c>
      <x:c r="S412" s="13" t="n">
        <x:f>IF(OR(P412="",Q412="",P412=0),"",((Q412/30)/(P412/31))-1)</x:f>
        <x:v>3.1333333333333337</x:v>
      </x:c>
      <x:c r="T412" s="11" t="n">
        <x:v>1029</x:v>
      </x:c>
      <x:c r="U412" s="11" t="n">
        <x:v>756</x:v>
      </x:c>
      <x:c r="V412" s="14" t="n">
        <x:v>0.005291005291005291</x:v>
      </x:c>
      <x:c r="W412" s="12" t="n">
        <x:v>9.227513227513228</x:v>
      </x:c>
      <x:c r="X412" s="11" t="n">
        <x:v>4</x:v>
      </x:c>
      <x:c r="Y412" s="11" t="n">
        <x:v>5</x:v>
      </x:c>
      <x:c r="Z412" s="4" t="str">
        <x:v>https://blog.skyairline.com/humberstone/</x:v>
      </x:c>
      <x:c r="AA412" s="4" t="str">
        <x:v>https://blog.skyairline.com/humberstone/</x:v>
      </x:c>
      <x:c r="AB412" s="4" t="str">
        <x:v>Coincidencia URL</x:v>
      </x:c>
      <x:c r="AC412" s="4" t="str">
        <x:v>Publicado hasta septiembre</x:v>
      </x:c>
      <x:c r="AD412" s="4" t="str">
        <x:v>/humberstone/</x:v>
      </x:c>
      <x:c r="AE412" s="4"/>
      <x:c r="AF412" s="16" t="b">
        <x:v>0</x:v>
      </x:c>
    </x:row>
    <x:row r="413" ht="44" customHeight="1">
      <x:c r="A413" s="4" t="n">
        <x:v>7915</x:v>
      </x:c>
      <x:c r="B413" s="4" t="str">
        <x:v>https://blog.skyairline.com/sky-amplia-la-conexion-de-chile-con-europa-de-la-mano-de-lufthansa-y-swiss/</x:v>
      </x:c>
      <x:c r="C413" s="9" t="str">
        <x:v>SKY amplía la conexión de Chile con Europa de la mano de Lufthansa y SWISS</x:v>
      </x:c>
      <x:c r="D413" s="17" t="d">
        <x:v>2025-12-09T00:00:00.000Z</x:v>
      </x:c>
      <x:c r="E413" s="17" t="d">
        <x:v>2025-12-09T00:00:00.000Z</x:v>
      </x:c>
      <x:c r="F413" s="4" t="str">
        <x:v>Noticias</x:v>
      </x:c>
      <x:c r="G413" s="11" t="n">
        <x:v>172</x:v>
      </x:c>
      <x:c r="H413" s="11" t="n">
        <x:v>200</x:v>
      </x:c>
      <x:c r="I413" s="11" t="n">
        <x:v>1</x:v>
      </x:c>
      <x:c r="J413" s="4" t="str">
        <x:v>https://blog.skyairline.com/sky-amplia-la-conexion-de-chile-con-europa-de-la-mano-de-lufthansa-y-swiss/</x:v>
      </x:c>
      <x:c r="K413" s="16" t="b">
        <x:v>0</x:v>
      </x:c>
      <x:c r="L413" s="11" t="n">
        <x:v>0</x:v>
      </x:c>
      <x:c r="M413" s="11" t="n">
        <x:v>0</x:v>
      </x:c>
      <x:c r="N413" s="4"/>
      <x:c r="O413" s="4"/>
      <x:c r="P413" s="11" t="n">
        <x:v>3</x:v>
      </x:c>
      <x:c r="Q413" s="11" t="n">
        <x:v>4</x:v>
      </x:c>
      <x:c r="R413" s="11" t="n">
        <x:f>IF(OR(P413="",Q413=""),"",Q413-P413)</x:f>
        <x:v>1</x:v>
      </x:c>
      <x:c r="S413" s="13" t="n">
        <x:f>IF(OR(P413="",Q413="",P413=0),"",((Q413/30)/(P413/31))-1)</x:f>
        <x:v>0.37777777777777777</x:v>
      </x:c>
      <x:c r="T413" s="11" t="n">
        <x:v>162</x:v>
      </x:c>
      <x:c r="U413" s="11" t="n">
        <x:v>118</x:v>
      </x:c>
      <x:c r="V413" s="14" t="n">
        <x:v>0.03389830508474576</x:v>
      </x:c>
      <x:c r="W413" s="12" t="n">
        <x:v>6.186440677966102</x:v>
      </x:c>
      <x:c r="X413" s="11" t="n">
        <x:v>5</x:v>
      </x:c>
      <x:c r="Y413" s="11" t="n">
        <x:v>4</x:v>
      </x:c>
      <x:c r="Z413" s="4" t="str">
        <x:v>https://blog.skyairline.com/sky-amplia-la-conexion-de-chile-con-europa-de-la-mano-de-lufthansa-y-swiss/</x:v>
      </x:c>
      <x:c r="AA413" s="4" t="str">
        <x:v>https://blog.skyairline.com/sky-amplia-la-conexion-de-chile-con-europa-de-la-mano-de-lufthansa-y-swiss/</x:v>
      </x:c>
      <x:c r="AB413" s="4" t="str">
        <x:v>Coincidencia URL</x:v>
      </x:c>
      <x:c r="AC413" s="4" t="str">
        <x:v>Publicado hasta septiembre</x:v>
      </x:c>
      <x:c r="AD413" s="4" t="str">
        <x:v>/sky-amplia-la-conexion-de-chile-con-europa-de-la-mano-de-lufthansa-y-swiss/</x:v>
      </x:c>
      <x:c r="AE413" s="4"/>
      <x:c r="AF413" s="16" t="b">
        <x:v>0</x:v>
      </x:c>
    </x:row>
    <x:row r="414" ht="44" customHeight="1">
      <x:c r="A414" s="4" t="n">
        <x:v>8076</x:v>
      </x:c>
      <x:c r="B414" s="4" t="str">
        <x:v>https://blog.skyairline.com/islas-ballestas/</x:v>
      </x:c>
      <x:c r="C414" s="9" t="str">
        <x:v>Islas Ballestas desde Lima: cómo llegar, qué ver y mejores horarios para el tour</x:v>
      </x:c>
      <x:c r="D414" s="17" t="d">
        <x:v>2026-01-03T00:00:00.000Z</x:v>
      </x:c>
      <x:c r="E414" s="17" t="d">
        <x:v>2025-12-29T00:00:00.000Z</x:v>
      </x:c>
      <x:c r="F414" s="4" t="str">
        <x:v>Destinos</x:v>
      </x:c>
      <x:c r="G414" s="11" t="n">
        <x:v>1011</x:v>
      </x:c>
      <x:c r="H414" s="11" t="n">
        <x:v>200</x:v>
      </x:c>
      <x:c r="I414" s="11" t="n">
        <x:v>1</x:v>
      </x:c>
      <x:c r="J414" s="4" t="str">
        <x:v>https://blog.skyairline.com/islas-ballestas/</x:v>
      </x:c>
      <x:c r="K414" s="16" t="b">
        <x:v>0</x:v>
      </x:c>
      <x:c r="L414" s="11" t="n">
        <x:v>0</x:v>
      </x:c>
      <x:c r="M414" s="11" t="n">
        <x:v>0</x:v>
      </x:c>
      <x:c r="N414" s="4"/>
      <x:c r="O414" s="4"/>
      <x:c r="P414" s="11" t="n">
        <x:v>0</x:v>
      </x:c>
      <x:c r="Q414" s="11" t="n">
        <x:v>4</x:v>
      </x:c>
      <x:c r="R414" s="11" t="str">
        <x:f>IF(OR(P414="",Q414=""),"",Q414-P414)</x:f>
      </x:c>
      <x:c r="S414" s="13" t="str">
        <x:f>IF(OR(P414="",Q414="",P414=0),"",((Q414/30)/(P414/31))-1)</x:f>
      </x:c>
      <x:c r="T414" s="11" t="n">
        <x:v>819</x:v>
      </x:c>
      <x:c r="U414" s="11" t="n">
        <x:v>597</x:v>
      </x:c>
      <x:c r="V414" s="14" t="n">
        <x:v>0.006700167504187605</x:v>
      </x:c>
      <x:c r="W414" s="12" t="n">
        <x:v>9.157453936348409</x:v>
      </x:c>
      <x:c r="X414" s="11" t="n">
        <x:v>7</x:v>
      </x:c>
      <x:c r="Y414" s="11" t="n">
        <x:v>10</x:v>
      </x:c>
      <x:c r="Z414" s="4" t="str">
        <x:v>https://blog.skyairline.com/islas-ballestas/</x:v>
      </x:c>
      <x:c r="AA414" s="4" t="str">
        <x:v>https://blog.skyairline.com/islas-ballestas/</x:v>
      </x:c>
      <x:c r="AB414" s="4" t="str">
        <x:v>Coincidencia URL</x:v>
      </x:c>
      <x:c r="AC414" s="4" t="str">
        <x:v>Publicado hasta septiembre</x:v>
      </x:c>
      <x:c r="AD414" s="4" t="str">
        <x:v>/islas-ballestas/</x:v>
      </x:c>
      <x:c r="AE414" s="4"/>
      <x:c r="AF414" s="16" t="b">
        <x:v>0</x:v>
      </x:c>
    </x:row>
    <x:row r="415" ht="44" customHeight="1">
      <x:c r="A415" s="4" t="n">
        <x:v>8101</x:v>
      </x:c>
      <x:c r="B415" s="4" t="str">
        <x:v>https://blog.skyairline.com/costa-verde/</x:v>
      </x:c>
      <x:c r="C415" s="9" t="str">
        <x:v>Playas de la Costa Verde: guía para disfrutar el circuito junto al mar en Lima</x:v>
      </x:c>
      <x:c r="D415" s="17" t="d">
        <x:v>2026-01-06T00:00:00.000Z</x:v>
      </x:c>
      <x:c r="E415" s="17" t="d">
        <x:v>2026-01-06T00:00:00.000Z</x:v>
      </x:c>
      <x:c r="F415" s="4" t="str">
        <x:v>Destinos</x:v>
      </x:c>
      <x:c r="G415" s="11" t="n">
        <x:v>1115</x:v>
      </x:c>
      <x:c r="H415" s="11" t="n">
        <x:v>200</x:v>
      </x:c>
      <x:c r="I415" s="11" t="n">
        <x:v>1</x:v>
      </x:c>
      <x:c r="J415" s="4" t="str">
        <x:v>https://blog.skyairline.com/costa-verde/</x:v>
      </x:c>
      <x:c r="K415" s="16" t="b">
        <x:v>0</x:v>
      </x:c>
      <x:c r="L415" s="11" t="n">
        <x:v>0</x:v>
      </x:c>
      <x:c r="M415" s="11" t="n">
        <x:v>0</x:v>
      </x:c>
      <x:c r="N415" s="4"/>
      <x:c r="O415" s="4"/>
      <x:c r="P415" s="11" t="n">
        <x:v>6</x:v>
      </x:c>
      <x:c r="Q415" s="11" t="n">
        <x:v>4</x:v>
      </x:c>
      <x:c r="R415" s="11" t="n">
        <x:f>IF(OR(P415="",Q415=""),"",Q415-P415)</x:f>
        <x:v>-2</x:v>
      </x:c>
      <x:c r="S415" s="13" t="n">
        <x:f>IF(OR(P415="",Q415="",P415=0),"",((Q415/30)/(P415/31))-1)</x:f>
        <x:v>-0.3111111111111111</x:v>
      </x:c>
      <x:c r="T415" s="11" t="n">
        <x:v>1670</x:v>
      </x:c>
      <x:c r="U415" s="11" t="n">
        <x:v>855</x:v>
      </x:c>
      <x:c r="V415" s="14" t="n">
        <x:v>0.004678362573099415</x:v>
      </x:c>
      <x:c r="W415" s="12" t="n">
        <x:v>15.208187134502923</x:v>
      </x:c>
      <x:c r="X415" s="11" t="n">
        <x:v>6</x:v>
      </x:c>
      <x:c r="Y415" s="11" t="n">
        <x:v>5</x:v>
      </x:c>
      <x:c r="Z415" s="4" t="str">
        <x:v>https://blog.skyairline.com/costa-verde/</x:v>
      </x:c>
      <x:c r="AA415" s="4" t="str">
        <x:v>https://blog.skyairline.com/costa-verde/</x:v>
      </x:c>
      <x:c r="AB415" s="4" t="str">
        <x:v>Coincidencia URL</x:v>
      </x:c>
      <x:c r="AC415" s="4" t="str">
        <x:v>Publicado hasta septiembre</x:v>
      </x:c>
      <x:c r="AD415" s="4" t="str">
        <x:v>/costa-verde/</x:v>
      </x:c>
      <x:c r="AE415" s="4"/>
      <x:c r="AF415" s="16" t="b">
        <x:v>0</x:v>
      </x:c>
    </x:row>
    <x:row r="416" ht="44" customHeight="1">
      <x:c r="A416" s="4" t="n">
        <x:v>8296</x:v>
      </x:c>
      <x:c r="B416" s="4" t="str">
        <x:v>https://blog.skyairline.com/playas-de-lima/</x:v>
      </x:c>
      <x:c r="C416" s="9" t="str">
        <x:v>Playas de Lima: Costa Verde, sur chico y cómo llegar volando con SKY</x:v>
      </x:c>
      <x:c r="D416" s="17" t="d">
        <x:v>2026-01-22T00:00:00.000Z</x:v>
      </x:c>
      <x:c r="E416" s="17" t="d">
        <x:v>2026-01-27T00:00:00.000Z</x:v>
      </x:c>
      <x:c r="F416" s="4" t="str">
        <x:v>Destinos</x:v>
      </x:c>
      <x:c r="G416" s="11" t="n">
        <x:v>1088</x:v>
      </x:c>
      <x:c r="H416" s="11" t="n">
        <x:v>200</x:v>
      </x:c>
      <x:c r="I416" s="11" t="n">
        <x:v>1</x:v>
      </x:c>
      <x:c r="J416" s="4" t="str">
        <x:v>https://blog.skyairline.com/playas-de-lima/</x:v>
      </x:c>
      <x:c r="K416" s="16" t="b">
        <x:v>0</x:v>
      </x:c>
      <x:c r="L416" s="11" t="n">
        <x:v>0</x:v>
      </x:c>
      <x:c r="M416" s="11" t="n">
        <x:v>0</x:v>
      </x:c>
      <x:c r="N416" s="4"/>
      <x:c r="O416" s="4"/>
      <x:c r="P416" s="11" t="n">
        <x:v>3</x:v>
      </x:c>
      <x:c r="Q416" s="11" t="n">
        <x:v>4</x:v>
      </x:c>
      <x:c r="R416" s="11" t="n">
        <x:f>IF(OR(P416="",Q416=""),"",Q416-P416)</x:f>
        <x:v>1</x:v>
      </x:c>
      <x:c r="S416" s="13" t="n">
        <x:f>IF(OR(P416="",Q416="",P416=0),"",((Q416/30)/(P416/31))-1)</x:f>
        <x:v>0.37777777777777777</x:v>
      </x:c>
      <x:c r="T416" s="11" t="n">
        <x:v>1303</x:v>
      </x:c>
      <x:c r="U416" s="11" t="n">
        <x:v>837</x:v>
      </x:c>
      <x:c r="V416" s="14" t="n">
        <x:v>0.0047789725209080045</x:v>
      </x:c>
      <x:c r="W416" s="12" t="n">
        <x:v>13.127837514934289</x:v>
      </x:c>
      <x:c r="X416" s="11" t="n">
        <x:v>8</x:v>
      </x:c>
      <x:c r="Y416" s="11" t="n">
        <x:v>9</x:v>
      </x:c>
      <x:c r="Z416" s="4" t="str">
        <x:v>https://blog.skyairline.com/playas-de-lima/</x:v>
      </x:c>
      <x:c r="AA416" s="4" t="str">
        <x:v>https://blog.skyairline.com/playas-de-lima/</x:v>
      </x:c>
      <x:c r="AB416" s="4" t="str">
        <x:v>Coincidencia URL</x:v>
      </x:c>
      <x:c r="AC416" s="4" t="str">
        <x:v>Publicado hasta septiembre</x:v>
      </x:c>
      <x:c r="AD416" s="4" t="str">
        <x:v>/playas-de-lima/</x:v>
      </x:c>
      <x:c r="AE416" s="4"/>
      <x:c r="AF416" s="16" t="b">
        <x:v>0</x:v>
      </x:c>
    </x:row>
    <x:row r="417" ht="44" customHeight="1">
      <x:c r="A417" s="4" t="n">
        <x:v>8301</x:v>
      </x:c>
      <x:c r="B417" s="4" t="str">
        <x:v>https://blog.skyairline.com/asi-viajaron-los-chilenos-en-2025/</x:v>
      </x:c>
      <x:c r="C417" s="9" t="str">
        <x:v>Así viajaron los chilenos en 2025</x:v>
      </x:c>
      <x:c r="D417" s="17" t="d">
        <x:v>2026-02-18T00:00:00.000Z</x:v>
      </x:c>
      <x:c r="E417" s="17" t="d">
        <x:v>2026-02-18T00:00:00.000Z</x:v>
      </x:c>
      <x:c r="F417" s="4" t="str">
        <x:v>Noticias</x:v>
      </x:c>
      <x:c r="G417" s="11" t="n">
        <x:v>154</x:v>
      </x:c>
      <x:c r="H417" s="11" t="n">
        <x:v>200</x:v>
      </x:c>
      <x:c r="I417" s="11" t="n">
        <x:v>1</x:v>
      </x:c>
      <x:c r="J417" s="4" t="str">
        <x:v>https://blog.skyairline.com/asi-viajaron-los-chilenos-en-2025/</x:v>
      </x:c>
      <x:c r="K417" s="16" t="b">
        <x:v>0</x:v>
      </x:c>
      <x:c r="L417" s="11" t="n">
        <x:v>0</x:v>
      </x:c>
      <x:c r="M417" s="11" t="n">
        <x:v>0</x:v>
      </x:c>
      <x:c r="N417" s="4"/>
      <x:c r="O417" s="4"/>
      <x:c r="P417" s="11" t="n">
        <x:v>2</x:v>
      </x:c>
      <x:c r="Q417" s="11" t="n">
        <x:v>4</x:v>
      </x:c>
      <x:c r="R417" s="11" t="n">
        <x:f>IF(OR(P417="",Q417=""),"",Q417-P417)</x:f>
        <x:v>2</x:v>
      </x:c>
      <x:c r="S417" s="13" t="n">
        <x:f>IF(OR(P417="",Q417="",P417=0),"",((Q417/30)/(P417/31))-1)</x:f>
        <x:v>1.0666666666666669</x:v>
      </x:c>
      <x:c r="T417" s="11" t="n">
        <x:v>24</x:v>
      </x:c>
      <x:c r="U417" s="11" t="n">
        <x:v>40</x:v>
      </x:c>
      <x:c r="V417" s="14" t="n">
        <x:v>0.1</x:v>
      </x:c>
      <x:c r="W417" s="12" t="n">
        <x:v>4.2</x:v>
      </x:c>
      <x:c r="X417" s="11" t="n">
        <x:v>3</x:v>
      </x:c>
      <x:c r="Y417" s="11" t="n">
        <x:v>3</x:v>
      </x:c>
      <x:c r="Z417" s="4" t="str">
        <x:v>https://blog.skyairline.com/asi-viajaron-los-chilenos-en-2025/</x:v>
      </x:c>
      <x:c r="AA417" s="4" t="str">
        <x:v>https://blog.skyairline.com/asi-viajaron-los-chilenos-en-2025/</x:v>
      </x:c>
      <x:c r="AB417" s="4" t="str">
        <x:v>Coincidencia URL</x:v>
      </x:c>
      <x:c r="AC417" s="4" t="str">
        <x:v>Publicado hasta septiembre</x:v>
      </x:c>
      <x:c r="AD417" s="4" t="str">
        <x:v>/asi-viajaron-los-chilenos-en-2025/</x:v>
      </x:c>
      <x:c r="AE417" s="4"/>
      <x:c r="AF417" s="16" t="b">
        <x:v>0</x:v>
      </x:c>
    </x:row>
    <x:row r="418" ht="44" customHeight="1">
      <x:c r="A418" s="4" t="n">
        <x:v>8396</x:v>
      </x:c>
      <x:c r="B418" s="4" t="str">
        <x:v>https://blog.skyairline.com/cultura-chavin/</x:v>
      </x:c>
      <x:c r="C418" s="9" t="str">
        <x:v>Cultura Chavín: entiende su legado y cómo sumar Chavín de Huántar a tu ruta por Perú</x:v>
      </x:c>
      <x:c r="D418" s="17" t="d">
        <x:v>2026-03-05T00:00:00.000Z</x:v>
      </x:c>
      <x:c r="E418" s="17" t="d">
        <x:v>2026-03-02T00:00:00.000Z</x:v>
      </x:c>
      <x:c r="F418" s="4" t="str">
        <x:v>Cultura</x:v>
      </x:c>
      <x:c r="G418" s="11" t="n">
        <x:v>981</x:v>
      </x:c>
      <x:c r="H418" s="11" t="n">
        <x:v>200</x:v>
      </x:c>
      <x:c r="I418" s="11" t="n">
        <x:v>1</x:v>
      </x:c>
      <x:c r="J418" s="4" t="str">
        <x:v>https://blog.skyairline.com/cultura-chavin/</x:v>
      </x:c>
      <x:c r="K418" s="16" t="b">
        <x:v>0</x:v>
      </x:c>
      <x:c r="L418" s="11" t="n">
        <x:v>0</x:v>
      </x:c>
      <x:c r="M418" s="11" t="n">
        <x:v>0</x:v>
      </x:c>
      <x:c r="N418" s="4"/>
      <x:c r="O418" s="4"/>
      <x:c r="P418" s="11" t="n">
        <x:v>1</x:v>
      </x:c>
      <x:c r="Q418" s="11" t="n">
        <x:v>4</x:v>
      </x:c>
      <x:c r="R418" s="11" t="n">
        <x:f>IF(OR(P418="",Q418=""),"",Q418-P418)</x:f>
        <x:v>3</x:v>
      </x:c>
      <x:c r="S418" s="13" t="n">
        <x:f>IF(OR(P418="",Q418="",P418=0),"",((Q418/30)/(P418/31))-1)</x:f>
        <x:v>3.1333333333333337</x:v>
      </x:c>
      <x:c r="T418" s="11" t="n">
        <x:v>604</x:v>
      </x:c>
      <x:c r="U418" s="11" t="n">
        <x:v>747</x:v>
      </x:c>
      <x:c r="V418" s="14" t="n">
        <x:v>0.00535475234270415</x:v>
      </x:c>
      <x:c r="W418" s="12" t="n">
        <x:v>4.124497991967871</x:v>
      </x:c>
      <x:c r="X418" s="11" t="n">
        <x:v>3</x:v>
      </x:c>
      <x:c r="Y418" s="11" t="n">
        <x:v>3</x:v>
      </x:c>
      <x:c r="Z418" s="4" t="str">
        <x:v>https://blog.skyairline.com/cultura-chavin/</x:v>
      </x:c>
      <x:c r="AA418" s="4" t="str">
        <x:v>https://blog.skyairline.com/cultura-chavin/</x:v>
      </x:c>
      <x:c r="AB418" s="4" t="str">
        <x:v>Coincidencia URL</x:v>
      </x:c>
      <x:c r="AC418" s="4" t="str">
        <x:v>Publicado hasta septiembre</x:v>
      </x:c>
      <x:c r="AD418" s="4" t="str">
        <x:v>/cultura-chavin/</x:v>
      </x:c>
      <x:c r="AE418" s="4"/>
      <x:c r="AF418" s="16" t="b">
        <x:v>0</x:v>
      </x:c>
    </x:row>
    <x:row r="419" ht="44" customHeight="1">
      <x:c r="A419" s="4" t="n">
        <x:v>8430</x:v>
      </x:c>
      <x:c r="B419" s="4" t="str">
        <x:v>https://blog.skyairline.com/sky-fue-la-aerolinea-mas-puntual-de-latinoamerica-y-se-ubico-en-el-top-5-a-nivel-mundial/</x:v>
      </x:c>
      <x:c r="C419" s="9" t="str">
        <x:v>SKY fue la aerolínea más puntual de Latinoamérica y se ubicó en el Top 5 a nivel mundial</x:v>
      </x:c>
      <x:c r="D419" s="17" t="d">
        <x:v>2026-03-09T00:00:00.000Z</x:v>
      </x:c>
      <x:c r="E419" s="17" t="d">
        <x:v>2026-03-09T00:00:00.000Z</x:v>
      </x:c>
      <x:c r="F419" s="4" t="str">
        <x:v>Noticias</x:v>
      </x:c>
      <x:c r="G419" s="11" t="n">
        <x:v>154</x:v>
      </x:c>
      <x:c r="H419" s="11" t="n">
        <x:v>200</x:v>
      </x:c>
      <x:c r="I419" s="11" t="n">
        <x:v>1</x:v>
      </x:c>
      <x:c r="J419" s="4" t="str">
        <x:v>https://blog.skyairline.com/sky-fue-la-aerolinea-mas-puntual-de-latinoamerica-y-se-ubico-en-el-top-5-a-nivel-mundial/</x:v>
      </x:c>
      <x:c r="K419" s="16" t="b">
        <x:v>0</x:v>
      </x:c>
      <x:c r="L419" s="11" t="n">
        <x:v>0</x:v>
      </x:c>
      <x:c r="M419" s="11" t="n">
        <x:v>0</x:v>
      </x:c>
      <x:c r="N419" s="4"/>
      <x:c r="O419" s="4"/>
      <x:c r="P419" s="11" t="n">
        <x:v>2</x:v>
      </x:c>
      <x:c r="Q419" s="11" t="n">
        <x:v>4</x:v>
      </x:c>
      <x:c r="R419" s="11" t="n">
        <x:f>IF(OR(P419="",Q419=""),"",Q419-P419)</x:f>
        <x:v>2</x:v>
      </x:c>
      <x:c r="S419" s="13" t="n">
        <x:f>IF(OR(P419="",Q419="",P419=0),"",((Q419/30)/(P419/31))-1)</x:f>
        <x:v>1.0666666666666669</x:v>
      </x:c>
      <x:c r="T419" s="11" t="n">
        <x:v>218</x:v>
      </x:c>
      <x:c r="U419" s="11" t="n">
        <x:v>229</x:v>
      </x:c>
      <x:c r="V419" s="14" t="n">
        <x:v>0.017467248908296942</x:v>
      </x:c>
      <x:c r="W419" s="12" t="n">
        <x:v>3.5458515283842793</x:v>
      </x:c>
      <x:c r="X419" s="11" t="n">
        <x:v>5</x:v>
      </x:c>
      <x:c r="Y419" s="11" t="n">
        <x:v>5</x:v>
      </x:c>
      <x:c r="Z419" s="4" t="str">
        <x:v>https://blog.skyairline.com/sky-fue-la-aerolinea-mas-puntual-de-latinoamerica-y-se-ubico-en-el-top-5-a-nivel-mundial/</x:v>
      </x:c>
      <x:c r="AA419" s="4" t="str">
        <x:v>https://blog.skyairline.com/sky-fue-la-aerolinea-mas-puntual-de-latinoamerica-y-se-ubico-en-el-top-5-a-nivel-mundial/</x:v>
      </x:c>
      <x:c r="AB419" s="4" t="str">
        <x:v>Coincidencia URL</x:v>
      </x:c>
      <x:c r="AC419" s="4" t="str">
        <x:v>Publicado hasta septiembre</x:v>
      </x:c>
      <x:c r="AD419" s="4" t="str">
        <x:v>/sky-fue-la-aerolinea-mas-puntual-de-latinoamerica-y-se-ubico-en-el-top-5-a-nivel-mundial/</x:v>
      </x:c>
      <x:c r="AE419" s="4"/>
      <x:c r="AF419" s="16" t="b">
        <x:v>0</x:v>
      </x:c>
    </x:row>
    <x:row r="420" ht="44" customHeight="1">
      <x:c r="A420" s="4" t="n">
        <x:v>8637</x:v>
      </x:c>
      <x:c r="B420" s="4" t="str">
        <x:v>https://blog.skyairline.com/pasajes-brasil-chile/</x:v>
      </x:c>
      <x:c r="C420" s="9" t="str">
        <x:v>Pasajes a Brasil desde Chile: cómo planificar tu viaje y comprar de forma segura</x:v>
      </x:c>
      <x:c r="D420" s="17" t="d">
        <x:v>2026-04-14T00:00:00.000Z</x:v>
      </x:c>
      <x:c r="E420" s="17" t="d">
        <x:v>2026-04-13T00:00:00.000Z</x:v>
      </x:c>
      <x:c r="F420" s="4" t="str">
        <x:v>Planificación de Viaje</x:v>
      </x:c>
      <x:c r="G420" s="11" t="n">
        <x:v>981</x:v>
      </x:c>
      <x:c r="H420" s="11" t="n">
        <x:v>200</x:v>
      </x:c>
      <x:c r="I420" s="11" t="n">
        <x:v>1</x:v>
      </x:c>
      <x:c r="J420" s="4" t="str">
        <x:v>https://blog.skyairline.com/pasajes-brasil-chile/</x:v>
      </x:c>
      <x:c r="K420" s="16" t="b">
        <x:v>0</x:v>
      </x:c>
      <x:c r="L420" s="11" t="n">
        <x:v>0</x:v>
      </x:c>
      <x:c r="M420" s="11" t="n">
        <x:v>0</x:v>
      </x:c>
      <x:c r="N420" s="4"/>
      <x:c r="O420" s="4"/>
      <x:c r="P420" s="11" t="n">
        <x:v>4</x:v>
      </x:c>
      <x:c r="Q420" s="11" t="n">
        <x:v>4</x:v>
      </x:c>
      <x:c r="R420" s="11" t="n">
        <x:f>IF(OR(P420="",Q420=""),"",Q420-P420)</x:f>
        <x:v>0</x:v>
      </x:c>
      <x:c r="S420" s="13" t="n">
        <x:f>IF(OR(P420="",Q420="",P420=0),"",((Q420/30)/(P420/31))-1)</x:f>
        <x:v>0.03333333333333344</x:v>
      </x:c>
      <x:c r="T420" s="11" t="n">
        <x:v>551</x:v>
      </x:c>
      <x:c r="U420" s="11" t="n">
        <x:v>584</x:v>
      </x:c>
      <x:c r="V420" s="14" t="n">
        <x:v>0.00684931506849315</x:v>
      </x:c>
      <x:c r="W420" s="12" t="n">
        <x:v>7.861301369863014</x:v>
      </x:c>
      <x:c r="X420" s="11" t="n">
        <x:v>4</x:v>
      </x:c>
      <x:c r="Y420" s="11" t="n">
        <x:v>4</x:v>
      </x:c>
      <x:c r="Z420" s="4" t="str">
        <x:v>https://blog.skyairline.com/pasajes-brasil-chile/</x:v>
      </x:c>
      <x:c r="AA420" s="4" t="str">
        <x:v>https://blog.skyairline.com/pasajes-brasil-chile/</x:v>
      </x:c>
      <x:c r="AB420" s="4" t="str">
        <x:v>Coincidencia URL</x:v>
      </x:c>
      <x:c r="AC420" s="4" t="str">
        <x:v>Publicado hasta septiembre</x:v>
      </x:c>
      <x:c r="AD420" s="4" t="str">
        <x:v>/pasajes-brasil-chile/</x:v>
      </x:c>
      <x:c r="AE420" s="4"/>
      <x:c r="AF420" s="16" t="b">
        <x:v>0</x:v>
      </x:c>
    </x:row>
    <x:row r="421" ht="44" customHeight="1">
      <x:c r="A421" s="4" t="n">
        <x:v>8702</x:v>
      </x:c>
      <x:c r="B421" s="4" t="str">
        <x:v>https://blog.skyairline.com/sky-fue-la-mas-puntual-de-latinoamerica-en-marzo-de-2026/</x:v>
      </x:c>
      <x:c r="C421" s="9" t="str">
        <x:v>SKY fue la más puntual de Latinoamérica en marzo de 2026</x:v>
      </x:c>
      <x:c r="D421" s="17" t="d">
        <x:v>2026-05-04T00:00:00.000Z</x:v>
      </x:c>
      <x:c r="E421" s="17" t="d">
        <x:v>2026-05-08T00:00:00.000Z</x:v>
      </x:c>
      <x:c r="F421" s="4" t="str">
        <x:v>Noticias</x:v>
      </x:c>
      <x:c r="G421" s="11" t="n">
        <x:v>404</x:v>
      </x:c>
      <x:c r="H421" s="11" t="n">
        <x:v>200</x:v>
      </x:c>
      <x:c r="I421" s="11" t="n">
        <x:v>1</x:v>
      </x:c>
      <x:c r="J421" s="4" t="str">
        <x:v>https://blog.skyairline.com/sky-fue-la-mas-puntual-de-latinoamerica-en-marzo-de-2026/</x:v>
      </x:c>
      <x:c r="K421" s="16" t="b">
        <x:v>0</x:v>
      </x:c>
      <x:c r="L421" s="11" t="n">
        <x:v>0</x:v>
      </x:c>
      <x:c r="M421" s="11" t="n">
        <x:v>0</x:v>
      </x:c>
      <x:c r="N421" s="4"/>
      <x:c r="O421" s="4"/>
      <x:c r="P421" s="11" t="n">
        <x:v>3</x:v>
      </x:c>
      <x:c r="Q421" s="11" t="n">
        <x:v>4</x:v>
      </x:c>
      <x:c r="R421" s="11" t="n">
        <x:f>IF(OR(P421="",Q421=""),"",Q421-P421)</x:f>
        <x:v>1</x:v>
      </x:c>
      <x:c r="S421" s="13" t="n">
        <x:f>IF(OR(P421="",Q421="",P421=0),"",((Q421/30)/(P421/31))-1)</x:f>
        <x:v>0.37777777777777777</x:v>
      </x:c>
      <x:c r="T421" s="11" t="n">
        <x:v>222</x:v>
      </x:c>
      <x:c r="U421" s="11" t="n">
        <x:v>255</x:v>
      </x:c>
      <x:c r="V421" s="14" t="n">
        <x:v>0.01568627450980392</x:v>
      </x:c>
      <x:c r="W421" s="12" t="n">
        <x:v>3.4274509803921567</x:v>
      </x:c>
      <x:c r="X421" s="11" t="n">
        <x:v>6</x:v>
      </x:c>
      <x:c r="Y421" s="11" t="n">
        <x:v>5</x:v>
      </x:c>
      <x:c r="Z421" s="4" t="str">
        <x:v>https://blog.skyairline.com/sky-fue-la-mas-puntual-de-latinoamerica-en-marzo-de-2026/</x:v>
      </x:c>
      <x:c r="AA421" s="4" t="str">
        <x:v>https://blog.skyairline.com/sky-fue-la-mas-puntual-de-latinoamerica-en-marzo-de-2026/</x:v>
      </x:c>
      <x:c r="AB421" s="4" t="str">
        <x:v>Coincidencia URL</x:v>
      </x:c>
      <x:c r="AC421" s="4" t="str">
        <x:v>Publicado hasta septiembre</x:v>
      </x:c>
      <x:c r="AD421" s="4" t="str">
        <x:v>/sky-fue-la-mas-puntual-de-latinoamerica-en-marzo-de-2026/</x:v>
      </x:c>
      <x:c r="AE421" s="4"/>
      <x:c r="AF421" s="16" t="b">
        <x:v>0</x:v>
      </x:c>
    </x:row>
    <x:row r="422" ht="44" customHeight="1">
      <x:c r="A422" s="4" t="n">
        <x:v>8746</x:v>
      </x:c>
      <x:c r="B422" s="4" t="str">
        <x:v>https://blog.skyairline.com/vacuna-fiebre-amarilla/</x:v>
      </x:c>
      <x:c r="C422" s="9" t="str">
        <x:v>¿Los chilenos necesitan vacuna de la fiebre amarilla para viajar a Brasil?</x:v>
      </x:c>
      <x:c r="D422" s="17" t="d">
        <x:v>2026-05-14T00:00:00.000Z</x:v>
      </x:c>
      <x:c r="E422" s="17" t="d">
        <x:v>2026-05-12T00:00:00.000Z</x:v>
      </x:c>
      <x:c r="F422" s="4" t="str">
        <x:v>Planificación de Viaje</x:v>
      </x:c>
      <x:c r="G422" s="11" t="n">
        <x:v>989</x:v>
      </x:c>
      <x:c r="H422" s="11" t="n">
        <x:v>200</x:v>
      </x:c>
      <x:c r="I422" s="11" t="n">
        <x:v>1</x:v>
      </x:c>
      <x:c r="J422" s="4" t="str">
        <x:v>https://blog.skyairline.com/vacuna-fiebre-amarilla/</x:v>
      </x:c>
      <x:c r="K422" s="16" t="b">
        <x:v>0</x:v>
      </x:c>
      <x:c r="L422" s="11" t="n">
        <x:v>0</x:v>
      </x:c>
      <x:c r="M422" s="11" t="n">
        <x:v>0</x:v>
      </x:c>
      <x:c r="N422" s="4"/>
      <x:c r="O422" s="4"/>
      <x:c r="P422" s="11" t="n">
        <x:v>9</x:v>
      </x:c>
      <x:c r="Q422" s="11" t="n">
        <x:v>4</x:v>
      </x:c>
      <x:c r="R422" s="11" t="n">
        <x:f>IF(OR(P422="",Q422=""),"",Q422-P422)</x:f>
        <x:v>-5</x:v>
      </x:c>
      <x:c r="S422" s="13" t="n">
        <x:f>IF(OR(P422="",Q422="",P422=0),"",((Q422/30)/(P422/31))-1)</x:f>
        <x:v>-0.5407407407407407</x:v>
      </x:c>
      <x:c r="T422" s="11" t="n">
        <x:v>880</x:v>
      </x:c>
      <x:c r="U422" s="11" t="n">
        <x:v>653</x:v>
      </x:c>
      <x:c r="V422" s="14" t="n">
        <x:v>0.006125574272588055</x:v>
      </x:c>
      <x:c r="W422" s="12" t="n">
        <x:v>14.053598774885145</x:v>
      </x:c>
      <x:c r="X422" s="11" t="n">
        <x:v>6</x:v>
      </x:c>
      <x:c r="Y422" s="11" t="n">
        <x:v>8</x:v>
      </x:c>
      <x:c r="Z422" s="4" t="str">
        <x:v>https://blog.skyairline.com/vacuna-fiebre-amarilla/</x:v>
      </x:c>
      <x:c r="AA422" s="4" t="str">
        <x:v>https://blog.skyairline.com/vacuna-fiebre-amarilla/</x:v>
      </x:c>
      <x:c r="AB422" s="4" t="str">
        <x:v>Coincidencia URL</x:v>
      </x:c>
      <x:c r="AC422" s="4" t="str">
        <x:v>Publicado hasta septiembre</x:v>
      </x:c>
      <x:c r="AD422" s="4" t="str">
        <x:v>/vacuna-fiebre-amarilla/</x:v>
      </x:c>
      <x:c r="AE422" s="4"/>
      <x:c r="AF422" s="16" t="b">
        <x:v>0</x:v>
      </x:c>
    </x:row>
    <x:row r="423" ht="44" customHeight="1">
      <x:c r="A423" s="4" t="n">
        <x:v>8748</x:v>
      </x:c>
      <x:c r="B423" s="4" t="str">
        <x:v>https://blog.skyairline.com/rio-amazonas/</x:v>
      </x:c>
      <x:c r="C423" s="9" t="str">
        <x:v>Río Amazonas en Perú: ciudades de acceso, experiencias y cómo volar con SKY</x:v>
      </x:c>
      <x:c r="D423" s="17" t="d">
        <x:v>2026-05-15T00:00:00.000Z</x:v>
      </x:c>
      <x:c r="E423" s="17" t="d">
        <x:v>2026-05-12T00:00:00.000Z</x:v>
      </x:c>
      <x:c r="F423" s="4" t="str">
        <x:v>Planificación de Viaje</x:v>
      </x:c>
      <x:c r="G423" s="11" t="n">
        <x:v>1000</x:v>
      </x:c>
      <x:c r="H423" s="11" t="n">
        <x:v>200</x:v>
      </x:c>
      <x:c r="I423" s="11" t="n">
        <x:v>1</x:v>
      </x:c>
      <x:c r="J423" s="4" t="str">
        <x:v>https://blog.skyairline.com/rio-amazonas/</x:v>
      </x:c>
      <x:c r="K423" s="16" t="b">
        <x:v>0</x:v>
      </x:c>
      <x:c r="L423" s="11" t="n">
        <x:v>0</x:v>
      </x:c>
      <x:c r="M423" s="11" t="n">
        <x:v>0</x:v>
      </x:c>
      <x:c r="N423" s="4"/>
      <x:c r="O423" s="4"/>
      <x:c r="P423" s="11" t="n">
        <x:v>0</x:v>
      </x:c>
      <x:c r="Q423" s="11" t="n">
        <x:v>4</x:v>
      </x:c>
      <x:c r="R423" s="11" t="str">
        <x:f>IF(OR(P423="",Q423=""),"",Q423-P423)</x:f>
      </x:c>
      <x:c r="S423" s="13" t="str">
        <x:f>IF(OR(P423="",Q423="",P423=0),"",((Q423/30)/(P423/31))-1)</x:f>
      </x:c>
      <x:c r="T423" s="11" t="n">
        <x:v>380</x:v>
      </x:c>
      <x:c r="U423" s="11" t="n">
        <x:v>580</x:v>
      </x:c>
      <x:c r="V423" s="14" t="n">
        <x:v>0.006896551724137931</x:v>
      </x:c>
      <x:c r="W423" s="12" t="n">
        <x:v>10.610344827586207</x:v>
      </x:c>
      <x:c r="X423" s="11" t="n">
        <x:v>4</x:v>
      </x:c>
      <x:c r="Y423" s="11" t="n">
        <x:v>3</x:v>
      </x:c>
      <x:c r="Z423" s="4" t="str">
        <x:v>https://blog.skyairline.com/rio-amazonas/</x:v>
      </x:c>
      <x:c r="AA423" s="4" t="str">
        <x:v>https://blog.skyairline.com/rio-amazonas/</x:v>
      </x:c>
      <x:c r="AB423" s="4" t="str">
        <x:v>Coincidencia URL</x:v>
      </x:c>
      <x:c r="AC423" s="4" t="str">
        <x:v>Publicado hasta septiembre</x:v>
      </x:c>
      <x:c r="AD423" s="4" t="str">
        <x:v>/rio-amazonas/</x:v>
      </x:c>
      <x:c r="AE423" s="4"/>
      <x:c r="AF423" s="16" t="b">
        <x:v>0</x:v>
      </x:c>
    </x:row>
    <x:row r="424" ht="44" customHeight="1">
      <x:c r="A424" s="4" t="n">
        <x:v>8817</x:v>
      </x:c>
      <x:c r="B424" s="4" t="str">
        <x:v>https://blog.skyairline.com/dunas-chile/</x:v>
      </x:c>
      <x:c r="C424" s="9" t="str">
        <x:v>5 mejores dunas de Chile para practicar deporte de aventura</x:v>
      </x:c>
      <x:c r="D424" s="17" t="d">
        <x:v>2026-06-05T00:00:00.000Z</x:v>
      </x:c>
      <x:c r="E424" s="17" t="d">
        <x:v>2026-05-27T00:00:00.000Z</x:v>
      </x:c>
      <x:c r="F424" s="4" t="str">
        <x:v>Cultura</x:v>
      </x:c>
      <x:c r="G424" s="11" t="n">
        <x:v>1019</x:v>
      </x:c>
      <x:c r="H424" s="11" t="n">
        <x:v>200</x:v>
      </x:c>
      <x:c r="I424" s="11" t="n">
        <x:v>1</x:v>
      </x:c>
      <x:c r="J424" s="4" t="str">
        <x:v>https://blog.skyairline.com/dunas-chile/</x:v>
      </x:c>
      <x:c r="K424" s="16" t="b">
        <x:v>0</x:v>
      </x:c>
      <x:c r="L424" s="11" t="n">
        <x:v>0</x:v>
      </x:c>
      <x:c r="M424" s="11" t="n">
        <x:v>0</x:v>
      </x:c>
      <x:c r="N424" s="4"/>
      <x:c r="O424" s="4"/>
      <x:c r="P424" s="11" t="n">
        <x:v>2</x:v>
      </x:c>
      <x:c r="Q424" s="11" t="n">
        <x:v>4</x:v>
      </x:c>
      <x:c r="R424" s="11" t="n">
        <x:f>IF(OR(P424="",Q424=""),"",Q424-P424)</x:f>
        <x:v>2</x:v>
      </x:c>
      <x:c r="S424" s="13" t="n">
        <x:f>IF(OR(P424="",Q424="",P424=0),"",((Q424/30)/(P424/31))-1)</x:f>
        <x:v>1.0666666666666669</x:v>
      </x:c>
      <x:c r="T424" s="11" t="n">
        <x:v>799</x:v>
      </x:c>
      <x:c r="U424" s="11" t="n">
        <x:v>644</x:v>
      </x:c>
      <x:c r="V424" s="14" t="n">
        <x:v>0.006211180124223602</x:v>
      </x:c>
      <x:c r="W424" s="12" t="n">
        <x:v>7.290372670807454</x:v>
      </x:c>
      <x:c r="X424" s="11" t="n">
        <x:v>3</x:v>
      </x:c>
      <x:c r="Y424" s="11" t="n">
        <x:v>4</x:v>
      </x:c>
      <x:c r="Z424" s="4" t="str">
        <x:v>https://blog.skyairline.com/dunas-chile/</x:v>
      </x:c>
      <x:c r="AA424" s="4" t="str">
        <x:v>https://blog.skyairline.com/dunas-chile/</x:v>
      </x:c>
      <x:c r="AB424" s="4" t="str">
        <x:v>Coincidencia URL</x:v>
      </x:c>
      <x:c r="AC424" s="4" t="str">
        <x:v>Publicado hasta septiembre</x:v>
      </x:c>
      <x:c r="AD424" s="4" t="str">
        <x:v>/dunas-chile/</x:v>
      </x:c>
      <x:c r="AE424" s="4"/>
      <x:c r="AF424" s="16" t="b">
        <x:v>0</x:v>
      </x:c>
    </x:row>
    <x:row r="425" ht="44" customHeight="1">
      <x:c r="A425" s="4" t="n">
        <x:v>8844</x:v>
      </x:c>
      <x:c r="B425" s="4" t="str">
        <x:v>https://blog.skyairline.com/sky-renueva-compromiso-para-impulsar-la-participacion-femenina-en-la-aviacion/</x:v>
      </x:c>
      <x:c r="C425" s="9" t="str">
        <x:v>SKY impulsa la participación femenina en el rubro</x:v>
      </x:c>
      <x:c r="D425" s="17" t="d">
        <x:v>2026-06-02T00:00:00.000Z</x:v>
      </x:c>
      <x:c r="E425" s="17" t="d">
        <x:v>2026-06-04T00:00:00.000Z</x:v>
      </x:c>
      <x:c r="F425" s="4" t="str">
        <x:v>Noticias</x:v>
      </x:c>
      <x:c r="G425" s="11" t="n">
        <x:v>180</x:v>
      </x:c>
      <x:c r="H425" s="11" t="n">
        <x:v>200</x:v>
      </x:c>
      <x:c r="I425" s="11" t="n">
        <x:v>1</x:v>
      </x:c>
      <x:c r="J425" s="4" t="str">
        <x:v>https://blog.skyairline.com/sky-renueva-compromiso-para-impulsar-la-participacion-femenina-en-la-aviacion/</x:v>
      </x:c>
      <x:c r="K425" s="16" t="b">
        <x:v>0</x:v>
      </x:c>
      <x:c r="L425" s="11" t="n">
        <x:v>0</x:v>
      </x:c>
      <x:c r="M425" s="11" t="n">
        <x:v>0</x:v>
      </x:c>
      <x:c r="N425" s="4"/>
      <x:c r="O425" s="4"/>
      <x:c r="P425" s="11" t="n">
        <x:v>2</x:v>
      </x:c>
      <x:c r="Q425" s="11" t="n">
        <x:v>4</x:v>
      </x:c>
      <x:c r="R425" s="11" t="n">
        <x:f>IF(OR(P425="",Q425=""),"",Q425-P425)</x:f>
        <x:v>2</x:v>
      </x:c>
      <x:c r="S425" s="13" t="n">
        <x:f>IF(OR(P425="",Q425="",P425=0),"",((Q425/30)/(P425/31))-1)</x:f>
        <x:v>1.0666666666666669</x:v>
      </x:c>
      <x:c r="T425" s="11" t="n">
        <x:v>42</x:v>
      </x:c>
      <x:c r="U425" s="11" t="n">
        <x:v>79</x:v>
      </x:c>
      <x:c r="V425" s="14" t="n">
        <x:v>0.05063291139240506</x:v>
      </x:c>
      <x:c r="W425" s="12" t="n">
        <x:v>4.3544303797468356</x:v>
      </x:c>
      <x:c r="X425" s="11" t="n">
        <x:v>3</x:v>
      </x:c>
      <x:c r="Y425" s="11" t="n">
        <x:v>4</x:v>
      </x:c>
      <x:c r="Z425" s="4" t="str">
        <x:v>https://blog.skyairline.com/sky-renueva-compromiso-para-impulsar-la-participacion-femenina-en-la-aviacion/</x:v>
      </x:c>
      <x:c r="AA425" s="4" t="str">
        <x:v>https://blog.skyairline.com/sky-renueva-compromiso-para-impulsar-la-participacion-femenina-en-la-aviacion/</x:v>
      </x:c>
      <x:c r="AB425" s="4" t="str">
        <x:v>Coincidencia URL</x:v>
      </x:c>
      <x:c r="AC425" s="4" t="str">
        <x:v>Publicado hasta septiembre</x:v>
      </x:c>
      <x:c r="AD425" s="4" t="str">
        <x:v>/sky-renueva-compromiso-para-impulsar-la-participacion-femenina-en-la-aviacion/</x:v>
      </x:c>
      <x:c r="AE425" s="4"/>
      <x:c r="AF425" s="16" t="b">
        <x:v>0</x:v>
      </x:c>
    </x:row>
    <x:row r="426" ht="44" customHeight="1">
      <x:c r="A426" s="4" t="n">
        <x:v>8846</x:v>
      </x:c>
      <x:c r="B426" s="4" t="str">
        <x:v>https://blog.skyairline.com/sky-consolida-su-crecimiento-con-avances-en-sostenibilidad-puntualidad-e-inclusion-2/</x:v>
      </x:c>
      <x:c r="C426" s="9" t="str">
        <x:v>SKY consolida su crecimiento con avances en sostenibilidad, puntualidad e inclusión</x:v>
      </x:c>
      <x:c r="D426" s="17" t="d">
        <x:v>2026-06-02T00:00:00.000Z</x:v>
      </x:c>
      <x:c r="E426" s="17" t="d">
        <x:v>2026-06-02T00:00:00.000Z</x:v>
      </x:c>
      <x:c r="F426" s="4" t="str">
        <x:v>Noticias</x:v>
      </x:c>
      <x:c r="G426" s="11" t="n">
        <x:v>210</x:v>
      </x:c>
      <x:c r="H426" s="11" t="n">
        <x:v>200</x:v>
      </x:c>
      <x:c r="I426" s="11" t="n">
        <x:v>1</x:v>
      </x:c>
      <x:c r="J426" s="4" t="str">
        <x:v>https://blog.skyairline.com/sky-consolida-su-crecimiento-con-avances-en-sostenibilidad-puntualidad-e-inclusion-2/</x:v>
      </x:c>
      <x:c r="K426" s="16" t="b">
        <x:v>0</x:v>
      </x:c>
      <x:c r="L426" s="11" t="n">
        <x:v>0</x:v>
      </x:c>
      <x:c r="M426" s="11" t="n">
        <x:v>0</x:v>
      </x:c>
      <x:c r="N426" s="4" t="str">
        <x:v>T01</x:v>
      </x:c>
      <x:c r="O426" s="4"/>
      <x:c r="P426" s="11" t="n">
        <x:v>4</x:v>
      </x:c>
      <x:c r="Q426" s="11" t="n">
        <x:v>4</x:v>
      </x:c>
      <x:c r="R426" s="11" t="n">
        <x:f>IF(OR(P426="",Q426=""),"",Q426-P426)</x:f>
        <x:v>0</x:v>
      </x:c>
      <x:c r="S426" s="13" t="n">
        <x:f>IF(OR(P426="",Q426="",P426=0),"",((Q426/30)/(P426/31))-1)</x:f>
        <x:v>0.03333333333333344</x:v>
      </x:c>
      <x:c r="T426" s="11" t="n">
        <x:v>75</x:v>
      </x:c>
      <x:c r="U426" s="11" t="n">
        <x:v>97</x:v>
      </x:c>
      <x:c r="V426" s="14" t="n">
        <x:v>0.041237113402061855</x:v>
      </x:c>
      <x:c r="W426" s="12" t="n">
        <x:v>5.103092783505154</x:v>
      </x:c>
      <x:c r="X426" s="11" t="n">
        <x:v>6</x:v>
      </x:c>
      <x:c r="Y426" s="11" t="n">
        <x:v>6</x:v>
      </x:c>
      <x:c r="Z426" s="4" t="str">
        <x:v>https://blog.skyairline.com/sky-consolida-su-crecimiento-con-avances-en-sostenibilidad-puntualidad-e-inclusion-2/</x:v>
      </x:c>
      <x:c r="AA426" s="4" t="str">
        <x:v>https://blog.skyairline.com/sky-consolida-su-crecimiento-con-avances-en-sostenibilidad-puntualidad-e-inclusion-2/</x:v>
      </x:c>
      <x:c r="AB426" s="4" t="str">
        <x:v>Coincidencia URL</x:v>
      </x:c>
      <x:c r="AC426" s="4" t="str">
        <x:v>Publicado hasta septiembre</x:v>
      </x:c>
      <x:c r="AD426" s="4" t="str">
        <x:v>/sky-consolida-su-crecimiento-con-avances-en-sostenibilidad-puntualidad-e-inclusion-2/</x:v>
      </x:c>
      <x:c r="AE426" s="4"/>
      <x:c r="AF426" s="16" t="b">
        <x:v>0</x:v>
      </x:c>
    </x:row>
    <x:row r="427" ht="44" customHeight="1">
      <x:c r="A427" s="4" t="n">
        <x:v>9085</x:v>
      </x:c>
      <x:c r="B427" s="4" t="str">
        <x:v>https://blog.skyairline.com/santa-catarina/</x:v>
      </x:c>
      <x:c r="C427" s="9" t="str">
        <x:v>Santa Catarina: un estado brasileño con playas paradisíacas, tradición europea y sierras</x:v>
      </x:c>
      <x:c r="D427" s="17" t="d">
        <x:v>2026-08-03T00:00:00.000Z</x:v>
      </x:c>
      <x:c r="E427" s="17" t="d">
        <x:v>2026-07-30T00:00:00.000Z</x:v>
      </x:c>
      <x:c r="F427" s="4" t="str">
        <x:v>Destinos</x:v>
      </x:c>
      <x:c r="G427" s="11" t="n">
        <x:v>982</x:v>
      </x:c>
      <x:c r="H427" s="11" t="n">
        <x:v>200</x:v>
      </x:c>
      <x:c r="I427" s="11" t="n">
        <x:v>1</x:v>
      </x:c>
      <x:c r="J427" s="4" t="str">
        <x:v>https://blog.skyairline.com/santa-catarina/</x:v>
      </x:c>
      <x:c r="K427" s="16" t="b">
        <x:v>0</x:v>
      </x:c>
      <x:c r="L427" s="11" t="n">
        <x:v>0</x:v>
      </x:c>
      <x:c r="M427" s="11" t="n">
        <x:v>0</x:v>
      </x:c>
      <x:c r="N427" s="4"/>
      <x:c r="O427" s="4"/>
      <x:c r="P427" s="11" t="n">
        <x:v>5</x:v>
      </x:c>
      <x:c r="Q427" s="11" t="n">
        <x:v>4</x:v>
      </x:c>
      <x:c r="R427" s="11" t="n">
        <x:f>IF(OR(P427="",Q427=""),"",Q427-P427)</x:f>
        <x:v>-1</x:v>
      </x:c>
      <x:c r="S427" s="13" t="n">
        <x:f>IF(OR(P427="",Q427="",P427=0),"",((Q427/30)/(P427/31))-1)</x:f>
        <x:v>-0.17333333333333334</x:v>
      </x:c>
      <x:c r="T427" s="11" t="n">
        <x:v>850</x:v>
      </x:c>
      <x:c r="U427" s="11" t="n">
        <x:v>1234</x:v>
      </x:c>
      <x:c r="V427" s="14" t="n">
        <x:v>0.0032414910858995136</x:v>
      </x:c>
      <x:c r="W427" s="12" t="n">
        <x:v>11.545380875202593</x:v>
      </x:c>
      <x:c r="X427" s="11" t="n">
        <x:v>5</x:v>
      </x:c>
      <x:c r="Y427" s="11" t="n">
        <x:v>8</x:v>
      </x:c>
      <x:c r="Z427" s="4" t="str">
        <x:v>https://blog.skyairline.com/santa-catarina/</x:v>
      </x:c>
      <x:c r="AA427" s="4" t="str">
        <x:v>https://blog.skyairline.com/santa-catarina/</x:v>
      </x:c>
      <x:c r="AB427" s="4" t="str">
        <x:v>Coincidencia URL</x:v>
      </x:c>
      <x:c r="AC427" s="4" t="str">
        <x:v>Publicado hasta septiembre</x:v>
      </x:c>
      <x:c r="AD427" s="4" t="str">
        <x:v>/santa-catarina/</x:v>
      </x:c>
      <x:c r="AE427" s="4"/>
      <x:c r="AF427" s="16" t="b">
        <x:v>0</x:v>
      </x:c>
    </x:row>
    <x:row r="428" ht="44" customHeight="1">
      <x:c r="A428" s="4" t="n">
        <x:v>9155</x:v>
      </x:c>
      <x:c r="B428" s="4" t="str">
        <x:v>https://blog.skyairline.com/desayunos-peruanos/</x:v>
      </x:c>
      <x:c r="C428" s="9" t="str">
        <x:v>Desayunos peruanos, comenzar el día con tradición</x:v>
      </x:c>
      <x:c r="D428" s="17" t="d">
        <x:v>2026-08-12T00:00:00.000Z</x:v>
      </x:c>
      <x:c r="E428" s="17" t="d">
        <x:v>2026-08-11T00:00:00.000Z</x:v>
      </x:c>
      <x:c r="F428" s="4" t="str">
        <x:v>Cultura</x:v>
      </x:c>
      <x:c r="G428" s="11" t="n">
        <x:v>1008</x:v>
      </x:c>
      <x:c r="H428" s="11" t="n">
        <x:v>200</x:v>
      </x:c>
      <x:c r="I428" s="11" t="n">
        <x:v>1</x:v>
      </x:c>
      <x:c r="J428" s="4" t="str">
        <x:v>https://blog.skyairline.com/desayunos-peruanos/</x:v>
      </x:c>
      <x:c r="K428" s="16" t="b">
        <x:v>0</x:v>
      </x:c>
      <x:c r="L428" s="11" t="n">
        <x:v>0</x:v>
      </x:c>
      <x:c r="M428" s="11" t="n">
        <x:v>0</x:v>
      </x:c>
      <x:c r="N428" s="4"/>
      <x:c r="O428" s="4"/>
      <x:c r="P428" s="11" t="n">
        <x:v>2</x:v>
      </x:c>
      <x:c r="Q428" s="11" t="n">
        <x:v>4</x:v>
      </x:c>
      <x:c r="R428" s="11" t="n">
        <x:f>IF(OR(P428="",Q428=""),"",Q428-P428)</x:f>
        <x:v>2</x:v>
      </x:c>
      <x:c r="S428" s="13" t="n">
        <x:f>IF(OR(P428="",Q428="",P428=0),"",((Q428/30)/(P428/31))-1)</x:f>
        <x:v>1.0666666666666669</x:v>
      </x:c>
      <x:c r="T428" s="11" t="n">
        <x:v>1171</x:v>
      </x:c>
      <x:c r="U428" s="11" t="n">
        <x:v>969</x:v>
      </x:c>
      <x:c r="V428" s="14" t="n">
        <x:v>0.0041279669762641896</x:v>
      </x:c>
      <x:c r="W428" s="12" t="n">
        <x:v>9.538699690402476</x:v>
      </x:c>
      <x:c r="X428" s="11" t="n">
        <x:v>4</x:v>
      </x:c>
      <x:c r="Y428" s="11" t="n">
        <x:v>4</x:v>
      </x:c>
      <x:c r="Z428" s="4" t="str">
        <x:v>https://blog.skyairline.com/desayunos-peruanos/</x:v>
      </x:c>
      <x:c r="AA428" s="4" t="str">
        <x:v>https://blog.skyairline.com/desayunos-peruanos/</x:v>
      </x:c>
      <x:c r="AB428" s="4" t="str">
        <x:v>Coincidencia URL</x:v>
      </x:c>
      <x:c r="AC428" s="4" t="str">
        <x:v>Publicado hasta septiembre</x:v>
      </x:c>
      <x:c r="AD428" s="4" t="str">
        <x:v>/desayunos-peruanos/</x:v>
      </x:c>
      <x:c r="AE428" s="4"/>
      <x:c r="AF428" s="16" t="b">
        <x:v>0</x:v>
      </x:c>
    </x:row>
    <x:row r="429" ht="44" customHeight="1">
      <x:c r="A429" s="4" t="n">
        <x:v>9207</x:v>
      </x:c>
      <x:c r="B429" s="4" t="str">
        <x:v>https://blog.skyairline.com/mas-viajes-mas-peru-promovera-el-turismo-desde-chile-hacia-peru/</x:v>
      </x:c>
      <x:c r="C429" s="9" t="str">
        <x:v>“Más viajes, más Perú” promoverá el turismo desde Chile hacia Perú</x:v>
      </x:c>
      <x:c r="D429" s="17" t="d">
        <x:v>2026-08-31T00:00:00.000Z</x:v>
      </x:c>
      <x:c r="E429" s="17" t="d">
        <x:v>2026-08-31T00:00:00.000Z</x:v>
      </x:c>
      <x:c r="F429" s="4" t="str">
        <x:v>Noticias</x:v>
      </x:c>
      <x:c r="G429" s="11" t="n">
        <x:v>174</x:v>
      </x:c>
      <x:c r="H429" s="11" t="n">
        <x:v>200</x:v>
      </x:c>
      <x:c r="I429" s="11" t="n">
        <x:v>1</x:v>
      </x:c>
      <x:c r="J429" s="4" t="str">
        <x:v>https://blog.skyairline.com/mas-viajes-mas-peru-promovera-el-turismo-desde-chile-hacia-peru/</x:v>
      </x:c>
      <x:c r="K429" s="16" t="b">
        <x:v>0</x:v>
      </x:c>
      <x:c r="L429" s="11" t="n">
        <x:v>0</x:v>
      </x:c>
      <x:c r="M429" s="11" t="n">
        <x:v>0</x:v>
      </x:c>
      <x:c r="N429" s="4"/>
      <x:c r="O429" s="4"/>
      <x:c r="P429" s="11" t="n">
        <x:v>0</x:v>
      </x:c>
      <x:c r="Q429" s="11" t="n">
        <x:v>4</x:v>
      </x:c>
      <x:c r="R429" s="11" t="str">
        <x:f>IF(OR(P429="",Q429=""),"",Q429-P429)</x:f>
      </x:c>
      <x:c r="S429" s="13" t="str">
        <x:f>IF(OR(P429="",Q429="",P429=0),"",((Q429/30)/(P429/31))-1)</x:f>
      </x:c>
      <x:c r="T429" s="11" t="n">
        <x:v>5</x:v>
      </x:c>
      <x:c r="U429" s="11" t="n">
        <x:v>29</x:v>
      </x:c>
      <x:c r="V429" s="14" t="n">
        <x:v>0.13793103448275862</x:v>
      </x:c>
      <x:c r="W429" s="12" t="n">
        <x:v>5.896551724137931</x:v>
      </x:c>
      <x:c r="X429" s="11" t="n">
        <x:v>6</x:v>
      </x:c>
      <x:c r="Y429" s="11" t="n">
        <x:v>7</x:v>
      </x:c>
      <x:c r="Z429" s="4" t="str">
        <x:v>https://blog.skyairline.com/mas-viajes-mas-peru-promovera-el-turismo-desde-chile-hacia-peru/</x:v>
      </x:c>
      <x:c r="AA429" s="4" t="str">
        <x:v>https://blog.skyairline.com/mas-viajes-mas-peru-promovera-el-turismo-desde-chile-hacia-peru/</x:v>
      </x:c>
      <x:c r="AB429" s="4" t="str">
        <x:v>Coincidencia URL</x:v>
      </x:c>
      <x:c r="AC429" s="4" t="str">
        <x:v>Publicado hasta septiembre</x:v>
      </x:c>
      <x:c r="AD429" s="4" t="str">
        <x:v>/mas-viajes-mas-peru-promovera-el-turismo-desde-chile-hacia-peru/</x:v>
      </x:c>
      <x:c r="AE429" s="4"/>
      <x:c r="AF429" s="16" t="b">
        <x:v>0</x:v>
      </x:c>
    </x:row>
    <x:row r="430" ht="44" customHeight="1">
      <x:c r="A430" s="4" t="n">
        <x:v>9279</x:v>
      </x:c>
      <x:c r="B430" s="4" t="str">
        <x:v>https://blog.skyairline.com/feijoada/</x:v>
      </x:c>
      <x:c r="C430" s="9" t="str">
        <x:v>Feijoada: secretos de uno de los principales platos de Brasil</x:v>
      </x:c>
      <x:c r="D430" s="17" t="d">
        <x:v>2026-09-14T00:00:00.000Z</x:v>
      </x:c>
      <x:c r="E430" s="17" t="d">
        <x:v>2026-09-09T00:00:00.000Z</x:v>
      </x:c>
      <x:c r="F430" s="4" t="str">
        <x:v>Cultura</x:v>
      </x:c>
      <x:c r="G430" s="11" t="n">
        <x:v>985</x:v>
      </x:c>
      <x:c r="H430" s="11" t="n">
        <x:v>200</x:v>
      </x:c>
      <x:c r="I430" s="11" t="n">
        <x:v>1</x:v>
      </x:c>
      <x:c r="J430" s="4" t="str">
        <x:v>https://blog.skyairline.com/feijoada/</x:v>
      </x:c>
      <x:c r="K430" s="16" t="b">
        <x:v>0</x:v>
      </x:c>
      <x:c r="L430" s="11" t="n">
        <x:v>0</x:v>
      </x:c>
      <x:c r="M430" s="11" t="n">
        <x:v>0</x:v>
      </x:c>
      <x:c r="N430" s="4"/>
      <x:c r="O430" s="4"/>
      <x:c r="P430" s="11"/>
      <x:c r="Q430" s="11" t="n">
        <x:v>4</x:v>
      </x:c>
      <x:c r="R430" s="11" t="str">
        <x:f>IF(OR(P430="",Q430=""),"",Q430-P430)</x:f>
      </x:c>
      <x:c r="S430" s="13" t="str">
        <x:f>IF(OR(P430="",Q430="",P430=0),"",((Q430/30)/(P430/31))-1)</x:f>
      </x:c>
      <x:c r="T430" s="11"/>
      <x:c r="U430" s="11" t="n">
        <x:v>459</x:v>
      </x:c>
      <x:c r="V430" s="14" t="n">
        <x:v>0.008714596949891068</x:v>
      </x:c>
      <x:c r="W430" s="12" t="n">
        <x:v>7.050108932461874</x:v>
      </x:c>
      <x:c r="X430" s="11" t="n">
        <x:v>2</x:v>
      </x:c>
      <x:c r="Y430" s="11" t="n">
        <x:v>3</x:v>
      </x:c>
      <x:c r="Z430" s="4"/>
      <x:c r="AA430" s="4" t="str">
        <x:v>https://blog.skyairline.com/feijoada/</x:v>
      </x:c>
      <x:c r="AB430" s="4" t="str">
        <x:v>Coincidencia URL</x:v>
      </x:c>
      <x:c r="AC430" s="4" t="str">
        <x:v>Publicado hasta septiembre</x:v>
      </x:c>
      <x:c r="AD430" s="4" t="str">
        <x:v>/feijoada/</x:v>
      </x:c>
      <x:c r="AE430" s="4"/>
      <x:c r="AF430" s="16" t="b">
        <x:v>0</x:v>
      </x:c>
    </x:row>
    <x:row r="431" ht="44" customHeight="1">
      <x:c r="A431" s="4" t="n">
        <x:v>26</x:v>
      </x:c>
      <x:c r="B431" s="4" t="str">
        <x:v>https://blog.skyairline.com/aerolineas-low-cost/</x:v>
      </x:c>
      <x:c r="C431" s="9" t="str">
        <x:v>Aerolíneas low cost: ¿Cómo logran que el cielo sea para todos?</x:v>
      </x:c>
      <x:c r="D431" s="17" t="d">
        <x:v>2022-02-02T00:00:00.000Z</x:v>
      </x:c>
      <x:c r="E431" s="17" t="d">
        <x:v>2022-02-02T00:00:00.000Z</x:v>
      </x:c>
      <x:c r="F431" s="4" t="str">
        <x:v>Planificación de Viaje</x:v>
      </x:c>
      <x:c r="G431" s="11" t="n">
        <x:v>1918</x:v>
      </x:c>
      <x:c r="H431" s="11" t="n">
        <x:v>200</x:v>
      </x:c>
      <x:c r="I431" s="11" t="n">
        <x:v>1</x:v>
      </x:c>
      <x:c r="J431" s="4" t="str">
        <x:v>https://blog.skyairline.com/aerolineas-low-cost/</x:v>
      </x:c>
      <x:c r="K431" s="16" t="b">
        <x:v>0</x:v>
      </x:c>
      <x:c r="L431" s="11" t="n">
        <x:v>0</x:v>
      </x:c>
      <x:c r="M431" s="11" t="n">
        <x:v>5</x:v>
      </x:c>
      <x:c r="N431" s="4"/>
      <x:c r="O431" s="4"/>
      <x:c r="P431" s="11" t="n">
        <x:v>0</x:v>
      </x:c>
      <x:c r="Q431" s="11" t="n">
        <x:v>3</x:v>
      </x:c>
      <x:c r="R431" s="11" t="str">
        <x:f>IF(OR(P431="",Q431=""),"",Q431-P431)</x:f>
      </x:c>
      <x:c r="S431" s="13" t="str">
        <x:f>IF(OR(P431="",Q431="",P431=0),"",((Q431/30)/(P431/31))-1)</x:f>
      </x:c>
      <x:c r="T431" s="11" t="n">
        <x:v>776</x:v>
      </x:c>
      <x:c r="U431" s="11" t="n">
        <x:v>576</x:v>
      </x:c>
      <x:c r="V431" s="14" t="n">
        <x:v>0.005208333333333333</x:v>
      </x:c>
      <x:c r="W431" s="12" t="n">
        <x:v>8.354166666666668</x:v>
      </x:c>
      <x:c r="X431" s="11" t="n">
        <x:v>11</x:v>
      </x:c>
      <x:c r="Y431" s="11" t="n">
        <x:v>12</x:v>
      </x:c>
      <x:c r="Z431" s="4" t="str">
        <x:v>https://blog.skyairline.com/aerolineas-low-cost/</x:v>
      </x:c>
      <x:c r="AA431" s="4" t="str">
        <x:v>https://blog.skyairline.com/aerolineas-low-cost/</x:v>
      </x:c>
      <x:c r="AB431" s="4" t="str">
        <x:v>Coincidencia URL</x:v>
      </x:c>
      <x:c r="AC431" s="4" t="str">
        <x:v>Publicado hasta septiembre</x:v>
      </x:c>
      <x:c r="AD431" s="4" t="str">
        <x:v>/aerolineas-low-cost/</x:v>
      </x:c>
      <x:c r="AE431" s="4"/>
      <x:c r="AF431" s="16" t="b">
        <x:v>0</x:v>
      </x:c>
    </x:row>
    <x:row r="432" ht="44" customHeight="1">
      <x:c r="A432" s="4" t="n">
        <x:v>116</x:v>
      </x:c>
      <x:c r="B432" s="4" t="str">
        <x:v>https://blog.skyairline.com/gastronomia-peruana/</x:v>
      </x:c>
      <x:c r="C432" s="9" t="str">
        <x:v>Gastronomía peruana: guía 2026 para entenderla y disfrutarla en tu viaje</x:v>
      </x:c>
      <x:c r="D432" s="17" t="d">
        <x:v>2026-03-27T00:00:00.000Z</x:v>
      </x:c>
      <x:c r="E432" s="17" t="d">
        <x:v>2026-03-27T00:00:00.000Z</x:v>
      </x:c>
      <x:c r="F432" s="4" t="str">
        <x:v>Cultura</x:v>
      </x:c>
      <x:c r="G432" s="11" t="n">
        <x:v>1035</x:v>
      </x:c>
      <x:c r="H432" s="11" t="n">
        <x:v>200</x:v>
      </x:c>
      <x:c r="I432" s="11" t="n">
        <x:v>1</x:v>
      </x:c>
      <x:c r="J432" s="4" t="str">
        <x:v>https://blog.skyairline.com/gastronomia-peruana/</x:v>
      </x:c>
      <x:c r="K432" s="16" t="b">
        <x:v>0</x:v>
      </x:c>
      <x:c r="L432" s="11" t="n">
        <x:v>0</x:v>
      </x:c>
      <x:c r="M432" s="11" t="n">
        <x:v>0</x:v>
      </x:c>
      <x:c r="N432" s="4"/>
      <x:c r="O432" s="4"/>
      <x:c r="P432" s="11" t="n">
        <x:v>2</x:v>
      </x:c>
      <x:c r="Q432" s="11" t="n">
        <x:v>3</x:v>
      </x:c>
      <x:c r="R432" s="11" t="n">
        <x:f>IF(OR(P432="",Q432=""),"",Q432-P432)</x:f>
        <x:v>1</x:v>
      </x:c>
      <x:c r="S432" s="13" t="n">
        <x:f>IF(OR(P432="",Q432="",P432=0),"",((Q432/30)/(P432/31))-1)</x:f>
        <x:v>0.55</x:v>
      </x:c>
      <x:c r="T432" s="11" t="n">
        <x:v>1079</x:v>
      </x:c>
      <x:c r="U432" s="11" t="n">
        <x:v>706</x:v>
      </x:c>
      <x:c r="V432" s="14" t="n">
        <x:v>0.00424929178470255</x:v>
      </x:c>
      <x:c r="W432" s="12" t="n">
        <x:v>14.594900849858357</x:v>
      </x:c>
      <x:c r="X432" s="11" t="n">
        <x:v>4</x:v>
      </x:c>
      <x:c r="Y432" s="11" t="n">
        <x:v>8</x:v>
      </x:c>
      <x:c r="Z432" s="4" t="str">
        <x:v>https://blog.skyairline.com/gastronomia-peruana/</x:v>
      </x:c>
      <x:c r="AA432" s="4" t="str">
        <x:v>https://blog.skyairline.com/gastronomia-peruana/</x:v>
      </x:c>
      <x:c r="AB432" s="4" t="str">
        <x:v>Coincidencia URL</x:v>
      </x:c>
      <x:c r="AC432" s="4" t="str">
        <x:v>Publicado hasta septiembre</x:v>
      </x:c>
      <x:c r="AD432" s="4" t="str">
        <x:v>/gastronomia-peruana/</x:v>
      </x:c>
      <x:c r="AE432" s="4"/>
      <x:c r="AF432" s="16" t="b">
        <x:v>0</x:v>
      </x:c>
    </x:row>
    <x:row r="433" ht="44" customHeight="1">
      <x:c r="A433" s="4" t="n">
        <x:v>627</x:v>
      </x:c>
      <x:c r="B433" s="4" t="str">
        <x:v>https://blog.skyairline.com/ahorrar-espacio-en-la-maleta/</x:v>
      </x:c>
      <x:c r="C433" s="9" t="str">
        <x:v>9 técnicas para armar tu maleta que te permitirán ahorrar espacio.</x:v>
      </x:c>
      <x:c r="D433" s="17" t="d">
        <x:v>2021-08-02T00:00:00.000Z</x:v>
      </x:c>
      <x:c r="E433" s="17" t="d">
        <x:v>2021-08-02T00:00:00.000Z</x:v>
      </x:c>
      <x:c r="F433" s="4" t="str">
        <x:v>Planificación de Viaje</x:v>
      </x:c>
      <x:c r="G433" s="11" t="n">
        <x:v>1084</x:v>
      </x:c>
      <x:c r="H433" s="11" t="n">
        <x:v>200</x:v>
      </x:c>
      <x:c r="I433" s="11" t="n">
        <x:v>1</x:v>
      </x:c>
      <x:c r="J433" s="4" t="str">
        <x:v>https://blog.skyairline.com/ahorrar-espacio-en-la-maleta/</x:v>
      </x:c>
      <x:c r="K433" s="16" t="b">
        <x:v>0</x:v>
      </x:c>
      <x:c r="L433" s="11" t="n">
        <x:v>0</x:v>
      </x:c>
      <x:c r="M433" s="11" t="n">
        <x:v>0</x:v>
      </x:c>
      <x:c r="N433" s="4"/>
      <x:c r="O433" s="4"/>
      <x:c r="P433" s="11" t="n">
        <x:v>7</x:v>
      </x:c>
      <x:c r="Q433" s="11" t="n">
        <x:v>3</x:v>
      </x:c>
      <x:c r="R433" s="11" t="n">
        <x:f>IF(OR(P433="",Q433=""),"",Q433-P433)</x:f>
        <x:v>-4</x:v>
      </x:c>
      <x:c r="S433" s="13" t="n">
        <x:f>IF(OR(P433="",Q433="",P433=0),"",((Q433/30)/(P433/31))-1)</x:f>
        <x:v>-0.5571428571428572</x:v>
      </x:c>
      <x:c r="T433" s="11" t="n">
        <x:v>1161</x:v>
      </x:c>
      <x:c r="U433" s="11" t="n">
        <x:v>1559</x:v>
      </x:c>
      <x:c r="V433" s="14" t="n">
        <x:v>0.001924310455420141</x:v>
      </x:c>
      <x:c r="W433" s="12" t="n">
        <x:v>5.772931366260424</x:v>
      </x:c>
      <x:c r="X433" s="11" t="n">
        <x:v>3</x:v>
      </x:c>
      <x:c r="Y433" s="11" t="n">
        <x:v>3</x:v>
      </x:c>
      <x:c r="Z433" s="4" t="str">
        <x:v>https://blog.skyairline.com/ahorrar-espacio-en-la-maleta/</x:v>
      </x:c>
      <x:c r="AA433" s="4" t="str">
        <x:v>https://blog.skyairline.com/ahorrar-espacio-en-la-maleta/</x:v>
      </x:c>
      <x:c r="AB433" s="4" t="str">
        <x:v>Coincidencia URL</x:v>
      </x:c>
      <x:c r="AC433" s="4" t="str">
        <x:v>Publicado hasta septiembre</x:v>
      </x:c>
      <x:c r="AD433" s="4" t="str">
        <x:v>/ahorrar-espacio-en-la-maleta/</x:v>
      </x:c>
      <x:c r="AE433" s="4"/>
      <x:c r="AF433" s="16" t="b">
        <x:v>0</x:v>
      </x:c>
    </x:row>
    <x:row r="434" ht="44" customHeight="1">
      <x:c r="A434" s="4" t="n">
        <x:v>630</x:v>
      </x:c>
      <x:c r="B434" s="4" t="str">
        <x:v>https://blog.skyairline.com/temporada-baja-para-viajar/</x:v>
      </x:c>
      <x:c r="C434" s="9" t="str">
        <x:v>Viajes baratos en temporada baja: cómo planificar con menos filas y más calma</x:v>
      </x:c>
      <x:c r="D434" s="17" t="d">
        <x:v>2026-03-02T00:00:00.000Z</x:v>
      </x:c>
      <x:c r="E434" s="17" t="d">
        <x:v>2026-03-02T00:00:00.000Z</x:v>
      </x:c>
      <x:c r="F434" s="4" t="str">
        <x:v>Planificación de Viaje</x:v>
      </x:c>
      <x:c r="G434" s="11" t="n">
        <x:v>998</x:v>
      </x:c>
      <x:c r="H434" s="11" t="n">
        <x:v>200</x:v>
      </x:c>
      <x:c r="I434" s="11" t="n">
        <x:v>1</x:v>
      </x:c>
      <x:c r="J434" s="4" t="str">
        <x:v>https://blog.skyairline.com/temporada-baja-para-viajar/</x:v>
      </x:c>
      <x:c r="K434" s="16" t="b">
        <x:v>0</x:v>
      </x:c>
      <x:c r="L434" s="11" t="n">
        <x:v>0</x:v>
      </x:c>
      <x:c r="M434" s="11" t="n">
        <x:v>0</x:v>
      </x:c>
      <x:c r="N434" s="4"/>
      <x:c r="O434" s="4"/>
      <x:c r="P434" s="11" t="n">
        <x:v>1</x:v>
      </x:c>
      <x:c r="Q434" s="11" t="n">
        <x:v>3</x:v>
      </x:c>
      <x:c r="R434" s="11" t="n">
        <x:f>IF(OR(P434="",Q434=""),"",Q434-P434)</x:f>
        <x:v>2</x:v>
      </x:c>
      <x:c r="S434" s="13" t="n">
        <x:f>IF(OR(P434="",Q434="",P434=0),"",((Q434/30)/(P434/31))-1)</x:f>
        <x:v>2.1</x:v>
      </x:c>
      <x:c r="T434" s="11" t="n">
        <x:v>598</x:v>
      </x:c>
      <x:c r="U434" s="11" t="n">
        <x:v>436</x:v>
      </x:c>
      <x:c r="V434" s="14" t="n">
        <x:v>0.006880733944954129</x:v>
      </x:c>
      <x:c r="W434" s="12" t="n">
        <x:v>35.13990825688074</x:v>
      </x:c>
      <x:c r="X434" s="11" t="n">
        <x:v>2</x:v>
      </x:c>
      <x:c r="Y434" s="11" t="n">
        <x:v>2</x:v>
      </x:c>
      <x:c r="Z434" s="4" t="str">
        <x:v>https://blog.skyairline.com/temporada-baja-para-viajar/</x:v>
      </x:c>
      <x:c r="AA434" s="4" t="str">
        <x:v>https://blog.skyairline.com/temporada-baja-para-viajar/</x:v>
      </x:c>
      <x:c r="AB434" s="4" t="str">
        <x:v>Coincidencia URL</x:v>
      </x:c>
      <x:c r="AC434" s="4" t="str">
        <x:v>Publicado hasta septiembre</x:v>
      </x:c>
      <x:c r="AD434" s="4" t="str">
        <x:v>/temporada-baja-para-viajar/</x:v>
      </x:c>
      <x:c r="AE434" s="4"/>
      <x:c r="AF434" s="16" t="b">
        <x:v>0</x:v>
      </x:c>
    </x:row>
    <x:row r="435" ht="44" customHeight="1">
      <x:c r="A435" s="4" t="n">
        <x:v>1007</x:v>
      </x:c>
      <x:c r="B435" s="4" t="str">
        <x:v>https://blog.skyairline.com/viajar-pronto/</x:v>
      </x:c>
      <x:c r="C435" s="9" t="str">
        <x:v>10 cosas que necesitas comprar si planeas viajar pronto</x:v>
      </x:c>
      <x:c r="D435" s="17" t="d">
        <x:v>2021-11-01T00:00:00.000Z</x:v>
      </x:c>
      <x:c r="E435" s="17" t="d">
        <x:v>2021-11-01T00:00:00.000Z</x:v>
      </x:c>
      <x:c r="F435" s="4" t="str">
        <x:v>Planificación de Viaje</x:v>
      </x:c>
      <x:c r="G435" s="11" t="n">
        <x:v>961</x:v>
      </x:c>
      <x:c r="H435" s="11" t="n">
        <x:v>200</x:v>
      </x:c>
      <x:c r="I435" s="11" t="n">
        <x:v>1</x:v>
      </x:c>
      <x:c r="J435" s="4" t="str">
        <x:v>https://blog.skyairline.com/viajar-pronto/</x:v>
      </x:c>
      <x:c r="K435" s="16" t="b">
        <x:v>0</x:v>
      </x:c>
      <x:c r="L435" s="11" t="n">
        <x:v>0</x:v>
      </x:c>
      <x:c r="M435" s="11" t="n">
        <x:v>3</x:v>
      </x:c>
      <x:c r="N435" s="4"/>
      <x:c r="O435" s="4"/>
      <x:c r="P435" s="11" t="n">
        <x:v>1</x:v>
      </x:c>
      <x:c r="Q435" s="11" t="n">
        <x:v>3</x:v>
      </x:c>
      <x:c r="R435" s="11" t="n">
        <x:f>IF(OR(P435="",Q435=""),"",Q435-P435)</x:f>
        <x:v>2</x:v>
      </x:c>
      <x:c r="S435" s="13" t="n">
        <x:f>IF(OR(P435="",Q435="",P435=0),"",((Q435/30)/(P435/31))-1)</x:f>
        <x:v>2.1</x:v>
      </x:c>
      <x:c r="T435" s="11" t="n">
        <x:v>310</x:v>
      </x:c>
      <x:c r="U435" s="11" t="n">
        <x:v>250</x:v>
      </x:c>
      <x:c r="V435" s="14" t="n">
        <x:v>0.012</x:v>
      </x:c>
      <x:c r="W435" s="12" t="n">
        <x:v>11.4</x:v>
      </x:c>
      <x:c r="X435" s="11" t="n">
        <x:v>4</x:v>
      </x:c>
      <x:c r="Y435" s="11" t="n">
        <x:v>4</x:v>
      </x:c>
      <x:c r="Z435" s="4" t="str">
        <x:v>https://blog.skyairline.com/viajar-pronto/</x:v>
      </x:c>
      <x:c r="AA435" s="4" t="str">
        <x:v>https://blog.skyairline.com/viajar-pronto/</x:v>
      </x:c>
      <x:c r="AB435" s="4" t="str">
        <x:v>Coincidencia URL</x:v>
      </x:c>
      <x:c r="AC435" s="4" t="str">
        <x:v>Publicado hasta septiembre</x:v>
      </x:c>
      <x:c r="AD435" s="4" t="str">
        <x:v>/viajar-pronto/</x:v>
      </x:c>
      <x:c r="AE435" s="4"/>
      <x:c r="AF435" s="16" t="b">
        <x:v>0</x:v>
      </x:c>
    </x:row>
    <x:row r="436" ht="44" customHeight="1">
      <x:c r="A436" s="4" t="n">
        <x:v>1143</x:v>
      </x:c>
      <x:c r="B436" s="4" t="str">
        <x:v>https://blog.skyairline.com/viajeros-mas-famosos/</x:v>
      </x:c>
      <x:c r="C436" s="9" t="str">
        <x:v>¿Cuáles son los viajeros de ficción más famosos de la historia?</x:v>
      </x:c>
      <x:c r="D436" s="17" t="d">
        <x:v>2021-12-06T00:00:00.000Z</x:v>
      </x:c>
      <x:c r="E436" s="17" t="d">
        <x:v>2021-12-06T00:00:00.000Z</x:v>
      </x:c>
      <x:c r="F436" s="4" t="str">
        <x:v>Planificación de Viaje</x:v>
      </x:c>
      <x:c r="G436" s="11" t="n">
        <x:v>985</x:v>
      </x:c>
      <x:c r="H436" s="11" t="n">
        <x:v>200</x:v>
      </x:c>
      <x:c r="I436" s="11" t="n">
        <x:v>1</x:v>
      </x:c>
      <x:c r="J436" s="4" t="str">
        <x:v>https://blog.skyairline.com/viajeros-mas-famosos/</x:v>
      </x:c>
      <x:c r="K436" s="16" t="b">
        <x:v>0</x:v>
      </x:c>
      <x:c r="L436" s="11" t="n">
        <x:v>0</x:v>
      </x:c>
      <x:c r="M436" s="11" t="n">
        <x:v>4</x:v>
      </x:c>
      <x:c r="N436" s="4"/>
      <x:c r="O436" s="4"/>
      <x:c r="P436" s="11" t="n">
        <x:v>8</x:v>
      </x:c>
      <x:c r="Q436" s="11" t="n">
        <x:v>3</x:v>
      </x:c>
      <x:c r="R436" s="11" t="n">
        <x:f>IF(OR(P436="",Q436=""),"",Q436-P436)</x:f>
        <x:v>-5</x:v>
      </x:c>
      <x:c r="S436" s="13" t="n">
        <x:f>IF(OR(P436="",Q436="",P436=0),"",((Q436/30)/(P436/31))-1)</x:f>
        <x:v>-0.6125</x:v>
      </x:c>
      <x:c r="T436" s="11" t="n">
        <x:v>570</x:v>
      </x:c>
      <x:c r="U436" s="11" t="n">
        <x:v>405</x:v>
      </x:c>
      <x:c r="V436" s="14" t="n">
        <x:v>0.007407407407407408</x:v>
      </x:c>
      <x:c r="W436" s="12" t="n">
        <x:v>7.659259259259259</x:v>
      </x:c>
      <x:c r="X436" s="11" t="n">
        <x:v>5</x:v>
      </x:c>
      <x:c r="Y436" s="11" t="n">
        <x:v>6</x:v>
      </x:c>
      <x:c r="Z436" s="4" t="str">
        <x:v>https://blog.skyairline.com/viajeros-mas-famosos/</x:v>
      </x:c>
      <x:c r="AA436" s="4" t="str">
        <x:v>https://blog.skyairline.com/viajeros-mas-famosos/</x:v>
      </x:c>
      <x:c r="AB436" s="4" t="str">
        <x:v>Coincidencia URL</x:v>
      </x:c>
      <x:c r="AC436" s="4" t="str">
        <x:v>Publicado hasta septiembre</x:v>
      </x:c>
      <x:c r="AD436" s="4" t="str">
        <x:v>/viajeros-mas-famosos/</x:v>
      </x:c>
      <x:c r="AE436" s="4"/>
      <x:c r="AF436" s="16" t="b">
        <x:v>0</x:v>
      </x:c>
    </x:row>
    <x:row r="437" ht="44" customHeight="1">
      <x:c r="A437" s="4" t="n">
        <x:v>1165</x:v>
      </x:c>
      <x:c r="B437" s="4" t="str">
        <x:v>https://blog.skyairline.com/a-donde-ir-en-diciembre/</x:v>
      </x:c>
      <x:c r="C437" s="9" t="str">
        <x:v>Planifica con anticipación tus vacaciones: 5 opciones en Perú que te encantarán</x:v>
      </x:c>
      <x:c r="D437" s="17" t="d">
        <x:v>2026-05-16T00:00:00.000Z</x:v>
      </x:c>
      <x:c r="E437" s="17" t="d">
        <x:v>2026-05-11T00:00:00.000Z</x:v>
      </x:c>
      <x:c r="F437" s="4" t="str">
        <x:v>Planificación de Viaje</x:v>
      </x:c>
      <x:c r="G437" s="11" t="n">
        <x:v>1195</x:v>
      </x:c>
      <x:c r="H437" s="11" t="n">
        <x:v>200</x:v>
      </x:c>
      <x:c r="I437" s="11" t="n">
        <x:v>1</x:v>
      </x:c>
      <x:c r="J437" s="4" t="str">
        <x:v>https://blog.skyairline.com/a-donde-ir-en-diciembre/</x:v>
      </x:c>
      <x:c r="K437" s="16" t="b">
        <x:v>0</x:v>
      </x:c>
      <x:c r="L437" s="11" t="n">
        <x:v>0</x:v>
      </x:c>
      <x:c r="M437" s="11" t="n">
        <x:v>0</x:v>
      </x:c>
      <x:c r="N437" s="4"/>
      <x:c r="O437" s="4"/>
      <x:c r="P437" s="11" t="n">
        <x:v>2</x:v>
      </x:c>
      <x:c r="Q437" s="11" t="n">
        <x:v>3</x:v>
      </x:c>
      <x:c r="R437" s="11" t="n">
        <x:f>IF(OR(P437="",Q437=""),"",Q437-P437)</x:f>
        <x:v>1</x:v>
      </x:c>
      <x:c r="S437" s="13" t="n">
        <x:f>IF(OR(P437="",Q437="",P437=0),"",((Q437/30)/(P437/31))-1)</x:f>
        <x:v>0.55</x:v>
      </x:c>
      <x:c r="T437" s="11" t="n">
        <x:v>337</x:v>
      </x:c>
      <x:c r="U437" s="11" t="n">
        <x:v>239</x:v>
      </x:c>
      <x:c r="V437" s="14" t="n">
        <x:v>0.012552301255230125</x:v>
      </x:c>
      <x:c r="W437" s="12" t="n">
        <x:v>6.184100418410042</x:v>
      </x:c>
      <x:c r="X437" s="11" t="n">
        <x:v>7</x:v>
      </x:c>
      <x:c r="Y437" s="11" t="n">
        <x:v>6</x:v>
      </x:c>
      <x:c r="Z437" s="4" t="str">
        <x:v>https://blog.skyairline.com/a-donde-ir-en-diciembre/</x:v>
      </x:c>
      <x:c r="AA437" s="4" t="str">
        <x:v>https://blog.skyairline.com/a-donde-ir-en-diciembre/</x:v>
      </x:c>
      <x:c r="AB437" s="4" t="str">
        <x:v>Coincidencia URL</x:v>
      </x:c>
      <x:c r="AC437" s="4" t="str">
        <x:v>Publicado hasta septiembre</x:v>
      </x:c>
      <x:c r="AD437" s="4" t="str">
        <x:v>/a-donde-ir-en-diciembre/</x:v>
      </x:c>
      <x:c r="AE437" s="4"/>
      <x:c r="AF437" s="16" t="b">
        <x:v>0</x:v>
      </x:c>
    </x:row>
    <x:row r="438" ht="44" customHeight="1">
      <x:c r="A438" s="4" t="n">
        <x:v>1358</x:v>
      </x:c>
      <x:c r="B438" s="4" t="str">
        <x:v>https://blog.skyairline.com/errores-al-hacer-un-presupuesto-de-viaje/</x:v>
      </x:c>
      <x:c r="C438" s="9" t="str">
        <x:v>16 errores comunes al hacer un presupuesto de viaje</x:v>
      </x:c>
      <x:c r="D438" s="17" t="d">
        <x:v>2022-01-26T00:00:00.000Z</x:v>
      </x:c>
      <x:c r="E438" s="17" t="d">
        <x:v>2022-01-26T00:00:00.000Z</x:v>
      </x:c>
      <x:c r="F438" s="4" t="str">
        <x:v>Planificación de Viaje</x:v>
      </x:c>
      <x:c r="G438" s="11" t="n">
        <x:v>1087</x:v>
      </x:c>
      <x:c r="H438" s="11" t="n">
        <x:v>200</x:v>
      </x:c>
      <x:c r="I438" s="11" t="n">
        <x:v>1</x:v>
      </x:c>
      <x:c r="J438" s="4" t="str">
        <x:v>https://blog.skyairline.com/errores-al-hacer-un-presupuesto-de-viaje/</x:v>
      </x:c>
      <x:c r="K438" s="16" t="b">
        <x:v>0</x:v>
      </x:c>
      <x:c r="L438" s="11" t="n">
        <x:v>0</x:v>
      </x:c>
      <x:c r="M438" s="11" t="n">
        <x:v>4</x:v>
      </x:c>
      <x:c r="N438" s="4"/>
      <x:c r="O438" s="4"/>
      <x:c r="P438" s="11" t="n">
        <x:v>1</x:v>
      </x:c>
      <x:c r="Q438" s="11" t="n">
        <x:v>3</x:v>
      </x:c>
      <x:c r="R438" s="11" t="n">
        <x:f>IF(OR(P438="",Q438=""),"",Q438-P438)</x:f>
        <x:v>2</x:v>
      </x:c>
      <x:c r="S438" s="13" t="n">
        <x:f>IF(OR(P438="",Q438="",P438=0),"",((Q438/30)/(P438/31))-1)</x:f>
        <x:v>2.1</x:v>
      </x:c>
      <x:c r="T438" s="11" t="n">
        <x:v>303</x:v>
      </x:c>
      <x:c r="U438" s="11" t="n">
        <x:v>270</x:v>
      </x:c>
      <x:c r="V438" s="14" t="n">
        <x:v>0.011111111111111112</x:v>
      </x:c>
      <x:c r="W438" s="12" t="n">
        <x:v>5.770370370370371</x:v>
      </x:c>
      <x:c r="X438" s="11" t="n">
        <x:v>3</x:v>
      </x:c>
      <x:c r="Y438" s="11" t="n">
        <x:v>3</x:v>
      </x:c>
      <x:c r="Z438" s="4" t="str">
        <x:v>https://blog.skyairline.com/errores-al-hacer-un-presupuesto-de-viaje/</x:v>
      </x:c>
      <x:c r="AA438" s="4" t="str">
        <x:v>https://blog.skyairline.com/errores-al-hacer-un-presupuesto-de-viaje/</x:v>
      </x:c>
      <x:c r="AB438" s="4" t="str">
        <x:v>Coincidencia URL</x:v>
      </x:c>
      <x:c r="AC438" s="4" t="str">
        <x:v>Publicado hasta septiembre</x:v>
      </x:c>
      <x:c r="AD438" s="4" t="str">
        <x:v>/errores-al-hacer-un-presupuesto-de-viaje/</x:v>
      </x:c>
      <x:c r="AE438" s="4"/>
      <x:c r="AF438" s="16" t="b">
        <x:v>0</x:v>
      </x:c>
    </x:row>
    <x:row r="439" ht="44" customHeight="1">
      <x:c r="A439" s="4" t="n">
        <x:v>1515</x:v>
      </x:c>
      <x:c r="B439" s="4" t="str">
        <x:v>https://blog.skyairline.com/isla-de-los-monos/</x:v>
      </x:c>
      <x:c r="C439" s="9" t="str">
        <x:v>Aventura en Iquitos: Conoce la Isla de los Monos</x:v>
      </x:c>
      <x:c r="D439" s="17" t="d">
        <x:v>2025-12-17T00:00:00.000Z</x:v>
      </x:c>
      <x:c r="E439" s="17" t="d">
        <x:v>2025-12-17T00:00:00.000Z</x:v>
      </x:c>
      <x:c r="F439" s="4" t="str">
        <x:v>Destinos</x:v>
      </x:c>
      <x:c r="G439" s="11" t="n">
        <x:v>1083</x:v>
      </x:c>
      <x:c r="H439" s="11" t="n">
        <x:v>200</x:v>
      </x:c>
      <x:c r="I439" s="11" t="n">
        <x:v>1</x:v>
      </x:c>
      <x:c r="J439" s="4" t="str">
        <x:v>https://blog.skyairline.com/isla-de-los-monos/</x:v>
      </x:c>
      <x:c r="K439" s="16" t="b">
        <x:v>0</x:v>
      </x:c>
      <x:c r="L439" s="11" t="n">
        <x:v>0</x:v>
      </x:c>
      <x:c r="M439" s="11" t="n">
        <x:v>0</x:v>
      </x:c>
      <x:c r="N439" s="4"/>
      <x:c r="O439" s="4"/>
      <x:c r="P439" s="11" t="n">
        <x:v>3</x:v>
      </x:c>
      <x:c r="Q439" s="11" t="n">
        <x:v>3</x:v>
      </x:c>
      <x:c r="R439" s="11" t="n">
        <x:f>IF(OR(P439="",Q439=""),"",Q439-P439)</x:f>
        <x:v>0</x:v>
      </x:c>
      <x:c r="S439" s="13" t="n">
        <x:f>IF(OR(P439="",Q439="",P439=0),"",((Q439/30)/(P439/31))-1)</x:f>
        <x:v>0.03333333333333344</x:v>
      </x:c>
      <x:c r="T439" s="11" t="n">
        <x:v>582</x:v>
      </x:c>
      <x:c r="U439" s="11" t="n">
        <x:v>708</x:v>
      </x:c>
      <x:c r="V439" s="14" t="n">
        <x:v>0.00423728813559322</x:v>
      </x:c>
      <x:c r="W439" s="12" t="n">
        <x:v>9.781073446327683</x:v>
      </x:c>
      <x:c r="X439" s="11" t="n">
        <x:v>2</x:v>
      </x:c>
      <x:c r="Y439" s="11" t="n">
        <x:v>2</x:v>
      </x:c>
      <x:c r="Z439" s="4" t="str">
        <x:v>https://blog.skyairline.com/isla-de-los-monos/</x:v>
      </x:c>
      <x:c r="AA439" s="4" t="str">
        <x:v>https://blog.skyairline.com/isla-de-los-monos/</x:v>
      </x:c>
      <x:c r="AB439" s="4" t="str">
        <x:v>Coincidencia URL</x:v>
      </x:c>
      <x:c r="AC439" s="4" t="str">
        <x:v>Publicado hasta septiembre</x:v>
      </x:c>
      <x:c r="AD439" s="4" t="str">
        <x:v>/isla-de-los-monos/</x:v>
      </x:c>
      <x:c r="AE439" s="4"/>
      <x:c r="AF439" s="16" t="b">
        <x:v>0</x:v>
      </x:c>
    </x:row>
    <x:row r="440" ht="44" customHeight="1">
      <x:c r="A440" s="4" t="n">
        <x:v>1693</x:v>
      </x:c>
      <x:c r="B440" s="4" t="str">
        <x:v>https://blog.skyairline.com/planificar-viaje/</x:v>
      </x:c>
      <x:c r="C440" s="9" t="str">
        <x:v>Planificar viaje, 8 tips que te ayudarán a evitar preocupaciones</x:v>
      </x:c>
      <x:c r="D440" s="17" t="d">
        <x:v>2025-12-23T00:00:00.000Z</x:v>
      </x:c>
      <x:c r="E440" s="17" t="d">
        <x:v>2025-12-17T00:00:00.000Z</x:v>
      </x:c>
      <x:c r="F440" s="4" t="str">
        <x:v>Cultura</x:v>
      </x:c>
      <x:c r="G440" s="11" t="n">
        <x:v>1094</x:v>
      </x:c>
      <x:c r="H440" s="11" t="n">
        <x:v>200</x:v>
      </x:c>
      <x:c r="I440" s="11" t="n">
        <x:v>1</x:v>
      </x:c>
      <x:c r="J440" s="4" t="str">
        <x:v>https://blog.skyairline.com/planificar-viaje/</x:v>
      </x:c>
      <x:c r="K440" s="16" t="b">
        <x:v>0</x:v>
      </x:c>
      <x:c r="L440" s="11" t="n">
        <x:v>0</x:v>
      </x:c>
      <x:c r="M440" s="11" t="n">
        <x:v>0</x:v>
      </x:c>
      <x:c r="N440" s="4"/>
      <x:c r="O440" s="4"/>
      <x:c r="P440" s="11" t="n">
        <x:v>2</x:v>
      </x:c>
      <x:c r="Q440" s="11" t="n">
        <x:v>3</x:v>
      </x:c>
      <x:c r="R440" s="11" t="n">
        <x:f>IF(OR(P440="",Q440=""),"",Q440-P440)</x:f>
        <x:v>1</x:v>
      </x:c>
      <x:c r="S440" s="13" t="n">
        <x:f>IF(OR(P440="",Q440="",P440=0),"",((Q440/30)/(P440/31))-1)</x:f>
        <x:v>0.55</x:v>
      </x:c>
      <x:c r="T440" s="11" t="n">
        <x:v>244</x:v>
      </x:c>
      <x:c r="U440" s="11" t="n">
        <x:v>57</x:v>
      </x:c>
      <x:c r="V440" s="14" t="n">
        <x:v>0.05263157894736842</x:v>
      </x:c>
      <x:c r="W440" s="12" t="n">
        <x:v>8.912280701754387</x:v>
      </x:c>
      <x:c r="X440" s="11" t="n">
        <x:v>6</x:v>
      </x:c>
      <x:c r="Y440" s="11" t="n">
        <x:v>8</x:v>
      </x:c>
      <x:c r="Z440" s="4" t="str">
        <x:v>https://blog.skyairline.com/planificar-viaje/</x:v>
      </x:c>
      <x:c r="AA440" s="4" t="str">
        <x:v>https://blog.skyairline.com/planificar-viaje/</x:v>
      </x:c>
      <x:c r="AB440" s="4" t="str">
        <x:v>Coincidencia URL</x:v>
      </x:c>
      <x:c r="AC440" s="4" t="str">
        <x:v>Publicado hasta septiembre</x:v>
      </x:c>
      <x:c r="AD440" s="4" t="str">
        <x:v>/planificar-viaje/</x:v>
      </x:c>
      <x:c r="AE440" s="4"/>
      <x:c r="AF440" s="16" t="b">
        <x:v>0</x:v>
      </x:c>
    </x:row>
    <x:row r="441" ht="44" customHeight="1">
      <x:c r="A441" s="4" t="n">
        <x:v>1748</x:v>
      </x:c>
      <x:c r="B441" s="4" t="str">
        <x:v>https://blog.skyairline.com/murales-de-calle-en-miami/</x:v>
      </x:c>
      <x:c r="C441" s="9" t="str">
        <x:v>8 sorprendentes murales de calle en Miami que puedes conocer sin gastar</x:v>
      </x:c>
      <x:c r="D441" s="17" t="d">
        <x:v>2022-04-26T00:00:00.000Z</x:v>
      </x:c>
      <x:c r="E441" s="17" t="d">
        <x:v>2022-04-26T00:00:00.000Z</x:v>
      </x:c>
      <x:c r="F441" s="4" t="str">
        <x:v>Cultura</x:v>
      </x:c>
      <x:c r="G441" s="11" t="n">
        <x:v>1089</x:v>
      </x:c>
      <x:c r="H441" s="11" t="n">
        <x:v>200</x:v>
      </x:c>
      <x:c r="I441" s="11" t="n">
        <x:v>1</x:v>
      </x:c>
      <x:c r="J441" s="4" t="str">
        <x:v>https://blog.skyairline.com/murales-de-calle-en-miami/</x:v>
      </x:c>
      <x:c r="K441" s="16" t="b">
        <x:v>0</x:v>
      </x:c>
      <x:c r="L441" s="11" t="n">
        <x:v>0</x:v>
      </x:c>
      <x:c r="M441" s="11" t="n">
        <x:v>2</x:v>
      </x:c>
      <x:c r="N441" s="4"/>
      <x:c r="O441" s="4"/>
      <x:c r="P441" s="11" t="n">
        <x:v>0</x:v>
      </x:c>
      <x:c r="Q441" s="11" t="n">
        <x:v>3</x:v>
      </x:c>
      <x:c r="R441" s="11" t="str">
        <x:f>IF(OR(P441="",Q441=""),"",Q441-P441)</x:f>
      </x:c>
      <x:c r="S441" s="13" t="str">
        <x:f>IF(OR(P441="",Q441="",P441=0),"",((Q441/30)/(P441/31))-1)</x:f>
      </x:c>
      <x:c r="T441" s="11" t="n">
        <x:v>74</x:v>
      </x:c>
      <x:c r="U441" s="11" t="n">
        <x:v>71</x:v>
      </x:c>
      <x:c r="V441" s="14" t="n">
        <x:v>0.04225352112676056</x:v>
      </x:c>
      <x:c r="W441" s="12" t="n">
        <x:v>12.95774647887324</x:v>
      </x:c>
      <x:c r="X441" s="11" t="n">
        <x:v>2</x:v>
      </x:c>
      <x:c r="Y441" s="11" t="n">
        <x:v>8</x:v>
      </x:c>
      <x:c r="Z441" s="4" t="str">
        <x:v>https://blog.skyairline.com/murales-de-calle-en-miami/</x:v>
      </x:c>
      <x:c r="AA441" s="4" t="str">
        <x:v>https://blog.skyairline.com/murales-de-calle-en-miami/</x:v>
      </x:c>
      <x:c r="AB441" s="4" t="str">
        <x:v>Coincidencia URL</x:v>
      </x:c>
      <x:c r="AC441" s="4" t="str">
        <x:v>Publicado hasta septiembre</x:v>
      </x:c>
      <x:c r="AD441" s="4" t="str">
        <x:v>/murales-de-calle-en-miami/</x:v>
      </x:c>
      <x:c r="AE441" s="4"/>
      <x:c r="AF441" s="16" t="b">
        <x:v>0</x:v>
      </x:c>
    </x:row>
    <x:row r="442" ht="44" customHeight="1">
      <x:c r="A442" s="4" t="n">
        <x:v>1987</x:v>
      </x:c>
      <x:c r="B442" s="4" t="str">
        <x:v>https://blog.skyairline.com/bosques-tropicales/</x:v>
      </x:c>
      <x:c r="C442" s="9" t="str">
        <x:v>¿Dónde puedes encontrar los bosques tropicales?</x:v>
      </x:c>
      <x:c r="D442" s="17" t="d">
        <x:v>2022-06-25T00:00:00.000Z</x:v>
      </x:c>
      <x:c r="E442" s="17" t="d">
        <x:v>2022-06-25T00:00:00.000Z</x:v>
      </x:c>
      <x:c r="F442" s="4" t="str">
        <x:v>Destinos</x:v>
      </x:c>
      <x:c r="G442" s="11" t="n">
        <x:v>1103</x:v>
      </x:c>
      <x:c r="H442" s="11" t="n">
        <x:v>200</x:v>
      </x:c>
      <x:c r="I442" s="11" t="n">
        <x:v>1</x:v>
      </x:c>
      <x:c r="J442" s="4" t="str">
        <x:v>https://blog.skyairline.com/bosques-tropicales/</x:v>
      </x:c>
      <x:c r="K442" s="16" t="b">
        <x:v>0</x:v>
      </x:c>
      <x:c r="L442" s="11" t="n">
        <x:v>0</x:v>
      </x:c>
      <x:c r="M442" s="11" t="n">
        <x:v>3</x:v>
      </x:c>
      <x:c r="N442" s="4"/>
      <x:c r="O442" s="4"/>
      <x:c r="P442" s="11" t="n">
        <x:v>0</x:v>
      </x:c>
      <x:c r="Q442" s="11" t="n">
        <x:v>3</x:v>
      </x:c>
      <x:c r="R442" s="11" t="str">
        <x:f>IF(OR(P442="",Q442=""),"",Q442-P442)</x:f>
      </x:c>
      <x:c r="S442" s="13" t="str">
        <x:f>IF(OR(P442="",Q442="",P442=0),"",((Q442/30)/(P442/31))-1)</x:f>
      </x:c>
      <x:c r="T442" s="11" t="n">
        <x:v>424</x:v>
      </x:c>
      <x:c r="U442" s="11" t="n">
        <x:v>412</x:v>
      </x:c>
      <x:c r="V442" s="14" t="n">
        <x:v>0.007281553398058253</x:v>
      </x:c>
      <x:c r="W442" s="12" t="n">
        <x:v>20.91747572815534</x:v>
      </x:c>
      <x:c r="X442" s="11" t="n">
        <x:v>3</x:v>
      </x:c>
      <x:c r="Y442" s="11" t="n">
        <x:v>3</x:v>
      </x:c>
      <x:c r="Z442" s="4" t="str">
        <x:v>https://blog.skyairline.com/bosques-tropicales/</x:v>
      </x:c>
      <x:c r="AA442" s="4" t="str">
        <x:v>https://blog.skyairline.com/bosques-tropicales/</x:v>
      </x:c>
      <x:c r="AB442" s="4" t="str">
        <x:v>Coincidencia URL</x:v>
      </x:c>
      <x:c r="AC442" s="4" t="str">
        <x:v>Publicado hasta septiembre</x:v>
      </x:c>
      <x:c r="AD442" s="4" t="str">
        <x:v>/bosques-tropicales/</x:v>
      </x:c>
      <x:c r="AE442" s="4"/>
      <x:c r="AF442" s="16" t="b">
        <x:v>0</x:v>
      </x:c>
    </x:row>
    <x:row r="443" ht="44" customHeight="1">
      <x:c r="A443" s="4" t="n">
        <x:v>2056</x:v>
      </x:c>
      <x:c r="B443" s="4" t="str">
        <x:v>https://blog.skyairline.com/parques-de-atracciones/</x:v>
      </x:c>
      <x:c r="C443" s="9" t="str">
        <x:v>Los mejores parques de atracciones de América Latina</x:v>
      </x:c>
      <x:c r="D443" s="17" t="d">
        <x:v>2022-07-11T00:00:00.000Z</x:v>
      </x:c>
      <x:c r="E443" s="17" t="d">
        <x:v>2022-07-11T00:00:00.000Z</x:v>
      </x:c>
      <x:c r="F443" s="4" t="str">
        <x:v>Cultura</x:v>
      </x:c>
      <x:c r="G443" s="11" t="n">
        <x:v>1014</x:v>
      </x:c>
      <x:c r="H443" s="11" t="n">
        <x:v>200</x:v>
      </x:c>
      <x:c r="I443" s="11" t="n">
        <x:v>1</x:v>
      </x:c>
      <x:c r="J443" s="4" t="str">
        <x:v>https://blog.skyairline.com/parques-de-atracciones/</x:v>
      </x:c>
      <x:c r="K443" s="16" t="b">
        <x:v>0</x:v>
      </x:c>
      <x:c r="L443" s="11" t="n">
        <x:v>0</x:v>
      </x:c>
      <x:c r="M443" s="11" t="n">
        <x:v>5</x:v>
      </x:c>
      <x:c r="N443" s="4"/>
      <x:c r="O443" s="4"/>
      <x:c r="P443" s="11" t="n">
        <x:v>3</x:v>
      </x:c>
      <x:c r="Q443" s="11" t="n">
        <x:v>3</x:v>
      </x:c>
      <x:c r="R443" s="11" t="n">
        <x:f>IF(OR(P443="",Q443=""),"",Q443-P443)</x:f>
        <x:v>0</x:v>
      </x:c>
      <x:c r="S443" s="13" t="n">
        <x:f>IF(OR(P443="",Q443="",P443=0),"",((Q443/30)/(P443/31))-1)</x:f>
        <x:v>0.03333333333333344</x:v>
      </x:c>
      <x:c r="T443" s="11" t="n">
        <x:v>257</x:v>
      </x:c>
      <x:c r="U443" s="11" t="n">
        <x:v>247</x:v>
      </x:c>
      <x:c r="V443" s="14" t="n">
        <x:v>0.012145748987854251</x:v>
      </x:c>
      <x:c r="W443" s="12" t="n">
        <x:v>8.368421052631579</x:v>
      </x:c>
      <x:c r="X443" s="11" t="n">
        <x:v>3</x:v>
      </x:c>
      <x:c r="Y443" s="11" t="n">
        <x:v>5</x:v>
      </x:c>
      <x:c r="Z443" s="4" t="str">
        <x:v>https://blog.skyairline.com/parques-de-atracciones/</x:v>
      </x:c>
      <x:c r="AA443" s="4" t="str">
        <x:v>https://blog.skyairline.com/parques-de-atracciones/</x:v>
      </x:c>
      <x:c r="AB443" s="4" t="str">
        <x:v>Coincidencia URL</x:v>
      </x:c>
      <x:c r="AC443" s="4" t="str">
        <x:v>Publicado hasta septiembre</x:v>
      </x:c>
      <x:c r="AD443" s="4" t="str">
        <x:v>/parques-de-atracciones/</x:v>
      </x:c>
      <x:c r="AE443" s="4"/>
      <x:c r="AF443" s="16" t="b">
        <x:v>0</x:v>
      </x:c>
    </x:row>
    <x:row r="444" ht="44" customHeight="1">
      <x:c r="A444" s="4" t="n">
        <x:v>2193</x:v>
      </x:c>
      <x:c r="B444" s="4" t="str">
        <x:v>https://blog.skyairline.com/fiestas-patrias-de-chile-2/</x:v>
      </x:c>
      <x:c r="C444" s="9" t="str">
        <x:v>Fiestas Patrias en Chile: cómo se celebra el 18 de septiembre</x:v>
      </x:c>
      <x:c r="D444" s="17" t="d">
        <x:v>2026-07-28T00:00:00.000Z</x:v>
      </x:c>
      <x:c r="E444" s="17" t="d">
        <x:v>2026-08-10T00:00:00.000Z</x:v>
      </x:c>
      <x:c r="F444" s="4" t="str">
        <x:v>Cultura</x:v>
      </x:c>
      <x:c r="G444" s="11" t="n">
        <x:v>1045</x:v>
      </x:c>
      <x:c r="H444" s="11" t="n">
        <x:v>200</x:v>
      </x:c>
      <x:c r="I444" s="11" t="n">
        <x:v>1</x:v>
      </x:c>
      <x:c r="J444" s="4" t="str">
        <x:v>https://blog.skyairline.com/fiestas-patrias-de-chile-2/</x:v>
      </x:c>
      <x:c r="K444" s="16" t="b">
        <x:v>0</x:v>
      </x:c>
      <x:c r="L444" s="11" t="n">
        <x:v>0</x:v>
      </x:c>
      <x:c r="M444" s="11" t="n">
        <x:v>0</x:v>
      </x:c>
      <x:c r="N444" s="4"/>
      <x:c r="O444" s="4"/>
      <x:c r="P444" s="11" t="n">
        <x:v>3</x:v>
      </x:c>
      <x:c r="Q444" s="11" t="n">
        <x:v>3</x:v>
      </x:c>
      <x:c r="R444" s="11" t="n">
        <x:f>IF(OR(P444="",Q444=""),"",Q444-P444)</x:f>
        <x:v>0</x:v>
      </x:c>
      <x:c r="S444" s="13" t="n">
        <x:f>IF(OR(P444="",Q444="",P444=0),"",((Q444/30)/(P444/31))-1)</x:f>
        <x:v>0.03333333333333344</x:v>
      </x:c>
      <x:c r="T444" s="11" t="n">
        <x:v>767</x:v>
      </x:c>
      <x:c r="U444" s="11" t="n">
        <x:v>334</x:v>
      </x:c>
      <x:c r="V444" s="14" t="n">
        <x:v>0.008982035928143712</x:v>
      </x:c>
      <x:c r="W444" s="12" t="n">
        <x:v>19.29940119760479</x:v>
      </x:c>
      <x:c r="X444" s="11" t="n">
        <x:v>7</x:v>
      </x:c>
      <x:c r="Y444" s="11" t="n">
        <x:v>6</x:v>
      </x:c>
      <x:c r="Z444" s="4" t="str">
        <x:v>https://blog.skyairline.com/fiestas-patrias-de-chile-2/</x:v>
      </x:c>
      <x:c r="AA444" s="4" t="str">
        <x:v>https://blog.skyairline.com/fiestas-patrias-de-chile-2/</x:v>
      </x:c>
      <x:c r="AB444" s="4" t="str">
        <x:v>Coincidencia URL</x:v>
      </x:c>
      <x:c r="AC444" s="4" t="str">
        <x:v>Publicado hasta septiembre</x:v>
      </x:c>
      <x:c r="AD444" s="4" t="str">
        <x:v>/fiestas-patrias-de-chile-2/</x:v>
      </x:c>
      <x:c r="AE444" s="4"/>
      <x:c r="AF444" s="16" t="b">
        <x:v>0</x:v>
      </x:c>
    </x:row>
    <x:row r="445" ht="44" customHeight="1">
      <x:c r="A445" s="4" t="n">
        <x:v>2325</x:v>
      </x:c>
      <x:c r="B445" s="4" t="str">
        <x:v>https://blog.skyairline.com/sky-inaugura-nueva-ruta-santiago-bariloche/</x:v>
      </x:c>
      <x:c r="C445" s="9" t="str">
        <x:v>SKY inaugura nueva ruta Santiago-Bariloche</x:v>
      </x:c>
      <x:c r="D445" s="17" t="d">
        <x:v>2022-09-23T00:00:00.000Z</x:v>
      </x:c>
      <x:c r="E445" s="17" t="d">
        <x:v>2022-09-23T00:00:00.000Z</x:v>
      </x:c>
      <x:c r="F445" s="4" t="str">
        <x:v>Destinos, Noticias</x:v>
      </x:c>
      <x:c r="G445" s="11" t="n">
        <x:v>345</x:v>
      </x:c>
      <x:c r="H445" s="11" t="n">
        <x:v>200</x:v>
      </x:c>
      <x:c r="I445" s="11" t="n">
        <x:v>1</x:v>
      </x:c>
      <x:c r="J445" s="4" t="str">
        <x:v>https://blog.skyairline.com/sky-inaugura-nueva-ruta-santiago-bariloche/</x:v>
      </x:c>
      <x:c r="K445" s="16" t="b">
        <x:v>0</x:v>
      </x:c>
      <x:c r="L445" s="11" t="n">
        <x:v>0</x:v>
      </x:c>
      <x:c r="M445" s="11" t="n">
        <x:v>0</x:v>
      </x:c>
      <x:c r="N445" s="4"/>
      <x:c r="O445" s="4"/>
      <x:c r="P445" s="11" t="n">
        <x:v>4</x:v>
      </x:c>
      <x:c r="Q445" s="11" t="n">
        <x:v>3</x:v>
      </x:c>
      <x:c r="R445" s="11" t="n">
        <x:f>IF(OR(P445="",Q445=""),"",Q445-P445)</x:f>
        <x:v>-1</x:v>
      </x:c>
      <x:c r="S445" s="13" t="n">
        <x:f>IF(OR(P445="",Q445="",P445=0),"",((Q445/30)/(P445/31))-1)</x:f>
        <x:v>-0.22499999999999998</x:v>
      </x:c>
      <x:c r="T445" s="11" t="n">
        <x:v>214</x:v>
      </x:c>
      <x:c r="U445" s="11" t="n">
        <x:v>171</x:v>
      </x:c>
      <x:c r="V445" s="14" t="n">
        <x:v>0.017543859649122806</x:v>
      </x:c>
      <x:c r="W445" s="12" t="n">
        <x:v>7.906432748538012</x:v>
      </x:c>
      <x:c r="X445" s="11" t="n">
        <x:v>4</x:v>
      </x:c>
      <x:c r="Y445" s="11" t="n">
        <x:v>5</x:v>
      </x:c>
      <x:c r="Z445" s="4" t="str">
        <x:v>https://blog.skyairline.com/sky-inaugura-nueva-ruta-santiago-bariloche/</x:v>
      </x:c>
      <x:c r="AA445" s="4" t="str">
        <x:v>https://blog.skyairline.com/sky-inaugura-nueva-ruta-santiago-bariloche/</x:v>
      </x:c>
      <x:c r="AB445" s="4" t="str">
        <x:v>Coincidencia URL</x:v>
      </x:c>
      <x:c r="AC445" s="4" t="str">
        <x:v>Publicado hasta septiembre</x:v>
      </x:c>
      <x:c r="AD445" s="4" t="str">
        <x:v>/sky-inaugura-nueva-ruta-santiago-bariloche/</x:v>
      </x:c>
      <x:c r="AE445" s="4"/>
      <x:c r="AF445" s="16" t="b">
        <x:v>0</x:v>
      </x:c>
    </x:row>
    <x:row r="446" ht="44" customHeight="1">
      <x:c r="A446" s="4" t="n">
        <x:v>2472</x:v>
      </x:c>
      <x:c r="B446" s="4" t="str">
        <x:v>https://blog.skyairline.com/playas-de-iquique/</x:v>
      </x:c>
      <x:c r="C446" s="9" t="str">
        <x:v>5 playas de Iquique para sentir el  océano Pacífico</x:v>
      </x:c>
      <x:c r="D446" s="17" t="d">
        <x:v>2022-11-15T00:00:00.000Z</x:v>
      </x:c>
      <x:c r="E446" s="17" t="d">
        <x:v>2022-11-15T00:00:00.000Z</x:v>
      </x:c>
      <x:c r="F446" s="4" t="str">
        <x:v>Destinos</x:v>
      </x:c>
      <x:c r="G446" s="11" t="n">
        <x:v>987</x:v>
      </x:c>
      <x:c r="H446" s="11" t="n">
        <x:v>200</x:v>
      </x:c>
      <x:c r="I446" s="11" t="n">
        <x:v>1</x:v>
      </x:c>
      <x:c r="J446" s="4" t="str">
        <x:v>https://blog.skyairline.com/playas-de-iquique/</x:v>
      </x:c>
      <x:c r="K446" s="16" t="b">
        <x:v>0</x:v>
      </x:c>
      <x:c r="L446" s="11" t="n">
        <x:v>0</x:v>
      </x:c>
      <x:c r="M446" s="11" t="n">
        <x:v>3</x:v>
      </x:c>
      <x:c r="N446" s="4"/>
      <x:c r="O446" s="4"/>
      <x:c r="P446" s="11" t="n">
        <x:v>6</x:v>
      </x:c>
      <x:c r="Q446" s="11" t="n">
        <x:v>3</x:v>
      </x:c>
      <x:c r="R446" s="11" t="n">
        <x:f>IF(OR(P446="",Q446=""),"",Q446-P446)</x:f>
        <x:v>-3</x:v>
      </x:c>
      <x:c r="S446" s="13" t="n">
        <x:f>IF(OR(P446="",Q446="",P446=0),"",((Q446/30)/(P446/31))-1)</x:f>
        <x:v>-0.4833333333333333</x:v>
      </x:c>
      <x:c r="T446" s="11" t="n">
        <x:v>1149</x:v>
      </x:c>
      <x:c r="U446" s="11" t="n">
        <x:v>1036</x:v>
      </x:c>
      <x:c r="V446" s="14" t="n">
        <x:v>0.0028957528957528956</x:v>
      </x:c>
      <x:c r="W446" s="12" t="n">
        <x:v>10.724903474903474</x:v>
      </x:c>
      <x:c r="X446" s="11" t="n">
        <x:v>6</x:v>
      </x:c>
      <x:c r="Y446" s="11" t="n">
        <x:v>7</x:v>
      </x:c>
      <x:c r="Z446" s="4" t="str">
        <x:v>https://blog.skyairline.com/playas-de-iquique/</x:v>
      </x:c>
      <x:c r="AA446" s="4" t="str">
        <x:v>https://blog.skyairline.com/playas-de-iquique/</x:v>
      </x:c>
      <x:c r="AB446" s="4" t="str">
        <x:v>Coincidencia URL</x:v>
      </x:c>
      <x:c r="AC446" s="4" t="str">
        <x:v>Publicado hasta septiembre</x:v>
      </x:c>
      <x:c r="AD446" s="4" t="str">
        <x:v>/playas-de-iquique/</x:v>
      </x:c>
      <x:c r="AE446" s="4"/>
      <x:c r="AF446" s="16" t="b">
        <x:v>0</x:v>
      </x:c>
    </x:row>
    <x:row r="447" ht="44" customHeight="1">
      <x:c r="A447" s="4" t="n">
        <x:v>2484</x:v>
      </x:c>
      <x:c r="B447" s="4" t="str">
        <x:v>https://blog.skyairline.com/floralis-generica/</x:v>
      </x:c>
      <x:c r="C447" s="9" t="str">
        <x:v>Floralis genérica en Buenos Aires: ¡Te contamos todo sobre esta obra maestra!</x:v>
      </x:c>
      <x:c r="D447" s="17" t="d">
        <x:v>2022-11-18T00:00:00.000Z</x:v>
      </x:c>
      <x:c r="E447" s="17" t="d">
        <x:v>2022-11-18T00:00:00.000Z</x:v>
      </x:c>
      <x:c r="F447" s="4" t="str">
        <x:v>Destinos</x:v>
      </x:c>
      <x:c r="G447" s="11" t="n">
        <x:v>1058</x:v>
      </x:c>
      <x:c r="H447" s="11" t="n">
        <x:v>200</x:v>
      </x:c>
      <x:c r="I447" s="11" t="n">
        <x:v>1</x:v>
      </x:c>
      <x:c r="J447" s="4" t="str">
        <x:v>https://blog.skyairline.com/floralis-generica/</x:v>
      </x:c>
      <x:c r="K447" s="16" t="b">
        <x:v>0</x:v>
      </x:c>
      <x:c r="L447" s="11" t="n">
        <x:v>0</x:v>
      </x:c>
      <x:c r="M447" s="11" t="n">
        <x:v>3</x:v>
      </x:c>
      <x:c r="N447" s="4"/>
      <x:c r="O447" s="4"/>
      <x:c r="P447" s="11" t="n">
        <x:v>5</x:v>
      </x:c>
      <x:c r="Q447" s="11" t="n">
        <x:v>3</x:v>
      </x:c>
      <x:c r="R447" s="11" t="n">
        <x:f>IF(OR(P447="",Q447=""),"",Q447-P447)</x:f>
        <x:v>-2</x:v>
      </x:c>
      <x:c r="S447" s="13" t="n">
        <x:f>IF(OR(P447="",Q447="",P447=0),"",((Q447/30)/(P447/31))-1)</x:f>
        <x:v>-0.3799999999999999</x:v>
      </x:c>
      <x:c r="T447" s="11" t="n">
        <x:v>2407</x:v>
      </x:c>
      <x:c r="U447" s="11" t="n">
        <x:v>2630</x:v>
      </x:c>
      <x:c r="V447" s="14" t="n">
        <x:v>0.0011406844106463879</x:v>
      </x:c>
      <x:c r="W447" s="12" t="n">
        <x:v>9.138403041825095</x:v>
      </x:c>
      <x:c r="X447" s="11" t="n">
        <x:v>6</x:v>
      </x:c>
      <x:c r="Y447" s="11" t="n">
        <x:v>7</x:v>
      </x:c>
      <x:c r="Z447" s="4" t="str">
        <x:v>https://blog.skyairline.com/floralis-generica/</x:v>
      </x:c>
      <x:c r="AA447" s="4" t="str">
        <x:v>https://blog.skyairline.com/floralis-generica/</x:v>
      </x:c>
      <x:c r="AB447" s="4" t="str">
        <x:v>Coincidencia URL</x:v>
      </x:c>
      <x:c r="AC447" s="4" t="str">
        <x:v>Publicado hasta septiembre</x:v>
      </x:c>
      <x:c r="AD447" s="4" t="str">
        <x:v>/floralis-generica/</x:v>
      </x:c>
      <x:c r="AE447" s="4"/>
      <x:c r="AF447" s="16" t="b">
        <x:v>0</x:v>
      </x:c>
    </x:row>
    <x:row r="448" ht="44" customHeight="1">
      <x:c r="A448" s="4" t="n">
        <x:v>2542</x:v>
      </x:c>
      <x:c r="B448" s="4" t="str">
        <x:v>https://blog.skyairline.com/museo-de-bellas-artes/</x:v>
      </x:c>
      <x:c r="C448" s="9" t="str">
        <x:v>Museo de bellas artes en Buenos Aires: ¿Cuánta historia hay dentro?</x:v>
      </x:c>
      <x:c r="D448" s="17" t="d">
        <x:v>2022-12-03T00:00:00.000Z</x:v>
      </x:c>
      <x:c r="E448" s="17" t="d">
        <x:v>2022-12-03T00:00:00.000Z</x:v>
      </x:c>
      <x:c r="F448" s="4" t="str">
        <x:v>Destinos</x:v>
      </x:c>
      <x:c r="G448" s="11" t="n">
        <x:v>1102</x:v>
      </x:c>
      <x:c r="H448" s="11" t="n">
        <x:v>200</x:v>
      </x:c>
      <x:c r="I448" s="11" t="n">
        <x:v>1</x:v>
      </x:c>
      <x:c r="J448" s="4" t="str">
        <x:v>https://blog.skyairline.com/museo-de-bellas-artes/</x:v>
      </x:c>
      <x:c r="K448" s="16" t="b">
        <x:v>0</x:v>
      </x:c>
      <x:c r="L448" s="11" t="n">
        <x:v>0</x:v>
      </x:c>
      <x:c r="M448" s="11" t="n">
        <x:v>3</x:v>
      </x:c>
      <x:c r="N448" s="4"/>
      <x:c r="O448" s="4"/>
      <x:c r="P448" s="11" t="n">
        <x:v>0</x:v>
      </x:c>
      <x:c r="Q448" s="11" t="n">
        <x:v>3</x:v>
      </x:c>
      <x:c r="R448" s="11" t="str">
        <x:f>IF(OR(P448="",Q448=""),"",Q448-P448)</x:f>
      </x:c>
      <x:c r="S448" s="13" t="str">
        <x:f>IF(OR(P448="",Q448="",P448=0),"",((Q448/30)/(P448/31))-1)</x:f>
      </x:c>
      <x:c r="T448" s="11" t="n">
        <x:v>290</x:v>
      </x:c>
      <x:c r="U448" s="11" t="n">
        <x:v>229</x:v>
      </x:c>
      <x:c r="V448" s="14" t="n">
        <x:v>0.013100436681222707</x:v>
      </x:c>
      <x:c r="W448" s="12" t="n">
        <x:v>8.349344978165938</x:v>
      </x:c>
      <x:c r="X448" s="11" t="n">
        <x:v>3</x:v>
      </x:c>
      <x:c r="Y448" s="11" t="n">
        <x:v>3</x:v>
      </x:c>
      <x:c r="Z448" s="4" t="str">
        <x:v>https://blog.skyairline.com/museo-de-bellas-artes/</x:v>
      </x:c>
      <x:c r="AA448" s="4" t="str">
        <x:v>https://blog.skyairline.com/museo-de-bellas-artes/</x:v>
      </x:c>
      <x:c r="AB448" s="4" t="str">
        <x:v>Coincidencia URL</x:v>
      </x:c>
      <x:c r="AC448" s="4" t="str">
        <x:v>Publicado hasta septiembre</x:v>
      </x:c>
      <x:c r="AD448" s="4" t="str">
        <x:v>/museo-de-bellas-artes/</x:v>
      </x:c>
      <x:c r="AE448" s="4"/>
      <x:c r="AF448" s="16" t="b">
        <x:v>0</x:v>
      </x:c>
    </x:row>
    <x:row r="449" ht="44" customHeight="1">
      <x:c r="A449" s="4" t="n">
        <x:v>2648</x:v>
      </x:c>
      <x:c r="B449" s="4" t="str">
        <x:v>https://blog.skyairline.com/ciudades-de-argentina/</x:v>
      </x:c>
      <x:c r="C449" s="9" t="str">
        <x:v>3 ciudades de Argentina para visitar con SKY Airline</x:v>
      </x:c>
      <x:c r="D449" s="17" t="d">
        <x:v>2026-04-30T00:00:00.000Z</x:v>
      </x:c>
      <x:c r="E449" s="17" t="d">
        <x:v>2026-04-28T00:00:00.000Z</x:v>
      </x:c>
      <x:c r="F449" s="4" t="str">
        <x:v>Destinos</x:v>
      </x:c>
      <x:c r="G449" s="11" t="n">
        <x:v>1251</x:v>
      </x:c>
      <x:c r="H449" s="11" t="n">
        <x:v>200</x:v>
      </x:c>
      <x:c r="I449" s="11" t="n">
        <x:v>1</x:v>
      </x:c>
      <x:c r="J449" s="4" t="str">
        <x:v>https://blog.skyairline.com/ciudades-de-argentina/</x:v>
      </x:c>
      <x:c r="K449" s="16" t="b">
        <x:v>0</x:v>
      </x:c>
      <x:c r="L449" s="11" t="n">
        <x:v>0</x:v>
      </x:c>
      <x:c r="M449" s="11" t="n">
        <x:v>0</x:v>
      </x:c>
      <x:c r="N449" s="4"/>
      <x:c r="O449" s="4"/>
      <x:c r="P449" s="11" t="n">
        <x:v>1</x:v>
      </x:c>
      <x:c r="Q449" s="11" t="n">
        <x:v>3</x:v>
      </x:c>
      <x:c r="R449" s="11" t="n">
        <x:f>IF(OR(P449="",Q449=""),"",Q449-P449)</x:f>
        <x:v>2</x:v>
      </x:c>
      <x:c r="S449" s="13" t="n">
        <x:f>IF(OR(P449="",Q449="",P449=0),"",((Q449/30)/(P449/31))-1)</x:f>
        <x:v>2.1</x:v>
      </x:c>
      <x:c r="T449" s="11" t="n">
        <x:v>330</x:v>
      </x:c>
      <x:c r="U449" s="11" t="n">
        <x:v>401</x:v>
      </x:c>
      <x:c r="V449" s="14" t="n">
        <x:v>0.007481296758104738</x:v>
      </x:c>
      <x:c r="W449" s="12" t="n">
        <x:v>8.610972568578553</x:v>
      </x:c>
      <x:c r="X449" s="11" t="n">
        <x:v>2</x:v>
      </x:c>
      <x:c r="Y449" s="11" t="n">
        <x:v>3</x:v>
      </x:c>
      <x:c r="Z449" s="4" t="str">
        <x:v>https://blog.skyairline.com/ciudades-de-argentina/</x:v>
      </x:c>
      <x:c r="AA449" s="4" t="str">
        <x:v>https://blog.skyairline.com/ciudades-de-argentina/</x:v>
      </x:c>
      <x:c r="AB449" s="4" t="str">
        <x:v>Coincidencia URL</x:v>
      </x:c>
      <x:c r="AC449" s="4" t="str">
        <x:v>Publicado hasta septiembre</x:v>
      </x:c>
      <x:c r="AD449" s="4" t="str">
        <x:v>/ciudades-de-argentina/</x:v>
      </x:c>
      <x:c r="AE449" s="4"/>
      <x:c r="AF449" s="16" t="b">
        <x:v>0</x:v>
      </x:c>
    </x:row>
    <x:row r="450" ht="44" customHeight="1">
      <x:c r="A450" s="4" t="n">
        <x:v>2771</x:v>
      </x:c>
      <x:c r="B450" s="4" t="str">
        <x:v>https://blog.skyairline.com/ruinas-antiguas-en-peru/</x:v>
      </x:c>
      <x:c r="C450" s="9" t="str">
        <x:v>5 icónicas ruinas antiguas en Perú que no puedes dejar de visitar</x:v>
      </x:c>
      <x:c r="D450" s="17" t="d">
        <x:v>2023-03-28T00:00:00.000Z</x:v>
      </x:c>
      <x:c r="E450" s="17" t="d">
        <x:v>2023-03-28T00:00:00.000Z</x:v>
      </x:c>
      <x:c r="F450" s="4" t="str">
        <x:v>Cultura</x:v>
      </x:c>
      <x:c r="G450" s="11" t="n">
        <x:v>1004</x:v>
      </x:c>
      <x:c r="H450" s="11" t="n">
        <x:v>200</x:v>
      </x:c>
      <x:c r="I450" s="11" t="n">
        <x:v>1</x:v>
      </x:c>
      <x:c r="J450" s="4" t="str">
        <x:v>https://blog.skyairline.com/ruinas-antiguas-en-peru/</x:v>
      </x:c>
      <x:c r="K450" s="16" t="b">
        <x:v>0</x:v>
      </x:c>
      <x:c r="L450" s="11" t="n">
        <x:v>0</x:v>
      </x:c>
      <x:c r="M450" s="11" t="n">
        <x:v>0</x:v>
      </x:c>
      <x:c r="N450" s="4"/>
      <x:c r="O450" s="4"/>
      <x:c r="P450" s="11" t="n">
        <x:v>1</x:v>
      </x:c>
      <x:c r="Q450" s="11" t="n">
        <x:v>3</x:v>
      </x:c>
      <x:c r="R450" s="11" t="n">
        <x:f>IF(OR(P450="",Q450=""),"",Q450-P450)</x:f>
        <x:v>2</x:v>
      </x:c>
      <x:c r="S450" s="13" t="n">
        <x:f>IF(OR(P450="",Q450="",P450=0),"",((Q450/30)/(P450/31))-1)</x:f>
        <x:v>2.1</x:v>
      </x:c>
      <x:c r="T450" s="11" t="n">
        <x:v>242</x:v>
      </x:c>
      <x:c r="U450" s="11" t="n">
        <x:v>386</x:v>
      </x:c>
      <x:c r="V450" s="14" t="n">
        <x:v>0.007772020725388601</x:v>
      </x:c>
      <x:c r="W450" s="12" t="n">
        <x:v>9.784974093264248</x:v>
      </x:c>
      <x:c r="X450" s="11" t="n">
        <x:v>3</x:v>
      </x:c>
      <x:c r="Y450" s="11" t="n">
        <x:v>3</x:v>
      </x:c>
      <x:c r="Z450" s="4" t="str">
        <x:v>https://blog.skyairline.com/ruinas-antiguas-en-peru/</x:v>
      </x:c>
      <x:c r="AA450" s="4" t="str">
        <x:v>https://blog.skyairline.com/ruinas-antiguas-en-peru/</x:v>
      </x:c>
      <x:c r="AB450" s="4" t="str">
        <x:v>Coincidencia URL</x:v>
      </x:c>
      <x:c r="AC450" s="4" t="str">
        <x:v>Publicado hasta septiembre</x:v>
      </x:c>
      <x:c r="AD450" s="4" t="str">
        <x:v>/ruinas-antiguas-en-peru/</x:v>
      </x:c>
      <x:c r="AE450" s="4"/>
      <x:c r="AF450" s="16" t="b">
        <x:v>0</x:v>
      </x:c>
    </x:row>
    <x:row r="451" ht="44" customHeight="1">
      <x:c r="A451" s="4" t="n">
        <x:v>2864</x:v>
      </x:c>
      <x:c r="B451" s="4" t="str">
        <x:v>https://blog.skyairline.com/parque-natural-pichiluli/</x:v>
      </x:c>
      <x:c r="C451" s="9" t="str">
        <x:v>Parque Natural Pichiluli: ¿qué hacer en este atractivo de Jauja?</x:v>
      </x:c>
      <x:c r="D451" s="17" t="d">
        <x:v>2023-04-27T00:00:00.000Z</x:v>
      </x:c>
      <x:c r="E451" s="17" t="d">
        <x:v>2023-04-27T00:00:00.000Z</x:v>
      </x:c>
      <x:c r="F451" s="4" t="str">
        <x:v>Destinos</x:v>
      </x:c>
      <x:c r="G451" s="11" t="n">
        <x:v>1013</x:v>
      </x:c>
      <x:c r="H451" s="11" t="n">
        <x:v>200</x:v>
      </x:c>
      <x:c r="I451" s="11" t="n">
        <x:v>1</x:v>
      </x:c>
      <x:c r="J451" s="4" t="str">
        <x:v>https://blog.skyairline.com/parque-natural-pichiluli/</x:v>
      </x:c>
      <x:c r="K451" s="16" t="b">
        <x:v>0</x:v>
      </x:c>
      <x:c r="L451" s="11" t="n">
        <x:v>0</x:v>
      </x:c>
      <x:c r="M451" s="11" t="n">
        <x:v>3</x:v>
      </x:c>
      <x:c r="N451" s="4"/>
      <x:c r="O451" s="4"/>
      <x:c r="P451" s="11" t="n">
        <x:v>8</x:v>
      </x:c>
      <x:c r="Q451" s="11" t="n">
        <x:v>3</x:v>
      </x:c>
      <x:c r="R451" s="11" t="n">
        <x:f>IF(OR(P451="",Q451=""),"",Q451-P451)</x:f>
        <x:v>-5</x:v>
      </x:c>
      <x:c r="S451" s="13" t="n">
        <x:f>IF(OR(P451="",Q451="",P451=0),"",((Q451/30)/(P451/31))-1)</x:f>
        <x:v>-0.6125</x:v>
      </x:c>
      <x:c r="T451" s="11" t="n">
        <x:v>181</x:v>
      </x:c>
      <x:c r="U451" s="11" t="n">
        <x:v>115</x:v>
      </x:c>
      <x:c r="V451" s="14" t="n">
        <x:v>0.02608695652173913</x:v>
      </x:c>
      <x:c r="W451" s="12" t="n">
        <x:v>6.321739130434783</x:v>
      </x:c>
      <x:c r="X451" s="11" t="n">
        <x:v>4</x:v>
      </x:c>
      <x:c r="Y451" s="11" t="n">
        <x:v>4</x:v>
      </x:c>
      <x:c r="Z451" s="4" t="str">
        <x:v>https://blog.skyairline.com/parque-natural-pichiluli/</x:v>
      </x:c>
      <x:c r="AA451" s="4" t="str">
        <x:v>https://blog.skyairline.com/parque-natural-pichiluli/</x:v>
      </x:c>
      <x:c r="AB451" s="4" t="str">
        <x:v>Coincidencia URL</x:v>
      </x:c>
      <x:c r="AC451" s="4" t="str">
        <x:v>Publicado hasta septiembre</x:v>
      </x:c>
      <x:c r="AD451" s="4" t="str">
        <x:v>/parque-natural-pichiluli/</x:v>
      </x:c>
      <x:c r="AE451" s="4"/>
      <x:c r="AF451" s="16" t="b">
        <x:v>0</x:v>
      </x:c>
    </x:row>
    <x:row r="452" ht="44" customHeight="1">
      <x:c r="A452" s="4" t="n">
        <x:v>2922</x:v>
      </x:c>
      <x:c r="B452" s="4" t="str">
        <x:v>https://blog.skyairline.com/laguna-de-paca/</x:v>
      </x:c>
      <x:c r="C452" s="9" t="str">
        <x:v>Dónde queda la laguna de Paca y cómo visitarla</x:v>
      </x:c>
      <x:c r="D452" s="17" t="d">
        <x:v>2025-10-10T00:00:00.000Z</x:v>
      </x:c>
      <x:c r="E452" s="17" t="d">
        <x:v>2026-01-12T00:00:00.000Z</x:v>
      </x:c>
      <x:c r="F452" s="4" t="str">
        <x:v>Destinos</x:v>
      </x:c>
      <x:c r="G452" s="11" t="n">
        <x:v>1194</x:v>
      </x:c>
      <x:c r="H452" s="11" t="n">
        <x:v>200</x:v>
      </x:c>
      <x:c r="I452" s="11" t="n">
        <x:v>1</x:v>
      </x:c>
      <x:c r="J452" s="4" t="str">
        <x:v>https://blog.skyairline.com/laguna-de-paca/</x:v>
      </x:c>
      <x:c r="K452" s="16" t="b">
        <x:v>0</x:v>
      </x:c>
      <x:c r="L452" s="11" t="n">
        <x:v>0</x:v>
      </x:c>
      <x:c r="M452" s="11" t="n">
        <x:v>5</x:v>
      </x:c>
      <x:c r="N452" s="4"/>
      <x:c r="O452" s="4"/>
      <x:c r="P452" s="11" t="n">
        <x:v>7</x:v>
      </x:c>
      <x:c r="Q452" s="11" t="n">
        <x:v>3</x:v>
      </x:c>
      <x:c r="R452" s="11" t="n">
        <x:f>IF(OR(P452="",Q452=""),"",Q452-P452)</x:f>
        <x:v>-4</x:v>
      </x:c>
      <x:c r="S452" s="13" t="n">
        <x:f>IF(OR(P452="",Q452="",P452=0),"",((Q452/30)/(P452/31))-1)</x:f>
        <x:v>-0.5571428571428572</x:v>
      </x:c>
      <x:c r="T452" s="11" t="n">
        <x:v>5223</x:v>
      </x:c>
      <x:c r="U452" s="11" t="n">
        <x:v>2758</x:v>
      </x:c>
      <x:c r="V452" s="14" t="n">
        <x:v>0.0010877447425670776</x:v>
      </x:c>
      <x:c r="W452" s="12" t="n">
        <x:v>9.519579405366207</x:v>
      </x:c>
      <x:c r="X452" s="11" t="n">
        <x:v>6</x:v>
      </x:c>
      <x:c r="Y452" s="11" t="n">
        <x:v>11</x:v>
      </x:c>
      <x:c r="Z452" s="4" t="str">
        <x:v>https://blog.skyairline.com/laguna-de-paca/</x:v>
      </x:c>
      <x:c r="AA452" s="4" t="str">
        <x:v>https://blog.skyairline.com/laguna-de-paca/</x:v>
      </x:c>
      <x:c r="AB452" s="4" t="str">
        <x:v>Coincidencia URL</x:v>
      </x:c>
      <x:c r="AC452" s="4" t="str">
        <x:v>Publicado hasta septiembre</x:v>
      </x:c>
      <x:c r="AD452" s="4" t="str">
        <x:v>/laguna-de-paca/</x:v>
      </x:c>
      <x:c r="AE452" s="4"/>
      <x:c r="AF452" s="16" t="b">
        <x:v>0</x:v>
      </x:c>
    </x:row>
    <x:row r="453" ht="44" customHeight="1">
      <x:c r="A453" s="4" t="n">
        <x:v>2973</x:v>
      </x:c>
      <x:c r="B453" s="4" t="str">
        <x:v>https://blog.skyairline.com/plato-tipico-de-tacna/</x:v>
      </x:c>
      <x:c r="C453" s="9" t="str">
        <x:v>¿Cuál es el plato típico de Tacna y qué más ofrece su gastronomía?</x:v>
      </x:c>
      <x:c r="D453" s="17" t="d">
        <x:v>2023-06-01T00:00:00.000Z</x:v>
      </x:c>
      <x:c r="E453" s="17" t="d">
        <x:v>2023-06-01T00:00:00.000Z</x:v>
      </x:c>
      <x:c r="F453" s="4" t="str">
        <x:v>Cultura</x:v>
      </x:c>
      <x:c r="G453" s="11" t="n">
        <x:v>1082</x:v>
      </x:c>
      <x:c r="H453" s="11" t="n">
        <x:v>200</x:v>
      </x:c>
      <x:c r="I453" s="11" t="n">
        <x:v>1</x:v>
      </x:c>
      <x:c r="J453" s="4" t="str">
        <x:v>https://blog.skyairline.com/plato-tipico-de-tacna/</x:v>
      </x:c>
      <x:c r="K453" s="16" t="b">
        <x:v>0</x:v>
      </x:c>
      <x:c r="L453" s="11" t="n">
        <x:v>0</x:v>
      </x:c>
      <x:c r="M453" s="11" t="n">
        <x:v>3</x:v>
      </x:c>
      <x:c r="N453" s="4"/>
      <x:c r="O453" s="4"/>
      <x:c r="P453" s="11" t="n">
        <x:v>14</x:v>
      </x:c>
      <x:c r="Q453" s="11" t="n">
        <x:v>3</x:v>
      </x:c>
      <x:c r="R453" s="11" t="n">
        <x:f>IF(OR(P453="",Q453=""),"",Q453-P453)</x:f>
        <x:v>-11</x:v>
      </x:c>
      <x:c r="S453" s="13" t="n">
        <x:f>IF(OR(P453="",Q453="",P453=0),"",((Q453/30)/(P453/31))-1)</x:f>
        <x:v>-0.7785714285714286</x:v>
      </x:c>
      <x:c r="T453" s="11" t="n">
        <x:v>3684</x:v>
      </x:c>
      <x:c r="U453" s="11" t="n">
        <x:v>747</x:v>
      </x:c>
      <x:c r="V453" s="14" t="n">
        <x:v>0.004016064257028112</x:v>
      </x:c>
      <x:c r="W453" s="12" t="n">
        <x:v>7.733601070950469</x:v>
      </x:c>
      <x:c r="X453" s="11" t="n">
        <x:v>5</x:v>
      </x:c>
      <x:c r="Y453" s="11" t="n">
        <x:v>8</x:v>
      </x:c>
      <x:c r="Z453" s="4" t="str">
        <x:v>https://blog.skyairline.com/plato-tipico-de-tacna/</x:v>
      </x:c>
      <x:c r="AA453" s="4" t="str">
        <x:v>https://blog.skyairline.com/plato-tipico-de-tacna/</x:v>
      </x:c>
      <x:c r="AB453" s="4" t="str">
        <x:v>Coincidencia URL</x:v>
      </x:c>
      <x:c r="AC453" s="4" t="str">
        <x:v>Publicado hasta septiembre</x:v>
      </x:c>
      <x:c r="AD453" s="4" t="str">
        <x:v>/plato-tipico-de-tacna/</x:v>
      </x:c>
      <x:c r="AE453" s="4"/>
      <x:c r="AF453" s="16" t="b">
        <x:v>0</x:v>
      </x:c>
    </x:row>
    <x:row r="454" ht="44" customHeight="1">
      <x:c r="A454" s="4" t="n">
        <x:v>2985</x:v>
      </x:c>
      <x:c r="B454" s="4" t="str">
        <x:v>https://blog.skyairline.com/playa-lobitos/</x:v>
      </x:c>
      <x:c r="C454" s="9" t="str">
        <x:v>Playa Lobitos: un paraíso para el surf en Piura</x:v>
      </x:c>
      <x:c r="D454" s="17" t="d">
        <x:v>2026-05-15T00:00:00.000Z</x:v>
      </x:c>
      <x:c r="E454" s="17" t="d">
        <x:v>2026-05-11T00:00:00.000Z</x:v>
      </x:c>
      <x:c r="F454" s="4" t="str">
        <x:v>Destinos</x:v>
      </x:c>
      <x:c r="G454" s="11" t="n">
        <x:v>1039</x:v>
      </x:c>
      <x:c r="H454" s="11" t="n">
        <x:v>200</x:v>
      </x:c>
      <x:c r="I454" s="11" t="n">
        <x:v>1</x:v>
      </x:c>
      <x:c r="J454" s="4" t="str">
        <x:v>https://blog.skyairline.com/playa-lobitos/</x:v>
      </x:c>
      <x:c r="K454" s="16" t="b">
        <x:v>0</x:v>
      </x:c>
      <x:c r="L454" s="11" t="n">
        <x:v>0</x:v>
      </x:c>
      <x:c r="M454" s="11" t="n">
        <x:v>0</x:v>
      </x:c>
      <x:c r="N454" s="4"/>
      <x:c r="O454" s="4"/>
      <x:c r="P454" s="11" t="n">
        <x:v>6</x:v>
      </x:c>
      <x:c r="Q454" s="11" t="n">
        <x:v>3</x:v>
      </x:c>
      <x:c r="R454" s="11" t="n">
        <x:f>IF(OR(P454="",Q454=""),"",Q454-P454)</x:f>
        <x:v>-3</x:v>
      </x:c>
      <x:c r="S454" s="13" t="n">
        <x:f>IF(OR(P454="",Q454="",P454=0),"",((Q454/30)/(P454/31))-1)</x:f>
        <x:v>-0.4833333333333333</x:v>
      </x:c>
      <x:c r="T454" s="11" t="n">
        <x:v>1615</x:v>
      </x:c>
      <x:c r="U454" s="11" t="n">
        <x:v>707</x:v>
      </x:c>
      <x:c r="V454" s="14" t="n">
        <x:v>0.004243281471004243</x:v>
      </x:c>
      <x:c r="W454" s="12" t="n">
        <x:v>7.527581329561528</x:v>
      </x:c>
      <x:c r="X454" s="11" t="n">
        <x:v>3</x:v>
      </x:c>
      <x:c r="Y454" s="11" t="n">
        <x:v>4</x:v>
      </x:c>
      <x:c r="Z454" s="4" t="str">
        <x:v>https://blog.skyairline.com/playa-lobitos/</x:v>
      </x:c>
      <x:c r="AA454" s="4" t="str">
        <x:v>https://blog.skyairline.com/playa-lobitos/</x:v>
      </x:c>
      <x:c r="AB454" s="4" t="str">
        <x:v>Coincidencia URL</x:v>
      </x:c>
      <x:c r="AC454" s="4" t="str">
        <x:v>Publicado hasta septiembre</x:v>
      </x:c>
      <x:c r="AD454" s="4" t="str">
        <x:v>/playa-lobitos/</x:v>
      </x:c>
      <x:c r="AE454" s="4"/>
      <x:c r="AF454" s="16" t="b">
        <x:v>0</x:v>
      </x:c>
    </x:row>
    <x:row r="455" ht="44" customHeight="1">
      <x:c r="A455" s="4" t="n">
        <x:v>3046</x:v>
      </x:c>
      <x:c r="B455" s="4" t="str">
        <x:v>https://blog.skyairline.com/ciudades-brasilenas/</x:v>
      </x:c>
      <x:c r="C455" s="9" t="str">
        <x:v>Viaje a Brasil: qué esperar y cómo elegir el destino ideal</x:v>
      </x:c>
      <x:c r="D455" s="17" t="d">
        <x:v>2026-03-18T00:00:00.000Z</x:v>
      </x:c>
      <x:c r="E455" s="17" t="d">
        <x:v>2026-03-16T00:00:00.000Z</x:v>
      </x:c>
      <x:c r="F455" s="4" t="str">
        <x:v>Destinos</x:v>
      </x:c>
      <x:c r="G455" s="11" t="n">
        <x:v>1047</x:v>
      </x:c>
      <x:c r="H455" s="11" t="n">
        <x:v>200</x:v>
      </x:c>
      <x:c r="I455" s="11" t="n">
        <x:v>1</x:v>
      </x:c>
      <x:c r="J455" s="4" t="str">
        <x:v>https://blog.skyairline.com/ciudades-brasilenas/</x:v>
      </x:c>
      <x:c r="K455" s="16" t="b">
        <x:v>0</x:v>
      </x:c>
      <x:c r="L455" s="11" t="n">
        <x:v>0</x:v>
      </x:c>
      <x:c r="M455" s="11" t="n">
        <x:v>0</x:v>
      </x:c>
      <x:c r="N455" s="4"/>
      <x:c r="O455" s="4"/>
      <x:c r="P455" s="11" t="n">
        <x:v>3</x:v>
      </x:c>
      <x:c r="Q455" s="11" t="n">
        <x:v>3</x:v>
      </x:c>
      <x:c r="R455" s="11" t="n">
        <x:f>IF(OR(P455="",Q455=""),"",Q455-P455)</x:f>
        <x:v>0</x:v>
      </x:c>
      <x:c r="S455" s="13" t="n">
        <x:f>IF(OR(P455="",Q455="",P455=0),"",((Q455/30)/(P455/31))-1)</x:f>
        <x:v>0.03333333333333344</x:v>
      </x:c>
      <x:c r="T455" s="11" t="n">
        <x:v>588</x:v>
      </x:c>
      <x:c r="U455" s="11" t="n">
        <x:v>410</x:v>
      </x:c>
      <x:c r="V455" s="14" t="n">
        <x:v>0.007317073170731708</x:v>
      </x:c>
      <x:c r="W455" s="12" t="n">
        <x:v>9.141463414634146</x:v>
      </x:c>
      <x:c r="X455" s="11" t="n">
        <x:v>4</x:v>
      </x:c>
      <x:c r="Y455" s="11" t="n">
        <x:v>4</x:v>
      </x:c>
      <x:c r="Z455" s="4" t="str">
        <x:v>https://blog.skyairline.com/ciudades-brasilenas/</x:v>
      </x:c>
      <x:c r="AA455" s="4" t="str">
        <x:v>https://blog.skyairline.com/ciudades-brasilenas/</x:v>
      </x:c>
      <x:c r="AB455" s="4" t="str">
        <x:v>Coincidencia URL</x:v>
      </x:c>
      <x:c r="AC455" s="4" t="str">
        <x:v>Publicado hasta septiembre</x:v>
      </x:c>
      <x:c r="AD455" s="4" t="str">
        <x:v>/ciudades-brasilenas/</x:v>
      </x:c>
      <x:c r="AE455" s="4"/>
      <x:c r="AF455" s="16" t="b">
        <x:v>0</x:v>
      </x:c>
    </x:row>
    <x:row r="456" ht="44" customHeight="1">
      <x:c r="A456" s="4" t="n">
        <x:v>3282</x:v>
      </x:c>
      <x:c r="B456" s="4" t="str">
        <x:v>https://blog.skyairline.com/parque-do-ibirapuera/</x:v>
      </x:c>
      <x:c r="C456" s="9" t="str">
        <x:v>Guía de visita al Parque Ibirapuera en São Paulo</x:v>
      </x:c>
      <x:c r="D456" s="17" t="d">
        <x:v>2026-08-15T00:00:00.000Z</x:v>
      </x:c>
      <x:c r="E456" s="17" t="d">
        <x:v>2026-08-13T00:00:00.000Z</x:v>
      </x:c>
      <x:c r="F456" s="4" t="str">
        <x:v>Destinos</x:v>
      </x:c>
      <x:c r="G456" s="11" t="n">
        <x:v>1030</x:v>
      </x:c>
      <x:c r="H456" s="11" t="n">
        <x:v>200</x:v>
      </x:c>
      <x:c r="I456" s="11" t="n">
        <x:v>1</x:v>
      </x:c>
      <x:c r="J456" s="4" t="str">
        <x:v>https://blog.skyairline.com/parque-do-ibirapuera/</x:v>
      </x:c>
      <x:c r="K456" s="16" t="b">
        <x:v>0</x:v>
      </x:c>
      <x:c r="L456" s="11" t="n">
        <x:v>0</x:v>
      </x:c>
      <x:c r="M456" s="11" t="n">
        <x:v>0</x:v>
      </x:c>
      <x:c r="N456" s="4"/>
      <x:c r="O456" s="4"/>
      <x:c r="P456" s="11" t="n">
        <x:v>4</x:v>
      </x:c>
      <x:c r="Q456" s="11" t="n">
        <x:v>3</x:v>
      </x:c>
      <x:c r="R456" s="11" t="n">
        <x:f>IF(OR(P456="",Q456=""),"",Q456-P456)</x:f>
        <x:v>-1</x:v>
      </x:c>
      <x:c r="S456" s="13" t="n">
        <x:f>IF(OR(P456="",Q456="",P456=0),"",((Q456/30)/(P456/31))-1)</x:f>
        <x:v>-0.22499999999999998</x:v>
      </x:c>
      <x:c r="T456" s="11" t="n">
        <x:v>744</x:v>
      </x:c>
      <x:c r="U456" s="11" t="n">
        <x:v>1089</x:v>
      </x:c>
      <x:c r="V456" s="14" t="n">
        <x:v>0.0027548209366391185</x:v>
      </x:c>
      <x:c r="W456" s="12" t="n">
        <x:v>9.669421487603305</x:v>
      </x:c>
      <x:c r="X456" s="11" t="n">
        <x:v>3</x:v>
      </x:c>
      <x:c r="Y456" s="11" t="n">
        <x:v>2</x:v>
      </x:c>
      <x:c r="Z456" s="4" t="str">
        <x:v>https://blog.skyairline.com/parque-do-ibirapuera/</x:v>
      </x:c>
      <x:c r="AA456" s="4" t="str">
        <x:v>https://blog.skyairline.com/parque-do-ibirapuera/</x:v>
      </x:c>
      <x:c r="AB456" s="4" t="str">
        <x:v>Coincidencia URL</x:v>
      </x:c>
      <x:c r="AC456" s="4" t="str">
        <x:v>Publicado hasta septiembre</x:v>
      </x:c>
      <x:c r="AD456" s="4" t="str">
        <x:v>/parque-do-ibirapuera/</x:v>
      </x:c>
      <x:c r="AE456" s="4"/>
      <x:c r="AF456" s="16" t="b">
        <x:v>0</x:v>
      </x:c>
    </x:row>
    <x:row r="457" ht="44" customHeight="1">
      <x:c r="A457" s="4" t="n">
        <x:v>3452</x:v>
      </x:c>
      <x:c r="B457" s="4" t="str">
        <x:v>https://blog.skyairline.com/sky-airline-regresa-al-mercado-uruguayo-con-el-lanzamiento-de-4-rutas-internacionales-desde-montevideo/</x:v>
      </x:c>
      <x:c r="C457" s="9" t="str">
        <x:v>SKY Airline regresa al mercado uruguayo con el lanzamiento de 4 rutas internacionales desde Montevideo</x:v>
      </x:c>
      <x:c r="D457" s="17" t="d">
        <x:v>2023-08-31T00:00:00.000Z</x:v>
      </x:c>
      <x:c r="E457" s="17" t="d">
        <x:v>2023-08-31T00:00:00.000Z</x:v>
      </x:c>
      <x:c r="F457" s="4" t="str">
        <x:v>Noticias</x:v>
      </x:c>
      <x:c r="G457" s="11" t="n">
        <x:v>861</x:v>
      </x:c>
      <x:c r="H457" s="11" t="n">
        <x:v>200</x:v>
      </x:c>
      <x:c r="I457" s="11" t="n">
        <x:v>1</x:v>
      </x:c>
      <x:c r="J457" s="4" t="str">
        <x:v>https://blog.skyairline.com/sky-airline-regresa-al-mercado-uruguayo-con-el-lanzamiento-de-4-rutas-internacionales-desde-montevideo/</x:v>
      </x:c>
      <x:c r="K457" s="16" t="b">
        <x:v>0</x:v>
      </x:c>
      <x:c r="L457" s="11" t="n">
        <x:v>0</x:v>
      </x:c>
      <x:c r="M457" s="11" t="n">
        <x:v>0</x:v>
      </x:c>
      <x:c r="N457" s="4"/>
      <x:c r="O457" s="4"/>
      <x:c r="P457" s="11" t="n">
        <x:v>1</x:v>
      </x:c>
      <x:c r="Q457" s="11" t="n">
        <x:v>3</x:v>
      </x:c>
      <x:c r="R457" s="11" t="n">
        <x:f>IF(OR(P457="",Q457=""),"",Q457-P457)</x:f>
        <x:v>2</x:v>
      </x:c>
      <x:c r="S457" s="13" t="n">
        <x:f>IF(OR(P457="",Q457="",P457=0),"",((Q457/30)/(P457/31))-1)</x:f>
        <x:v>2.1</x:v>
      </x:c>
      <x:c r="T457" s="11" t="n">
        <x:v>408</x:v>
      </x:c>
      <x:c r="U457" s="11" t="n">
        <x:v>1734</x:v>
      </x:c>
      <x:c r="V457" s="14" t="n">
        <x:v>0.0017301038062283738</x:v>
      </x:c>
      <x:c r="W457" s="12" t="n">
        <x:v>5.521337946943484</x:v>
      </x:c>
      <x:c r="X457" s="11" t="n">
        <x:v>3</x:v>
      </x:c>
      <x:c r="Y457" s="11" t="n">
        <x:v>4</x:v>
      </x:c>
      <x:c r="Z457" s="4" t="str">
        <x:v>https://blog.skyairline.com/sky-airline-regresa-al-mercado-uruguayo-con-el-lanzamiento-de-4-rutas-internacionales-desde-montevideo/</x:v>
      </x:c>
      <x:c r="AA457" s="4" t="str">
        <x:v>https://blog.skyairline.com/sky-airline-regresa-al-mercado-uruguayo-con-el-lanzamiento-de-4-rutas-internacionales-desde-montevideo/</x:v>
      </x:c>
      <x:c r="AB457" s="4" t="str">
        <x:v>Coincidencia URL</x:v>
      </x:c>
      <x:c r="AC457" s="4" t="str">
        <x:v>Publicado hasta septiembre</x:v>
      </x:c>
      <x:c r="AD457" s="4" t="str">
        <x:v>/sky-airline-regresa-al-mercado-uruguayo-con-el-lanzamiento-de-4-rutas-internacionales-desde-montevideo/</x:v>
      </x:c>
      <x:c r="AE457" s="4"/>
      <x:c r="AF457" s="16" t="b">
        <x:v>0</x:v>
      </x:c>
    </x:row>
    <x:row r="458" ht="44" customHeight="1">
      <x:c r="A458" s="4" t="n">
        <x:v>3839</x:v>
      </x:c>
      <x:c r="B458" s="4" t="str">
        <x:v>https://blog.skyairline.com/festival-de-rio/</x:v>
      </x:c>
      <x:c r="C458" s="9" t="str">
        <x:v>Festival de Río: todo lo que necesitas saber para ir</x:v>
      </x:c>
      <x:c r="D458" s="17" t="d">
        <x:v>2023-12-19T00:00:00.000Z</x:v>
      </x:c>
      <x:c r="E458" s="17" t="d">
        <x:v>2023-12-19T00:00:00.000Z</x:v>
      </x:c>
      <x:c r="F458" s="4" t="str">
        <x:v>Destinos</x:v>
      </x:c>
      <x:c r="G458" s="11" t="n">
        <x:v>1093</x:v>
      </x:c>
      <x:c r="H458" s="11" t="n">
        <x:v>200</x:v>
      </x:c>
      <x:c r="I458" s="11" t="n">
        <x:v>1</x:v>
      </x:c>
      <x:c r="J458" s="4" t="str">
        <x:v>https://blog.skyairline.com/festival-de-rio/</x:v>
      </x:c>
      <x:c r="K458" s="16" t="b">
        <x:v>0</x:v>
      </x:c>
      <x:c r="L458" s="11" t="n">
        <x:v>0</x:v>
      </x:c>
      <x:c r="M458" s="11" t="n">
        <x:v>3</x:v>
      </x:c>
      <x:c r="N458" s="4"/>
      <x:c r="O458" s="4"/>
      <x:c r="P458" s="11" t="n">
        <x:v>3</x:v>
      </x:c>
      <x:c r="Q458" s="11" t="n">
        <x:v>3</x:v>
      </x:c>
      <x:c r="R458" s="11" t="n">
        <x:f>IF(OR(P458="",Q458=""),"",Q458-P458)</x:f>
        <x:v>0</x:v>
      </x:c>
      <x:c r="S458" s="13" t="n">
        <x:f>IF(OR(P458="",Q458="",P458=0),"",((Q458/30)/(P458/31))-1)</x:f>
        <x:v>0.03333333333333344</x:v>
      </x:c>
      <x:c r="T458" s="11" t="n">
        <x:v>447</x:v>
      </x:c>
      <x:c r="U458" s="11" t="n">
        <x:v>373</x:v>
      </x:c>
      <x:c r="V458" s="14" t="n">
        <x:v>0.00804289544235925</x:v>
      </x:c>
      <x:c r="W458" s="12" t="n">
        <x:v>8.67024128686327</x:v>
      </x:c>
      <x:c r="X458" s="11" t="n">
        <x:v>8</x:v>
      </x:c>
      <x:c r="Y458" s="11" t="n">
        <x:v>7</x:v>
      </x:c>
      <x:c r="Z458" s="4" t="str">
        <x:v>https://blog.skyairline.com/festival-de-rio/</x:v>
      </x:c>
      <x:c r="AA458" s="4" t="str">
        <x:v>https://blog.skyairline.com/festival-de-rio/</x:v>
      </x:c>
      <x:c r="AB458" s="4" t="str">
        <x:v>Coincidencia URL</x:v>
      </x:c>
      <x:c r="AC458" s="4" t="str">
        <x:v>Publicado hasta septiembre</x:v>
      </x:c>
      <x:c r="AD458" s="4" t="str">
        <x:v>/festival-de-rio/</x:v>
      </x:c>
      <x:c r="AE458" s="4"/>
      <x:c r="AF458" s="16" t="b">
        <x:v>0</x:v>
      </x:c>
    </x:row>
    <x:row r="459" ht="44" customHeight="1">
      <x:c r="A459" s="4" t="n">
        <x:v>4849</x:v>
      </x:c>
      <x:c r="B459" s="4" t="str">
        <x:v>https://blog.skyairline.com/sky-air-france-y-klm-firman-acuerdo-interlineal-para-conectar-pasajeros-que-viajen-desde-y-hacia-europa-con-mas-de-30-destinos-en-chile-peru-y-el-resto-de-la-region/</x:v>
      </x:c>
      <x:c r="C459" s="9" t="str">
        <x:v>SKY, Air France y KLM firman acuerdo interlineal para conectar pasajeros que viajen desde y hacia Europa con más de 30 destinos en Chile, Perú y el resto de la región</x:v>
      </x:c>
      <x:c r="D459" s="17" t="d">
        <x:v>2024-07-29T00:00:00.000Z</x:v>
      </x:c>
      <x:c r="E459" s="17" t="d">
        <x:v>2024-07-29T00:00:00.000Z</x:v>
      </x:c>
      <x:c r="F459" s="4" t="str">
        <x:v>Noticias</x:v>
      </x:c>
      <x:c r="G459" s="11" t="n">
        <x:v>399</x:v>
      </x:c>
      <x:c r="H459" s="11" t="n">
        <x:v>200</x:v>
      </x:c>
      <x:c r="I459" s="11" t="n">
        <x:v>1</x:v>
      </x:c>
      <x:c r="J459" s="4" t="str">
        <x:v>https://blog.skyairline.com/sky-air-france-y-klm-firman-acuerdo-interlineal-para-conectar-pasajeros-que-viajen-desde-y-hacia-europa-con-mas-de-30-destinos-en-chile-peru-y-el-resto-de-la-region/</x:v>
      </x:c>
      <x:c r="K459" s="16" t="b">
        <x:v>0</x:v>
      </x:c>
      <x:c r="L459" s="11" t="n">
        <x:v>0</x:v>
      </x:c>
      <x:c r="M459" s="11" t="n">
        <x:v>0</x:v>
      </x:c>
      <x:c r="N459" s="4"/>
      <x:c r="O459" s="4"/>
      <x:c r="P459" s="11" t="n">
        <x:v>3</x:v>
      </x:c>
      <x:c r="Q459" s="11" t="n">
        <x:v>3</x:v>
      </x:c>
      <x:c r="R459" s="11" t="n">
        <x:f>IF(OR(P459="",Q459=""),"",Q459-P459)</x:f>
        <x:v>0</x:v>
      </x:c>
      <x:c r="S459" s="13" t="n">
        <x:f>IF(OR(P459="",Q459="",P459=0),"",((Q459/30)/(P459/31))-1)</x:f>
        <x:v>0.03333333333333344</x:v>
      </x:c>
      <x:c r="T459" s="11" t="n">
        <x:v>168</x:v>
      </x:c>
      <x:c r="U459" s="11" t="n">
        <x:v>156</x:v>
      </x:c>
      <x:c r="V459" s="14" t="n">
        <x:v>0.019230769230769232</x:v>
      </x:c>
      <x:c r="W459" s="12" t="n">
        <x:v>7.2756410256410255</x:v>
      </x:c>
      <x:c r="X459" s="11" t="n">
        <x:v>2</x:v>
      </x:c>
      <x:c r="Y459" s="11" t="n">
        <x:v>3</x:v>
      </x:c>
      <x:c r="Z459" s="4" t="str">
        <x:v>https://blog.skyairline.com/sky-air-france-y-klm-firman-acuerdo-interlineal-para-conectar-pasajeros-que-viajen-desde-y-hacia-europa-con-mas-de-30-destinos-en-chile-peru-y-el-resto-de-la-region/</x:v>
      </x:c>
      <x:c r="AA459" s="4" t="str">
        <x:v>https://blog.skyairline.com/sky-air-france-y-klm-firman-acuerdo-interlineal-para-conectar-pasajeros-que-viajen-desde-y-hacia-europa-con-mas-de-30-destinos-en-chile-peru-y-el-resto-de-la-region/</x:v>
      </x:c>
      <x:c r="AB459" s="4" t="str">
        <x:v>Coincidencia URL</x:v>
      </x:c>
      <x:c r="AC459" s="4" t="str">
        <x:v>Publicado hasta septiembre</x:v>
      </x:c>
      <x:c r="AD459" s="4" t="str">
        <x:v>/sky-air-france-y-klm-firman-acuerdo-interlineal-para-conectar-pasajeros-que-viajen-desde-y-hacia-europa-con-mas-de-30-destinos-en-chile-peru-y-el-resto-de-la-region/</x:v>
      </x:c>
      <x:c r="AE459" s="4"/>
      <x:c r="AF459" s="16" t="b">
        <x:v>0</x:v>
      </x:c>
    </x:row>
    <x:row r="460" ht="44" customHeight="1">
      <x:c r="A460" s="4" t="n">
        <x:v>4874</x:v>
      </x:c>
      <x:c r="B460" s="4" t="str">
        <x:v>https://blog.skyairline.com/catedral-brasilia/</x:v>
      </x:c>
      <x:c r="C460" s="9" t="str">
        <x:v>Catedral de Brasilia: Un templo majestuoso</x:v>
      </x:c>
      <x:c r="D460" s="17" t="d">
        <x:v>2024-08-09T00:00:00.000Z</x:v>
      </x:c>
      <x:c r="E460" s="17" t="d">
        <x:v>2024-08-09T00:00:00.000Z</x:v>
      </x:c>
      <x:c r="F460" s="4" t="str">
        <x:v>Destinos</x:v>
      </x:c>
      <x:c r="G460" s="11" t="n">
        <x:v>1065</x:v>
      </x:c>
      <x:c r="H460" s="11" t="n">
        <x:v>200</x:v>
      </x:c>
      <x:c r="I460" s="11" t="n">
        <x:v>1</x:v>
      </x:c>
      <x:c r="J460" s="4" t="str">
        <x:v>https://blog.skyairline.com/catedral-brasilia/</x:v>
      </x:c>
      <x:c r="K460" s="16" t="b">
        <x:v>0</x:v>
      </x:c>
      <x:c r="L460" s="11" t="n">
        <x:v>0</x:v>
      </x:c>
      <x:c r="M460" s="11" t="n">
        <x:v>3</x:v>
      </x:c>
      <x:c r="N460" s="4"/>
      <x:c r="O460" s="4"/>
      <x:c r="P460" s="11" t="n">
        <x:v>9</x:v>
      </x:c>
      <x:c r="Q460" s="11" t="n">
        <x:v>3</x:v>
      </x:c>
      <x:c r="R460" s="11" t="n">
        <x:f>IF(OR(P460="",Q460=""),"",Q460-P460)</x:f>
        <x:v>-6</x:v>
      </x:c>
      <x:c r="S460" s="13" t="n">
        <x:f>IF(OR(P460="",Q460="",P460=0),"",((Q460/30)/(P460/31))-1)</x:f>
        <x:v>-0.6555555555555556</x:v>
      </x:c>
      <x:c r="T460" s="11" t="n">
        <x:v>1163</x:v>
      </x:c>
      <x:c r="U460" s="11" t="n">
        <x:v>1027</x:v>
      </x:c>
      <x:c r="V460" s="14" t="n">
        <x:v>0.0029211295034079843</x:v>
      </x:c>
      <x:c r="W460" s="12" t="n">
        <x:v>10.180136319376826</x:v>
      </x:c>
      <x:c r="X460" s="11" t="n">
        <x:v>6</x:v>
      </x:c>
      <x:c r="Y460" s="11" t="n">
        <x:v>4</x:v>
      </x:c>
      <x:c r="Z460" s="4" t="str">
        <x:v>https://blog.skyairline.com/catedral-brasilia/</x:v>
      </x:c>
      <x:c r="AA460" s="4" t="str">
        <x:v>https://blog.skyairline.com/catedral-brasilia/</x:v>
      </x:c>
      <x:c r="AB460" s="4" t="str">
        <x:v>Coincidencia URL</x:v>
      </x:c>
      <x:c r="AC460" s="4" t="str">
        <x:v>Publicado hasta septiembre</x:v>
      </x:c>
      <x:c r="AD460" s="4" t="str">
        <x:v>/catedral-brasilia/</x:v>
      </x:c>
      <x:c r="AE460" s="4"/>
      <x:c r="AF460" s="16" t="b">
        <x:v>0</x:v>
      </x:c>
    </x:row>
    <x:row r="461" ht="44" customHeight="1">
      <x:c r="A461" s="4" t="n">
        <x:v>4901</x:v>
      </x:c>
      <x:c r="B461" s="4" t="str">
        <x:v>https://blog.skyairline.com/oscar-niemeyer/</x:v>
      </x:c>
      <x:c r="C461" s="9" t="str">
        <x:v>Mejores obras de Oscar Niemeyer en Brasil que debes ver con tus propios ojos</x:v>
      </x:c>
      <x:c r="D461" s="17" t="d">
        <x:v>2024-08-19T00:00:00.000Z</x:v>
      </x:c>
      <x:c r="E461" s="17" t="d">
        <x:v>2024-08-19T00:00:00.000Z</x:v>
      </x:c>
      <x:c r="F461" s="4" t="str">
        <x:v>Destinos</x:v>
      </x:c>
      <x:c r="G461" s="11" t="n">
        <x:v>1072</x:v>
      </x:c>
      <x:c r="H461" s="11" t="n">
        <x:v>200</x:v>
      </x:c>
      <x:c r="I461" s="11" t="n">
        <x:v>1</x:v>
      </x:c>
      <x:c r="J461" s="4" t="str">
        <x:v>https://blog.skyairline.com/oscar-niemeyer/</x:v>
      </x:c>
      <x:c r="K461" s="16" t="b">
        <x:v>0</x:v>
      </x:c>
      <x:c r="L461" s="11" t="n">
        <x:v>0</x:v>
      </x:c>
      <x:c r="M461" s="11" t="n">
        <x:v>3</x:v>
      </x:c>
      <x:c r="N461" s="4"/>
      <x:c r="O461" s="4"/>
      <x:c r="P461" s="11" t="n">
        <x:v>4</x:v>
      </x:c>
      <x:c r="Q461" s="11" t="n">
        <x:v>3</x:v>
      </x:c>
      <x:c r="R461" s="11" t="n">
        <x:f>IF(OR(P461="",Q461=""),"",Q461-P461)</x:f>
        <x:v>-1</x:v>
      </x:c>
      <x:c r="S461" s="13" t="n">
        <x:f>IF(OR(P461="",Q461="",P461=0),"",((Q461/30)/(P461/31))-1)</x:f>
        <x:v>-0.22499999999999998</x:v>
      </x:c>
      <x:c r="T461" s="11" t="n">
        <x:v>573</x:v>
      </x:c>
      <x:c r="U461" s="11" t="n">
        <x:v>443</x:v>
      </x:c>
      <x:c r="V461" s="14" t="n">
        <x:v>0.006772009029345372</x:v>
      </x:c>
      <x:c r="W461" s="12" t="n">
        <x:v>11.252821670428894</x:v>
      </x:c>
      <x:c r="X461" s="11" t="n">
        <x:v>3</x:v>
      </x:c>
      <x:c r="Y461" s="11" t="n">
        <x:v>3</x:v>
      </x:c>
      <x:c r="Z461" s="4" t="str">
        <x:v>https://blog.skyairline.com/oscar-niemeyer/</x:v>
      </x:c>
      <x:c r="AA461" s="4" t="str">
        <x:v>https://blog.skyairline.com/oscar-niemeyer/</x:v>
      </x:c>
      <x:c r="AB461" s="4" t="str">
        <x:v>Coincidencia URL</x:v>
      </x:c>
      <x:c r="AC461" s="4" t="str">
        <x:v>Publicado hasta septiembre</x:v>
      </x:c>
      <x:c r="AD461" s="4" t="str">
        <x:v>/oscar-niemeyer/</x:v>
      </x:c>
      <x:c r="AE461" s="4"/>
      <x:c r="AF461" s="16" t="b">
        <x:v>0</x:v>
      </x:c>
    </x:row>
    <x:row r="462" ht="44" customHeight="1">
      <x:c r="A462" s="4" t="n">
        <x:v>4917</x:v>
      </x:c>
      <x:c r="B462" s="4" t="str">
        <x:v>https://blog.skyairline.com/peru-a-chile-sky-airline/</x:v>
      </x:c>
      <x:c r="C462" s="9" t="str">
        <x:v>Vuelos de Perú a Chile con SKY: Días, horas y precios</x:v>
      </x:c>
      <x:c r="D462" s="17" t="d">
        <x:v>2024-08-24T00:00:00.000Z</x:v>
      </x:c>
      <x:c r="E462" s="17" t="d">
        <x:v>2024-08-24T00:00:00.000Z</x:v>
      </x:c>
      <x:c r="F462" s="4" t="str">
        <x:v>Destinos</x:v>
      </x:c>
      <x:c r="G462" s="11" t="n">
        <x:v>590</x:v>
      </x:c>
      <x:c r="H462" s="11" t="n">
        <x:v>200</x:v>
      </x:c>
      <x:c r="I462" s="11" t="n">
        <x:v>1</x:v>
      </x:c>
      <x:c r="J462" s="4" t="str">
        <x:v>https://blog.skyairline.com/peru-a-chile-sky-airline/</x:v>
      </x:c>
      <x:c r="K462" s="16" t="b">
        <x:v>0</x:v>
      </x:c>
      <x:c r="L462" s="11" t="n">
        <x:v>0</x:v>
      </x:c>
      <x:c r="M462" s="11" t="n">
        <x:v>4</x:v>
      </x:c>
      <x:c r="N462" s="4"/>
      <x:c r="O462" s="4"/>
      <x:c r="P462" s="11" t="n">
        <x:v>2</x:v>
      </x:c>
      <x:c r="Q462" s="11" t="n">
        <x:v>3</x:v>
      </x:c>
      <x:c r="R462" s="11" t="n">
        <x:f>IF(OR(P462="",Q462=""),"",Q462-P462)</x:f>
        <x:v>1</x:v>
      </x:c>
      <x:c r="S462" s="13" t="n">
        <x:f>IF(OR(P462="",Q462="",P462=0),"",((Q462/30)/(P462/31))-1)</x:f>
        <x:v>0.55</x:v>
      </x:c>
      <x:c r="T462" s="11" t="n">
        <x:v>2133</x:v>
      </x:c>
      <x:c r="U462" s="11" t="n">
        <x:v>1771</x:v>
      </x:c>
      <x:c r="V462" s="14" t="n">
        <x:v>0.0016939582156973462</x:v>
      </x:c>
      <x:c r="W462" s="12" t="n">
        <x:v>7.920383963862225</x:v>
      </x:c>
      <x:c r="X462" s="11" t="n">
        <x:v>6</x:v>
      </x:c>
      <x:c r="Y462" s="11" t="n">
        <x:v>8</x:v>
      </x:c>
      <x:c r="Z462" s="4" t="str">
        <x:v>https://blog.skyairline.com/peru-a-chile-sky-airline/</x:v>
      </x:c>
      <x:c r="AA462" s="4" t="str">
        <x:v>https://blog.skyairline.com/peru-a-chile-sky-airline/</x:v>
      </x:c>
      <x:c r="AB462" s="4" t="str">
        <x:v>Coincidencia URL</x:v>
      </x:c>
      <x:c r="AC462" s="4" t="str">
        <x:v>Publicado hasta septiembre</x:v>
      </x:c>
      <x:c r="AD462" s="4" t="str">
        <x:v>/peru-a-chile-sky-airline/</x:v>
      </x:c>
      <x:c r="AE462" s="4"/>
      <x:c r="AF462" s="16" t="b">
        <x:v>0</x:v>
      </x:c>
    </x:row>
    <x:row r="463" ht="44" customHeight="1">
      <x:c r="A463" s="4" t="n">
        <x:v>4983</x:v>
      </x:c>
      <x:c r="B463" s="4" t="str">
        <x:v>https://blog.skyairline.com/donde-queda-calafate/</x:v>
      </x:c>
      <x:c r="C463" s="9" t="str">
        <x:v>¿Sabes dónde queda Calafate? Descúbrelo aquí</x:v>
      </x:c>
      <x:c r="D463" s="17" t="d">
        <x:v>2024-09-12T00:00:00.000Z</x:v>
      </x:c>
      <x:c r="E463" s="17" t="d">
        <x:v>2024-09-12T00:00:00.000Z</x:v>
      </x:c>
      <x:c r="F463" s="4" t="str">
        <x:v>Destinos</x:v>
      </x:c>
      <x:c r="G463" s="11" t="n">
        <x:v>1104</x:v>
      </x:c>
      <x:c r="H463" s="11" t="n">
        <x:v>200</x:v>
      </x:c>
      <x:c r="I463" s="11" t="n">
        <x:v>1</x:v>
      </x:c>
      <x:c r="J463" s="4" t="str">
        <x:v>https://blog.skyairline.com/donde-queda-calafate/</x:v>
      </x:c>
      <x:c r="K463" s="16" t="b">
        <x:v>0</x:v>
      </x:c>
      <x:c r="L463" s="11" t="n">
        <x:v>0</x:v>
      </x:c>
      <x:c r="M463" s="11" t="n">
        <x:v>3</x:v>
      </x:c>
      <x:c r="N463" s="4"/>
      <x:c r="O463" s="4"/>
      <x:c r="P463" s="11" t="n">
        <x:v>3</x:v>
      </x:c>
      <x:c r="Q463" s="11" t="n">
        <x:v>3</x:v>
      </x:c>
      <x:c r="R463" s="11" t="n">
        <x:f>IF(OR(P463="",Q463=""),"",Q463-P463)</x:f>
        <x:v>0</x:v>
      </x:c>
      <x:c r="S463" s="13" t="n">
        <x:f>IF(OR(P463="",Q463="",P463=0),"",((Q463/30)/(P463/31))-1)</x:f>
        <x:v>0.03333333333333344</x:v>
      </x:c>
      <x:c r="T463" s="11" t="n">
        <x:v>891</x:v>
      </x:c>
      <x:c r="U463" s="11" t="n">
        <x:v>979</x:v>
      </x:c>
      <x:c r="V463" s="14" t="n">
        <x:v>0.0030643513789581204</x:v>
      </x:c>
      <x:c r="W463" s="12" t="n">
        <x:v>8.64862104187947</x:v>
      </x:c>
      <x:c r="X463" s="11" t="n">
        <x:v>5</x:v>
      </x:c>
      <x:c r="Y463" s="11" t="n">
        <x:v>5</x:v>
      </x:c>
      <x:c r="Z463" s="4" t="str">
        <x:v>https://blog.skyairline.com/donde-queda-calafate/</x:v>
      </x:c>
      <x:c r="AA463" s="4" t="str">
        <x:v>https://blog.skyairline.com/donde-queda-calafate/</x:v>
      </x:c>
      <x:c r="AB463" s="4" t="str">
        <x:v>Coincidencia URL</x:v>
      </x:c>
      <x:c r="AC463" s="4" t="str">
        <x:v>Publicado hasta septiembre</x:v>
      </x:c>
      <x:c r="AD463" s="4" t="str">
        <x:v>/donde-queda-calafate/</x:v>
      </x:c>
      <x:c r="AE463" s="4"/>
      <x:c r="AF463" s="16" t="b">
        <x:v>0</x:v>
      </x:c>
    </x:row>
    <x:row r="464" ht="44" customHeight="1">
      <x:c r="A464" s="4" t="n">
        <x:v>5081</x:v>
      </x:c>
      <x:c r="B464" s="4" t="str">
        <x:v>https://blog.skyairline.com/panoramas-en-santiago/</x:v>
      </x:c>
      <x:c r="C464" s="9" t="str">
        <x:v>¿Turisteando en la capital? 6 panoramas en Santiago</x:v>
      </x:c>
      <x:c r="D464" s="17" t="d">
        <x:v>2025-10-21T00:00:00.000Z</x:v>
      </x:c>
      <x:c r="E464" s="17" t="d">
        <x:v>2026-01-12T00:00:00.000Z</x:v>
      </x:c>
      <x:c r="F464" s="4" t="str">
        <x:v>Sin categoría</x:v>
      </x:c>
      <x:c r="G464" s="11" t="n">
        <x:v>1303</x:v>
      </x:c>
      <x:c r="H464" s="11" t="n">
        <x:v>200</x:v>
      </x:c>
      <x:c r="I464" s="11" t="n">
        <x:v>1</x:v>
      </x:c>
      <x:c r="J464" s="4" t="str">
        <x:v>https://blog.skyairline.com/panoramas-en-santiago/</x:v>
      </x:c>
      <x:c r="K464" s="16" t="b">
        <x:v>0</x:v>
      </x:c>
      <x:c r="L464" s="11" t="n">
        <x:v>0</x:v>
      </x:c>
      <x:c r="M464" s="11" t="n">
        <x:v>1</x:v>
      </x:c>
      <x:c r="N464" s="4"/>
      <x:c r="O464" s="4"/>
      <x:c r="P464" s="11" t="n">
        <x:v>3</x:v>
      </x:c>
      <x:c r="Q464" s="11" t="n">
        <x:v>3</x:v>
      </x:c>
      <x:c r="R464" s="11" t="n">
        <x:f>IF(OR(P464="",Q464=""),"",Q464-P464)</x:f>
        <x:v>0</x:v>
      </x:c>
      <x:c r="S464" s="13" t="n">
        <x:f>IF(OR(P464="",Q464="",P464=0),"",((Q464/30)/(P464/31))-1)</x:f>
        <x:v>0.03333333333333344</x:v>
      </x:c>
      <x:c r="T464" s="11" t="n">
        <x:v>395</x:v>
      </x:c>
      <x:c r="U464" s="11" t="n">
        <x:v>376</x:v>
      </x:c>
      <x:c r="V464" s="14" t="n">
        <x:v>0.007978723404255319</x:v>
      </x:c>
      <x:c r="W464" s="12" t="n">
        <x:v>16.33244680851064</x:v>
      </x:c>
      <x:c r="X464" s="11" t="n">
        <x:v>3</x:v>
      </x:c>
      <x:c r="Y464" s="11" t="n">
        <x:v>3</x:v>
      </x:c>
      <x:c r="Z464" s="4" t="str">
        <x:v>https://blog.skyairline.com/panoramas-en-santiago/</x:v>
      </x:c>
      <x:c r="AA464" s="4" t="str">
        <x:v>https://blog.skyairline.com/panoramas-en-santiago/</x:v>
      </x:c>
      <x:c r="AB464" s="4" t="str">
        <x:v>Coincidencia URL</x:v>
      </x:c>
      <x:c r="AC464" s="4" t="str">
        <x:v>Publicado hasta septiembre</x:v>
      </x:c>
      <x:c r="AD464" s="4" t="str">
        <x:v>/panoramas-en-santiago/</x:v>
      </x:c>
      <x:c r="AE464" s="4"/>
      <x:c r="AF464" s="16" t="b">
        <x:v>0</x:v>
      </x:c>
    </x:row>
    <x:row r="465" ht="44" customHeight="1">
      <x:c r="A465" s="4" t="n">
        <x:v>5149</x:v>
      </x:c>
      <x:c r="B465" s="4" t="str">
        <x:v>https://blog.skyairline.com/escapadas-fin-de-semana/</x:v>
      </x:c>
      <x:c r="C465" s="9" t="str">
        <x:v> Viaje express: ¿a dónde puedes irte de escapada si estás en Santiago?</x:v>
      </x:c>
      <x:c r="D465" s="17" t="d">
        <x:v>2025-09-04T00:00:00.000Z</x:v>
      </x:c>
      <x:c r="E465" s="17" t="d">
        <x:v>2026-01-12T00:00:00.000Z</x:v>
      </x:c>
      <x:c r="F465" s="4" t="str">
        <x:v>Planificación de Viaje</x:v>
      </x:c>
      <x:c r="G465" s="11" t="n">
        <x:v>952</x:v>
      </x:c>
      <x:c r="H465" s="11" t="n">
        <x:v>200</x:v>
      </x:c>
      <x:c r="I465" s="11" t="n">
        <x:v>1</x:v>
      </x:c>
      <x:c r="J465" s="4" t="str">
        <x:v>https://blog.skyairline.com/escapadas-fin-de-semana/</x:v>
      </x:c>
      <x:c r="K465" s="16" t="b">
        <x:v>0</x:v>
      </x:c>
      <x:c r="L465" s="11" t="n">
        <x:v>0</x:v>
      </x:c>
      <x:c r="M465" s="11" t="n">
        <x:v>0</x:v>
      </x:c>
      <x:c r="N465" s="4"/>
      <x:c r="O465" s="4"/>
      <x:c r="P465" s="11" t="n">
        <x:v>5</x:v>
      </x:c>
      <x:c r="Q465" s="11" t="n">
        <x:v>3</x:v>
      </x:c>
      <x:c r="R465" s="11" t="n">
        <x:f>IF(OR(P465="",Q465=""),"",Q465-P465)</x:f>
        <x:v>-2</x:v>
      </x:c>
      <x:c r="S465" s="13" t="n">
        <x:f>IF(OR(P465="",Q465="",P465=0),"",((Q465/30)/(P465/31))-1)</x:f>
        <x:v>-0.3799999999999999</x:v>
      </x:c>
      <x:c r="T465" s="11" t="n">
        <x:v>531</x:v>
      </x:c>
      <x:c r="U465" s="11" t="n">
        <x:v>486</x:v>
      </x:c>
      <x:c r="V465" s="14" t="n">
        <x:v>0.006172839506172839</x:v>
      </x:c>
      <x:c r="W465" s="12" t="n">
        <x:v>7.901234567901234</x:v>
      </x:c>
      <x:c r="X465" s="11" t="n">
        <x:v>3</x:v>
      </x:c>
      <x:c r="Y465" s="11" t="n">
        <x:v>3</x:v>
      </x:c>
      <x:c r="Z465" s="4" t="str">
        <x:v>https://blog.skyairline.com/escapadas-fin-de-semana/</x:v>
      </x:c>
      <x:c r="AA465" s="4" t="str">
        <x:v>https://blog.skyairline.com/escapadas-fin-de-semana/</x:v>
      </x:c>
      <x:c r="AB465" s="4" t="str">
        <x:v>Coincidencia URL</x:v>
      </x:c>
      <x:c r="AC465" s="4" t="str">
        <x:v>Publicado hasta septiembre</x:v>
      </x:c>
      <x:c r="AD465" s="4" t="str">
        <x:v>/escapadas-fin-de-semana/</x:v>
      </x:c>
      <x:c r="AE465" s="4"/>
      <x:c r="AF465" s="16" t="b">
        <x:v>0</x:v>
      </x:c>
    </x:row>
    <x:row r="466" ht="44" customHeight="1">
      <x:c r="A466" s="4" t="n">
        <x:v>5602</x:v>
      </x:c>
      <x:c r="B466" s="4" t="str">
        <x:v>https://blog.skyairline.com/las-trancas-chillan-que-hacer-durante-el-invierno-y-el-verano/</x:v>
      </x:c>
      <x:c r="C466" s="9" t="str">
        <x:v>Las Trancas, Chillan: ¿qué hacer durante el invierno y el verano?</x:v>
      </x:c>
      <x:c r="D466" s="17" t="d">
        <x:v>2025-02-07T00:00:00.000Z</x:v>
      </x:c>
      <x:c r="E466" s="17" t="d">
        <x:v>2025-02-07T00:00:00.000Z</x:v>
      </x:c>
      <x:c r="F466" s="4" t="str">
        <x:v>Sin categoría</x:v>
      </x:c>
      <x:c r="G466" s="11" t="n">
        <x:v>2205</x:v>
      </x:c>
      <x:c r="H466" s="11" t="n">
        <x:v>200</x:v>
      </x:c>
      <x:c r="I466" s="11" t="n">
        <x:v>1</x:v>
      </x:c>
      <x:c r="J466" s="4" t="str">
        <x:v>https://blog.skyairline.com/las-trancas-chillan-que-hacer-durante-el-invierno-y-el-verano/</x:v>
      </x:c>
      <x:c r="K466" s="16" t="b">
        <x:v>0</x:v>
      </x:c>
      <x:c r="L466" s="11" t="n">
        <x:v>0</x:v>
      </x:c>
      <x:c r="M466" s="11" t="n">
        <x:v>3</x:v>
      </x:c>
      <x:c r="N466" s="4"/>
      <x:c r="O466" s="4"/>
      <x:c r="P466" s="11" t="n">
        <x:v>1</x:v>
      </x:c>
      <x:c r="Q466" s="11" t="n">
        <x:v>3</x:v>
      </x:c>
      <x:c r="R466" s="11" t="n">
        <x:f>IF(OR(P466="",Q466=""),"",Q466-P466)</x:f>
        <x:v>2</x:v>
      </x:c>
      <x:c r="S466" s="13" t="n">
        <x:f>IF(OR(P466="",Q466="",P466=0),"",((Q466/30)/(P466/31))-1)</x:f>
        <x:v>2.1</x:v>
      </x:c>
      <x:c r="T466" s="11" t="n">
        <x:v>396</x:v>
      </x:c>
      <x:c r="U466" s="11" t="n">
        <x:v>151</x:v>
      </x:c>
      <x:c r="V466" s="14" t="n">
        <x:v>0.019867549668874173</x:v>
      </x:c>
      <x:c r="W466" s="12" t="n">
        <x:v>9.072847682119205</x:v>
      </x:c>
      <x:c r="X466" s="11" t="n">
        <x:v>5</x:v>
      </x:c>
      <x:c r="Y466" s="11" t="n">
        <x:v>6</x:v>
      </x:c>
      <x:c r="Z466" s="4" t="str">
        <x:v>https://blog.skyairline.com/las-trancas-chillan-que-hacer-durante-el-invierno-y-el-verano/</x:v>
      </x:c>
      <x:c r="AA466" s="4" t="str">
        <x:v>https://blog.skyairline.com/las-trancas-chillan-que-hacer-durante-el-invierno-y-el-verano/</x:v>
      </x:c>
      <x:c r="AB466" s="4" t="str">
        <x:v>Coincidencia URL</x:v>
      </x:c>
      <x:c r="AC466" s="4" t="str">
        <x:v>Publicado hasta septiembre</x:v>
      </x:c>
      <x:c r="AD466" s="4" t="str">
        <x:v>/las-trancas-chillan-que-hacer-durante-el-invierno-y-el-verano/</x:v>
      </x:c>
      <x:c r="AE466" s="4"/>
      <x:c r="AF466" s="16" t="b">
        <x:v>0</x:v>
      </x:c>
    </x:row>
    <x:row r="467" ht="44" customHeight="1">
      <x:c r="A467" s="4" t="n">
        <x:v>5630</x:v>
      </x:c>
      <x:c r="B467" s="4" t="str">
        <x:v>https://blog.skyairline.com/como-llegar-a-alto-bonito-en-puerto-montt/</x:v>
      </x:c>
      <x:c r="C467" s="9" t="str">
        <x:v>¿Cómo llegar a Alto Bonito en Puerto Montt?</x:v>
      </x:c>
      <x:c r="D467" s="17" t="d">
        <x:v>2025-02-15T00:00:00.000Z</x:v>
      </x:c>
      <x:c r="E467" s="17" t="d">
        <x:v>2025-02-15T00:00:00.000Z</x:v>
      </x:c>
      <x:c r="F467" s="4" t="str">
        <x:v>Sin categoría</x:v>
      </x:c>
      <x:c r="G467" s="11" t="n">
        <x:v>1059</x:v>
      </x:c>
      <x:c r="H467" s="11" t="n">
        <x:v>200</x:v>
      </x:c>
      <x:c r="I467" s="11" t="n">
        <x:v>1</x:v>
      </x:c>
      <x:c r="J467" s="4" t="str">
        <x:v>https://blog.skyairline.com/como-llegar-a-alto-bonito-en-puerto-montt/</x:v>
      </x:c>
      <x:c r="K467" s="16" t="b">
        <x:v>0</x:v>
      </x:c>
      <x:c r="L467" s="11" t="n">
        <x:v>0</x:v>
      </x:c>
      <x:c r="M467" s="11" t="n">
        <x:v>3</x:v>
      </x:c>
      <x:c r="N467" s="4"/>
      <x:c r="O467" s="4"/>
      <x:c r="P467" s="11" t="n">
        <x:v>7</x:v>
      </x:c>
      <x:c r="Q467" s="11" t="n">
        <x:v>3</x:v>
      </x:c>
      <x:c r="R467" s="11" t="n">
        <x:f>IF(OR(P467="",Q467=""),"",Q467-P467)</x:f>
        <x:v>-4</x:v>
      </x:c>
      <x:c r="S467" s="13" t="n">
        <x:f>IF(OR(P467="",Q467="",P467=0),"",((Q467/30)/(P467/31))-1)</x:f>
        <x:v>-0.5571428571428572</x:v>
      </x:c>
      <x:c r="T467" s="11" t="n">
        <x:v>518</x:v>
      </x:c>
      <x:c r="U467" s="11" t="n">
        <x:v>478</x:v>
      </x:c>
      <x:c r="V467" s="14" t="n">
        <x:v>0.006276150627615063</x:v>
      </x:c>
      <x:c r="W467" s="12" t="n">
        <x:v>6.00836820083682</x:v>
      </x:c>
      <x:c r="X467" s="11" t="n">
        <x:v>2</x:v>
      </x:c>
      <x:c r="Y467" s="11" t="n">
        <x:v>2</x:v>
      </x:c>
      <x:c r="Z467" s="4" t="str">
        <x:v>https://blog.skyairline.com/como-llegar-a-alto-bonito-en-puerto-montt/</x:v>
      </x:c>
      <x:c r="AA467" s="4" t="str">
        <x:v>https://blog.skyairline.com/como-llegar-a-alto-bonito-en-puerto-montt/</x:v>
      </x:c>
      <x:c r="AB467" s="4" t="str">
        <x:v>Coincidencia URL</x:v>
      </x:c>
      <x:c r="AC467" s="4" t="str">
        <x:v>Publicado hasta septiembre</x:v>
      </x:c>
      <x:c r="AD467" s="4" t="str">
        <x:v>/como-llegar-a-alto-bonito-en-puerto-montt/</x:v>
      </x:c>
      <x:c r="AE467" s="4"/>
      <x:c r="AF467" s="16" t="b">
        <x:v>0</x:v>
      </x:c>
    </x:row>
    <x:row r="468" ht="44" customHeight="1">
      <x:c r="A468" s="4" t="n">
        <x:v>5661</x:v>
      </x:c>
      <x:c r="B468" s="4" t="str">
        <x:v>https://blog.skyairline.com/10-lugares-imperdibles-para-hacer-turismo-en-el-norte-de-chile/</x:v>
      </x:c>
      <x:c r="C468" s="9" t="str">
        <x:v>10 lugares imperdibles para hacer turismo en el norte de Chile</x:v>
      </x:c>
      <x:c r="D468" s="17" t="d">
        <x:v>2025-02-24T00:00:00.000Z</x:v>
      </x:c>
      <x:c r="E468" s="17" t="d">
        <x:v>2025-02-24T00:00:00.000Z</x:v>
      </x:c>
      <x:c r="F468" s="4" t="str">
        <x:v>Sin categoría</x:v>
      </x:c>
      <x:c r="G468" s="11" t="n">
        <x:v>2112</x:v>
      </x:c>
      <x:c r="H468" s="11" t="n">
        <x:v>200</x:v>
      </x:c>
      <x:c r="I468" s="11" t="n">
        <x:v>1</x:v>
      </x:c>
      <x:c r="J468" s="4" t="str">
        <x:v>https://blog.skyairline.com/10-lugares-imperdibles-para-hacer-turismo-en-el-norte-de-chile/</x:v>
      </x:c>
      <x:c r="K468" s="16" t="b">
        <x:v>0</x:v>
      </x:c>
      <x:c r="L468" s="11" t="n">
        <x:v>0</x:v>
      </x:c>
      <x:c r="M468" s="11" t="n">
        <x:v>3</x:v>
      </x:c>
      <x:c r="N468" s="4"/>
      <x:c r="O468" s="4"/>
      <x:c r="P468" s="11" t="n">
        <x:v>6</x:v>
      </x:c>
      <x:c r="Q468" s="11" t="n">
        <x:v>3</x:v>
      </x:c>
      <x:c r="R468" s="11" t="n">
        <x:f>IF(OR(P468="",Q468=""),"",Q468-P468)</x:f>
        <x:v>-3</x:v>
      </x:c>
      <x:c r="S468" s="13" t="n">
        <x:f>IF(OR(P468="",Q468="",P468=0),"",((Q468/30)/(P468/31))-1)</x:f>
        <x:v>-0.4833333333333333</x:v>
      </x:c>
      <x:c r="T468" s="11" t="n">
        <x:v>620</x:v>
      </x:c>
      <x:c r="U468" s="11" t="n">
        <x:v>519</x:v>
      </x:c>
      <x:c r="V468" s="14" t="n">
        <x:v>0.005780346820809248</x:v>
      </x:c>
      <x:c r="W468" s="12" t="n">
        <x:v>8.576107899807324</x:v>
      </x:c>
      <x:c r="X468" s="11" t="n">
        <x:v>5</x:v>
      </x:c>
      <x:c r="Y468" s="11" t="n">
        <x:v>6</x:v>
      </x:c>
      <x:c r="Z468" s="4" t="str">
        <x:v>https://blog.skyairline.com/10-lugares-imperdibles-para-hacer-turismo-en-el-norte-de-chile/</x:v>
      </x:c>
      <x:c r="AA468" s="4" t="str">
        <x:v>https://blog.skyairline.com/10-lugares-imperdibles-para-hacer-turismo-en-el-norte-de-chile/
https://blog.skyairline.com/10-lugares-imperdibles-para-hacer-turismo-en-el-norte-de-chile</x:v>
      </x:c>
      <x:c r="AB468" s="4" t="str">
        <x:v>Alias slash agregado</x:v>
      </x:c>
      <x:c r="AC468" s="4" t="str">
        <x:v>Publicado hasta septiembre</x:v>
      </x:c>
      <x:c r="AD468" s="4" t="str">
        <x:v>/10-lugares-imperdibles-para-hacer-turismo-en-el-norte-de-chile/</x:v>
      </x:c>
      <x:c r="AE468" s="4"/>
      <x:c r="AF468" s="16" t="b">
        <x:v>0</x:v>
      </x:c>
    </x:row>
    <x:row r="469" ht="44" customHeight="1">
      <x:c r="A469" s="4" t="n">
        <x:v>5846</x:v>
      </x:c>
      <x:c r="B469" s="4" t="str">
        <x:v>https://blog.skyairline.com/bosques-del-sur-de-chile-naturaleza-senderos-y-biodiversidad/</x:v>
      </x:c>
      <x:c r="C469" s="9" t="str">
        <x:v>Bosques del sur de Chile: naturaleza, senderos y biodiversidad</x:v>
      </x:c>
      <x:c r="D469" s="17" t="d">
        <x:v>2025-09-28T00:00:00.000Z</x:v>
      </x:c>
      <x:c r="E469" s="17" t="d">
        <x:v>2026-01-12T00:00:00.000Z</x:v>
      </x:c>
      <x:c r="F469" s="4" t="str">
        <x:v>Destinos</x:v>
      </x:c>
      <x:c r="G469" s="11" t="n">
        <x:v>953</x:v>
      </x:c>
      <x:c r="H469" s="11" t="n">
        <x:v>200</x:v>
      </x:c>
      <x:c r="I469" s="11" t="n">
        <x:v>1</x:v>
      </x:c>
      <x:c r="J469" s="4" t="str">
        <x:v>https://blog.skyairline.com/bosques-del-sur-de-chile-naturaleza-senderos-y-biodiversidad/</x:v>
      </x:c>
      <x:c r="K469" s="16" t="b">
        <x:v>0</x:v>
      </x:c>
      <x:c r="L469" s="11" t="n">
        <x:v>0</x:v>
      </x:c>
      <x:c r="M469" s="11" t="n">
        <x:v>1</x:v>
      </x:c>
      <x:c r="N469" s="4"/>
      <x:c r="O469" s="4"/>
      <x:c r="P469" s="11" t="n">
        <x:v>7</x:v>
      </x:c>
      <x:c r="Q469" s="11" t="n">
        <x:v>3</x:v>
      </x:c>
      <x:c r="R469" s="11" t="n">
        <x:f>IF(OR(P469="",Q469=""),"",Q469-P469)</x:f>
        <x:v>-4</x:v>
      </x:c>
      <x:c r="S469" s="13" t="n">
        <x:f>IF(OR(P469="",Q469="",P469=0),"",((Q469/30)/(P469/31))-1)</x:f>
        <x:v>-0.5571428571428572</x:v>
      </x:c>
      <x:c r="T469" s="11" t="n">
        <x:v>1442</x:v>
      </x:c>
      <x:c r="U469" s="11" t="n">
        <x:v>1304</x:v>
      </x:c>
      <x:c r="V469" s="14" t="n">
        <x:v>0.0023006134969325155</x:v>
      </x:c>
      <x:c r="W469" s="12" t="n">
        <x:v>6.173312883435583</x:v>
      </x:c>
      <x:c r="X469" s="11" t="n">
        <x:v>4</x:v>
      </x:c>
      <x:c r="Y469" s="11" t="n">
        <x:v>4</x:v>
      </x:c>
      <x:c r="Z469" s="4" t="str">
        <x:v>https://blog.skyairline.com/bosques-del-sur-de-chile-naturaleza-senderos-y-biodiversidad/</x:v>
      </x:c>
      <x:c r="AA469" s="4" t="str">
        <x:v>https://blog.skyairline.com/bosques-del-sur-de-chile-naturaleza-senderos-y-biodiversidad/
https://blog.skyairline.com/bosques-del-sur-de-chile-naturaleza-senderos-y-biodiversidad</x:v>
      </x:c>
      <x:c r="AB469" s="4" t="str">
        <x:v>Alias slash agregado</x:v>
      </x:c>
      <x:c r="AC469" s="4" t="str">
        <x:v>Publicado hasta septiembre</x:v>
      </x:c>
      <x:c r="AD469" s="4" t="str">
        <x:v>/bosques-del-sur-de-chile-naturaleza-senderos-y-biodiversidad/</x:v>
      </x:c>
      <x:c r="AE469" s="4"/>
      <x:c r="AF469" s="16" t="b">
        <x:v>0</x:v>
      </x:c>
    </x:row>
    <x:row r="470" ht="44" customHeight="1">
      <x:c r="A470" s="4" t="n">
        <x:v>5858</x:v>
      </x:c>
      <x:c r="B470" s="4" t="str">
        <x:v>https://blog.skyairline.com/ruinas-de-huanchaca/</x:v>
      </x:c>
      <x:c r="C470" s="9" t="str">
        <x:v>Conoce el Museo Ruinas de Huanchaca</x:v>
      </x:c>
      <x:c r="D470" s="17" t="d">
        <x:v>2025-06-30T00:00:00.000Z</x:v>
      </x:c>
      <x:c r="E470" s="17" t="d">
        <x:v>2026-01-19T00:00:00.000Z</x:v>
      </x:c>
      <x:c r="F470" s="4" t="str">
        <x:v>Destinos</x:v>
      </x:c>
      <x:c r="G470" s="11" t="n">
        <x:v>1093</x:v>
      </x:c>
      <x:c r="H470" s="11" t="n">
        <x:v>200</x:v>
      </x:c>
      <x:c r="I470" s="11" t="n">
        <x:v>1</x:v>
      </x:c>
      <x:c r="J470" s="4" t="str">
        <x:v>https://blog.skyairline.com/ruinas-de-huanchaca/</x:v>
      </x:c>
      <x:c r="K470" s="16" t="b">
        <x:v>0</x:v>
      </x:c>
      <x:c r="L470" s="11" t="n">
        <x:v>0</x:v>
      </x:c>
      <x:c r="M470" s="11" t="n">
        <x:v>0</x:v>
      </x:c>
      <x:c r="N470" s="4"/>
      <x:c r="O470" s="4"/>
      <x:c r="P470" s="11" t="n">
        <x:v>2</x:v>
      </x:c>
      <x:c r="Q470" s="11" t="n">
        <x:v>3</x:v>
      </x:c>
      <x:c r="R470" s="11" t="n">
        <x:f>IF(OR(P470="",Q470=""),"",Q470-P470)</x:f>
        <x:v>1</x:v>
      </x:c>
      <x:c r="S470" s="13" t="n">
        <x:f>IF(OR(P470="",Q470="",P470=0),"",((Q470/30)/(P470/31))-1)</x:f>
        <x:v>0.55</x:v>
      </x:c>
      <x:c r="T470" s="11" t="n">
        <x:v>610</x:v>
      </x:c>
      <x:c r="U470" s="11" t="n">
        <x:v>392</x:v>
      </x:c>
      <x:c r="V470" s="14" t="n">
        <x:v>0.007653061224489796</x:v>
      </x:c>
      <x:c r="W470" s="12" t="n">
        <x:v>9.38265306122449</x:v>
      </x:c>
      <x:c r="X470" s="11" t="n">
        <x:v>7</x:v>
      </x:c>
      <x:c r="Y470" s="11" t="n">
        <x:v>6</x:v>
      </x:c>
      <x:c r="Z470" s="4" t="str">
        <x:v>https://blog.skyairline.com/ruinas-de-huanchaca/</x:v>
      </x:c>
      <x:c r="AA470" s="4" t="str">
        <x:v>https://blog.skyairline.com/ruinas-de-huanchaca/</x:v>
      </x:c>
      <x:c r="AB470" s="4" t="str">
        <x:v>Coincidencia URL</x:v>
      </x:c>
      <x:c r="AC470" s="4" t="str">
        <x:v>Publicado hasta septiembre</x:v>
      </x:c>
      <x:c r="AD470" s="4" t="str">
        <x:v>/ruinas-de-huanchaca/</x:v>
      </x:c>
      <x:c r="AE470" s="4"/>
      <x:c r="AF470" s="16" t="b">
        <x:v>0</x:v>
      </x:c>
    </x:row>
    <x:row r="471" ht="44" customHeight="1">
      <x:c r="A471" s="4" t="n">
        <x:v>5896</x:v>
      </x:c>
      <x:c r="B471" s="4" t="str">
        <x:v>https://blog.skyairline.com/laguna-roja-en-chile-el-misterio-de-sus-aguas-color-sangre/</x:v>
      </x:c>
      <x:c r="C471" s="9" t="str">
        <x:v>Laguna Roja en Chile: el misterio de sus aguas color sangre</x:v>
      </x:c>
      <x:c r="D471" s="17" t="d">
        <x:v>2025-06-10T00:00:00.000Z</x:v>
      </x:c>
      <x:c r="E471" s="17" t="d">
        <x:v>2026-01-08T00:00:00.000Z</x:v>
      </x:c>
      <x:c r="F471" s="4" t="str">
        <x:v>Destinos</x:v>
      </x:c>
      <x:c r="G471" s="11" t="n">
        <x:v>1271</x:v>
      </x:c>
      <x:c r="H471" s="11" t="n">
        <x:v>200</x:v>
      </x:c>
      <x:c r="I471" s="11" t="n">
        <x:v>1</x:v>
      </x:c>
      <x:c r="J471" s="4" t="str">
        <x:v>https://blog.skyairline.com/laguna-roja-en-chile-el-misterio-de-sus-aguas-color-sangre/</x:v>
      </x:c>
      <x:c r="K471" s="16" t="b">
        <x:v>0</x:v>
      </x:c>
      <x:c r="L471" s="11" t="n">
        <x:v>0</x:v>
      </x:c>
      <x:c r="M471" s="11" t="n">
        <x:v>3</x:v>
      </x:c>
      <x:c r="N471" s="4"/>
      <x:c r="O471" s="4"/>
      <x:c r="P471" s="11" t="n">
        <x:v>12</x:v>
      </x:c>
      <x:c r="Q471" s="11" t="n">
        <x:v>3</x:v>
      </x:c>
      <x:c r="R471" s="11" t="n">
        <x:f>IF(OR(P471="",Q471=""),"",Q471-P471)</x:f>
        <x:v>-9</x:v>
      </x:c>
      <x:c r="S471" s="13" t="n">
        <x:f>IF(OR(P471="",Q471="",P471=0),"",((Q471/30)/(P471/31))-1)</x:f>
        <x:v>-0.7416666666666667</x:v>
      </x:c>
      <x:c r="T471" s="11" t="n">
        <x:v>2466</x:v>
      </x:c>
      <x:c r="U471" s="11" t="n">
        <x:v>1510</x:v>
      </x:c>
      <x:c r="V471" s="14" t="n">
        <x:v>0.001986754966887417</x:v>
      </x:c>
      <x:c r="W471" s="12" t="n">
        <x:v>8.865562913907285</x:v>
      </x:c>
      <x:c r="X471" s="11" t="n">
        <x:v>6</x:v>
      </x:c>
      <x:c r="Y471" s="11" t="n">
        <x:v>8</x:v>
      </x:c>
      <x:c r="Z471" s="4" t="str">
        <x:v>https://blog.skyairline.com/laguna-roja-en-chile-el-misterio-de-sus-aguas-color-sangre/</x:v>
      </x:c>
      <x:c r="AA471" s="4" t="str">
        <x:v>https://blog.skyairline.com/laguna-roja-en-chile-el-misterio-de-sus-aguas-color-sangre/</x:v>
      </x:c>
      <x:c r="AB471" s="4" t="str">
        <x:v>Coincidencia URL</x:v>
      </x:c>
      <x:c r="AC471" s="4" t="str">
        <x:v>Publicado hasta septiembre</x:v>
      </x:c>
      <x:c r="AD471" s="4" t="str">
        <x:v>/laguna-roja-en-chile-el-misterio-de-sus-aguas-color-sangre/</x:v>
      </x:c>
      <x:c r="AE471" s="4"/>
      <x:c r="AF471" s="16" t="b">
        <x:v>0</x:v>
      </x:c>
    </x:row>
    <x:row r="472" ht="44" customHeight="1">
      <x:c r="A472" s="4" t="n">
        <x:v>5948</x:v>
      </x:c>
      <x:c r="B472" s="4" t="str">
        <x:v>https://blog.skyairline.com/sky-inicio-vuelos-directos-entre-arequipa-y-cusco/</x:v>
      </x:c>
      <x:c r="C472" s="9" t="str">
        <x:v>SKY inició vuelos directos entre Arequipa y Cusco</x:v>
      </x:c>
      <x:c r="D472" s="17" t="d">
        <x:v>2025-04-02T00:00:00.000Z</x:v>
      </x:c>
      <x:c r="E472" s="17" t="d">
        <x:v>2025-04-02T00:00:00.000Z</x:v>
      </x:c>
      <x:c r="F472" s="4" t="str">
        <x:v>Noticias</x:v>
      </x:c>
      <x:c r="G472" s="11" t="n">
        <x:v>544</x:v>
      </x:c>
      <x:c r="H472" s="11" t="n">
        <x:v>200</x:v>
      </x:c>
      <x:c r="I472" s="11" t="n">
        <x:v>1</x:v>
      </x:c>
      <x:c r="J472" s="4" t="str">
        <x:v>https://blog.skyairline.com/sky-inicio-vuelos-directos-entre-arequipa-y-cusco/</x:v>
      </x:c>
      <x:c r="K472" s="16" t="b">
        <x:v>0</x:v>
      </x:c>
      <x:c r="L472" s="11" t="n">
        <x:v>0</x:v>
      </x:c>
      <x:c r="M472" s="11" t="n">
        <x:v>0</x:v>
      </x:c>
      <x:c r="N472" s="4"/>
      <x:c r="O472" s="4"/>
      <x:c r="P472" s="11" t="n">
        <x:v>1</x:v>
      </x:c>
      <x:c r="Q472" s="11" t="n">
        <x:v>3</x:v>
      </x:c>
      <x:c r="R472" s="11" t="n">
        <x:f>IF(OR(P472="",Q472=""),"",Q472-P472)</x:f>
        <x:v>2</x:v>
      </x:c>
      <x:c r="S472" s="13" t="n">
        <x:f>IF(OR(P472="",Q472="",P472=0),"",((Q472/30)/(P472/31))-1)</x:f>
        <x:v>2.1</x:v>
      </x:c>
      <x:c r="T472" s="11" t="n">
        <x:v>369</x:v>
      </x:c>
      <x:c r="U472" s="11" t="n">
        <x:v>474</x:v>
      </x:c>
      <x:c r="V472" s="14" t="n">
        <x:v>0.006329113924050633</x:v>
      </x:c>
      <x:c r="W472" s="12" t="n">
        <x:v>9.70675105485232</x:v>
      </x:c>
      <x:c r="X472" s="11" t="n">
        <x:v>3</x:v>
      </x:c>
      <x:c r="Y472" s="11" t="n">
        <x:v>3</x:v>
      </x:c>
      <x:c r="Z472" s="4" t="str">
        <x:v>https://blog.skyairline.com/sky-inicio-vuelos-directos-entre-arequipa-y-cusco/</x:v>
      </x:c>
      <x:c r="AA472" s="4" t="str">
        <x:v>https://blog.skyairline.com/sky-inicio-vuelos-directos-entre-arequipa-y-cusco/</x:v>
      </x:c>
      <x:c r="AB472" s="4" t="str">
        <x:v>Coincidencia URL</x:v>
      </x:c>
      <x:c r="AC472" s="4" t="str">
        <x:v>Publicado hasta septiembre</x:v>
      </x:c>
      <x:c r="AD472" s="4" t="str">
        <x:v>/sky-inicio-vuelos-directos-entre-arequipa-y-cusco/</x:v>
      </x:c>
      <x:c r="AE472" s="4"/>
      <x:c r="AF472" s="16" t="b">
        <x:v>0</x:v>
      </x:c>
    </x:row>
    <x:row r="473" ht="44" customHeight="1">
      <x:c r="A473" s="4" t="n">
        <x:v>5964</x:v>
      </x:c>
      <x:c r="B473" s="4" t="str">
        <x:v>https://blog.skyairline.com/vinedos-en-chile/</x:v>
      </x:c>
      <x:c r="C473" s="9" t="str">
        <x:v>7 viñedos en Chile que no puedes dejar de conocer</x:v>
      </x:c>
      <x:c r="D473" s="17" t="d">
        <x:v>2025-06-24T00:00:00.000Z</x:v>
      </x:c>
      <x:c r="E473" s="17" t="d">
        <x:v>2026-01-19T00:00:00.000Z</x:v>
      </x:c>
      <x:c r="F473" s="4" t="str">
        <x:v>Planificación de Viaje</x:v>
      </x:c>
      <x:c r="G473" s="11" t="n">
        <x:v>1381</x:v>
      </x:c>
      <x:c r="H473" s="11" t="n">
        <x:v>200</x:v>
      </x:c>
      <x:c r="I473" s="11" t="n">
        <x:v>1</x:v>
      </x:c>
      <x:c r="J473" s="4" t="str">
        <x:v>https://blog.skyairline.com/vinedos-en-chile/</x:v>
      </x:c>
      <x:c r="K473" s="16" t="b">
        <x:v>0</x:v>
      </x:c>
      <x:c r="L473" s="11" t="n">
        <x:v>0</x:v>
      </x:c>
      <x:c r="M473" s="11" t="n">
        <x:v>0</x:v>
      </x:c>
      <x:c r="N473" s="4"/>
      <x:c r="O473" s="4"/>
      <x:c r="P473" s="11" t="n">
        <x:v>5</x:v>
      </x:c>
      <x:c r="Q473" s="11" t="n">
        <x:v>3</x:v>
      </x:c>
      <x:c r="R473" s="11" t="n">
        <x:f>IF(OR(P473="",Q473=""),"",Q473-P473)</x:f>
        <x:v>-2</x:v>
      </x:c>
      <x:c r="S473" s="13" t="n">
        <x:f>IF(OR(P473="",Q473="",P473=0),"",((Q473/30)/(P473/31))-1)</x:f>
        <x:v>-0.3799999999999999</x:v>
      </x:c>
      <x:c r="T473" s="11" t="n">
        <x:v>992</x:v>
      </x:c>
      <x:c r="U473" s="11" t="n">
        <x:v>665</x:v>
      </x:c>
      <x:c r="V473" s="14" t="n">
        <x:v>0.004511278195488722</x:v>
      </x:c>
      <x:c r="W473" s="12" t="n">
        <x:v>9.73984962406015</x:v>
      </x:c>
      <x:c r="X473" s="11" t="n">
        <x:v>5</x:v>
      </x:c>
      <x:c r="Y473" s="11" t="n">
        <x:v>8</x:v>
      </x:c>
      <x:c r="Z473" s="4" t="str">
        <x:v>https://blog.skyairline.com/vinedos-en-chile/</x:v>
      </x:c>
      <x:c r="AA473" s="4" t="str">
        <x:v>https://blog.skyairline.com/vinedos-en-chile/</x:v>
      </x:c>
      <x:c r="AB473" s="4" t="str">
        <x:v>Coincidencia URL</x:v>
      </x:c>
      <x:c r="AC473" s="4" t="str">
        <x:v>Publicado hasta septiembre</x:v>
      </x:c>
      <x:c r="AD473" s="4" t="str">
        <x:v>/vinedos-en-chile/</x:v>
      </x:c>
      <x:c r="AE473" s="4"/>
      <x:c r="AF473" s="16" t="b">
        <x:v>0</x:v>
      </x:c>
    </x:row>
    <x:row r="474" ht="44" customHeight="1">
      <x:c r="A474" s="4" t="n">
        <x:v>6109</x:v>
      </x:c>
      <x:c r="B474" s="4" t="str">
        <x:v>https://blog.skyairline.com/pica-en-iquique/</x:v>
      </x:c>
      <x:c r="C474" s="9" t="str">
        <x:v>Pica en Iquique: un oasis en el desierto</x:v>
      </x:c>
      <x:c r="D474" s="17" t="d">
        <x:v>2025-05-22T00:00:00.000Z</x:v>
      </x:c>
      <x:c r="E474" s="17" t="d">
        <x:v>2025-05-22T00:00:00.000Z</x:v>
      </x:c>
      <x:c r="F474" s="4" t="str">
        <x:v>Destinos</x:v>
      </x:c>
      <x:c r="G474" s="11" t="n">
        <x:v>1176</x:v>
      </x:c>
      <x:c r="H474" s="11" t="n">
        <x:v>200</x:v>
      </x:c>
      <x:c r="I474" s="11" t="n">
        <x:v>1</x:v>
      </x:c>
      <x:c r="J474" s="4" t="str">
        <x:v>https://blog.skyairline.com/pica-en-iquique/</x:v>
      </x:c>
      <x:c r="K474" s="16" t="b">
        <x:v>0</x:v>
      </x:c>
      <x:c r="L474" s="11" t="n">
        <x:v>0</x:v>
      </x:c>
      <x:c r="M474" s="11" t="n">
        <x:v>3</x:v>
      </x:c>
      <x:c r="N474" s="4"/>
      <x:c r="O474" s="4"/>
      <x:c r="P474" s="11" t="n">
        <x:v>4</x:v>
      </x:c>
      <x:c r="Q474" s="11" t="n">
        <x:v>3</x:v>
      </x:c>
      <x:c r="R474" s="11" t="n">
        <x:f>IF(OR(P474="",Q474=""),"",Q474-P474)</x:f>
        <x:v>-1</x:v>
      </x:c>
      <x:c r="S474" s="13" t="n">
        <x:f>IF(OR(P474="",Q474="",P474=0),"",((Q474/30)/(P474/31))-1)</x:f>
        <x:v>-0.22499999999999998</x:v>
      </x:c>
      <x:c r="T474" s="11" t="n">
        <x:v>1420</x:v>
      </x:c>
      <x:c r="U474" s="11" t="n">
        <x:v>759</x:v>
      </x:c>
      <x:c r="V474" s="14" t="n">
        <x:v>0.003952569169960474</x:v>
      </x:c>
      <x:c r="W474" s="12" t="n">
        <x:v>11.043478260869565</x:v>
      </x:c>
      <x:c r="X474" s="11" t="n">
        <x:v>2</x:v>
      </x:c>
      <x:c r="Y474" s="11" t="n">
        <x:v>4</x:v>
      </x:c>
      <x:c r="Z474" s="4" t="str">
        <x:v>https://blog.skyairline.com/pica-en-iquique/</x:v>
      </x:c>
      <x:c r="AA474" s="4" t="str">
        <x:v>https://blog.skyairline.com/pica-en-iquique/</x:v>
      </x:c>
      <x:c r="AB474" s="4" t="str">
        <x:v>Coincidencia URL</x:v>
      </x:c>
      <x:c r="AC474" s="4" t="str">
        <x:v>Publicado hasta septiembre</x:v>
      </x:c>
      <x:c r="AD474" s="4" t="str">
        <x:v>/pica-en-iquique/</x:v>
      </x:c>
      <x:c r="AE474" s="4"/>
      <x:c r="AF474" s="16" t="b">
        <x:v>0</x:v>
      </x:c>
    </x:row>
    <x:row r="475" ht="44" customHeight="1">
      <x:c r="A475" s="4" t="n">
        <x:v>6159</x:v>
      </x:c>
      <x:c r="B475" s="4" t="str">
        <x:v>https://blog.skyairline.com/destinos-con-vuelos-baratos-desde-chile/</x:v>
      </x:c>
      <x:c r="C475" s="9" t="str">
        <x:v>Destinos con vuelos baratos desde Chile</x:v>
      </x:c>
      <x:c r="D475" s="17" t="d">
        <x:v>2025-06-07T00:00:00.000Z</x:v>
      </x:c>
      <x:c r="E475" s="17" t="d">
        <x:v>2025-06-07T00:00:00.000Z</x:v>
      </x:c>
      <x:c r="F475" s="4" t="str">
        <x:v>Planificación de Viaje</x:v>
      </x:c>
      <x:c r="G475" s="11" t="n">
        <x:v>958</x:v>
      </x:c>
      <x:c r="H475" s="11" t="n">
        <x:v>200</x:v>
      </x:c>
      <x:c r="I475" s="11" t="n">
        <x:v>1</x:v>
      </x:c>
      <x:c r="J475" s="4" t="str">
        <x:v>https://blog.skyairline.com/destinos-con-vuelos-baratos-desde-chile/</x:v>
      </x:c>
      <x:c r="K475" s="16" t="b">
        <x:v>0</x:v>
      </x:c>
      <x:c r="L475" s="11" t="n">
        <x:v>0</x:v>
      </x:c>
      <x:c r="M475" s="11" t="n">
        <x:v>0</x:v>
      </x:c>
      <x:c r="N475" s="4"/>
      <x:c r="O475" s="4"/>
      <x:c r="P475" s="11" t="n">
        <x:v>3</x:v>
      </x:c>
      <x:c r="Q475" s="11" t="n">
        <x:v>3</x:v>
      </x:c>
      <x:c r="R475" s="11" t="n">
        <x:f>IF(OR(P475="",Q475=""),"",Q475-P475)</x:f>
        <x:v>0</x:v>
      </x:c>
      <x:c r="S475" s="13" t="n">
        <x:f>IF(OR(P475="",Q475="",P475=0),"",((Q475/30)/(P475/31))-1)</x:f>
        <x:v>0.03333333333333344</x:v>
      </x:c>
      <x:c r="T475" s="11" t="n">
        <x:v>2183</x:v>
      </x:c>
      <x:c r="U475" s="11" t="n">
        <x:v>3000</x:v>
      </x:c>
      <x:c r="V475" s="14" t="n">
        <x:v>0.001</x:v>
      </x:c>
      <x:c r="W475" s="12" t="n">
        <x:v>8.297</x:v>
      </x:c>
      <x:c r="X475" s="11" t="n">
        <x:v>4</x:v>
      </x:c>
      <x:c r="Y475" s="11" t="n">
        <x:v>6</x:v>
      </x:c>
      <x:c r="Z475" s="4" t="str">
        <x:v>https://blog.skyairline.com/destinos-con-vuelos-baratos-desde-chile/</x:v>
      </x:c>
      <x:c r="AA475" s="4" t="str">
        <x:v>https://blog.skyairline.com/destinos-con-vuelos-baratos-desde-chile/
https://blog.skyairline.com/destinos-con-vuelos-baratos-desde-chile</x:v>
      </x:c>
      <x:c r="AB475" s="4" t="str">
        <x:v>Alias slash agregado</x:v>
      </x:c>
      <x:c r="AC475" s="4" t="str">
        <x:v>Publicado hasta septiembre</x:v>
      </x:c>
      <x:c r="AD475" s="4" t="str">
        <x:v>/destinos-con-vuelos-baratos-desde-chile/</x:v>
      </x:c>
      <x:c r="AE475" s="4"/>
      <x:c r="AF475" s="16" t="b">
        <x:v>0</x:v>
      </x:c>
    </x:row>
    <x:row r="476" ht="44" customHeight="1">
      <x:c r="A476" s="4" t="n">
        <x:v>6239</x:v>
      </x:c>
      <x:c r="B476" s="4" t="str">
        <x:v>https://blog.skyairline.com/parques-acuaticos-en-chile/</x:v>
      </x:c>
      <x:c r="C476" s="9" t="str">
        <x:v>Parques acuáticos en Chile: ¿cuáles son los mejores?</x:v>
      </x:c>
      <x:c r="D476" s="17" t="d">
        <x:v>2025-06-23T00:00:00.000Z</x:v>
      </x:c>
      <x:c r="E476" s="17" t="d">
        <x:v>2025-06-23T00:00:00.000Z</x:v>
      </x:c>
      <x:c r="F476" s="4" t="str">
        <x:v>Planificación de Viaje</x:v>
      </x:c>
      <x:c r="G476" s="11" t="n">
        <x:v>1119</x:v>
      </x:c>
      <x:c r="H476" s="11" t="n">
        <x:v>200</x:v>
      </x:c>
      <x:c r="I476" s="11" t="n">
        <x:v>1</x:v>
      </x:c>
      <x:c r="J476" s="4" t="str">
        <x:v>https://blog.skyairline.com/parques-acuaticos-en-chile/</x:v>
      </x:c>
      <x:c r="K476" s="16" t="b">
        <x:v>0</x:v>
      </x:c>
      <x:c r="L476" s="11" t="n">
        <x:v>0</x:v>
      </x:c>
      <x:c r="M476" s="11" t="n">
        <x:v>0</x:v>
      </x:c>
      <x:c r="N476" s="4"/>
      <x:c r="O476" s="4"/>
      <x:c r="P476" s="11" t="n">
        <x:v>1</x:v>
      </x:c>
      <x:c r="Q476" s="11" t="n">
        <x:v>3</x:v>
      </x:c>
      <x:c r="R476" s="11" t="n">
        <x:f>IF(OR(P476="",Q476=""),"",Q476-P476)</x:f>
        <x:v>2</x:v>
      </x:c>
      <x:c r="S476" s="13" t="n">
        <x:f>IF(OR(P476="",Q476="",P476=0),"",((Q476/30)/(P476/31))-1)</x:f>
        <x:v>2.1</x:v>
      </x:c>
      <x:c r="T476" s="11" t="n">
        <x:v>821</x:v>
      </x:c>
      <x:c r="U476" s="11" t="n">
        <x:v>826</x:v>
      </x:c>
      <x:c r="V476" s="14" t="n">
        <x:v>0.0036319612590799033</x:v>
      </x:c>
      <x:c r="W476" s="12" t="n">
        <x:v>11.236077481840194</x:v>
      </x:c>
      <x:c r="X476" s="11" t="n">
        <x:v>4</x:v>
      </x:c>
      <x:c r="Y476" s="11" t="n">
        <x:v>5</x:v>
      </x:c>
      <x:c r="Z476" s="4" t="str">
        <x:v>https://blog.skyairline.com/parques-acuaticos-en-chile/</x:v>
      </x:c>
      <x:c r="AA476" s="4" t="str">
        <x:v>https://blog.skyairline.com/parques-acuaticos-en-chile/</x:v>
      </x:c>
      <x:c r="AB476" s="4" t="str">
        <x:v>Coincidencia URL</x:v>
      </x:c>
      <x:c r="AC476" s="4" t="str">
        <x:v>Publicado hasta septiembre</x:v>
      </x:c>
      <x:c r="AD476" s="4" t="str">
        <x:v>/parques-acuaticos-en-chile/</x:v>
      </x:c>
      <x:c r="AE476" s="4"/>
      <x:c r="AF476" s="16" t="b">
        <x:v>0</x:v>
      </x:c>
    </x:row>
    <x:row r="477" ht="44" customHeight="1">
      <x:c r="A477" s="4" t="n">
        <x:v>6296</x:v>
      </x:c>
      <x:c r="B477" s="4" t="str">
        <x:v>https://blog.skyairline.com/sky-despega-con-3-rutas-para-la-temporada-de-invierno/</x:v>
      </x:c>
      <x:c r="C477" s="9" t="str">
        <x:v>SKY despega con 3 rutas para la temporada de invierno</x:v>
      </x:c>
      <x:c r="D477" s="17" t="d">
        <x:v>2025-07-07T00:00:00.000Z</x:v>
      </x:c>
      <x:c r="E477" s="17" t="d">
        <x:v>2025-07-07T00:00:00.000Z</x:v>
      </x:c>
      <x:c r="F477" s="4" t="str">
        <x:v>Noticias</x:v>
      </x:c>
      <x:c r="G477" s="11" t="n">
        <x:v>373</x:v>
      </x:c>
      <x:c r="H477" s="11" t="n">
        <x:v>200</x:v>
      </x:c>
      <x:c r="I477" s="11" t="n">
        <x:v>1</x:v>
      </x:c>
      <x:c r="J477" s="4" t="str">
        <x:v>https://blog.skyairline.com/sky-despega-con-3-rutas-para-la-temporada-de-invierno/</x:v>
      </x:c>
      <x:c r="K477" s="16" t="b">
        <x:v>0</x:v>
      </x:c>
      <x:c r="L477" s="11" t="n">
        <x:v>0</x:v>
      </x:c>
      <x:c r="M477" s="11" t="n">
        <x:v>0</x:v>
      </x:c>
      <x:c r="N477" s="4"/>
      <x:c r="O477" s="4"/>
      <x:c r="P477" s="11" t="n">
        <x:v>8</x:v>
      </x:c>
      <x:c r="Q477" s="11" t="n">
        <x:v>3</x:v>
      </x:c>
      <x:c r="R477" s="11" t="n">
        <x:f>IF(OR(P477="",Q477=""),"",Q477-P477)</x:f>
        <x:v>-5</x:v>
      </x:c>
      <x:c r="S477" s="13" t="n">
        <x:f>IF(OR(P477="",Q477="",P477=0),"",((Q477/30)/(P477/31))-1)</x:f>
        <x:v>-0.6125</x:v>
      </x:c>
      <x:c r="T477" s="11" t="n">
        <x:v>93</x:v>
      </x:c>
      <x:c r="U477" s="11" t="n">
        <x:v>77</x:v>
      </x:c>
      <x:c r="V477" s="14" t="n">
        <x:v>0.03896103896103896</x:v>
      </x:c>
      <x:c r="W477" s="12" t="n">
        <x:v>4.896103896103896</x:v>
      </x:c>
      <x:c r="X477" s="11" t="n">
        <x:v>4</x:v>
      </x:c>
      <x:c r="Y477" s="11" t="n">
        <x:v>7</x:v>
      </x:c>
      <x:c r="Z477" s="4" t="str">
        <x:v>https://blog.skyairline.com/sky-despega-con-3-rutas-para-la-temporada-de-invierno/</x:v>
      </x:c>
      <x:c r="AA477" s="4" t="str">
        <x:v>https://blog.skyairline.com/sky-despega-con-3-rutas-para-la-temporada-de-invierno/</x:v>
      </x:c>
      <x:c r="AB477" s="4" t="str">
        <x:v>Coincidencia URL</x:v>
      </x:c>
      <x:c r="AC477" s="4" t="str">
        <x:v>Publicado hasta septiembre</x:v>
      </x:c>
      <x:c r="AD477" s="4" t="str">
        <x:v>/sky-despega-con-3-rutas-para-la-temporada-de-invierno/</x:v>
      </x:c>
      <x:c r="AE477" s="4"/>
      <x:c r="AF477" s="16" t="b">
        <x:v>0</x:v>
      </x:c>
    </x:row>
    <x:row r="478" ht="44" customHeight="1">
      <x:c r="A478" s="4" t="n">
        <x:v>6312</x:v>
      </x:c>
      <x:c r="B478" s="4" t="str">
        <x:v>https://blog.skyairline.com/cabanas-sur-de-chile/</x:v>
      </x:c>
      <x:c r="C478" s="9" t="str">
        <x:v>Escapadas únicas: cabañas en el sur de Chile rodeadas de naturaleza</x:v>
      </x:c>
      <x:c r="D478" s="17" t="d">
        <x:v>2025-07-10T00:00:00.000Z</x:v>
      </x:c>
      <x:c r="E478" s="17" t="d">
        <x:v>2025-07-10T00:00:00.000Z</x:v>
      </x:c>
      <x:c r="F478" s="4" t="str">
        <x:v>Destinos</x:v>
      </x:c>
      <x:c r="G478" s="11" t="n">
        <x:v>1174</x:v>
      </x:c>
      <x:c r="H478" s="11" t="n">
        <x:v>200</x:v>
      </x:c>
      <x:c r="I478" s="11" t="n">
        <x:v>1</x:v>
      </x:c>
      <x:c r="J478" s="4" t="str">
        <x:v>https://blog.skyairline.com/cabanas-sur-de-chile/</x:v>
      </x:c>
      <x:c r="K478" s="16" t="b">
        <x:v>0</x:v>
      </x:c>
      <x:c r="L478" s="11" t="n">
        <x:v>0</x:v>
      </x:c>
      <x:c r="M478" s="11" t="n">
        <x:v>3</x:v>
      </x:c>
      <x:c r="N478" s="4"/>
      <x:c r="O478" s="4"/>
      <x:c r="P478" s="11" t="n">
        <x:v>1</x:v>
      </x:c>
      <x:c r="Q478" s="11" t="n">
        <x:v>3</x:v>
      </x:c>
      <x:c r="R478" s="11" t="n">
        <x:f>IF(OR(P478="",Q478=""),"",Q478-P478)</x:f>
        <x:v>2</x:v>
      </x:c>
      <x:c r="S478" s="13" t="n">
        <x:f>IF(OR(P478="",Q478="",P478=0),"",((Q478/30)/(P478/31))-1)</x:f>
        <x:v>2.1</x:v>
      </x:c>
      <x:c r="T478" s="11" t="n">
        <x:v>522</x:v>
      </x:c>
      <x:c r="U478" s="11" t="n">
        <x:v>360</x:v>
      </x:c>
      <x:c r="V478" s="14" t="n">
        <x:v>0.008333333333333333</x:v>
      </x:c>
      <x:c r="W478" s="12" t="n">
        <x:v>10.869444444444444</x:v>
      </x:c>
      <x:c r="X478" s="11" t="n">
        <x:v>4</x:v>
      </x:c>
      <x:c r="Y478" s="11" t="n">
        <x:v>5</x:v>
      </x:c>
      <x:c r="Z478" s="4" t="str">
        <x:v>https://blog.skyairline.com/cabanas-sur-de-chile/</x:v>
      </x:c>
      <x:c r="AA478" s="4" t="str">
        <x:v>https://blog.skyairline.com/cabanas-sur-de-chile/</x:v>
      </x:c>
      <x:c r="AB478" s="4" t="str">
        <x:v>Coincidencia URL</x:v>
      </x:c>
      <x:c r="AC478" s="4" t="str">
        <x:v>Publicado hasta septiembre</x:v>
      </x:c>
      <x:c r="AD478" s="4" t="str">
        <x:v>/cabanas-sur-de-chile/</x:v>
      </x:c>
      <x:c r="AE478" s="4"/>
      <x:c r="AF478" s="16" t="b">
        <x:v>0</x:v>
      </x:c>
    </x:row>
    <x:row r="479" ht="44" customHeight="1">
      <x:c r="A479" s="4" t="n">
        <x:v>6321</x:v>
      </x:c>
      <x:c r="B479" s="4" t="str">
        <x:v>https://blog.skyairline.com/hornopiren/</x:v>
      </x:c>
      <x:c r="C479" s="9" t="str">
        <x:v>Qué ver y hacer en Hornopirén, el tesoro escondido del sur</x:v>
      </x:c>
      <x:c r="D479" s="17" t="d">
        <x:v>2025-07-13T00:00:00.000Z</x:v>
      </x:c>
      <x:c r="E479" s="17" t="d">
        <x:v>2025-07-13T00:00:00.000Z</x:v>
      </x:c>
      <x:c r="F479" s="4" t="str">
        <x:v>Destinos</x:v>
      </x:c>
      <x:c r="G479" s="11" t="n">
        <x:v>1153</x:v>
      </x:c>
      <x:c r="H479" s="11" t="n">
        <x:v>200</x:v>
      </x:c>
      <x:c r="I479" s="11" t="n">
        <x:v>1</x:v>
      </x:c>
      <x:c r="J479" s="4" t="str">
        <x:v>https://blog.skyairline.com/hornopiren/</x:v>
      </x:c>
      <x:c r="K479" s="16" t="b">
        <x:v>0</x:v>
      </x:c>
      <x:c r="L479" s="11" t="n">
        <x:v>0</x:v>
      </x:c>
      <x:c r="M479" s="11" t="n">
        <x:v>2</x:v>
      </x:c>
      <x:c r="N479" s="4"/>
      <x:c r="O479" s="4"/>
      <x:c r="P479" s="11" t="n">
        <x:v>4</x:v>
      </x:c>
      <x:c r="Q479" s="11" t="n">
        <x:v>3</x:v>
      </x:c>
      <x:c r="R479" s="11" t="n">
        <x:f>IF(OR(P479="",Q479=""),"",Q479-P479)</x:f>
        <x:v>-1</x:v>
      </x:c>
      <x:c r="S479" s="13" t="n">
        <x:f>IF(OR(P479="",Q479="",P479=0),"",((Q479/30)/(P479/31))-1)</x:f>
        <x:v>-0.22499999999999998</x:v>
      </x:c>
      <x:c r="T479" s="11" t="n">
        <x:v>604</x:v>
      </x:c>
      <x:c r="U479" s="11" t="n">
        <x:v>435</x:v>
      </x:c>
      <x:c r="V479" s="14" t="n">
        <x:v>0.006896551724137931</x:v>
      </x:c>
      <x:c r="W479" s="12" t="n">
        <x:v>14.772413793103448</x:v>
      </x:c>
      <x:c r="X479" s="11" t="n">
        <x:v>6</x:v>
      </x:c>
      <x:c r="Y479" s="11" t="n">
        <x:v>11</x:v>
      </x:c>
      <x:c r="Z479" s="4" t="str">
        <x:v>https://blog.skyairline.com/hornopiren/</x:v>
      </x:c>
      <x:c r="AA479" s="4" t="str">
        <x:v>https://blog.skyairline.com/hornopiren/</x:v>
      </x:c>
      <x:c r="AB479" s="4" t="str">
        <x:v>Coincidencia URL</x:v>
      </x:c>
      <x:c r="AC479" s="4" t="str">
        <x:v>Publicado hasta septiembre</x:v>
      </x:c>
      <x:c r="AD479" s="4" t="str">
        <x:v>/hornopiren/</x:v>
      </x:c>
      <x:c r="AE479" s="4"/>
      <x:c r="AF479" s="16" t="b">
        <x:v>0</x:v>
      </x:c>
    </x:row>
    <x:row r="480" ht="44" customHeight="1">
      <x:c r="A480" s="4" t="n">
        <x:v>6367</x:v>
      </x:c>
      <x:c r="B480" s="4" t="str">
        <x:v>https://blog.skyairline.com/practicando-tubing/</x:v>
      </x:c>
      <x:c r="C480" s="9" t="str">
        <x:v>Vive una experiencia única practicando tubing en ríos chilenos</x:v>
      </x:c>
      <x:c r="D480" s="17" t="d">
        <x:v>2025-07-26T00:00:00.000Z</x:v>
      </x:c>
      <x:c r="E480" s="17" t="d">
        <x:v>2025-07-26T00:00:00.000Z</x:v>
      </x:c>
      <x:c r="F480" s="4" t="str">
        <x:v>Destinos</x:v>
      </x:c>
      <x:c r="G480" s="11" t="n">
        <x:v>971</x:v>
      </x:c>
      <x:c r="H480" s="11" t="n">
        <x:v>200</x:v>
      </x:c>
      <x:c r="I480" s="11" t="n">
        <x:v>1</x:v>
      </x:c>
      <x:c r="J480" s="4" t="str">
        <x:v>https://blog.skyairline.com/practicando-tubing/</x:v>
      </x:c>
      <x:c r="K480" s="16" t="b">
        <x:v>0</x:v>
      </x:c>
      <x:c r="L480" s="11" t="n">
        <x:v>0</x:v>
      </x:c>
      <x:c r="M480" s="11" t="n">
        <x:v>3</x:v>
      </x:c>
      <x:c r="N480" s="4"/>
      <x:c r="O480" s="4"/>
      <x:c r="P480" s="11" t="n">
        <x:v>0</x:v>
      </x:c>
      <x:c r="Q480" s="11" t="n">
        <x:v>3</x:v>
      </x:c>
      <x:c r="R480" s="11" t="str">
        <x:f>IF(OR(P480="",Q480=""),"",Q480-P480)</x:f>
      </x:c>
      <x:c r="S480" s="13" t="str">
        <x:f>IF(OR(P480="",Q480="",P480=0),"",((Q480/30)/(P480/31))-1)</x:f>
      </x:c>
      <x:c r="T480" s="11" t="n">
        <x:v>318</x:v>
      </x:c>
      <x:c r="U480" s="11" t="n">
        <x:v>292</x:v>
      </x:c>
      <x:c r="V480" s="14" t="n">
        <x:v>0.010273972602739725</x:v>
      </x:c>
      <x:c r="W480" s="12" t="n">
        <x:v>5.239726027397261</x:v>
      </x:c>
      <x:c r="X480" s="11" t="n">
        <x:v>1</x:v>
      </x:c>
      <x:c r="Y480" s="11" t="n">
        <x:v>1</x:v>
      </x:c>
      <x:c r="Z480" s="4" t="str">
        <x:v>https://blog.skyairline.com/practicando-tubing/</x:v>
      </x:c>
      <x:c r="AA480" s="4" t="str">
        <x:v>https://blog.skyairline.com/practicando-tubing/</x:v>
      </x:c>
      <x:c r="AB480" s="4" t="str">
        <x:v>Coincidencia URL</x:v>
      </x:c>
      <x:c r="AC480" s="4" t="str">
        <x:v>Publicado hasta septiembre</x:v>
      </x:c>
      <x:c r="AD480" s="4" t="str">
        <x:v>/practicando-tubing/</x:v>
      </x:c>
      <x:c r="AE480" s="4"/>
      <x:c r="AF480" s="16" t="b">
        <x:v>0</x:v>
      </x:c>
    </x:row>
    <x:row r="481" ht="44" customHeight="1">
      <x:c r="A481" s="4" t="n">
        <x:v>6457</x:v>
      </x:c>
      <x:c r="B481" s="4" t="str">
        <x:v>https://blog.skyairline.com/donde-queda-hornopiren/</x:v>
      </x:c>
      <x:c r="C481" s="9" t="str">
        <x:v>Dónde queda Hornopirén y cómo llegar desde Puerto Montt</x:v>
      </x:c>
      <x:c r="D481" s="17" t="d">
        <x:v>2025-08-11T00:00:00.000Z</x:v>
      </x:c>
      <x:c r="E481" s="17" t="d">
        <x:v>2025-08-11T00:00:00.000Z</x:v>
      </x:c>
      <x:c r="F481" s="4" t="str">
        <x:v>Planificación de Viaje</x:v>
      </x:c>
      <x:c r="G481" s="11" t="n">
        <x:v>1192</x:v>
      </x:c>
      <x:c r="H481" s="11" t="n">
        <x:v>200</x:v>
      </x:c>
      <x:c r="I481" s="11" t="n">
        <x:v>1</x:v>
      </x:c>
      <x:c r="J481" s="4" t="str">
        <x:v>https://blog.skyairline.com/donde-queda-hornopiren/</x:v>
      </x:c>
      <x:c r="K481" s="16" t="b">
        <x:v>0</x:v>
      </x:c>
      <x:c r="L481" s="11" t="n">
        <x:v>0</x:v>
      </x:c>
      <x:c r="M481" s="11" t="n">
        <x:v>3</x:v>
      </x:c>
      <x:c r="N481" s="4"/>
      <x:c r="O481" s="4"/>
      <x:c r="P481" s="11" t="n">
        <x:v>6</x:v>
      </x:c>
      <x:c r="Q481" s="11" t="n">
        <x:v>3</x:v>
      </x:c>
      <x:c r="R481" s="11" t="n">
        <x:f>IF(OR(P481="",Q481=""),"",Q481-P481)</x:f>
        <x:v>-3</x:v>
      </x:c>
      <x:c r="S481" s="13" t="n">
        <x:f>IF(OR(P481="",Q481="",P481=0),"",((Q481/30)/(P481/31))-1)</x:f>
        <x:v>-0.4833333333333333</x:v>
      </x:c>
      <x:c r="T481" s="11" t="n">
        <x:v>1670</x:v>
      </x:c>
      <x:c r="U481" s="11" t="n">
        <x:v>1738</x:v>
      </x:c>
      <x:c r="V481" s="14" t="n">
        <x:v>0.0017261219792865361</x:v>
      </x:c>
      <x:c r="W481" s="12" t="n">
        <x:v>8.25373993095512</x:v>
      </x:c>
      <x:c r="X481" s="11" t="n">
        <x:v>4</x:v>
      </x:c>
      <x:c r="Y481" s="11" t="n">
        <x:v>6</x:v>
      </x:c>
      <x:c r="Z481" s="4" t="str">
        <x:v>https://blog.skyairline.com/donde-queda-hornopiren/</x:v>
      </x:c>
      <x:c r="AA481" s="4" t="str">
        <x:v>https://blog.skyairline.com/donde-queda-hornopiren/</x:v>
      </x:c>
      <x:c r="AB481" s="4" t="str">
        <x:v>Coincidencia URL</x:v>
      </x:c>
      <x:c r="AC481" s="4" t="str">
        <x:v>Publicado hasta septiembre</x:v>
      </x:c>
      <x:c r="AD481" s="4" t="str">
        <x:v>/donde-queda-hornopiren/</x:v>
      </x:c>
      <x:c r="AE481" s="4"/>
      <x:c r="AF481" s="16" t="b">
        <x:v>0</x:v>
      </x:c>
    </x:row>
    <x:row r="482" ht="44" customHeight="1">
      <x:c r="A482" s="4" t="n">
        <x:v>6494</x:v>
      </x:c>
      <x:c r="B482" s="4" t="str">
        <x:v>https://blog.skyairline.com/rio-cerca-de-santiago/</x:v>
      </x:c>
      <x:c r="C482" s="9" t="str">
        <x:v>Encuentra un buen río cerca de Santiago para desconectar</x:v>
      </x:c>
      <x:c r="D482" s="17" t="d">
        <x:v>2025-08-23T00:00:00.000Z</x:v>
      </x:c>
      <x:c r="E482" s="17" t="d">
        <x:v>2025-08-23T00:00:00.000Z</x:v>
      </x:c>
      <x:c r="F482" s="4" t="str">
        <x:v>Destinos</x:v>
      </x:c>
      <x:c r="G482" s="11" t="n">
        <x:v>1027</x:v>
      </x:c>
      <x:c r="H482" s="11" t="n">
        <x:v>200</x:v>
      </x:c>
      <x:c r="I482" s="11" t="n">
        <x:v>1</x:v>
      </x:c>
      <x:c r="J482" s="4" t="str">
        <x:v>https://blog.skyairline.com/rio-cerca-de-santiago/</x:v>
      </x:c>
      <x:c r="K482" s="16" t="b">
        <x:v>0</x:v>
      </x:c>
      <x:c r="L482" s="11" t="n">
        <x:v>0</x:v>
      </x:c>
      <x:c r="M482" s="11" t="n">
        <x:v>3</x:v>
      </x:c>
      <x:c r="N482" s="4"/>
      <x:c r="O482" s="4"/>
      <x:c r="P482" s="11" t="n">
        <x:v>7</x:v>
      </x:c>
      <x:c r="Q482" s="11" t="n">
        <x:v>3</x:v>
      </x:c>
      <x:c r="R482" s="11" t="n">
        <x:f>IF(OR(P482="",Q482=""),"",Q482-P482)</x:f>
        <x:v>-4</x:v>
      </x:c>
      <x:c r="S482" s="13" t="n">
        <x:f>IF(OR(P482="",Q482="",P482=0),"",((Q482/30)/(P482/31))-1)</x:f>
        <x:v>-0.5571428571428572</x:v>
      </x:c>
      <x:c r="T482" s="11" t="n">
        <x:v>715</x:v>
      </x:c>
      <x:c r="U482" s="11" t="n">
        <x:v>1080</x:v>
      </x:c>
      <x:c r="V482" s="14" t="n">
        <x:v>0.002777777777777778</x:v>
      </x:c>
      <x:c r="W482" s="12" t="n">
        <x:v>9.192592592592593</x:v>
      </x:c>
      <x:c r="X482" s="11" t="n">
        <x:v>6</x:v>
      </x:c>
      <x:c r="Y482" s="11" t="n">
        <x:v>7</x:v>
      </x:c>
      <x:c r="Z482" s="4" t="str">
        <x:v>https://blog.skyairline.com/rio-cerca-de-santiago/</x:v>
      </x:c>
      <x:c r="AA482" s="4" t="str">
        <x:v>https://blog.skyairline.com/rio-cerca-de-santiago/</x:v>
      </x:c>
      <x:c r="AB482" s="4" t="str">
        <x:v>Coincidencia URL</x:v>
      </x:c>
      <x:c r="AC482" s="4" t="str">
        <x:v>Publicado hasta septiembre</x:v>
      </x:c>
      <x:c r="AD482" s="4" t="str">
        <x:v>/rio-cerca-de-santiago/</x:v>
      </x:c>
      <x:c r="AE482" s="4"/>
      <x:c r="AF482" s="16" t="b">
        <x:v>0</x:v>
      </x:c>
    </x:row>
    <x:row r="483" ht="44" customHeight="1">
      <x:c r="A483" s="4" t="n">
        <x:v>6535</x:v>
      </x:c>
      <x:c r="B483" s="4" t="str">
        <x:v>https://blog.skyairline.com/villa-maria-del-triunfo/</x:v>
      </x:c>
      <x:c r="C483" s="9" t="str">
        <x:v>Qué ver en Villa María del Triunfo y sus alrededores</x:v>
      </x:c>
      <x:c r="D483" s="17" t="d">
        <x:v>2025-09-04T00:00:00.000Z</x:v>
      </x:c>
      <x:c r="E483" s="17" t="d">
        <x:v>2025-09-04T00:00:00.000Z</x:v>
      </x:c>
      <x:c r="F483" s="4" t="str">
        <x:v>Destinos</x:v>
      </x:c>
      <x:c r="G483" s="11" t="n">
        <x:v>906</x:v>
      </x:c>
      <x:c r="H483" s="11" t="n">
        <x:v>200</x:v>
      </x:c>
      <x:c r="I483" s="11" t="n">
        <x:v>1</x:v>
      </x:c>
      <x:c r="J483" s="4" t="str">
        <x:v>https://blog.skyairline.com/villa-maria-del-triunfo/</x:v>
      </x:c>
      <x:c r="K483" s="16" t="b">
        <x:v>0</x:v>
      </x:c>
      <x:c r="L483" s="11" t="n">
        <x:v>0</x:v>
      </x:c>
      <x:c r="M483" s="11" t="n">
        <x:v>3</x:v>
      </x:c>
      <x:c r="N483" s="4"/>
      <x:c r="O483" s="4"/>
      <x:c r="P483" s="11" t="n">
        <x:v>6</x:v>
      </x:c>
      <x:c r="Q483" s="11" t="n">
        <x:v>3</x:v>
      </x:c>
      <x:c r="R483" s="11" t="n">
        <x:f>IF(OR(P483="",Q483=""),"",Q483-P483)</x:f>
        <x:v>-3</x:v>
      </x:c>
      <x:c r="S483" s="13" t="n">
        <x:f>IF(OR(P483="",Q483="",P483=0),"",((Q483/30)/(P483/31))-1)</x:f>
        <x:v>-0.4833333333333333</x:v>
      </x:c>
      <x:c r="T483" s="11" t="n">
        <x:v>2327</x:v>
      </x:c>
      <x:c r="U483" s="11" t="n">
        <x:v>1616</x:v>
      </x:c>
      <x:c r="V483" s="14" t="n">
        <x:v>0.0018564356435643563</x:v>
      </x:c>
      <x:c r="W483" s="12" t="n">
        <x:v>9.221534653465346</x:v>
      </x:c>
      <x:c r="X483" s="11" t="n">
        <x:v>3</x:v>
      </x:c>
      <x:c r="Y483" s="11" t="n">
        <x:v>4</x:v>
      </x:c>
      <x:c r="Z483" s="4" t="str">
        <x:v>https://blog.skyairline.com/villa-maria-del-triunfo/</x:v>
      </x:c>
      <x:c r="AA483" s="4" t="str">
        <x:v>https://blog.skyairline.com/villa-maria-del-triunfo/</x:v>
      </x:c>
      <x:c r="AB483" s="4" t="str">
        <x:v>Coincidencia URL</x:v>
      </x:c>
      <x:c r="AC483" s="4" t="str">
        <x:v>Publicado hasta septiembre</x:v>
      </x:c>
      <x:c r="AD483" s="4" t="str">
        <x:v>/villa-maria-del-triunfo/</x:v>
      </x:c>
      <x:c r="AE483" s="4"/>
      <x:c r="AF483" s="16" t="b">
        <x:v>0</x:v>
      </x:c>
    </x:row>
    <x:row r="484" ht="44" customHeight="1">
      <x:c r="A484" s="4" t="n">
        <x:v>6550</x:v>
      </x:c>
      <x:c r="B484" s="4" t="str">
        <x:v>https://blog.skyairline.com/huaraz-peru/</x:v>
      </x:c>
      <x:c r="C484" s="9" t="str">
        <x:v>Qué hacer y ver en Huaraz Perú si amas la aventura</x:v>
      </x:c>
      <x:c r="D484" s="17" t="d">
        <x:v>2025-09-09T00:00:00.000Z</x:v>
      </x:c>
      <x:c r="E484" s="17" t="d">
        <x:v>2025-09-09T00:00:00.000Z</x:v>
      </x:c>
      <x:c r="F484" s="4" t="str">
        <x:v>Destinos</x:v>
      </x:c>
      <x:c r="G484" s="11" t="n">
        <x:v>916</x:v>
      </x:c>
      <x:c r="H484" s="11" t="n">
        <x:v>200</x:v>
      </x:c>
      <x:c r="I484" s="11" t="n">
        <x:v>1</x:v>
      </x:c>
      <x:c r="J484" s="4" t="str">
        <x:v>https://blog.skyairline.com/huaraz-peru/</x:v>
      </x:c>
      <x:c r="K484" s="16" t="b">
        <x:v>0</x:v>
      </x:c>
      <x:c r="L484" s="11" t="n">
        <x:v>0</x:v>
      </x:c>
      <x:c r="M484" s="11" t="n">
        <x:v>3</x:v>
      </x:c>
      <x:c r="N484" s="4"/>
      <x:c r="O484" s="4"/>
      <x:c r="P484" s="11" t="n">
        <x:v>0</x:v>
      </x:c>
      <x:c r="Q484" s="11" t="n">
        <x:v>3</x:v>
      </x:c>
      <x:c r="R484" s="11" t="str">
        <x:f>IF(OR(P484="",Q484=""),"",Q484-P484)</x:f>
      </x:c>
      <x:c r="S484" s="13" t="str">
        <x:f>IF(OR(P484="",Q484="",P484=0),"",((Q484/30)/(P484/31))-1)</x:f>
      </x:c>
      <x:c r="T484" s="11" t="n">
        <x:v>128</x:v>
      </x:c>
      <x:c r="U484" s="11" t="n">
        <x:v>86</x:v>
      </x:c>
      <x:c r="V484" s="14" t="n">
        <x:v>0.03488372093023256</x:v>
      </x:c>
      <x:c r="W484" s="12" t="n">
        <x:v>8.302325581395348</x:v>
      </x:c>
      <x:c r="X484" s="11" t="n">
        <x:v>3</x:v>
      </x:c>
      <x:c r="Y484" s="11" t="n">
        <x:v>3</x:v>
      </x:c>
      <x:c r="Z484" s="4" t="str">
        <x:v>https://blog.skyairline.com/huaraz-peru/</x:v>
      </x:c>
      <x:c r="AA484" s="4" t="str">
        <x:v>https://blog.skyairline.com/huaraz-peru/</x:v>
      </x:c>
      <x:c r="AB484" s="4" t="str">
        <x:v>Coincidencia URL</x:v>
      </x:c>
      <x:c r="AC484" s="4" t="str">
        <x:v>Publicado hasta septiembre</x:v>
      </x:c>
      <x:c r="AD484" s="4" t="str">
        <x:v>/huaraz-peru/</x:v>
      </x:c>
      <x:c r="AE484" s="4"/>
      <x:c r="AF484" s="16" t="b">
        <x:v>0</x:v>
      </x:c>
    </x:row>
    <x:row r="485" ht="44" customHeight="1">
      <x:c r="A485" s="4" t="n">
        <x:v>7105</x:v>
      </x:c>
      <x:c r="B485" s="4" t="str">
        <x:v>https://blog.skyairline.com/cusquena/</x:v>
      </x:c>
      <x:c r="C485" s="9" t="str">
        <x:v>¿Y si te tomas una cusqueña en Cusco?</x:v>
      </x:c>
      <x:c r="D485" s="17" t="d">
        <x:v>2025-09-23T00:00:00.000Z</x:v>
      </x:c>
      <x:c r="E485" s="17" t="d">
        <x:v>2025-09-23T00:00:00.000Z</x:v>
      </x:c>
      <x:c r="F485" s="4" t="str">
        <x:v>Destinos</x:v>
      </x:c>
      <x:c r="G485" s="11" t="n">
        <x:v>983</x:v>
      </x:c>
      <x:c r="H485" s="11" t="n">
        <x:v>200</x:v>
      </x:c>
      <x:c r="I485" s="11" t="n">
        <x:v>1</x:v>
      </x:c>
      <x:c r="J485" s="4" t="str">
        <x:v>https://blog.skyairline.com/cusquena/</x:v>
      </x:c>
      <x:c r="K485" s="16" t="b">
        <x:v>0</x:v>
      </x:c>
      <x:c r="L485" s="11" t="n">
        <x:v>0</x:v>
      </x:c>
      <x:c r="M485" s="11" t="n">
        <x:v>3</x:v>
      </x:c>
      <x:c r="N485" s="4"/>
      <x:c r="O485" s="4"/>
      <x:c r="P485" s="11" t="n">
        <x:v>3</x:v>
      </x:c>
      <x:c r="Q485" s="11" t="n">
        <x:v>3</x:v>
      </x:c>
      <x:c r="R485" s="11" t="n">
        <x:f>IF(OR(P485="",Q485=""),"",Q485-P485)</x:f>
        <x:v>0</x:v>
      </x:c>
      <x:c r="S485" s="13" t="n">
        <x:f>IF(OR(P485="",Q485="",P485=0),"",((Q485/30)/(P485/31))-1)</x:f>
        <x:v>0.03333333333333344</x:v>
      </x:c>
      <x:c r="T485" s="11" t="n">
        <x:v>415</x:v>
      </x:c>
      <x:c r="U485" s="11" t="n">
        <x:v>311</x:v>
      </x:c>
      <x:c r="V485" s="14" t="n">
        <x:v>0.00964630225080386</x:v>
      </x:c>
      <x:c r="W485" s="12" t="n">
        <x:v>8.530546623794212</x:v>
      </x:c>
      <x:c r="X485" s="11" t="n">
        <x:v>4</x:v>
      </x:c>
      <x:c r="Y485" s="11" t="n">
        <x:v>5</x:v>
      </x:c>
      <x:c r="Z485" s="4" t="str">
        <x:v>https://blog.skyairline.com/cusquena/</x:v>
      </x:c>
      <x:c r="AA485" s="4" t="str">
        <x:v>https://blog.skyairline.com/cusquena/</x:v>
      </x:c>
      <x:c r="AB485" s="4" t="str">
        <x:v>Coincidencia URL</x:v>
      </x:c>
      <x:c r="AC485" s="4" t="str">
        <x:v>Publicado hasta septiembre</x:v>
      </x:c>
      <x:c r="AD485" s="4" t="str">
        <x:v>/cusquena/</x:v>
      </x:c>
      <x:c r="AE485" s="4"/>
      <x:c r="AF485" s="16" t="b">
        <x:v>0</x:v>
      </x:c>
    </x:row>
    <x:row r="486" ht="44" customHeight="1">
      <x:c r="A486" s="4" t="n">
        <x:v>7111</x:v>
      </x:c>
      <x:c r="B486" s="4" t="str">
        <x:v>https://blog.skyairline.com/chile-vs-peru/</x:v>
      </x:c>
      <x:c r="C486" s="9" t="str">
        <x:v>Chile vs. Perú: compara y elige tu próximo destino</x:v>
      </x:c>
      <x:c r="D486" s="17" t="d">
        <x:v>2025-09-30T00:00:00.000Z</x:v>
      </x:c>
      <x:c r="E486" s="17" t="d">
        <x:v>2025-10-12T00:00:00.000Z</x:v>
      </x:c>
      <x:c r="F486" s="4" t="str">
        <x:v>Destinos</x:v>
      </x:c>
      <x:c r="G486" s="11" t="n">
        <x:v>1124</x:v>
      </x:c>
      <x:c r="H486" s="11" t="n">
        <x:v>200</x:v>
      </x:c>
      <x:c r="I486" s="11" t="n">
        <x:v>1</x:v>
      </x:c>
      <x:c r="J486" s="4" t="str">
        <x:v>https://blog.skyairline.com/chile-vs-peru/</x:v>
      </x:c>
      <x:c r="K486" s="16" t="b">
        <x:v>0</x:v>
      </x:c>
      <x:c r="L486" s="11" t="n">
        <x:v>0</x:v>
      </x:c>
      <x:c r="M486" s="11" t="n">
        <x:v>4</x:v>
      </x:c>
      <x:c r="N486" s="4"/>
      <x:c r="O486" s="4"/>
      <x:c r="P486" s="11" t="n">
        <x:v>7</x:v>
      </x:c>
      <x:c r="Q486" s="11" t="n">
        <x:v>3</x:v>
      </x:c>
      <x:c r="R486" s="11" t="n">
        <x:f>IF(OR(P486="",Q486=""),"",Q486-P486)</x:f>
        <x:v>-4</x:v>
      </x:c>
      <x:c r="S486" s="13" t="n">
        <x:f>IF(OR(P486="",Q486="",P486=0),"",((Q486/30)/(P486/31))-1)</x:f>
        <x:v>-0.5571428571428572</x:v>
      </x:c>
      <x:c r="T486" s="11" t="n">
        <x:v>585</x:v>
      </x:c>
      <x:c r="U486" s="11" t="n">
        <x:v>525</x:v>
      </x:c>
      <x:c r="V486" s="14" t="n">
        <x:v>0.005714285714285714</x:v>
      </x:c>
      <x:c r="W486" s="12" t="n">
        <x:v>8.207619047619048</x:v>
      </x:c>
      <x:c r="X486" s="11" t="n">
        <x:v>6</x:v>
      </x:c>
      <x:c r="Y486" s="11" t="n">
        <x:v>5</x:v>
      </x:c>
      <x:c r="Z486" s="4" t="str">
        <x:v>https://blog.skyairline.com/chile-vs-peru/</x:v>
      </x:c>
      <x:c r="AA486" s="4" t="str">
        <x:v>https://blog.skyairline.com/chile-vs-peru/
https://blog.skyairline.com/chile-vs-peru</x:v>
      </x:c>
      <x:c r="AB486" s="4" t="str">
        <x:v>Alias slash agregado</x:v>
      </x:c>
      <x:c r="AC486" s="4" t="str">
        <x:v>Publicado hasta septiembre</x:v>
      </x:c>
      <x:c r="AD486" s="4" t="str">
        <x:v>/chile-vs-peru/</x:v>
      </x:c>
      <x:c r="AE486" s="4"/>
      <x:c r="AF486" s="16" t="b">
        <x:v>0</x:v>
      </x:c>
    </x:row>
    <x:row r="487" ht="44" customHeight="1">
      <x:c r="A487" s="4" t="n">
        <x:v>7115</x:v>
      </x:c>
      <x:c r="B487" s="4" t="str">
        <x:v>https://blog.skyairline.com/preguntas-para-conocer-a-alguien/</x:v>
      </x:c>
      <x:c r="C487" s="9" t="str">
        <x:v>Preguntas para conocer a alguien y conectar en tus viajes</x:v>
      </x:c>
      <x:c r="D487" s="17" t="d">
        <x:v>2025-10-24T00:00:00.000Z</x:v>
      </x:c>
      <x:c r="E487" s="17" t="d">
        <x:v>2025-10-24T00:00:00.000Z</x:v>
      </x:c>
      <x:c r="F487" s="4" t="str">
        <x:v>Destinos</x:v>
      </x:c>
      <x:c r="G487" s="11" t="n">
        <x:v>1016</x:v>
      </x:c>
      <x:c r="H487" s="11" t="n">
        <x:v>200</x:v>
      </x:c>
      <x:c r="I487" s="11" t="n">
        <x:v>1</x:v>
      </x:c>
      <x:c r="J487" s="4" t="str">
        <x:v>https://blog.skyairline.com/preguntas-para-conocer-a-alguien/</x:v>
      </x:c>
      <x:c r="K487" s="16" t="b">
        <x:v>0</x:v>
      </x:c>
      <x:c r="L487" s="11" t="n">
        <x:v>0</x:v>
      </x:c>
      <x:c r="M487" s="11" t="n">
        <x:v>4</x:v>
      </x:c>
      <x:c r="N487" s="4"/>
      <x:c r="O487" s="4"/>
      <x:c r="P487" s="11" t="n">
        <x:v>1</x:v>
      </x:c>
      <x:c r="Q487" s="11" t="n">
        <x:v>3</x:v>
      </x:c>
      <x:c r="R487" s="11" t="n">
        <x:f>IF(OR(P487="",Q487=""),"",Q487-P487)</x:f>
        <x:v>2</x:v>
      </x:c>
      <x:c r="S487" s="13" t="n">
        <x:f>IF(OR(P487="",Q487="",P487=0),"",((Q487/30)/(P487/31))-1)</x:f>
        <x:v>2.1</x:v>
      </x:c>
      <x:c r="T487" s="11" t="n">
        <x:v>552</x:v>
      </x:c>
      <x:c r="U487" s="11" t="n">
        <x:v>311</x:v>
      </x:c>
      <x:c r="V487" s="14" t="n">
        <x:v>0.00964630225080386</x:v>
      </x:c>
      <x:c r="W487" s="12" t="n">
        <x:v>8.327974276527332</x:v>
      </x:c>
      <x:c r="X487" s="11" t="n">
        <x:v>3</x:v>
      </x:c>
      <x:c r="Y487" s="11" t="n">
        <x:v>3</x:v>
      </x:c>
      <x:c r="Z487" s="4" t="str">
        <x:v>https://blog.skyairline.com/preguntas-para-conocer-a-alguien/</x:v>
      </x:c>
      <x:c r="AA487" s="4" t="str">
        <x:v>https://blog.skyairline.com/preguntas-para-conocer-a-alguien/</x:v>
      </x:c>
      <x:c r="AB487" s="4" t="str">
        <x:v>Coincidencia URL</x:v>
      </x:c>
      <x:c r="AC487" s="4" t="str">
        <x:v>Publicado hasta septiembre</x:v>
      </x:c>
      <x:c r="AD487" s="4" t="str">
        <x:v>/preguntas-para-conocer-a-alguien/</x:v>
      </x:c>
      <x:c r="AE487" s="4"/>
      <x:c r="AF487" s="16" t="b">
        <x:v>0</x:v>
      </x:c>
    </x:row>
    <x:row r="488" ht="44" customHeight="1">
      <x:c r="A488" s="4" t="n">
        <x:v>7296</x:v>
      </x:c>
      <x:c r="B488" s="4" t="str">
        <x:v>https://blog.skyairline.com/4-tips-para-comprar-boletos-a-precios-mas-convenientes/</x:v>
      </x:c>
      <x:c r="C488" s="9" t="str">
        <x:v>4 tips para comprar boletos a precios más convenientes</x:v>
      </x:c>
      <x:c r="D488" s="17" t="d">
        <x:v>2025-10-14T00:00:00.000Z</x:v>
      </x:c>
      <x:c r="E488" s="17" t="d">
        <x:v>2025-10-16T00:00:00.000Z</x:v>
      </x:c>
      <x:c r="F488" s="4" t="str">
        <x:v>Noticias, Uncategorized</x:v>
      </x:c>
      <x:c r="G488" s="11" t="n">
        <x:v>213</x:v>
      </x:c>
      <x:c r="H488" s="11" t="n">
        <x:v>200</x:v>
      </x:c>
      <x:c r="I488" s="11" t="n">
        <x:v>1</x:v>
      </x:c>
      <x:c r="J488" s="4" t="str">
        <x:v>https://blog.skyairline.com/4-tips-para-comprar-boletos-a-precios-mas-convenientes/</x:v>
      </x:c>
      <x:c r="K488" s="16" t="b">
        <x:v>0</x:v>
      </x:c>
      <x:c r="L488" s="11" t="n">
        <x:v>0</x:v>
      </x:c>
      <x:c r="M488" s="11" t="n">
        <x:v>0</x:v>
      </x:c>
      <x:c r="N488" s="4"/>
      <x:c r="O488" s="4"/>
      <x:c r="P488" s="11" t="n">
        <x:v>5</x:v>
      </x:c>
      <x:c r="Q488" s="11" t="n">
        <x:v>3</x:v>
      </x:c>
      <x:c r="R488" s="11" t="n">
        <x:f>IF(OR(P488="",Q488=""),"",Q488-P488)</x:f>
        <x:v>-2</x:v>
      </x:c>
      <x:c r="S488" s="13" t="n">
        <x:f>IF(OR(P488="",Q488="",P488=0),"",((Q488/30)/(P488/31))-1)</x:f>
        <x:v>-0.3799999999999999</x:v>
      </x:c>
      <x:c r="T488" s="11" t="n">
        <x:v>355</x:v>
      </x:c>
      <x:c r="U488" s="11" t="n">
        <x:v>306</x:v>
      </x:c>
      <x:c r="V488" s="14" t="n">
        <x:v>0.00980392156862745</x:v>
      </x:c>
      <x:c r="W488" s="12" t="n">
        <x:v>5.186274509803922</x:v>
      </x:c>
      <x:c r="X488" s="11" t="n">
        <x:v>3</x:v>
      </x:c>
      <x:c r="Y488" s="11" t="n">
        <x:v>3</x:v>
      </x:c>
      <x:c r="Z488" s="4" t="str">
        <x:v>https://blog.skyairline.com/4-tips-para-comprar-boletos-a-precios-mas-convenientes/</x:v>
      </x:c>
      <x:c r="AA488" s="4" t="str">
        <x:v>https://blog.skyairline.com/4-tips-para-comprar-boletos-a-precios-mas-convenientes/</x:v>
      </x:c>
      <x:c r="AB488" s="4" t="str">
        <x:v>Coincidencia URL</x:v>
      </x:c>
      <x:c r="AC488" s="4" t="str">
        <x:v>Publicado hasta septiembre</x:v>
      </x:c>
      <x:c r="AD488" s="4" t="str">
        <x:v>/4-tips-para-comprar-boletos-a-precios-mas-convenientes/</x:v>
      </x:c>
      <x:c r="AE488" s="4"/>
      <x:c r="AF488" s="16" t="b">
        <x:v>0</x:v>
      </x:c>
    </x:row>
    <x:row r="489" ht="44" customHeight="1">
      <x:c r="A489" s="4" t="n">
        <x:v>7335</x:v>
      </x:c>
      <x:c r="B489" s="4" t="str">
        <x:v>https://blog.skyairline.com/sky-peru/</x:v>
      </x:c>
      <x:c r="C489" s="9" t="str">
        <x:v>SKY integrando a Perú con vuelos directos</x:v>
      </x:c>
      <x:c r="D489" s="17" t="d">
        <x:v>2025-10-27T00:00:00.000Z</x:v>
      </x:c>
      <x:c r="E489" s="17" t="d">
        <x:v>2025-10-27T00:00:00.000Z</x:v>
      </x:c>
      <x:c r="F489" s="4" t="str">
        <x:v>Destinos</x:v>
      </x:c>
      <x:c r="G489" s="11" t="n">
        <x:v>2121</x:v>
      </x:c>
      <x:c r="H489" s="11" t="n">
        <x:v>200</x:v>
      </x:c>
      <x:c r="I489" s="11" t="n">
        <x:v>1</x:v>
      </x:c>
      <x:c r="J489" s="4" t="str">
        <x:v>https://blog.skyairline.com/sky-peru/</x:v>
      </x:c>
      <x:c r="K489" s="16" t="b">
        <x:v>0</x:v>
      </x:c>
      <x:c r="L489" s="11" t="n">
        <x:v>0</x:v>
      </x:c>
      <x:c r="M489" s="11" t="n">
        <x:v>0</x:v>
      </x:c>
      <x:c r="N489" s="4"/>
      <x:c r="O489" s="4"/>
      <x:c r="P489" s="11" t="n">
        <x:v>0</x:v>
      </x:c>
      <x:c r="Q489" s="11" t="n">
        <x:v>3</x:v>
      </x:c>
      <x:c r="R489" s="11" t="str">
        <x:f>IF(OR(P489="",Q489=""),"",Q489-P489)</x:f>
      </x:c>
      <x:c r="S489" s="13" t="str">
        <x:f>IF(OR(P489="",Q489="",P489=0),"",((Q489/30)/(P489/31))-1)</x:f>
      </x:c>
      <x:c r="T489" s="11" t="n">
        <x:v>477</x:v>
      </x:c>
      <x:c r="U489" s="11" t="n">
        <x:v>507</x:v>
      </x:c>
      <x:c r="V489" s="14" t="n">
        <x:v>0.005917159763313609</x:v>
      </x:c>
      <x:c r="W489" s="12" t="n">
        <x:v>8.08481262327416</x:v>
      </x:c>
      <x:c r="X489" s="11" t="n">
        <x:v>4</x:v>
      </x:c>
      <x:c r="Y489" s="11" t="n">
        <x:v>4</x:v>
      </x:c>
      <x:c r="Z489" s="4" t="str">
        <x:v>https://blog.skyairline.com/sky-peru/</x:v>
      </x:c>
      <x:c r="AA489" s="4" t="str">
        <x:v>https://blog.skyairline.com/sky-peru/</x:v>
      </x:c>
      <x:c r="AB489" s="4" t="str">
        <x:v>Coincidencia URL</x:v>
      </x:c>
      <x:c r="AC489" s="4" t="str">
        <x:v>Publicado hasta septiembre</x:v>
      </x:c>
      <x:c r="AD489" s="4" t="str">
        <x:v>/sky-peru/</x:v>
      </x:c>
      <x:c r="AE489" s="4"/>
      <x:c r="AF489" s="16" t="b">
        <x:v>0</x:v>
      </x:c>
    </x:row>
    <x:row r="490" ht="44" customHeight="1">
      <x:c r="A490" s="4" t="n">
        <x:v>7372</x:v>
      </x:c>
      <x:c r="B490" s="4" t="str">
        <x:v>https://blog.skyairline.com/itinerario/</x:v>
      </x:c>
      <x:c r="C490" s="9" t="str">
        <x:v>Itinerario de cinco días en Sao Paulo</x:v>
      </x:c>
      <x:c r="D490" s="17" t="d">
        <x:v>2025-10-30T00:00:00.000Z</x:v>
      </x:c>
      <x:c r="E490" s="17" t="d">
        <x:v>2025-10-27T00:00:00.000Z</x:v>
      </x:c>
      <x:c r="F490" s="4" t="str">
        <x:v>Destinos</x:v>
      </x:c>
      <x:c r="G490" s="11" t="n">
        <x:v>1123</x:v>
      </x:c>
      <x:c r="H490" s="11" t="n">
        <x:v>200</x:v>
      </x:c>
      <x:c r="I490" s="11" t="n">
        <x:v>1</x:v>
      </x:c>
      <x:c r="J490" s="4" t="str">
        <x:v>https://blog.skyairline.com/itinerario/</x:v>
      </x:c>
      <x:c r="K490" s="16" t="b">
        <x:v>0</x:v>
      </x:c>
      <x:c r="L490" s="11" t="n">
        <x:v>0</x:v>
      </x:c>
      <x:c r="M490" s="11" t="n">
        <x:v>2</x:v>
      </x:c>
      <x:c r="N490" s="4"/>
      <x:c r="O490" s="4"/>
      <x:c r="P490" s="11" t="n">
        <x:v>9</x:v>
      </x:c>
      <x:c r="Q490" s="11" t="n">
        <x:v>3</x:v>
      </x:c>
      <x:c r="R490" s="11" t="n">
        <x:f>IF(OR(P490="",Q490=""),"",Q490-P490)</x:f>
        <x:v>-6</x:v>
      </x:c>
      <x:c r="S490" s="13" t="n">
        <x:f>IF(OR(P490="",Q490="",P490=0),"",((Q490/30)/(P490/31))-1)</x:f>
        <x:v>-0.6555555555555556</x:v>
      </x:c>
      <x:c r="T490" s="11" t="n">
        <x:v>593</x:v>
      </x:c>
      <x:c r="U490" s="11" t="n">
        <x:v>238</x:v>
      </x:c>
      <x:c r="V490" s="14" t="n">
        <x:v>0.012605042016806723</x:v>
      </x:c>
      <x:c r="W490" s="12" t="n">
        <x:v>6.7521008403361344</x:v>
      </x:c>
      <x:c r="X490" s="11" t="n">
        <x:v>4</x:v>
      </x:c>
      <x:c r="Y490" s="11" t="n">
        <x:v>5</x:v>
      </x:c>
      <x:c r="Z490" s="4" t="str">
        <x:v>https://blog.skyairline.com/itinerario/</x:v>
      </x:c>
      <x:c r="AA490" s="4" t="str">
        <x:v>https://blog.skyairline.com/itinerario/</x:v>
      </x:c>
      <x:c r="AB490" s="4" t="str">
        <x:v>Coincidencia URL</x:v>
      </x:c>
      <x:c r="AC490" s="4" t="str">
        <x:v>Publicado hasta septiembre</x:v>
      </x:c>
      <x:c r="AD490" s="4" t="str">
        <x:v>/itinerario/</x:v>
      </x:c>
      <x:c r="AE490" s="4"/>
      <x:c r="AF490" s="16" t="b">
        <x:v>0</x:v>
      </x:c>
    </x:row>
    <x:row r="491" ht="44" customHeight="1">
      <x:c r="A491" s="4" t="n">
        <x:v>7523</x:v>
      </x:c>
      <x:c r="B491" s="4" t="str">
        <x:v>https://blog.skyairline.com/comida-vegana/</x:v>
      </x:c>
      <x:c r="C491" s="9" t="str">
        <x:v>Dónde comer comida vegana en Santiago de Chile</x:v>
      </x:c>
      <x:c r="D491" s="17" t="d">
        <x:v>2025-11-09T00:00:00.000Z</x:v>
      </x:c>
      <x:c r="E491" s="17" t="d">
        <x:v>2025-11-07T00:00:00.000Z</x:v>
      </x:c>
      <x:c r="F491" s="4" t="str">
        <x:v>Destinos</x:v>
      </x:c>
      <x:c r="G491" s="11" t="n">
        <x:v>1018</x:v>
      </x:c>
      <x:c r="H491" s="11" t="n">
        <x:v>200</x:v>
      </x:c>
      <x:c r="I491" s="11" t="n">
        <x:v>1</x:v>
      </x:c>
      <x:c r="J491" s="4" t="str">
        <x:v>https://blog.skyairline.com/comida-vegana/</x:v>
      </x:c>
      <x:c r="K491" s="16" t="b">
        <x:v>0</x:v>
      </x:c>
      <x:c r="L491" s="11" t="n">
        <x:v>0</x:v>
      </x:c>
      <x:c r="M491" s="11" t="n">
        <x:v>3</x:v>
      </x:c>
      <x:c r="N491" s="4"/>
      <x:c r="O491" s="4"/>
      <x:c r="P491" s="11" t="n">
        <x:v>6</x:v>
      </x:c>
      <x:c r="Q491" s="11" t="n">
        <x:v>3</x:v>
      </x:c>
      <x:c r="R491" s="11" t="n">
        <x:f>IF(OR(P491="",Q491=""),"",Q491-P491)</x:f>
        <x:v>-3</x:v>
      </x:c>
      <x:c r="S491" s="13" t="n">
        <x:f>IF(OR(P491="",Q491="",P491=0),"",((Q491/30)/(P491/31))-1)</x:f>
        <x:v>-0.4833333333333333</x:v>
      </x:c>
      <x:c r="T491" s="11" t="n">
        <x:v>574</x:v>
      </x:c>
      <x:c r="U491" s="11" t="n">
        <x:v>399</x:v>
      </x:c>
      <x:c r="V491" s="14" t="n">
        <x:v>0.007518796992481203</x:v>
      </x:c>
      <x:c r="W491" s="12" t="n">
        <x:v>12.3734335839599</x:v>
      </x:c>
      <x:c r="X491" s="11" t="n">
        <x:v>3</x:v>
      </x:c>
      <x:c r="Y491" s="11" t="n">
        <x:v>3</x:v>
      </x:c>
      <x:c r="Z491" s="4" t="str">
        <x:v>https://blog.skyairline.com/comida-vegana/</x:v>
      </x:c>
      <x:c r="AA491" s="4" t="str">
        <x:v>https://blog.skyairline.com/comida-vegana/</x:v>
      </x:c>
      <x:c r="AB491" s="4" t="str">
        <x:v>Coincidencia URL</x:v>
      </x:c>
      <x:c r="AC491" s="4" t="str">
        <x:v>Publicado hasta septiembre</x:v>
      </x:c>
      <x:c r="AD491" s="4" t="str">
        <x:v>/comida-vegana/</x:v>
      </x:c>
      <x:c r="AE491" s="4"/>
      <x:c r="AF491" s="16" t="b">
        <x:v>0</x:v>
      </x:c>
    </x:row>
    <x:row r="492" ht="44" customHeight="1">
      <x:c r="A492" s="4" t="n">
        <x:v>7540</x:v>
      </x:c>
      <x:c r="B492" s="4" t="str">
        <x:v>https://blog.skyairline.com/hotel-puerto-montt/</x:v>
      </x:c>
      <x:c r="C492" s="9" t="str">
        <x:v>Guía para elegir hoteles en Puerto Montt: confort y ubicación ideal</x:v>
      </x:c>
      <x:c r="D492" s="17" t="d">
        <x:v>2025-11-11T00:00:00.000Z</x:v>
      </x:c>
      <x:c r="E492" s="17" t="d">
        <x:v>2025-11-10T00:00:00.000Z</x:v>
      </x:c>
      <x:c r="F492" s="4" t="str">
        <x:v>Destinos</x:v>
      </x:c>
      <x:c r="G492" s="11" t="n">
        <x:v>965</x:v>
      </x:c>
      <x:c r="H492" s="11" t="n">
        <x:v>200</x:v>
      </x:c>
      <x:c r="I492" s="11" t="n">
        <x:v>1</x:v>
      </x:c>
      <x:c r="J492" s="4" t="str">
        <x:v>https://blog.skyairline.com/hotel-puerto-montt/</x:v>
      </x:c>
      <x:c r="K492" s="16" t="b">
        <x:v>0</x:v>
      </x:c>
      <x:c r="L492" s="11" t="n">
        <x:v>0</x:v>
      </x:c>
      <x:c r="M492" s="11" t="n">
        <x:v>3</x:v>
      </x:c>
      <x:c r="N492" s="4"/>
      <x:c r="O492" s="4"/>
      <x:c r="P492" s="11" t="n">
        <x:v>0</x:v>
      </x:c>
      <x:c r="Q492" s="11" t="n">
        <x:v>3</x:v>
      </x:c>
      <x:c r="R492" s="11" t="str">
        <x:f>IF(OR(P492="",Q492=""),"",Q492-P492)</x:f>
      </x:c>
      <x:c r="S492" s="13" t="str">
        <x:f>IF(OR(P492="",Q492="",P492=0),"",((Q492/30)/(P492/31))-1)</x:f>
      </x:c>
      <x:c r="T492" s="11" t="n">
        <x:v>156</x:v>
      </x:c>
      <x:c r="U492" s="11" t="n">
        <x:v>149</x:v>
      </x:c>
      <x:c r="V492" s="14" t="n">
        <x:v>0.020134228187919462</x:v>
      </x:c>
      <x:c r="W492" s="12" t="n">
        <x:v>10.046979865771812</x:v>
      </x:c>
      <x:c r="X492" s="11" t="n">
        <x:v>3</x:v>
      </x:c>
      <x:c r="Y492" s="11" t="n">
        <x:v>5</x:v>
      </x:c>
      <x:c r="Z492" s="4" t="str">
        <x:v>https://blog.skyairline.com/hotel-puerto-montt/</x:v>
      </x:c>
      <x:c r="AA492" s="4" t="str">
        <x:v>https://blog.skyairline.com/hotel-puerto-montt/</x:v>
      </x:c>
      <x:c r="AB492" s="4" t="str">
        <x:v>Coincidencia URL</x:v>
      </x:c>
      <x:c r="AC492" s="4" t="str">
        <x:v>Publicado hasta septiembre</x:v>
      </x:c>
      <x:c r="AD492" s="4" t="str">
        <x:v>/hotel-puerto-montt/</x:v>
      </x:c>
      <x:c r="AE492" s="4"/>
      <x:c r="AF492" s="16" t="b">
        <x:v>0</x:v>
      </x:c>
    </x:row>
    <x:row r="493" ht="44" customHeight="1">
      <x:c r="A493" s="4" t="n">
        <x:v>7739</x:v>
      </x:c>
      <x:c r="B493" s="4" t="str">
        <x:v>https://blog.skyairline.com/ballenas-2/</x:v>
      </x:c>
      <x:c r="C493" s="9" t="str">
        <x:v>Dónde ver ballenas en Chile</x:v>
      </x:c>
      <x:c r="D493" s="17" t="d">
        <x:v>2025-12-02T00:00:00.000Z</x:v>
      </x:c>
      <x:c r="E493" s="17" t="d">
        <x:v>2025-11-17T00:00:00.000Z</x:v>
      </x:c>
      <x:c r="F493" s="4" t="str">
        <x:v>Destinos</x:v>
      </x:c>
      <x:c r="G493" s="11" t="n">
        <x:v>989</x:v>
      </x:c>
      <x:c r="H493" s="11" t="n">
        <x:v>200</x:v>
      </x:c>
      <x:c r="I493" s="11" t="n">
        <x:v>1</x:v>
      </x:c>
      <x:c r="J493" s="4" t="str">
        <x:v>https://blog.skyairline.com/ballenas-2/</x:v>
      </x:c>
      <x:c r="K493" s="16" t="b">
        <x:v>0</x:v>
      </x:c>
      <x:c r="L493" s="11" t="n">
        <x:v>0</x:v>
      </x:c>
      <x:c r="M493" s="11" t="n">
        <x:v>4</x:v>
      </x:c>
      <x:c r="N493" s="4"/>
      <x:c r="O493" s="4"/>
      <x:c r="P493" s="11" t="n">
        <x:v>2</x:v>
      </x:c>
      <x:c r="Q493" s="11" t="n">
        <x:v>3</x:v>
      </x:c>
      <x:c r="R493" s="11" t="n">
        <x:f>IF(OR(P493="",Q493=""),"",Q493-P493)</x:f>
        <x:v>1</x:v>
      </x:c>
      <x:c r="S493" s="13" t="n">
        <x:f>IF(OR(P493="",Q493="",P493=0),"",((Q493/30)/(P493/31))-1)</x:f>
        <x:v>0.55</x:v>
      </x:c>
      <x:c r="T493" s="11" t="n">
        <x:v>302</x:v>
      </x:c>
      <x:c r="U493" s="11" t="n">
        <x:v>237</x:v>
      </x:c>
      <x:c r="V493" s="14" t="n">
        <x:v>0.012658227848101266</x:v>
      </x:c>
      <x:c r="W493" s="12" t="n">
        <x:v>10.540084388185655</x:v>
      </x:c>
      <x:c r="X493" s="11" t="n">
        <x:v>4</x:v>
      </x:c>
      <x:c r="Y493" s="11" t="n">
        <x:v>6</x:v>
      </x:c>
      <x:c r="Z493" s="4" t="str">
        <x:v>https://blog.skyairline.com/ballenas-2/</x:v>
      </x:c>
      <x:c r="AA493" s="4" t="str">
        <x:v>https://blog.skyairline.com/ballenas-2/</x:v>
      </x:c>
      <x:c r="AB493" s="4" t="str">
        <x:v>Coincidencia URL</x:v>
      </x:c>
      <x:c r="AC493" s="4" t="str">
        <x:v>Publicado hasta septiembre</x:v>
      </x:c>
      <x:c r="AD493" s="4" t="str">
        <x:v>/ballenas-2/</x:v>
      </x:c>
      <x:c r="AE493" s="4"/>
      <x:c r="AF493" s="16" t="b">
        <x:v>0</x:v>
      </x:c>
    </x:row>
    <x:row r="494" ht="44" customHeight="1">
      <x:c r="A494" s="4" t="n">
        <x:v>7812</x:v>
      </x:c>
      <x:c r="B494" s="4" t="str">
        <x:v>https://blog.skyairline.com/copiapo/</x:v>
      </x:c>
      <x:c r="C494" s="9" t="str">
        <x:v>Copiapó: Combina playa y desierto en un solo viaje</x:v>
      </x:c>
      <x:c r="D494" s="17" t="d">
        <x:v>2025-12-10T00:00:00.000Z</x:v>
      </x:c>
      <x:c r="E494" s="17" t="d">
        <x:v>2025-12-04T00:00:00.000Z</x:v>
      </x:c>
      <x:c r="F494" s="4" t="str">
        <x:v>Destinos</x:v>
      </x:c>
      <x:c r="G494" s="11" t="n">
        <x:v>1004</x:v>
      </x:c>
      <x:c r="H494" s="11" t="n">
        <x:v>200</x:v>
      </x:c>
      <x:c r="I494" s="11" t="n">
        <x:v>1</x:v>
      </x:c>
      <x:c r="J494" s="4" t="str">
        <x:v>https://blog.skyairline.com/copiapo/</x:v>
      </x:c>
      <x:c r="K494" s="16" t="b">
        <x:v>0</x:v>
      </x:c>
      <x:c r="L494" s="11" t="n">
        <x:v>0</x:v>
      </x:c>
      <x:c r="M494" s="11" t="n">
        <x:v>0</x:v>
      </x:c>
      <x:c r="N494" s="4"/>
      <x:c r="O494" s="4"/>
      <x:c r="P494" s="11" t="n">
        <x:v>1</x:v>
      </x:c>
      <x:c r="Q494" s="11" t="n">
        <x:v>3</x:v>
      </x:c>
      <x:c r="R494" s="11" t="n">
        <x:f>IF(OR(P494="",Q494=""),"",Q494-P494)</x:f>
        <x:v>2</x:v>
      </x:c>
      <x:c r="S494" s="13" t="n">
        <x:f>IF(OR(P494="",Q494="",P494=0),"",((Q494/30)/(P494/31))-1)</x:f>
        <x:v>2.1</x:v>
      </x:c>
      <x:c r="T494" s="11" t="n">
        <x:v>648</x:v>
      </x:c>
      <x:c r="U494" s="11" t="n">
        <x:v>6129</x:v>
      </x:c>
      <x:c r="V494" s="14" t="n">
        <x:v>0.0004894762604013706</x:v>
      </x:c>
      <x:c r="W494" s="12" t="n">
        <x:v>6.848751835535976</x:v>
      </x:c>
      <x:c r="X494" s="11" t="n">
        <x:v>4</x:v>
      </x:c>
      <x:c r="Y494" s="11" t="n">
        <x:v>4</x:v>
      </x:c>
      <x:c r="Z494" s="4" t="str">
        <x:v>https://blog.skyairline.com/copiapo/</x:v>
      </x:c>
      <x:c r="AA494" s="4" t="str">
        <x:v>https://blog.skyairline.com/copiapo/</x:v>
      </x:c>
      <x:c r="AB494" s="4" t="str">
        <x:v>Coincidencia URL</x:v>
      </x:c>
      <x:c r="AC494" s="4" t="str">
        <x:v>Publicado hasta septiembre</x:v>
      </x:c>
      <x:c r="AD494" s="4" t="str">
        <x:v>/copiapo/</x:v>
      </x:c>
      <x:c r="AE494" s="4"/>
      <x:c r="AF494" s="16" t="b">
        <x:v>0</x:v>
      </x:c>
    </x:row>
    <x:row r="495" ht="44" customHeight="1">
      <x:c r="A495" s="4" t="n">
        <x:v>7869</x:v>
      </x:c>
      <x:c r="B495" s="4" t="str">
        <x:v>https://blog.skyairline.com/belo-horizonte/</x:v>
      </x:c>
      <x:c r="C495" s="9" t="str">
        <x:v>Belo Horizonte: Itinerario de 2 Días</x:v>
      </x:c>
      <x:c r="D495" s="17" t="d">
        <x:v>2025-12-20T00:00:00.000Z</x:v>
      </x:c>
      <x:c r="E495" s="17" t="d">
        <x:v>2025-12-04T00:00:00.000Z</x:v>
      </x:c>
      <x:c r="F495" s="4" t="str">
        <x:v>Destinos</x:v>
      </x:c>
      <x:c r="G495" s="11" t="n">
        <x:v>1132</x:v>
      </x:c>
      <x:c r="H495" s="11" t="n">
        <x:v>200</x:v>
      </x:c>
      <x:c r="I495" s="11" t="n">
        <x:v>1</x:v>
      </x:c>
      <x:c r="J495" s="4" t="str">
        <x:v>https://blog.skyairline.com/belo-horizonte/</x:v>
      </x:c>
      <x:c r="K495" s="16" t="b">
        <x:v>0</x:v>
      </x:c>
      <x:c r="L495" s="11" t="n">
        <x:v>0</x:v>
      </x:c>
      <x:c r="M495" s="11" t="n">
        <x:v>0</x:v>
      </x:c>
      <x:c r="N495" s="4"/>
      <x:c r="O495" s="4"/>
      <x:c r="P495" s="11" t="n">
        <x:v>4</x:v>
      </x:c>
      <x:c r="Q495" s="11" t="n">
        <x:v>3</x:v>
      </x:c>
      <x:c r="R495" s="11" t="n">
        <x:f>IF(OR(P495="",Q495=""),"",Q495-P495)</x:f>
        <x:v>-1</x:v>
      </x:c>
      <x:c r="S495" s="13" t="n">
        <x:f>IF(OR(P495="",Q495="",P495=0),"",((Q495/30)/(P495/31))-1)</x:f>
        <x:v>-0.22499999999999998</x:v>
      </x:c>
      <x:c r="T495" s="11" t="n">
        <x:v>225</x:v>
      </x:c>
      <x:c r="U495" s="11" t="n">
        <x:v>149</x:v>
      </x:c>
      <x:c r="V495" s="14" t="n">
        <x:v>0.020134228187919462</x:v>
      </x:c>
      <x:c r="W495" s="12" t="n">
        <x:v>10.416107382550335</x:v>
      </x:c>
      <x:c r="X495" s="11" t="n">
        <x:v>3</x:v>
      </x:c>
      <x:c r="Y495" s="11" t="n">
        <x:v>2</x:v>
      </x:c>
      <x:c r="Z495" s="4" t="str">
        <x:v>https://blog.skyairline.com/belo-horizonte/</x:v>
      </x:c>
      <x:c r="AA495" s="4" t="str">
        <x:v>https://blog.skyairline.com/belo-horizonte/</x:v>
      </x:c>
      <x:c r="AB495" s="4" t="str">
        <x:v>Coincidencia URL</x:v>
      </x:c>
      <x:c r="AC495" s="4" t="str">
        <x:v>Publicado hasta septiembre</x:v>
      </x:c>
      <x:c r="AD495" s="4" t="str">
        <x:v>/belo-horizonte/</x:v>
      </x:c>
      <x:c r="AE495" s="4"/>
      <x:c r="AF495" s="16" t="b">
        <x:v>0</x:v>
      </x:c>
    </x:row>
    <x:row r="496" ht="44" customHeight="1">
      <x:c r="A496" s="4" t="n">
        <x:v>7933</x:v>
      </x:c>
      <x:c r="B496" s="4" t="str">
        <x:v>https://blog.skyairline.com/sky-conecta-al-peru-con-europa-a-traves-de-acuerdo-con-lufthansa-y-swiss/</x:v>
      </x:c>
      <x:c r="C496" s="9" t="str">
        <x:v>SKY conecta al Perú con Europa a través de acuerdo con Lufthansa y SWISS</x:v>
      </x:c>
      <x:c r="D496" s="17" t="d">
        <x:v>2025-12-10T00:00:00.000Z</x:v>
      </x:c>
      <x:c r="E496" s="17" t="d">
        <x:v>2025-12-10T00:00:00.000Z</x:v>
      </x:c>
      <x:c r="F496" s="4" t="str">
        <x:v>Noticias</x:v>
      </x:c>
      <x:c r="G496" s="11" t="n">
        <x:v>170</x:v>
      </x:c>
      <x:c r="H496" s="11" t="n">
        <x:v>200</x:v>
      </x:c>
      <x:c r="I496" s="11" t="n">
        <x:v>1</x:v>
      </x:c>
      <x:c r="J496" s="4" t="str">
        <x:v>https://blog.skyairline.com/sky-conecta-al-peru-con-europa-a-traves-de-acuerdo-con-lufthansa-y-swiss/</x:v>
      </x:c>
      <x:c r="K496" s="16" t="b">
        <x:v>0</x:v>
      </x:c>
      <x:c r="L496" s="11" t="n">
        <x:v>0</x:v>
      </x:c>
      <x:c r="M496" s="11" t="n">
        <x:v>0</x:v>
      </x:c>
      <x:c r="N496" s="4"/>
      <x:c r="O496" s="4"/>
      <x:c r="P496" s="11" t="n">
        <x:v>2</x:v>
      </x:c>
      <x:c r="Q496" s="11" t="n">
        <x:v>3</x:v>
      </x:c>
      <x:c r="R496" s="11" t="n">
        <x:f>IF(OR(P496="",Q496=""),"",Q496-P496)</x:f>
        <x:v>1</x:v>
      </x:c>
      <x:c r="S496" s="13" t="n">
        <x:f>IF(OR(P496="",Q496="",P496=0),"",((Q496/30)/(P496/31))-1)</x:f>
        <x:v>0.55</x:v>
      </x:c>
      <x:c r="T496" s="11" t="n">
        <x:v>70</x:v>
      </x:c>
      <x:c r="U496" s="11" t="n">
        <x:v>85</x:v>
      </x:c>
      <x:c r="V496" s="14" t="n">
        <x:v>0.03529411764705882</x:v>
      </x:c>
      <x:c r="W496" s="12" t="n">
        <x:v>5.247058823529412</x:v>
      </x:c>
      <x:c r="X496" s="11" t="n">
        <x:v>4</x:v>
      </x:c>
      <x:c r="Y496" s="11" t="n">
        <x:v>3</x:v>
      </x:c>
      <x:c r="Z496" s="4" t="str">
        <x:v>https://blog.skyairline.com/sky-conecta-al-peru-con-europa-a-traves-de-acuerdo-con-lufthansa-y-swiss/</x:v>
      </x:c>
      <x:c r="AA496" s="4" t="str">
        <x:v>https://blog.skyairline.com/sky-conecta-al-peru-con-europa-a-traves-de-acuerdo-con-lufthansa-y-swiss/</x:v>
      </x:c>
      <x:c r="AB496" s="4" t="str">
        <x:v>Coincidencia URL</x:v>
      </x:c>
      <x:c r="AC496" s="4" t="str">
        <x:v>Publicado hasta septiembre</x:v>
      </x:c>
      <x:c r="AD496" s="4" t="str">
        <x:v>/sky-conecta-al-peru-con-europa-a-traves-de-acuerdo-con-lufthansa-y-swiss/</x:v>
      </x:c>
      <x:c r="AE496" s="4"/>
      <x:c r="AF496" s="16" t="b">
        <x:v>0</x:v>
      </x:c>
    </x:row>
    <x:row r="497" ht="44" customHeight="1">
      <x:c r="A497" s="4" t="n">
        <x:v>8048</x:v>
      </x:c>
      <x:c r="B497" s="4" t="str">
        <x:v>https://blog.skyairline.com/vuelos-a-valdivia/</x:v>
      </x:c>
      <x:c r="C497" s="9" t="str">
        <x:v>Vuelos a Valdivia: cómo llegar y cuándo es mejor viajar a la Perla del Sur</x:v>
      </x:c>
      <x:c r="D497" s="17" t="d">
        <x:v>2025-12-29T00:00:00.000Z</x:v>
      </x:c>
      <x:c r="E497" s="17" t="d">
        <x:v>2025-12-23T00:00:00.000Z</x:v>
      </x:c>
      <x:c r="F497" s="4" t="str">
        <x:v>Planificación de Viaje</x:v>
      </x:c>
      <x:c r="G497" s="11" t="n">
        <x:v>1089</x:v>
      </x:c>
      <x:c r="H497" s="11" t="n">
        <x:v>200</x:v>
      </x:c>
      <x:c r="I497" s="11" t="n">
        <x:v>1</x:v>
      </x:c>
      <x:c r="J497" s="4" t="str">
        <x:v>https://blog.skyairline.com/vuelos-a-valdivia/</x:v>
      </x:c>
      <x:c r="K497" s="16" t="b">
        <x:v>0</x:v>
      </x:c>
      <x:c r="L497" s="11" t="n">
        <x:v>0</x:v>
      </x:c>
      <x:c r="M497" s="11" t="n">
        <x:v>0</x:v>
      </x:c>
      <x:c r="N497" s="4"/>
      <x:c r="O497" s="4"/>
      <x:c r="P497" s="11" t="n">
        <x:v>0</x:v>
      </x:c>
      <x:c r="Q497" s="11" t="n">
        <x:v>3</x:v>
      </x:c>
      <x:c r="R497" s="11" t="str">
        <x:f>IF(OR(P497="",Q497=""),"",Q497-P497)</x:f>
      </x:c>
      <x:c r="S497" s="13" t="str">
        <x:f>IF(OR(P497="",Q497="",P497=0),"",((Q497/30)/(P497/31))-1)</x:f>
      </x:c>
      <x:c r="T497" s="11" t="n">
        <x:v>535</x:v>
      </x:c>
      <x:c r="U497" s="11" t="n">
        <x:v>309</x:v>
      </x:c>
      <x:c r="V497" s="14" t="n">
        <x:v>0.009708737864077669</x:v>
      </x:c>
      <x:c r="W497" s="12" t="n">
        <x:v>8.320388349514563</x:v>
      </x:c>
      <x:c r="X497" s="11" t="n">
        <x:v>1</x:v>
      </x:c>
      <x:c r="Y497" s="11" t="n">
        <x:v>2</x:v>
      </x:c>
      <x:c r="Z497" s="4" t="str">
        <x:v>https://blog.skyairline.com/vuelos-a-valdivia/</x:v>
      </x:c>
      <x:c r="AA497" s="4" t="str">
        <x:v>https://blog.skyairline.com/vuelos-a-valdivia/</x:v>
      </x:c>
      <x:c r="AB497" s="4" t="str">
        <x:v>Coincidencia URL</x:v>
      </x:c>
      <x:c r="AC497" s="4" t="str">
        <x:v>Publicado hasta septiembre</x:v>
      </x:c>
      <x:c r="AD497" s="4" t="str">
        <x:v>/vuelos-a-valdivia/</x:v>
      </x:c>
      <x:c r="AE497" s="4"/>
      <x:c r="AF497" s="16" t="b">
        <x:v>0</x:v>
      </x:c>
    </x:row>
    <x:row r="498" ht="44" customHeight="1">
      <x:c r="A498" s="4" t="n">
        <x:v>8060</x:v>
      </x:c>
      <x:c r="B498" s="4" t="str">
        <x:v>https://blog.skyairline.com/parque-nacional-huerquehue/</x:v>
      </x:c>
      <x:c r="C498" s="9" t="str">
        <x:v>Parque Nacional Huerquehue, guía práctica: senderos, lagos y consejos para tu visita</x:v>
      </x:c>
      <x:c r="D498" s="17" t="d">
        <x:v>2025-12-31T00:00:00.000Z</x:v>
      </x:c>
      <x:c r="E498" s="17" t="d">
        <x:v>2025-12-23T00:00:00.000Z</x:v>
      </x:c>
      <x:c r="F498" s="4" t="str">
        <x:v>Destinos</x:v>
      </x:c>
      <x:c r="G498" s="11" t="n">
        <x:v>1049</x:v>
      </x:c>
      <x:c r="H498" s="11" t="n">
        <x:v>200</x:v>
      </x:c>
      <x:c r="I498" s="11" t="n">
        <x:v>1</x:v>
      </x:c>
      <x:c r="J498" s="4" t="str">
        <x:v>https://blog.skyairline.com/parque-nacional-huerquehue/</x:v>
      </x:c>
      <x:c r="K498" s="16" t="b">
        <x:v>0</x:v>
      </x:c>
      <x:c r="L498" s="11" t="n">
        <x:v>0</x:v>
      </x:c>
      <x:c r="M498" s="11" t="n">
        <x:v>0</x:v>
      </x:c>
      <x:c r="N498" s="4"/>
      <x:c r="O498" s="4"/>
      <x:c r="P498" s="11" t="n">
        <x:v>3</x:v>
      </x:c>
      <x:c r="Q498" s="11" t="n">
        <x:v>3</x:v>
      </x:c>
      <x:c r="R498" s="11" t="n">
        <x:f>IF(OR(P498="",Q498=""),"",Q498-P498)</x:f>
        <x:v>0</x:v>
      </x:c>
      <x:c r="S498" s="13" t="n">
        <x:f>IF(OR(P498="",Q498="",P498=0),"",((Q498/30)/(P498/31))-1)</x:f>
        <x:v>0.03333333333333344</x:v>
      </x:c>
      <x:c r="T498" s="11" t="n">
        <x:v>462</x:v>
      </x:c>
      <x:c r="U498" s="11" t="n">
        <x:v>408</x:v>
      </x:c>
      <x:c r="V498" s="14" t="n">
        <x:v>0.007352941176470588</x:v>
      </x:c>
      <x:c r="W498" s="12" t="n">
        <x:v>11.426470588235293</x:v>
      </x:c>
      <x:c r="X498" s="11" t="n">
        <x:v>4</x:v>
      </x:c>
      <x:c r="Y498" s="11" t="n">
        <x:v>4</x:v>
      </x:c>
      <x:c r="Z498" s="4" t="str">
        <x:v>https://blog.skyairline.com/parque-nacional-huerquehue/</x:v>
      </x:c>
      <x:c r="AA498" s="4" t="str">
        <x:v>https://blog.skyairline.com/parque-nacional-huerquehue/</x:v>
      </x:c>
      <x:c r="AB498" s="4" t="str">
        <x:v>Coincidencia URL</x:v>
      </x:c>
      <x:c r="AC498" s="4" t="str">
        <x:v>Publicado hasta septiembre</x:v>
      </x:c>
      <x:c r="AD498" s="4" t="str">
        <x:v>/parque-nacional-huerquehue/</x:v>
      </x:c>
      <x:c r="AE498" s="4"/>
      <x:c r="AF498" s="16" t="b">
        <x:v>0</x:v>
      </x:c>
    </x:row>
    <x:row r="499" ht="44" customHeight="1">
      <x:c r="A499" s="4" t="n">
        <x:v>8070</x:v>
      </x:c>
      <x:c r="B499" s="4" t="str">
        <x:v>https://blog.skyairline.com/roaming-internacional/</x:v>
      </x:c>
      <x:c r="C499" s="9" t="str">
        <x:v>Roaming internacional: cómo estar siempre conectado en Brasil, Argentina, Perú y el Caribe</x:v>
      </x:c>
      <x:c r="D499" s="17" t="d">
        <x:v>2026-01-01T00:00:00.000Z</x:v>
      </x:c>
      <x:c r="E499" s="17" t="d">
        <x:v>2025-12-29T00:00:00.000Z</x:v>
      </x:c>
      <x:c r="F499" s="4" t="str">
        <x:v>Planificación de Viaje</x:v>
      </x:c>
      <x:c r="G499" s="11" t="n">
        <x:v>982</x:v>
      </x:c>
      <x:c r="H499" s="11" t="n">
        <x:v>200</x:v>
      </x:c>
      <x:c r="I499" s="11" t="n">
        <x:v>1</x:v>
      </x:c>
      <x:c r="J499" s="4" t="str">
        <x:v>https://blog.skyairline.com/roaming-internacional/</x:v>
      </x:c>
      <x:c r="K499" s="16" t="b">
        <x:v>0</x:v>
      </x:c>
      <x:c r="L499" s="11" t="n">
        <x:v>0</x:v>
      </x:c>
      <x:c r="M499" s="11" t="n">
        <x:v>0</x:v>
      </x:c>
      <x:c r="N499" s="4"/>
      <x:c r="O499" s="4"/>
      <x:c r="P499" s="11" t="n">
        <x:v>6</x:v>
      </x:c>
      <x:c r="Q499" s="11" t="n">
        <x:v>3</x:v>
      </x:c>
      <x:c r="R499" s="11" t="n">
        <x:f>IF(OR(P499="",Q499=""),"",Q499-P499)</x:f>
        <x:v>-3</x:v>
      </x:c>
      <x:c r="S499" s="13" t="n">
        <x:f>IF(OR(P499="",Q499="",P499=0),"",((Q499/30)/(P499/31))-1)</x:f>
        <x:v>-0.4833333333333333</x:v>
      </x:c>
      <x:c r="T499" s="11" t="n">
        <x:v>656</x:v>
      </x:c>
      <x:c r="U499" s="11" t="n">
        <x:v>659</x:v>
      </x:c>
      <x:c r="V499" s="14" t="n">
        <x:v>0.004552352048558422</x:v>
      </x:c>
      <x:c r="W499" s="12" t="n">
        <x:v>9.95751138088012</x:v>
      </x:c>
      <x:c r="X499" s="11" t="n">
        <x:v>3</x:v>
      </x:c>
      <x:c r="Y499" s="11" t="n">
        <x:v>3</x:v>
      </x:c>
      <x:c r="Z499" s="4" t="str">
        <x:v>https://blog.skyairline.com/roaming-internacional/</x:v>
      </x:c>
      <x:c r="AA499" s="4" t="str">
        <x:v>https://blog.skyairline.com/roaming-internacional/</x:v>
      </x:c>
      <x:c r="AB499" s="4" t="str">
        <x:v>Coincidencia URL</x:v>
      </x:c>
      <x:c r="AC499" s="4" t="str">
        <x:v>Publicado hasta septiembre</x:v>
      </x:c>
      <x:c r="AD499" s="4" t="str">
        <x:v>/roaming-internacional/</x:v>
      </x:c>
      <x:c r="AE499" s="4"/>
      <x:c r="AF499" s="16" t="b">
        <x:v>0</x:v>
      </x:c>
    </x:row>
    <x:row r="500" ht="44" customHeight="1">
      <x:c r="A500" s="4" t="n">
        <x:v>8164</x:v>
      </x:c>
      <x:c r="B500" s="4" t="str">
        <x:v>https://blog.skyairline.com/sky-plus-cierra-el-ano-2025-con-mas-de-15-millones-de-suscriptores/</x:v>
      </x:c>
      <x:c r="C500" s="9" t="str">
        <x:v>SKY Plus cierra el año 2025 con más de 1,5 millones de suscriptores</x:v>
      </x:c>
      <x:c r="D500" s="17" t="d">
        <x:v>2026-01-07T00:00:00.000Z</x:v>
      </x:c>
      <x:c r="E500" s="17" t="d">
        <x:v>2026-01-07T00:00:00.000Z</x:v>
      </x:c>
      <x:c r="F500" s="4" t="str">
        <x:v>Noticias</x:v>
      </x:c>
      <x:c r="G500" s="11" t="n">
        <x:v>204</x:v>
      </x:c>
      <x:c r="H500" s="11" t="n">
        <x:v>200</x:v>
      </x:c>
      <x:c r="I500" s="11" t="n">
        <x:v>1</x:v>
      </x:c>
      <x:c r="J500" s="4" t="str">
        <x:v>https://blog.skyairline.com/sky-plus-cierra-el-ano-2025-con-mas-de-15-millones-de-suscriptores/</x:v>
      </x:c>
      <x:c r="K500" s="16" t="b">
        <x:v>0</x:v>
      </x:c>
      <x:c r="L500" s="11" t="n">
        <x:v>0</x:v>
      </x:c>
      <x:c r="M500" s="11" t="n">
        <x:v>0</x:v>
      </x:c>
      <x:c r="N500" s="4"/>
      <x:c r="O500" s="4"/>
      <x:c r="P500" s="11" t="n">
        <x:v>0</x:v>
      </x:c>
      <x:c r="Q500" s="11" t="n">
        <x:v>3</x:v>
      </x:c>
      <x:c r="R500" s="11" t="str">
        <x:f>IF(OR(P500="",Q500=""),"",Q500-P500)</x:f>
      </x:c>
      <x:c r="S500" s="13" t="str">
        <x:f>IF(OR(P500="",Q500="",P500=0),"",((Q500/30)/(P500/31))-1)</x:f>
      </x:c>
      <x:c r="T500" s="11" t="n">
        <x:v>78</x:v>
      </x:c>
      <x:c r="U500" s="11" t="n">
        <x:v>321</x:v>
      </x:c>
      <x:c r="V500" s="14" t="n">
        <x:v>0.009345794392523364</x:v>
      </x:c>
      <x:c r="W500" s="12" t="n">
        <x:v>6.2087227414330215</x:v>
      </x:c>
      <x:c r="X500" s="11" t="n">
        <x:v>3</x:v>
      </x:c>
      <x:c r="Y500" s="11" t="n">
        <x:v>3</x:v>
      </x:c>
      <x:c r="Z500" s="4" t="str">
        <x:v>https://blog.skyairline.com/sky-plus-cierra-el-ano-2025-con-mas-de-15-millones-de-suscriptores/</x:v>
      </x:c>
      <x:c r="AA500" s="4" t="str">
        <x:v>https://blog.skyairline.com/sky-plus-cierra-el-ano-2025-con-mas-de-15-millones-de-suscriptores/</x:v>
      </x:c>
      <x:c r="AB500" s="4" t="str">
        <x:v>Coincidencia URL</x:v>
      </x:c>
      <x:c r="AC500" s="4" t="str">
        <x:v>Publicado hasta septiembre</x:v>
      </x:c>
      <x:c r="AD500" s="4" t="str">
        <x:v>/sky-plus-cierra-el-ano-2025-con-mas-de-15-millones-de-suscriptores/</x:v>
      </x:c>
      <x:c r="AE500" s="4"/>
      <x:c r="AF500" s="16" t="b">
        <x:v>0</x:v>
      </x:c>
    </x:row>
    <x:row r="501" ht="44" customHeight="1">
      <x:c r="A501" s="4" t="n">
        <x:v>8203</x:v>
      </x:c>
      <x:c r="B501" s="4" t="str">
        <x:v>https://blog.skyairline.com/viaja-sin-estres-con-sky-en-estas-vacaciones-claves-para-evitar-contratiempos-en-el-nuevo-jorge-chavez/</x:v>
      </x:c>
      <x:c r="C501" s="9" t="str">
        <x:v>Viaja sin estrés en vacaciones: claves para evitar contratiempos en el nuevo Jorge Chávez</x:v>
      </x:c>
      <x:c r="D501" s="17" t="d">
        <x:v>2026-01-08T00:00:00.000Z</x:v>
      </x:c>
      <x:c r="E501" s="17" t="d">
        <x:v>2026-01-08T00:00:00.000Z</x:v>
      </x:c>
      <x:c r="F501" s="4" t="str">
        <x:v>Noticias</x:v>
      </x:c>
      <x:c r="G501" s="11" t="n">
        <x:v>206</x:v>
      </x:c>
      <x:c r="H501" s="11" t="n">
        <x:v>200</x:v>
      </x:c>
      <x:c r="I501" s="11" t="n">
        <x:v>1</x:v>
      </x:c>
      <x:c r="J501" s="4" t="str">
        <x:v>https://blog.skyairline.com/viaja-sin-estres-con-sky-en-estas-vacaciones-claves-para-evitar-contratiempos-en-el-nuevo-jorge-chavez/</x:v>
      </x:c>
      <x:c r="K501" s="16" t="b">
        <x:v>0</x:v>
      </x:c>
      <x:c r="L501" s="11" t="n">
        <x:v>0</x:v>
      </x:c>
      <x:c r="M501" s="11" t="n">
        <x:v>0</x:v>
      </x:c>
      <x:c r="N501" s="4"/>
      <x:c r="O501" s="4"/>
      <x:c r="P501" s="11" t="n">
        <x:v>0</x:v>
      </x:c>
      <x:c r="Q501" s="11" t="n">
        <x:v>3</x:v>
      </x:c>
      <x:c r="R501" s="11" t="str">
        <x:f>IF(OR(P501="",Q501=""),"",Q501-P501)</x:f>
      </x:c>
      <x:c r="S501" s="13" t="str">
        <x:f>IF(OR(P501="",Q501="",P501=0),"",((Q501/30)/(P501/31))-1)</x:f>
      </x:c>
      <x:c r="T501" s="11" t="n">
        <x:v>411</x:v>
      </x:c>
      <x:c r="U501" s="11" t="n">
        <x:v>290</x:v>
      </x:c>
      <x:c r="V501" s="14" t="n">
        <x:v>0.010344827586206896</x:v>
      </x:c>
      <x:c r="W501" s="12" t="n">
        <x:v>6.906896551724138</x:v>
      </x:c>
      <x:c r="X501" s="11" t="n">
        <x:v>2</x:v>
      </x:c>
      <x:c r="Y501" s="11" t="n">
        <x:v>2</x:v>
      </x:c>
      <x:c r="Z501" s="4" t="str">
        <x:v>https://blog.skyairline.com/viaja-sin-estres-con-sky-en-estas-vacaciones-claves-para-evitar-contratiempos-en-el-nuevo-jorge-chavez/</x:v>
      </x:c>
      <x:c r="AA501" s="4" t="str">
        <x:v>https://blog.skyairline.com/viaja-sin-estres-con-sky-en-estas-vacaciones-claves-para-evitar-contratiempos-en-el-nuevo-jorge-chavez/</x:v>
      </x:c>
      <x:c r="AB501" s="4" t="str">
        <x:v>Coincidencia URL</x:v>
      </x:c>
      <x:c r="AC501" s="4" t="str">
        <x:v>Publicado hasta septiembre</x:v>
      </x:c>
      <x:c r="AD501" s="4" t="str">
        <x:v>/viaja-sin-estres-con-sky-en-estas-vacaciones-claves-para-evitar-contratiempos-en-el-nuevo-jorge-chavez/</x:v>
      </x:c>
      <x:c r="AE501" s="4"/>
      <x:c r="AF501" s="16" t="b">
        <x:v>0</x:v>
      </x:c>
    </x:row>
    <x:row r="502" ht="44" customHeight="1">
      <x:c r="A502" s="4" t="n">
        <x:v>8548</x:v>
      </x:c>
      <x:c r="B502" s="4" t="str">
        <x:v>https://blog.skyairline.com/futrono/</x:v>
      </x:c>
      <x:c r="C502" s="9" t="str">
        <x:v>Qué hacer en el Lago Ranco y cómo planificar tu escapada a Futrono</x:v>
      </x:c>
      <x:c r="D502" s="17" t="d">
        <x:v>2026-03-22T00:00:00.000Z</x:v>
      </x:c>
      <x:c r="E502" s="17" t="d">
        <x:v>2026-03-16T00:00:00.000Z</x:v>
      </x:c>
      <x:c r="F502" s="4" t="str">
        <x:v>Planificación de Viaje</x:v>
      </x:c>
      <x:c r="G502" s="11" t="n">
        <x:v>1041</x:v>
      </x:c>
      <x:c r="H502" s="11" t="n">
        <x:v>200</x:v>
      </x:c>
      <x:c r="I502" s="11" t="n">
        <x:v>1</x:v>
      </x:c>
      <x:c r="J502" s="4" t="str">
        <x:v>https://blog.skyairline.com/futrono/</x:v>
      </x:c>
      <x:c r="K502" s="16" t="b">
        <x:v>0</x:v>
      </x:c>
      <x:c r="L502" s="11" t="n">
        <x:v>0</x:v>
      </x:c>
      <x:c r="M502" s="11" t="n">
        <x:v>0</x:v>
      </x:c>
      <x:c r="N502" s="4"/>
      <x:c r="O502" s="4"/>
      <x:c r="P502" s="11" t="n">
        <x:v>5</x:v>
      </x:c>
      <x:c r="Q502" s="11" t="n">
        <x:v>3</x:v>
      </x:c>
      <x:c r="R502" s="11" t="n">
        <x:f>IF(OR(P502="",Q502=""),"",Q502-P502)</x:f>
        <x:v>-2</x:v>
      </x:c>
      <x:c r="S502" s="13" t="n">
        <x:f>IF(OR(P502="",Q502="",P502=0),"",((Q502/30)/(P502/31))-1)</x:f>
        <x:v>-0.3799999999999999</x:v>
      </x:c>
      <x:c r="T502" s="11" t="n">
        <x:v>1084</x:v>
      </x:c>
      <x:c r="U502" s="11" t="n">
        <x:v>682</x:v>
      </x:c>
      <x:c r="V502" s="14" t="n">
        <x:v>0.004398826979472141</x:v>
      </x:c>
      <x:c r="W502" s="12" t="n">
        <x:v>9.708211143695015</x:v>
      </x:c>
      <x:c r="X502" s="11" t="n">
        <x:v>4</x:v>
      </x:c>
      <x:c r="Y502" s="11" t="n">
        <x:v>6</x:v>
      </x:c>
      <x:c r="Z502" s="4" t="str">
        <x:v>https://blog.skyairline.com/futrono/</x:v>
      </x:c>
      <x:c r="AA502" s="4" t="str">
        <x:v>https://blog.skyairline.com/futrono/</x:v>
      </x:c>
      <x:c r="AB502" s="4" t="str">
        <x:v>Coincidencia URL</x:v>
      </x:c>
      <x:c r="AC502" s="4" t="str">
        <x:v>Publicado hasta septiembre</x:v>
      </x:c>
      <x:c r="AD502" s="4" t="str">
        <x:v>/futrono/</x:v>
      </x:c>
      <x:c r="AE502" s="4"/>
      <x:c r="AF502" s="16" t="b">
        <x:v>0</x:v>
      </x:c>
    </x:row>
    <x:row r="503" ht="44" customHeight="1">
      <x:c r="A503" s="4" t="n">
        <x:v>8656</x:v>
      </x:c>
      <x:c r="B503" s="4" t="str">
        <x:v>https://blog.skyairline.com/laguna-san-rafael/</x:v>
      </x:c>
      <x:c r="C503" s="9" t="str">
        <x:v>Laguna San Rafael: cómo visitar el parque, qué hacer y consejos para planificar</x:v>
      </x:c>
      <x:c r="D503" s="17" t="d">
        <x:v>2026-05-08T00:00:00.000Z</x:v>
      </x:c>
      <x:c r="E503" s="17" t="d">
        <x:v>2026-05-05T00:00:00.000Z</x:v>
      </x:c>
      <x:c r="F503" s="4" t="str">
        <x:v>Destinos</x:v>
      </x:c>
      <x:c r="G503" s="11" t="n">
        <x:v>1048</x:v>
      </x:c>
      <x:c r="H503" s="11" t="n">
        <x:v>200</x:v>
      </x:c>
      <x:c r="I503" s="11" t="n">
        <x:v>1</x:v>
      </x:c>
      <x:c r="J503" s="4" t="str">
        <x:v>https://blog.skyairline.com/laguna-san-rafael/</x:v>
      </x:c>
      <x:c r="K503" s="16" t="b">
        <x:v>0</x:v>
      </x:c>
      <x:c r="L503" s="11" t="n">
        <x:v>0</x:v>
      </x:c>
      <x:c r="M503" s="11" t="n">
        <x:v>0</x:v>
      </x:c>
      <x:c r="N503" s="4"/>
      <x:c r="O503" s="4"/>
      <x:c r="P503" s="11" t="n">
        <x:v>2</x:v>
      </x:c>
      <x:c r="Q503" s="11" t="n">
        <x:v>3</x:v>
      </x:c>
      <x:c r="R503" s="11" t="n">
        <x:f>IF(OR(P503="",Q503=""),"",Q503-P503)</x:f>
        <x:v>1</x:v>
      </x:c>
      <x:c r="S503" s="13" t="n">
        <x:f>IF(OR(P503="",Q503="",P503=0),"",((Q503/30)/(P503/31))-1)</x:f>
        <x:v>0.55</x:v>
      </x:c>
      <x:c r="T503" s="11" t="n">
        <x:v>389</x:v>
      </x:c>
      <x:c r="U503" s="11" t="n">
        <x:v>413</x:v>
      </x:c>
      <x:c r="V503" s="14" t="n">
        <x:v>0.007263922518159807</x:v>
      </x:c>
      <x:c r="W503" s="12" t="n">
        <x:v>11.658595641646489</x:v>
      </x:c>
      <x:c r="X503" s="11" t="n">
        <x:v>3</x:v>
      </x:c>
      <x:c r="Y503" s="11" t="n">
        <x:v>3</x:v>
      </x:c>
      <x:c r="Z503" s="4" t="str">
        <x:v>https://blog.skyairline.com/laguna-san-rafael/</x:v>
      </x:c>
      <x:c r="AA503" s="4" t="str">
        <x:v>https://blog.skyairline.com/laguna-san-rafael/</x:v>
      </x:c>
      <x:c r="AB503" s="4" t="str">
        <x:v>Coincidencia URL</x:v>
      </x:c>
      <x:c r="AC503" s="4" t="str">
        <x:v>Publicado hasta septiembre</x:v>
      </x:c>
      <x:c r="AD503" s="4" t="str">
        <x:v>/laguna-san-rafael/</x:v>
      </x:c>
      <x:c r="AE503" s="4"/>
      <x:c r="AF503" s="16" t="b">
        <x:v>0</x:v>
      </x:c>
    </x:row>
    <x:row r="504" ht="44" customHeight="1">
      <x:c r="A504" s="4" t="n">
        <x:v>8684</x:v>
      </x:c>
      <x:c r="B504" s="4" t="str">
        <x:v>https://blog.skyairline.com/millennials-lideran-los-viajes-en-peru-y-la-generacion-z-gana-protagonismo-en-vuelos-de-sky-airline/</x:v>
      </x:c>
      <x:c r="C504" s="9" t="str">
        <x:v>Millennials lideran los viajes en Perú y la Generación Z gana protagonismo en vuelos de SKY Airline</x:v>
      </x:c>
      <x:c r="D504" s="17" t="d">
        <x:v>2026-05-04T00:00:00.000Z</x:v>
      </x:c>
      <x:c r="E504" s="17" t="d">
        <x:v>2026-05-04T00:00:00.000Z</x:v>
      </x:c>
      <x:c r="F504" s="4" t="str">
        <x:v>Noticias</x:v>
      </x:c>
      <x:c r="G504" s="11" t="n">
        <x:v>234</x:v>
      </x:c>
      <x:c r="H504" s="11" t="n">
        <x:v>200</x:v>
      </x:c>
      <x:c r="I504" s="11" t="n">
        <x:v>1</x:v>
      </x:c>
      <x:c r="J504" s="4" t="str">
        <x:v>https://blog.skyairline.com/millennials-lideran-los-viajes-en-peru-y-la-generacion-z-gana-protagonismo-en-vuelos-de-sky-airline/</x:v>
      </x:c>
      <x:c r="K504" s="16" t="b">
        <x:v>0</x:v>
      </x:c>
      <x:c r="L504" s="11" t="n">
        <x:v>0</x:v>
      </x:c>
      <x:c r="M504" s="11" t="n">
        <x:v>0</x:v>
      </x:c>
      <x:c r="N504" s="4"/>
      <x:c r="O504" s="4"/>
      <x:c r="P504" s="11" t="n">
        <x:v>1</x:v>
      </x:c>
      <x:c r="Q504" s="11" t="n">
        <x:v>3</x:v>
      </x:c>
      <x:c r="R504" s="11" t="n">
        <x:f>IF(OR(P504="",Q504=""),"",Q504-P504)</x:f>
        <x:v>2</x:v>
      </x:c>
      <x:c r="S504" s="13" t="n">
        <x:f>IF(OR(P504="",Q504="",P504=0),"",((Q504/30)/(P504/31))-1)</x:f>
        <x:v>2.1</x:v>
      </x:c>
      <x:c r="T504" s="11" t="n">
        <x:v>32</x:v>
      </x:c>
      <x:c r="U504" s="11" t="n">
        <x:v>13</x:v>
      </x:c>
      <x:c r="V504" s="14" t="n">
        <x:v>0.23076923076923078</x:v>
      </x:c>
      <x:c r="W504" s="12" t="n">
        <x:v>4.076923076923077</x:v>
      </x:c>
      <x:c r="X504" s="11" t="n">
        <x:v>4</x:v>
      </x:c>
      <x:c r="Y504" s="11" t="n">
        <x:v>4</x:v>
      </x:c>
      <x:c r="Z504" s="4" t="str">
        <x:v>https://blog.skyairline.com/millennials-lideran-los-viajes-en-peru-y-la-generacion-z-gana-protagonismo-en-vuelos-de-sky-airline/</x:v>
      </x:c>
      <x:c r="AA504" s="4" t="str">
        <x:v>https://blog.skyairline.com/millennials-lideran-los-viajes-en-peru-y-la-generacion-z-gana-protagonismo-en-vuelos-de-sky-airline/</x:v>
      </x:c>
      <x:c r="AB504" s="4" t="str">
        <x:v>Coincidencia URL</x:v>
      </x:c>
      <x:c r="AC504" s="4" t="str">
        <x:v>Publicado hasta septiembre</x:v>
      </x:c>
      <x:c r="AD504" s="4" t="str">
        <x:v>/millennials-lideran-los-viajes-en-peru-y-la-generacion-z-gana-protagonismo-en-vuelos-de-sky-airline/</x:v>
      </x:c>
      <x:c r="AE504" s="4"/>
      <x:c r="AF504" s="16" t="b">
        <x:v>0</x:v>
      </x:c>
    </x:row>
    <x:row r="505" ht="44" customHeight="1">
      <x:c r="A505" s="4" t="n">
        <x:v>8763</x:v>
      </x:c>
      <x:c r="B505" s="4" t="str">
        <x:v>https://blog.skyairline.com/lugares-turisticos-lima/</x:v>
      </x:c>
      <x:c r="C505" s="9" t="str">
        <x:v>Lugares turísticos en Lima: guía 2026 con imperdibles por zona</x:v>
      </x:c>
      <x:c r="D505" s="17" t="d">
        <x:v>2026-05-23T00:00:00.000Z</x:v>
      </x:c>
      <x:c r="E505" s="17" t="d">
        <x:v>2026-05-20T00:00:00.000Z</x:v>
      </x:c>
      <x:c r="F505" s="4" t="str">
        <x:v>Planificación de Viaje</x:v>
      </x:c>
      <x:c r="G505" s="11" t="n">
        <x:v>1078</x:v>
      </x:c>
      <x:c r="H505" s="11" t="n">
        <x:v>200</x:v>
      </x:c>
      <x:c r="I505" s="11" t="n">
        <x:v>1</x:v>
      </x:c>
      <x:c r="J505" s="4" t="str">
        <x:v>https://blog.skyairline.com/lugares-turisticos-lima/</x:v>
      </x:c>
      <x:c r="K505" s="16" t="b">
        <x:v>0</x:v>
      </x:c>
      <x:c r="L505" s="11" t="n">
        <x:v>0</x:v>
      </x:c>
      <x:c r="M505" s="11" t="n">
        <x:v>0</x:v>
      </x:c>
      <x:c r="N505" s="4"/>
      <x:c r="O505" s="4"/>
      <x:c r="P505" s="11" t="n">
        <x:v>5</x:v>
      </x:c>
      <x:c r="Q505" s="11" t="n">
        <x:v>3</x:v>
      </x:c>
      <x:c r="R505" s="11" t="n">
        <x:f>IF(OR(P505="",Q505=""),"",Q505-P505)</x:f>
        <x:v>-2</x:v>
      </x:c>
      <x:c r="S505" s="13" t="n">
        <x:f>IF(OR(P505="",Q505="",P505=0),"",((Q505/30)/(P505/31))-1)</x:f>
        <x:v>-0.3799999999999999</x:v>
      </x:c>
      <x:c r="T505" s="11" t="n">
        <x:v>1323</x:v>
      </x:c>
      <x:c r="U505" s="11" t="n">
        <x:v>1054</x:v>
      </x:c>
      <x:c r="V505" s="14" t="n">
        <x:v>0.0028462998102466793</x:v>
      </x:c>
      <x:c r="W505" s="12" t="n">
        <x:v>15.792220113851993</x:v>
      </x:c>
      <x:c r="X505" s="11" t="n">
        <x:v>7</x:v>
      </x:c>
      <x:c r="Y505" s="11" t="n">
        <x:v>9</x:v>
      </x:c>
      <x:c r="Z505" s="4" t="str">
        <x:v>https://blog.skyairline.com/lugares-turisticos-lima/</x:v>
      </x:c>
      <x:c r="AA505" s="4" t="str">
        <x:v>https://blog.skyairline.com/lugares-turisticos-lima/</x:v>
      </x:c>
      <x:c r="AB505" s="4" t="str">
        <x:v>Coincidencia URL</x:v>
      </x:c>
      <x:c r="AC505" s="4" t="str">
        <x:v>Publicado hasta septiembre</x:v>
      </x:c>
      <x:c r="AD505" s="4" t="str">
        <x:v>/lugares-turisticos-lima/</x:v>
      </x:c>
      <x:c r="AE505" s="4"/>
      <x:c r="AF505" s="16" t="b">
        <x:v>0</x:v>
      </x:c>
    </x:row>
    <x:row r="506" ht="44" customHeight="1">
      <x:c r="A506" s="4" t="n">
        <x:v>8803</x:v>
      </x:c>
      <x:c r="B506" s="4" t="str">
        <x:v>https://blog.skyairline.com/volcanes-chile/</x:v>
      </x:c>
      <x:c r="C506" s="9" t="str">
        <x:v>Volcanes de Chile: todo lo que necesitas saber</x:v>
      </x:c>
      <x:c r="D506" s="17" t="d">
        <x:v>2026-06-01T00:00:00.000Z</x:v>
      </x:c>
      <x:c r="E506" s="17" t="d">
        <x:v>2026-05-27T00:00:00.000Z</x:v>
      </x:c>
      <x:c r="F506" s="4" t="str">
        <x:v>Destinos</x:v>
      </x:c>
      <x:c r="G506" s="11" t="n">
        <x:v>1040</x:v>
      </x:c>
      <x:c r="H506" s="11" t="n">
        <x:v>200</x:v>
      </x:c>
      <x:c r="I506" s="11" t="n">
        <x:v>1</x:v>
      </x:c>
      <x:c r="J506" s="4" t="str">
        <x:v>https://blog.skyairline.com/volcanes-chile/</x:v>
      </x:c>
      <x:c r="K506" s="16" t="b">
        <x:v>0</x:v>
      </x:c>
      <x:c r="L506" s="11" t="n">
        <x:v>0</x:v>
      </x:c>
      <x:c r="M506" s="11" t="n">
        <x:v>0</x:v>
      </x:c>
      <x:c r="N506" s="4"/>
      <x:c r="O506" s="4"/>
      <x:c r="P506" s="11" t="n">
        <x:v>2</x:v>
      </x:c>
      <x:c r="Q506" s="11" t="n">
        <x:v>3</x:v>
      </x:c>
      <x:c r="R506" s="11" t="n">
        <x:f>IF(OR(P506="",Q506=""),"",Q506-P506)</x:f>
        <x:v>1</x:v>
      </x:c>
      <x:c r="S506" s="13" t="n">
        <x:f>IF(OR(P506="",Q506="",P506=0),"",((Q506/30)/(P506/31))-1)</x:f>
        <x:v>0.55</x:v>
      </x:c>
      <x:c r="T506" s="11" t="n">
        <x:v>1819</x:v>
      </x:c>
      <x:c r="U506" s="11" t="n">
        <x:v>749</x:v>
      </x:c>
      <x:c r="V506" s="14" t="n">
        <x:v>0.004005340453938585</x:v>
      </x:c>
      <x:c r="W506" s="12" t="n">
        <x:v>17.100133511348464</x:v>
      </x:c>
      <x:c r="X506" s="11" t="n">
        <x:v>7</x:v>
      </x:c>
      <x:c r="Y506" s="11" t="n">
        <x:v>10</x:v>
      </x:c>
      <x:c r="Z506" s="4" t="str">
        <x:v>https://blog.skyairline.com/volcanes-chile/</x:v>
      </x:c>
      <x:c r="AA506" s="4" t="str">
        <x:v>https://blog.skyairline.com/volcanes-chile/</x:v>
      </x:c>
      <x:c r="AB506" s="4" t="str">
        <x:v>Coincidencia URL</x:v>
      </x:c>
      <x:c r="AC506" s="4" t="str">
        <x:v>Publicado hasta septiembre</x:v>
      </x:c>
      <x:c r="AD506" s="4" t="str">
        <x:v>/volcanes-chile/</x:v>
      </x:c>
      <x:c r="AE506" s="4"/>
      <x:c r="AF506" s="16" t="b">
        <x:v>0</x:v>
      </x:c>
    </x:row>
    <x:row r="507" ht="44" customHeight="1">
      <x:c r="A507" s="4" t="n">
        <x:v>8814</x:v>
      </x:c>
      <x:c r="B507" s="4" t="str">
        <x:v>https://blog.skyairline.com/playas-rio-de-janeiro/</x:v>
      </x:c>
      <x:c r="C507" s="9" t="str">
        <x:v>¿Cuáles son las mejores playas de Río de Janeiro?</x:v>
      </x:c>
      <x:c r="D507" s="17" t="d">
        <x:v>2026-06-07T00:00:00.000Z</x:v>
      </x:c>
      <x:c r="E507" s="17" t="d">
        <x:v>2026-05-27T00:00:00.000Z</x:v>
      </x:c>
      <x:c r="F507" s="4" t="str">
        <x:v>Destinos</x:v>
      </x:c>
      <x:c r="G507" s="11" t="n">
        <x:v>995</x:v>
      </x:c>
      <x:c r="H507" s="11" t="n">
        <x:v>200</x:v>
      </x:c>
      <x:c r="I507" s="11" t="n">
        <x:v>1</x:v>
      </x:c>
      <x:c r="J507" s="4" t="str">
        <x:v>https://blog.skyairline.com/playas-rio-de-janeiro/</x:v>
      </x:c>
      <x:c r="K507" s="16" t="b">
        <x:v>0</x:v>
      </x:c>
      <x:c r="L507" s="11" t="n">
        <x:v>0</x:v>
      </x:c>
      <x:c r="M507" s="11" t="n">
        <x:v>0</x:v>
      </x:c>
      <x:c r="N507" s="4"/>
      <x:c r="O507" s="4"/>
      <x:c r="P507" s="11" t="n">
        <x:v>6</x:v>
      </x:c>
      <x:c r="Q507" s="11" t="n">
        <x:v>3</x:v>
      </x:c>
      <x:c r="R507" s="11" t="n">
        <x:f>IF(OR(P507="",Q507=""),"",Q507-P507)</x:f>
        <x:v>-3</x:v>
      </x:c>
      <x:c r="S507" s="13" t="n">
        <x:f>IF(OR(P507="",Q507="",P507=0),"",((Q507/30)/(P507/31))-1)</x:f>
        <x:v>-0.4833333333333333</x:v>
      </x:c>
      <x:c r="T507" s="11" t="n">
        <x:v>1549</x:v>
      </x:c>
      <x:c r="U507" s="11" t="n">
        <x:v>658</x:v>
      </x:c>
      <x:c r="V507" s="14" t="n">
        <x:v>0.004559270516717325</x:v>
      </x:c>
      <x:c r="W507" s="12" t="n">
        <x:v>10.060790273556231</x:v>
      </x:c>
      <x:c r="X507" s="11" t="n">
        <x:v>4</x:v>
      </x:c>
      <x:c r="Y507" s="11" t="n">
        <x:v>5</x:v>
      </x:c>
      <x:c r="Z507" s="4" t="str">
        <x:v>https://blog.skyairline.com/playas-rio-de-janeiro/</x:v>
      </x:c>
      <x:c r="AA507" s="4" t="str">
        <x:v>https://blog.skyairline.com/playas-rio-de-janeiro/</x:v>
      </x:c>
      <x:c r="AB507" s="4" t="str">
        <x:v>Coincidencia URL</x:v>
      </x:c>
      <x:c r="AC507" s="4" t="str">
        <x:v>Publicado hasta septiembre</x:v>
      </x:c>
      <x:c r="AD507" s="4" t="str">
        <x:v>/playas-rio-de-janeiro/</x:v>
      </x:c>
      <x:c r="AE507" s="4"/>
      <x:c r="AF507" s="16" t="b">
        <x:v>0</x:v>
      </x:c>
    </x:row>
    <x:row r="508" ht="44" customHeight="1">
      <x:c r="A508" s="4" t="n">
        <x:v>8840</x:v>
      </x:c>
      <x:c r="B508" s="4" t="str">
        <x:v>https://blog.skyairline.com/sky-revela-el-lado-menos-visible-de-sus-tripulantes-de-cabina/</x:v>
      </x:c>
      <x:c r="C508" s="9" t="str">
        <x:v>SKY destaca el rol de sus tripulantes de cabina</x:v>
      </x:c>
      <x:c r="D508" s="17" t="d">
        <x:v>2026-06-02T00:00:00.000Z</x:v>
      </x:c>
      <x:c r="E508" s="17" t="d">
        <x:v>2026-06-04T00:00:00.000Z</x:v>
      </x:c>
      <x:c r="F508" s="4" t="str">
        <x:v>Noticias</x:v>
      </x:c>
      <x:c r="G508" s="11" t="n">
        <x:v>137</x:v>
      </x:c>
      <x:c r="H508" s="11" t="n">
        <x:v>200</x:v>
      </x:c>
      <x:c r="I508" s="11" t="n">
        <x:v>1</x:v>
      </x:c>
      <x:c r="J508" s="4" t="str">
        <x:v>https://blog.skyairline.com/sky-revela-el-lado-menos-visible-de-sus-tripulantes-de-cabina/</x:v>
      </x:c>
      <x:c r="K508" s="16" t="b">
        <x:v>0</x:v>
      </x:c>
      <x:c r="L508" s="11" t="n">
        <x:v>0</x:v>
      </x:c>
      <x:c r="M508" s="11" t="n">
        <x:v>0</x:v>
      </x:c>
      <x:c r="N508" s="4"/>
      <x:c r="O508" s="4"/>
      <x:c r="P508" s="11" t="n">
        <x:v>6</x:v>
      </x:c>
      <x:c r="Q508" s="11" t="n">
        <x:v>3</x:v>
      </x:c>
      <x:c r="R508" s="11" t="n">
        <x:f>IF(OR(P508="",Q508=""),"",Q508-P508)</x:f>
        <x:v>-3</x:v>
      </x:c>
      <x:c r="S508" s="13" t="n">
        <x:f>IF(OR(P508="",Q508="",P508=0),"",((Q508/30)/(P508/31))-1)</x:f>
        <x:v>-0.4833333333333333</x:v>
      </x:c>
      <x:c r="T508" s="11" t="n">
        <x:v>135</x:v>
      </x:c>
      <x:c r="U508" s="11" t="n">
        <x:v>200</x:v>
      </x:c>
      <x:c r="V508" s="14" t="n">
        <x:v>0.015</x:v>
      </x:c>
      <x:c r="W508" s="12" t="n">
        <x:v>9.195</x:v>
      </x:c>
      <x:c r="X508" s="11" t="n">
        <x:v>5</x:v>
      </x:c>
      <x:c r="Y508" s="11" t="n">
        <x:v>5</x:v>
      </x:c>
      <x:c r="Z508" s="4" t="str">
        <x:v>https://blog.skyairline.com/sky-revela-el-lado-menos-visible-de-sus-tripulantes-de-cabina/</x:v>
      </x:c>
      <x:c r="AA508" s="4" t="str">
        <x:v>https://blog.skyairline.com/sky-revela-el-lado-menos-visible-de-sus-tripulantes-de-cabina/</x:v>
      </x:c>
      <x:c r="AB508" s="4" t="str">
        <x:v>Coincidencia URL</x:v>
      </x:c>
      <x:c r="AC508" s="4" t="str">
        <x:v>Publicado hasta septiembre</x:v>
      </x:c>
      <x:c r="AD508" s="4" t="str">
        <x:v>/sky-revela-el-lado-menos-visible-de-sus-tripulantes-de-cabina/</x:v>
      </x:c>
      <x:c r="AE508" s="4"/>
      <x:c r="AF508" s="16" t="b">
        <x:v>0</x:v>
      </x:c>
    </x:row>
    <x:row r="509" ht="44" customHeight="1">
      <x:c r="A509" s="4" t="n">
        <x:v>8861</x:v>
      </x:c>
      <x:c r="B509" s="4" t="str">
        <x:v>https://blog.skyairline.com/huaraz-2/</x:v>
      </x:c>
      <x:c r="C509" s="9" t="str">
        <x:v>Conoce Huaraz: trekking y lagunas de altura</x:v>
      </x:c>
      <x:c r="D509" s="17" t="d">
        <x:v>2026-06-08T00:00:00.000Z</x:v>
      </x:c>
      <x:c r="E509" s="17" t="d">
        <x:v>2026-06-05T00:00:00.000Z</x:v>
      </x:c>
      <x:c r="F509" s="4" t="str">
        <x:v>Planificación de Viaje</x:v>
      </x:c>
      <x:c r="G509" s="11" t="n">
        <x:v>1036</x:v>
      </x:c>
      <x:c r="H509" s="11" t="n">
        <x:v>200</x:v>
      </x:c>
      <x:c r="I509" s="11" t="n">
        <x:v>1</x:v>
      </x:c>
      <x:c r="J509" s="4" t="str">
        <x:v>https://blog.skyairline.com/huaraz-2/</x:v>
      </x:c>
      <x:c r="K509" s="16" t="b">
        <x:v>0</x:v>
      </x:c>
      <x:c r="L509" s="11" t="n">
        <x:v>0</x:v>
      </x:c>
      <x:c r="M509" s="11" t="n">
        <x:v>0</x:v>
      </x:c>
      <x:c r="N509" s="4"/>
      <x:c r="O509" s="4"/>
      <x:c r="P509" s="11" t="n">
        <x:v>1</x:v>
      </x:c>
      <x:c r="Q509" s="11" t="n">
        <x:v>3</x:v>
      </x:c>
      <x:c r="R509" s="11" t="n">
        <x:f>IF(OR(P509="",Q509=""),"",Q509-P509)</x:f>
        <x:v>2</x:v>
      </x:c>
      <x:c r="S509" s="13" t="n">
        <x:f>IF(OR(P509="",Q509="",P509=0),"",((Q509/30)/(P509/31))-1)</x:f>
        <x:v>2.1</x:v>
      </x:c>
      <x:c r="T509" s="11" t="n">
        <x:v>963</x:v>
      </x:c>
      <x:c r="U509" s="11" t="n">
        <x:v>962</x:v>
      </x:c>
      <x:c r="V509" s="14" t="n">
        <x:v>0.0031185031185031187</x:v>
      </x:c>
      <x:c r="W509" s="12" t="n">
        <x:v>10.67983367983368</x:v>
      </x:c>
      <x:c r="X509" s="11" t="n">
        <x:v>3</x:v>
      </x:c>
      <x:c r="Y509" s="11" t="n">
        <x:v>3</x:v>
      </x:c>
      <x:c r="Z509" s="4" t="str">
        <x:v>https://blog.skyairline.com/huaraz-2/</x:v>
      </x:c>
      <x:c r="AA509" s="4" t="str">
        <x:v>https://blog.skyairline.com/huaraz-2/</x:v>
      </x:c>
      <x:c r="AB509" s="4" t="str">
        <x:v>Coincidencia URL</x:v>
      </x:c>
      <x:c r="AC509" s="4" t="str">
        <x:v>Publicado hasta septiembre</x:v>
      </x:c>
      <x:c r="AD509" s="4" t="str">
        <x:v>/huaraz-2/</x:v>
      </x:c>
      <x:c r="AE509" s="4"/>
      <x:c r="AF509" s="16" t="b">
        <x:v>0</x:v>
      </x:c>
    </x:row>
    <x:row r="510" ht="44" customHeight="1">
      <x:c r="A510" s="4" t="n">
        <x:v>8868</x:v>
      </x:c>
      <x:c r="B510" s="4" t="str">
        <x:v>https://blog.skyairline.com/planifica-tu-viaje-sur-de-chile/</x:v>
      </x:c>
      <x:c r="C510" s="9" t="str">
        <x:v>Planifica tu viaje al sur de Chile: Itinerario de 7 días</x:v>
      </x:c>
      <x:c r="D510" s="17" t="d">
        <x:v>2026-06-10T00:00:00.000Z</x:v>
      </x:c>
      <x:c r="E510" s="17" t="d">
        <x:v>2026-06-05T00:00:00.000Z</x:v>
      </x:c>
      <x:c r="F510" s="4" t="str">
        <x:v>Planificación de Viaje</x:v>
      </x:c>
      <x:c r="G510" s="11" t="n">
        <x:v>1086</x:v>
      </x:c>
      <x:c r="H510" s="11" t="n">
        <x:v>200</x:v>
      </x:c>
      <x:c r="I510" s="11" t="n">
        <x:v>1</x:v>
      </x:c>
      <x:c r="J510" s="4" t="str">
        <x:v>https://blog.skyairline.com/planifica-tu-viaje-sur-de-chile/</x:v>
      </x:c>
      <x:c r="K510" s="16" t="b">
        <x:v>0</x:v>
      </x:c>
      <x:c r="L510" s="11" t="n">
        <x:v>0</x:v>
      </x:c>
      <x:c r="M510" s="11" t="n">
        <x:v>0</x:v>
      </x:c>
      <x:c r="N510" s="4"/>
      <x:c r="O510" s="4"/>
      <x:c r="P510" s="11" t="n">
        <x:v>3</x:v>
      </x:c>
      <x:c r="Q510" s="11" t="n">
        <x:v>3</x:v>
      </x:c>
      <x:c r="R510" s="11" t="n">
        <x:f>IF(OR(P510="",Q510=""),"",Q510-P510)</x:f>
        <x:v>0</x:v>
      </x:c>
      <x:c r="S510" s="13" t="n">
        <x:f>IF(OR(P510="",Q510="",P510=0),"",((Q510/30)/(P510/31))-1)</x:f>
        <x:v>0.03333333333333344</x:v>
      </x:c>
      <x:c r="T510" s="11" t="n">
        <x:v>125</x:v>
      </x:c>
      <x:c r="U510" s="11" t="n">
        <x:v>192</x:v>
      </x:c>
      <x:c r="V510" s="14" t="n">
        <x:v>0.015625</x:v>
      </x:c>
      <x:c r="W510" s="12" t="n">
        <x:v>13.979166666666666</x:v>
      </x:c>
      <x:c r="X510" s="11" t="n">
        <x:v>4</x:v>
      </x:c>
      <x:c r="Y510" s="11" t="n">
        <x:v>4</x:v>
      </x:c>
      <x:c r="Z510" s="4" t="str">
        <x:v>https://blog.skyairline.com/planifica-tu-viaje-sur-de-chile/</x:v>
      </x:c>
      <x:c r="AA510" s="4" t="str">
        <x:v>https://blog.skyairline.com/planifica-tu-viaje-sur-de-chile/</x:v>
      </x:c>
      <x:c r="AB510" s="4" t="str">
        <x:v>Coincidencia URL</x:v>
      </x:c>
      <x:c r="AC510" s="4" t="str">
        <x:v>Publicado hasta septiembre</x:v>
      </x:c>
      <x:c r="AD510" s="4" t="str">
        <x:v>/planifica-tu-viaje-sur-de-chile/</x:v>
      </x:c>
      <x:c r="AE510" s="4"/>
      <x:c r="AF510" s="16" t="b">
        <x:v>0</x:v>
      </x:c>
    </x:row>
    <x:row r="511" ht="44" customHeight="1">
      <x:c r="A511" s="4" t="n">
        <x:v>8870</x:v>
      </x:c>
      <x:c r="B511" s="4" t="str">
        <x:v>https://blog.skyairline.com/iglesias-de-chiloe/</x:v>
      </x:c>
      <x:c r="C511" s="9" t="str">
        <x:v>Iglesias de Chiloé: Patrimonio de la Humanidad</x:v>
      </x:c>
      <x:c r="D511" s="17" t="d">
        <x:v>2026-06-11T00:00:00.000Z</x:v>
      </x:c>
      <x:c r="E511" s="17" t="d">
        <x:v>2026-06-05T00:00:00.000Z</x:v>
      </x:c>
      <x:c r="F511" s="4" t="str">
        <x:v>Planificación de Viaje</x:v>
      </x:c>
      <x:c r="G511" s="11" t="n">
        <x:v>1099</x:v>
      </x:c>
      <x:c r="H511" s="11" t="n">
        <x:v>200</x:v>
      </x:c>
      <x:c r="I511" s="11" t="n">
        <x:v>1</x:v>
      </x:c>
      <x:c r="J511" s="4" t="str">
        <x:v>https://blog.skyairline.com/iglesias-de-chiloe/</x:v>
      </x:c>
      <x:c r="K511" s="16" t="b">
        <x:v>0</x:v>
      </x:c>
      <x:c r="L511" s="11" t="n">
        <x:v>0</x:v>
      </x:c>
      <x:c r="M511" s="11" t="n">
        <x:v>0</x:v>
      </x:c>
      <x:c r="N511" s="4"/>
      <x:c r="O511" s="4"/>
      <x:c r="P511" s="11" t="n">
        <x:v>0</x:v>
      </x:c>
      <x:c r="Q511" s="11" t="n">
        <x:v>3</x:v>
      </x:c>
      <x:c r="R511" s="11" t="str">
        <x:f>IF(OR(P511="",Q511=""),"",Q511-P511)</x:f>
      </x:c>
      <x:c r="S511" s="13" t="str">
        <x:f>IF(OR(P511="",Q511="",P511=0),"",((Q511/30)/(P511/31))-1)</x:f>
      </x:c>
      <x:c r="T511" s="11" t="n">
        <x:v>100</x:v>
      </x:c>
      <x:c r="U511" s="11" t="n">
        <x:v>68</x:v>
      </x:c>
      <x:c r="V511" s="14" t="n">
        <x:v>0.04411764705882353</x:v>
      </x:c>
      <x:c r="W511" s="12" t="n">
        <x:v>16.529411764705884</x:v>
      </x:c>
      <x:c r="X511" s="11" t="n">
        <x:v>4</x:v>
      </x:c>
      <x:c r="Y511" s="11" t="n">
        <x:v>5</x:v>
      </x:c>
      <x:c r="Z511" s="4" t="str">
        <x:v>https://blog.skyairline.com/iglesias-de-chiloe/</x:v>
      </x:c>
      <x:c r="AA511" s="4" t="str">
        <x:v>https://blog.skyairline.com/iglesias-de-chiloe/</x:v>
      </x:c>
      <x:c r="AB511" s="4" t="str">
        <x:v>Coincidencia URL</x:v>
      </x:c>
      <x:c r="AC511" s="4" t="str">
        <x:v>Publicado hasta septiembre</x:v>
      </x:c>
      <x:c r="AD511" s="4" t="str">
        <x:v>/iglesias-de-chiloe/</x:v>
      </x:c>
      <x:c r="AE511" s="4"/>
      <x:c r="AF511" s="16" t="b">
        <x:v>0</x:v>
      </x:c>
    </x:row>
    <x:row r="512" ht="44" customHeight="1">
      <x:c r="A512" s="4" t="n">
        <x:v>9015</x:v>
      </x:c>
      <x:c r="B512" s="4" t="str">
        <x:v>https://blog.skyairline.com/gran-reconocimiento-sky-entre-las-100-empresas-mejor-evaluadas-por-clientes-en-el-peru/</x:v>
      </x:c>
      <x:c r="C512" s="9" t="str">
        <x:v>¡Gran reconocimiento!: SKY, entre las 100 empresas mejor evaluadas por clientes en el Perú</x:v>
      </x:c>
      <x:c r="D512" s="17" t="d">
        <x:v>2026-07-15T00:00:00.000Z</x:v>
      </x:c>
      <x:c r="E512" s="17" t="d">
        <x:v>2026-07-15T00:00:00.000Z</x:v>
      </x:c>
      <x:c r="F512" s="4" t="str">
        <x:v>Noticias</x:v>
      </x:c>
      <x:c r="G512" s="11" t="n">
        <x:v>144</x:v>
      </x:c>
      <x:c r="H512" s="11" t="n">
        <x:v>200</x:v>
      </x:c>
      <x:c r="I512" s="11" t="n">
        <x:v>1</x:v>
      </x:c>
      <x:c r="J512" s="4" t="str">
        <x:v>https://blog.skyairline.com/gran-reconocimiento-sky-entre-las-100-empresas-mejor-evaluadas-por-clientes-en-el-peru/</x:v>
      </x:c>
      <x:c r="K512" s="16" t="b">
        <x:v>0</x:v>
      </x:c>
      <x:c r="L512" s="11" t="n">
        <x:v>0</x:v>
      </x:c>
      <x:c r="M512" s="11" t="n">
        <x:v>0</x:v>
      </x:c>
      <x:c r="N512" s="4"/>
      <x:c r="O512" s="4"/>
      <x:c r="P512" s="11" t="n">
        <x:v>1</x:v>
      </x:c>
      <x:c r="Q512" s="11" t="n">
        <x:v>3</x:v>
      </x:c>
      <x:c r="R512" s="11" t="n">
        <x:f>IF(OR(P512="",Q512=""),"",Q512-P512)</x:f>
        <x:v>2</x:v>
      </x:c>
      <x:c r="S512" s="13" t="n">
        <x:f>IF(OR(P512="",Q512="",P512=0),"",((Q512/30)/(P512/31))-1)</x:f>
        <x:v>2.1</x:v>
      </x:c>
      <x:c r="T512" s="11" t="n">
        <x:v>466</x:v>
      </x:c>
      <x:c r="U512" s="11" t="n">
        <x:v>504</x:v>
      </x:c>
      <x:c r="V512" s="14" t="n">
        <x:v>0.005952380952380952</x:v>
      </x:c>
      <x:c r="W512" s="12" t="n">
        <x:v>7.059523809523809</x:v>
      </x:c>
      <x:c r="X512" s="11" t="n">
        <x:v>5</x:v>
      </x:c>
      <x:c r="Y512" s="11" t="n">
        <x:v>5</x:v>
      </x:c>
      <x:c r="Z512" s="4" t="str">
        <x:v>https://blog.skyairline.com/gran-reconocimiento-sky-entre-las-100-empresas-mejor-evaluadas-por-clientes-en-el-peru/</x:v>
      </x:c>
      <x:c r="AA512" s="4" t="str">
        <x:v>https://blog.skyairline.com/gran-reconocimiento-sky-entre-las-100-empresas-mejor-evaluadas-por-clientes-en-el-peru/</x:v>
      </x:c>
      <x:c r="AB512" s="4" t="str">
        <x:v>Coincidencia URL</x:v>
      </x:c>
      <x:c r="AC512" s="4" t="str">
        <x:v>Publicado hasta septiembre</x:v>
      </x:c>
      <x:c r="AD512" s="4" t="str">
        <x:v>/gran-reconocimiento-sky-entre-las-100-empresas-mejor-evaluadas-por-clientes-en-el-peru/</x:v>
      </x:c>
      <x:c r="AE512" s="4"/>
      <x:c r="AF512" s="16" t="b">
        <x:v>0</x:v>
      </x:c>
    </x:row>
    <x:row r="513" ht="44" customHeight="1">
      <x:c r="A513" s="4" t="n">
        <x:v>9171</x:v>
      </x:c>
      <x:c r="B513" s="4" t="str">
        <x:v>https://blog.skyairline.com/beto-carrero-world-santa-catarina-parque-tematico/</x:v>
      </x:c>
      <x:c r="C513" s="9" t="str">
        <x:v>Incluye Beto Carrero World en tu viaje a Santa Catarina: el parque temático más grande de Latinoamérica</x:v>
      </x:c>
      <x:c r="D513" s="17" t="d">
        <x:v>2026-08-22T00:00:00.000Z</x:v>
      </x:c>
      <x:c r="E513" s="17" t="d">
        <x:v>2026-08-20T00:00:00.000Z</x:v>
      </x:c>
      <x:c r="F513" s="4" t="str">
        <x:v>Destinos</x:v>
      </x:c>
      <x:c r="G513" s="11" t="n">
        <x:v>2000</x:v>
      </x:c>
      <x:c r="H513" s="11" t="n">
        <x:v>200</x:v>
      </x:c>
      <x:c r="I513" s="11" t="n">
        <x:v>1</x:v>
      </x:c>
      <x:c r="J513" s="4" t="str">
        <x:v>https://blog.skyairline.com/beto-carrero-world-santa-catarina-parque-tematico/</x:v>
      </x:c>
      <x:c r="K513" s="16" t="b">
        <x:v>0</x:v>
      </x:c>
      <x:c r="L513" s="11" t="n">
        <x:v>0</x:v>
      </x:c>
      <x:c r="M513" s="11" t="n">
        <x:v>0</x:v>
      </x:c>
      <x:c r="N513" s="4"/>
      <x:c r="O513" s="4"/>
      <x:c r="P513" s="11" t="n">
        <x:v>5</x:v>
      </x:c>
      <x:c r="Q513" s="11" t="n">
        <x:v>3</x:v>
      </x:c>
      <x:c r="R513" s="11" t="n">
        <x:f>IF(OR(P513="",Q513=""),"",Q513-P513)</x:f>
        <x:v>-2</x:v>
      </x:c>
      <x:c r="S513" s="13" t="n">
        <x:f>IF(OR(P513="",Q513="",P513=0),"",((Q513/30)/(P513/31))-1)</x:f>
        <x:v>-0.3799999999999999</x:v>
      </x:c>
      <x:c r="T513" s="11" t="n">
        <x:v>512</x:v>
      </x:c>
      <x:c r="U513" s="11" t="n">
        <x:v>1279</x:v>
      </x:c>
      <x:c r="V513" s="14" t="n">
        <x:v>0.0023455824863174357</x:v>
      </x:c>
      <x:c r="W513" s="12" t="n">
        <x:v>9.007036747458953</x:v>
      </x:c>
      <x:c r="X513" s="11" t="n">
        <x:v>9</x:v>
      </x:c>
      <x:c r="Y513" s="11" t="n">
        <x:v>11</x:v>
      </x:c>
      <x:c r="Z513" s="4" t="str">
        <x:v>https://blog.skyairline.com/beto-carrero-world-santa-catarina-parque-tematico/</x:v>
      </x:c>
      <x:c r="AA513" s="4" t="str">
        <x:v>https://blog.skyairline.com/beto-carrero-world-santa-catarina-parque-tematico/</x:v>
      </x:c>
      <x:c r="AB513" s="4" t="str">
        <x:v>Coincidencia URL</x:v>
      </x:c>
      <x:c r="AC513" s="4" t="str">
        <x:v>Publicado hasta septiembre</x:v>
      </x:c>
      <x:c r="AD513" s="4" t="str">
        <x:v>/beto-carrero-world-santa-catarina-parque-tematico/</x:v>
      </x:c>
      <x:c r="AE513" s="4"/>
      <x:c r="AF513" s="16" t="b">
        <x:v>0</x:v>
      </x:c>
    </x:row>
    <x:row r="514" ht="44" customHeight="1">
      <x:c r="A514" s="4" t="n">
        <x:v>9270</x:v>
      </x:c>
      <x:c r="B514" s="4" t="str">
        <x:v>https://blog.skyairline.com/cerro-santa-lucia/</x:v>
      </x:c>
      <x:c r="C514" s="9" t="str">
        <x:v>Cerro Santa Lucía en Santiago: visita este punto histórico de la capital</x:v>
      </x:c>
      <x:c r="D514" s="17" t="d">
        <x:v>2026-09-11T00:00:00.000Z</x:v>
      </x:c>
      <x:c r="E514" s="17" t="d">
        <x:v>2026-09-09T00:00:00.000Z</x:v>
      </x:c>
      <x:c r="F514" s="4" t="str">
        <x:v>Cultura</x:v>
      </x:c>
      <x:c r="G514" s="11" t="n">
        <x:v>1046</x:v>
      </x:c>
      <x:c r="H514" s="11" t="n">
        <x:v>200</x:v>
      </x:c>
      <x:c r="I514" s="11" t="n">
        <x:v>1</x:v>
      </x:c>
      <x:c r="J514" s="4" t="str">
        <x:v>https://blog.skyairline.com/cerro-santa-lucia/</x:v>
      </x:c>
      <x:c r="K514" s="16" t="b">
        <x:v>0</x:v>
      </x:c>
      <x:c r="L514" s="11" t="n">
        <x:v>0</x:v>
      </x:c>
      <x:c r="M514" s="11" t="n">
        <x:v>0</x:v>
      </x:c>
      <x:c r="N514" s="4"/>
      <x:c r="O514" s="4"/>
      <x:c r="P514" s="11"/>
      <x:c r="Q514" s="11" t="n">
        <x:v>3</x:v>
      </x:c>
      <x:c r="R514" s="11" t="str">
        <x:f>IF(OR(P514="",Q514=""),"",Q514-P514)</x:f>
      </x:c>
      <x:c r="S514" s="13" t="str">
        <x:f>IF(OR(P514="",Q514="",P514=0),"",((Q514/30)/(P514/31))-1)</x:f>
      </x:c>
      <x:c r="T514" s="11"/>
      <x:c r="U514" s="11" t="n">
        <x:v>1394</x:v>
      </x:c>
      <x:c r="V514" s="14" t="n">
        <x:v>0.002152080344332855</x:v>
      </x:c>
      <x:c r="W514" s="12" t="n">
        <x:v>8.428981348637016</x:v>
      </x:c>
      <x:c r="X514" s="11" t="n">
        <x:v>7</x:v>
      </x:c>
      <x:c r="Y514" s="11" t="n">
        <x:v>7</x:v>
      </x:c>
      <x:c r="Z514" s="4"/>
      <x:c r="AA514" s="4" t="str">
        <x:v>https://blog.skyairline.com/cerro-santa-lucia/</x:v>
      </x:c>
      <x:c r="AB514" s="4" t="str">
        <x:v>Coincidencia URL</x:v>
      </x:c>
      <x:c r="AC514" s="4" t="str">
        <x:v>Publicado hasta septiembre</x:v>
      </x:c>
      <x:c r="AD514" s="4" t="str">
        <x:v>/cerro-santa-lucia/</x:v>
      </x:c>
      <x:c r="AE514" s="4"/>
      <x:c r="AF514" s="16" t="b">
        <x:v>0</x:v>
      </x:c>
    </x:row>
    <x:row r="515" ht="44" customHeight="1">
      <x:c r="A515" s="4" t="n">
        <x:v>9321</x:v>
      </x:c>
      <x:c r="B515" s="4" t="str">
        <x:v>https://blog.skyairline.com/las-grutas/</x:v>
      </x:c>
      <x:c r="C515" s="9" t="str">
        <x:v>Las Grutas: un paraíso de aguas cálidas en la Patagonia</x:v>
      </x:c>
      <x:c r="D515" s="17" t="d">
        <x:v>2026-09-25T00:00:00.000Z</x:v>
      </x:c>
      <x:c r="E515" s="17" t="d">
        <x:v>2026-09-21T00:00:00.000Z</x:v>
      </x:c>
      <x:c r="F515" s="4" t="str">
        <x:v>Destinos</x:v>
      </x:c>
      <x:c r="G515" s="11" t="n">
        <x:v>1108</x:v>
      </x:c>
      <x:c r="H515" s="11" t="n">
        <x:v>200</x:v>
      </x:c>
      <x:c r="I515" s="11" t="n">
        <x:v>1</x:v>
      </x:c>
      <x:c r="J515" s="4" t="str">
        <x:v>https://blog.skyairline.com/las-grutas/</x:v>
      </x:c>
      <x:c r="K515" s="16" t="b">
        <x:v>0</x:v>
      </x:c>
      <x:c r="L515" s="11" t="n">
        <x:v>0</x:v>
      </x:c>
      <x:c r="M515" s="11" t="n">
        <x:v>0</x:v>
      </x:c>
      <x:c r="N515" s="4"/>
      <x:c r="O515" s="4"/>
      <x:c r="P515" s="11"/>
      <x:c r="Q515" s="11" t="n">
        <x:v>3</x:v>
      </x:c>
      <x:c r="R515" s="11" t="str">
        <x:f>IF(OR(P515="",Q515=""),"",Q515-P515)</x:f>
      </x:c>
      <x:c r="S515" s="13" t="str">
        <x:f>IF(OR(P515="",Q515="",P515=0),"",((Q515/30)/(P515/31))-1)</x:f>
      </x:c>
      <x:c r="T515" s="11"/>
      <x:c r="U515" s="11" t="n">
        <x:v>415</x:v>
      </x:c>
      <x:c r="V515" s="14" t="n">
        <x:v>0.007228915662650603</x:v>
      </x:c>
      <x:c r="W515" s="12" t="n">
        <x:v>3.387951807228916</x:v>
      </x:c>
      <x:c r="X515" s="11" t="n">
        <x:v>6</x:v>
      </x:c>
      <x:c r="Y515" s="11" t="n">
        <x:v>6</x:v>
      </x:c>
      <x:c r="Z515" s="4"/>
      <x:c r="AA515" s="4" t="str">
        <x:v>https://blog.skyairline.com/las-grutas/</x:v>
      </x:c>
      <x:c r="AB515" s="4" t="str">
        <x:v>Coincidencia URL</x:v>
      </x:c>
      <x:c r="AC515" s="4" t="str">
        <x:v>Publicado hasta septiembre</x:v>
      </x:c>
      <x:c r="AD515" s="4" t="str">
        <x:v>/las-grutas/</x:v>
      </x:c>
      <x:c r="AE515" s="4"/>
      <x:c r="AF515" s="16" t="b">
        <x:v>0</x:v>
      </x:c>
    </x:row>
    <x:row r="516" ht="44" customHeight="1">
      <x:c r="A516" s="4" t="n">
        <x:v>100</x:v>
      </x:c>
      <x:c r="B516" s="4" t="str">
        <x:v>https://blog.skyairline.com/no-perder-el-vuelo/</x:v>
      </x:c>
      <x:c r="C516" s="9" t="str">
        <x:v>10 claves para evitar retrasos y no perder un vuelo</x:v>
      </x:c>
      <x:c r="D516" s="17" t="d">
        <x:v>2021-11-07T00:00:00.000Z</x:v>
      </x:c>
      <x:c r="E516" s="17" t="d">
        <x:v>2021-11-07T00:00:00.000Z</x:v>
      </x:c>
      <x:c r="F516" s="4" t="str">
        <x:v>Planificación de Viaje</x:v>
      </x:c>
      <x:c r="G516" s="11" t="n">
        <x:v>1074</x:v>
      </x:c>
      <x:c r="H516" s="11" t="n">
        <x:v>200</x:v>
      </x:c>
      <x:c r="I516" s="11" t="n">
        <x:v>1</x:v>
      </x:c>
      <x:c r="J516" s="4" t="str">
        <x:v>https://blog.skyairline.com/no-perder-el-vuelo/</x:v>
      </x:c>
      <x:c r="K516" s="16" t="b">
        <x:v>0</x:v>
      </x:c>
      <x:c r="L516" s="11" t="n">
        <x:v>0</x:v>
      </x:c>
      <x:c r="M516" s="11" t="n">
        <x:v>0</x:v>
      </x:c>
      <x:c r="N516" s="4"/>
      <x:c r="O516" s="4"/>
      <x:c r="P516" s="11" t="n">
        <x:v>0</x:v>
      </x:c>
      <x:c r="Q516" s="11" t="n">
        <x:v>2</x:v>
      </x:c>
      <x:c r="R516" s="11" t="str">
        <x:f>IF(OR(P516="",Q516=""),"",Q516-P516)</x:f>
      </x:c>
      <x:c r="S516" s="13" t="str">
        <x:f>IF(OR(P516="",Q516="",P516=0),"",((Q516/30)/(P516/31))-1)</x:f>
      </x:c>
      <x:c r="T516" s="11" t="n">
        <x:v>200</x:v>
      </x:c>
      <x:c r="U516" s="11" t="n">
        <x:v>245</x:v>
      </x:c>
      <x:c r="V516" s="14" t="n">
        <x:v>0.00816326530612245</x:v>
      </x:c>
      <x:c r="W516" s="12" t="n">
        <x:v>7.293877551020408</x:v>
      </x:c>
      <x:c r="X516" s="11" t="n">
        <x:v>2</x:v>
      </x:c>
      <x:c r="Y516" s="11" t="n">
        <x:v>2</x:v>
      </x:c>
      <x:c r="Z516" s="4" t="str">
        <x:v>https://blog.skyairline.com/no-perder-el-vuelo/</x:v>
      </x:c>
      <x:c r="AA516" s="4" t="str">
        <x:v>https://blog.skyairline.com/no-perder-el-vuelo/</x:v>
      </x:c>
      <x:c r="AB516" s="4" t="str">
        <x:v>Coincidencia URL</x:v>
      </x:c>
      <x:c r="AC516" s="4" t="str">
        <x:v>Publicado hasta septiembre</x:v>
      </x:c>
      <x:c r="AD516" s="4" t="str">
        <x:v>/no-perder-el-vuelo/</x:v>
      </x:c>
      <x:c r="AE516" s="4"/>
      <x:c r="AF516" s="16" t="b">
        <x:v>0</x:v>
      </x:c>
    </x:row>
    <x:row r="517" ht="44" customHeight="1">
      <x:c r="A517" s="4" t="n">
        <x:v>459</x:v>
      </x:c>
      <x:c r="B517" s="4" t="str">
        <x:v>https://blog.skyairline.com/gastronomia-latinoamericana/</x:v>
      </x:c>
      <x:c r="C517" s="9" t="str">
        <x:v>Guía completa de la cocina latinoamericana que todo viajero debe conocer</x:v>
      </x:c>
      <x:c r="D517" s="17" t="d">
        <x:v>2024-07-13T00:00:00.000Z</x:v>
      </x:c>
      <x:c r="E517" s="17" t="d">
        <x:v>2024-07-13T00:00:00.000Z</x:v>
      </x:c>
      <x:c r="F517" s="4" t="str">
        <x:v>Cultura</x:v>
      </x:c>
      <x:c r="G517" s="11" t="n">
        <x:v>3208</x:v>
      </x:c>
      <x:c r="H517" s="11" t="n">
        <x:v>200</x:v>
      </x:c>
      <x:c r="I517" s="11" t="n">
        <x:v>1</x:v>
      </x:c>
      <x:c r="J517" s="4" t="str">
        <x:v>https://blog.skyairline.com/gastronomia-latinoamericana/</x:v>
      </x:c>
      <x:c r="K517" s="16" t="b">
        <x:v>0</x:v>
      </x:c>
      <x:c r="L517" s="11" t="n">
        <x:v>0</x:v>
      </x:c>
      <x:c r="M517" s="11" t="n">
        <x:v>15</x:v>
      </x:c>
      <x:c r="N517" s="4"/>
      <x:c r="O517" s="4"/>
      <x:c r="P517" s="11" t="n">
        <x:v>2</x:v>
      </x:c>
      <x:c r="Q517" s="11" t="n">
        <x:v>2</x:v>
      </x:c>
      <x:c r="R517" s="11" t="n">
        <x:f>IF(OR(P517="",Q517=""),"",Q517-P517)</x:f>
        <x:v>0</x:v>
      </x:c>
      <x:c r="S517" s="13" t="n">
        <x:f>IF(OR(P517="",Q517="",P517=0),"",((Q517/30)/(P517/31))-1)</x:f>
        <x:v>0.03333333333333344</x:v>
      </x:c>
      <x:c r="T517" s="11" t="n">
        <x:v>1417</x:v>
      </x:c>
      <x:c r="U517" s="11" t="n">
        <x:v>709</x:v>
      </x:c>
      <x:c r="V517" s="14" t="n">
        <x:v>0.0028208744710860366</x:v>
      </x:c>
      <x:c r="W517" s="12" t="n">
        <x:v>15.648801128349788</x:v>
      </x:c>
      <x:c r="X517" s="11" t="n">
        <x:v>2</x:v>
      </x:c>
      <x:c r="Y517" s="11" t="n">
        <x:v>2</x:v>
      </x:c>
      <x:c r="Z517" s="4" t="str">
        <x:v>https://blog.skyairline.com/gastronomia-latinoamericana/</x:v>
      </x:c>
      <x:c r="AA517" s="4" t="str">
        <x:v>https://blog.skyairline.com/gastronomia-latinoamericana/</x:v>
      </x:c>
      <x:c r="AB517" s="4" t="str">
        <x:v>Coincidencia URL</x:v>
      </x:c>
      <x:c r="AC517" s="4" t="str">
        <x:v>Publicado hasta septiembre</x:v>
      </x:c>
      <x:c r="AD517" s="4" t="str">
        <x:v>/gastronomia-latinoamericana/</x:v>
      </x:c>
      <x:c r="AE517" s="4"/>
      <x:c r="AF517" s="16" t="b">
        <x:v>0</x:v>
      </x:c>
    </x:row>
    <x:row r="518" ht="44" customHeight="1">
      <x:c r="A518" s="4" t="n">
        <x:v>565</x:v>
      </x:c>
      <x:c r="B518" s="4" t="str">
        <x:v>https://blog.skyairline.com/zona-norte-de-chile/</x:v>
      </x:c>
      <x:c r="C518" s="9" t="str">
        <x:v>Viaja al norte de Chile: destinos, actividades y atractivos</x:v>
      </x:c>
      <x:c r="D518" s="17" t="d">
        <x:v>2025-12-15T00:00:00.000Z</x:v>
      </x:c>
      <x:c r="E518" s="17" t="d">
        <x:v>2025-12-15T00:00:00.000Z</x:v>
      </x:c>
      <x:c r="F518" s="4" t="str">
        <x:v>Destinos</x:v>
      </x:c>
      <x:c r="G518" s="11" t="n">
        <x:v>1969</x:v>
      </x:c>
      <x:c r="H518" s="11" t="n">
        <x:v>200</x:v>
      </x:c>
      <x:c r="I518" s="11" t="n">
        <x:v>1</x:v>
      </x:c>
      <x:c r="J518" s="4" t="str">
        <x:v>https://blog.skyairline.com/zona-norte-de-chile/</x:v>
      </x:c>
      <x:c r="K518" s="16" t="b">
        <x:v>0</x:v>
      </x:c>
      <x:c r="L518" s="11" t="n">
        <x:v>0</x:v>
      </x:c>
      <x:c r="M518" s="11" t="n">
        <x:v>0</x:v>
      </x:c>
      <x:c r="N518" s="4"/>
      <x:c r="O518" s="4"/>
      <x:c r="P518" s="11" t="n">
        <x:v>5</x:v>
      </x:c>
      <x:c r="Q518" s="11" t="n">
        <x:v>2</x:v>
      </x:c>
      <x:c r="R518" s="11" t="n">
        <x:f>IF(OR(P518="",Q518=""),"",Q518-P518)</x:f>
        <x:v>-3</x:v>
      </x:c>
      <x:c r="S518" s="13" t="n">
        <x:f>IF(OR(P518="",Q518="",P518=0),"",((Q518/30)/(P518/31))-1)</x:f>
        <x:v>-0.5866666666666667</x:v>
      </x:c>
      <x:c r="T518" s="11" t="n">
        <x:v>3045</x:v>
      </x:c>
      <x:c r="U518" s="11" t="n">
        <x:v>1014</x:v>
      </x:c>
      <x:c r="V518" s="14" t="n">
        <x:v>0.0019723865877712033</x:v>
      </x:c>
      <x:c r="W518" s="12" t="n">
        <x:v>7.31163708086785</x:v>
      </x:c>
      <x:c r="X518" s="11" t="n">
        <x:v>8</x:v>
      </x:c>
      <x:c r="Y518" s="11" t="n">
        <x:v>7</x:v>
      </x:c>
      <x:c r="Z518" s="4" t="str">
        <x:v>https://blog.skyairline.com/zona-norte-de-chile/</x:v>
      </x:c>
      <x:c r="AA518" s="4" t="str">
        <x:v>https://blog.skyairline.com/zona-norte-de-chile/</x:v>
      </x:c>
      <x:c r="AB518" s="4" t="str">
        <x:v>Coincidencia URL</x:v>
      </x:c>
      <x:c r="AC518" s="4" t="str">
        <x:v>Publicado hasta septiembre</x:v>
      </x:c>
      <x:c r="AD518" s="4" t="str">
        <x:v>/zona-norte-de-chile/</x:v>
      </x:c>
      <x:c r="AE518" s="4"/>
      <x:c r="AF518" s="16" t="b">
        <x:v>0</x:v>
      </x:c>
    </x:row>
    <x:row r="519" ht="44" customHeight="1">
      <x:c r="A519" s="4" t="n">
        <x:v>571</x:v>
      </x:c>
      <x:c r="B519" s="4" t="str">
        <x:v>https://blog.skyairline.com/lugares-para-visitar-en-buenos-aires/</x:v>
      </x:c>
      <x:c r="C519" s="9" t="str">
        <x:v>7 lugares turísticos de Buenos Aires</x:v>
      </x:c>
      <x:c r="D519" s="17" t="d">
        <x:v>2026-04-25T00:00:00.000Z</x:v>
      </x:c>
      <x:c r="E519" s="17" t="d">
        <x:v>2026-04-16T00:00:00.000Z</x:v>
      </x:c>
      <x:c r="F519" s="4" t="str">
        <x:v>Destinos</x:v>
      </x:c>
      <x:c r="G519" s="11" t="n">
        <x:v>1130</x:v>
      </x:c>
      <x:c r="H519" s="11" t="n">
        <x:v>200</x:v>
      </x:c>
      <x:c r="I519" s="11" t="n">
        <x:v>1</x:v>
      </x:c>
      <x:c r="J519" s="4" t="str">
        <x:v>https://blog.skyairline.com/lugares-para-visitar-en-buenos-aires/</x:v>
      </x:c>
      <x:c r="K519" s="16" t="b">
        <x:v>0</x:v>
      </x:c>
      <x:c r="L519" s="11" t="n">
        <x:v>0</x:v>
      </x:c>
      <x:c r="M519" s="11" t="n">
        <x:v>0</x:v>
      </x:c>
      <x:c r="N519" s="4"/>
      <x:c r="O519" s="4"/>
      <x:c r="P519" s="11" t="n">
        <x:v>2</x:v>
      </x:c>
      <x:c r="Q519" s="11" t="n">
        <x:v>2</x:v>
      </x:c>
      <x:c r="R519" s="11" t="n">
        <x:f>IF(OR(P519="",Q519=""),"",Q519-P519)</x:f>
        <x:v>0</x:v>
      </x:c>
      <x:c r="S519" s="13" t="n">
        <x:f>IF(OR(P519="",Q519="",P519=0),"",((Q519/30)/(P519/31))-1)</x:f>
        <x:v>0.03333333333333344</x:v>
      </x:c>
      <x:c r="T519" s="11" t="n">
        <x:v>1094</x:v>
      </x:c>
      <x:c r="U519" s="11" t="n">
        <x:v>1243</x:v>
      </x:c>
      <x:c r="V519" s="14" t="n">
        <x:v>0.0016090104585679806</x:v>
      </x:c>
      <x:c r="W519" s="12" t="n">
        <x:v>14.981496379726469</x:v>
      </x:c>
      <x:c r="X519" s="11" t="n">
        <x:v>50</x:v>
      </x:c>
      <x:c r="Y519" s="11" t="n">
        <x:v>61</x:v>
      </x:c>
      <x:c r="Z519" s="4" t="str">
        <x:v>https://blog.skyairline.com/lugares-para-visitar-en-buenos-aires/</x:v>
      </x:c>
      <x:c r="AA519" s="4" t="str">
        <x:v>https://blog.skyairline.com/lugares-para-visitar-en-buenos-aires/</x:v>
      </x:c>
      <x:c r="AB519" s="4" t="str">
        <x:v>Coincidencia URL</x:v>
      </x:c>
      <x:c r="AC519" s="4" t="str">
        <x:v>Publicado hasta septiembre</x:v>
      </x:c>
      <x:c r="AD519" s="4" t="str">
        <x:v>/lugares-para-visitar-en-buenos-aires/</x:v>
      </x:c>
      <x:c r="AE519" s="4"/>
      <x:c r="AF519" s="16" t="b">
        <x:v>0</x:v>
      </x:c>
    </x:row>
    <x:row r="520" ht="44" customHeight="1">
      <x:c r="A520" s="4" t="n">
        <x:v>942</x:v>
      </x:c>
      <x:c r="B520" s="4" t="str">
        <x:v>https://blog.skyairline.com/turismo-virtual/</x:v>
      </x:c>
      <x:c r="C520" s="9" t="str">
        <x:v>Turismo virtual en 2026: cómo usarlo para inspirarte y planificar tu próximo viaje</x:v>
      </x:c>
      <x:c r="D520" s="17" t="d">
        <x:v>2026-03-27T00:00:00.000Z</x:v>
      </x:c>
      <x:c r="E520" s="17" t="d">
        <x:v>2026-03-24T00:00:00.000Z</x:v>
      </x:c>
      <x:c r="F520" s="4" t="str">
        <x:v>Planificación de Viaje</x:v>
      </x:c>
      <x:c r="G520" s="11" t="n">
        <x:v>1056</x:v>
      </x:c>
      <x:c r="H520" s="11" t="n">
        <x:v>200</x:v>
      </x:c>
      <x:c r="I520" s="11" t="n">
        <x:v>1</x:v>
      </x:c>
      <x:c r="J520" s="4" t="str">
        <x:v>https://blog.skyairline.com/turismo-virtual/</x:v>
      </x:c>
      <x:c r="K520" s="16" t="b">
        <x:v>0</x:v>
      </x:c>
      <x:c r="L520" s="11" t="n">
        <x:v>0</x:v>
      </x:c>
      <x:c r="M520" s="11" t="n">
        <x:v>0</x:v>
      </x:c>
      <x:c r="N520" s="4"/>
      <x:c r="O520" s="4"/>
      <x:c r="P520" s="11" t="n">
        <x:v>2</x:v>
      </x:c>
      <x:c r="Q520" s="11" t="n">
        <x:v>2</x:v>
      </x:c>
      <x:c r="R520" s="11" t="n">
        <x:f>IF(OR(P520="",Q520=""),"",Q520-P520)</x:f>
        <x:v>0</x:v>
      </x:c>
      <x:c r="S520" s="13" t="n">
        <x:f>IF(OR(P520="",Q520="",P520=0),"",((Q520/30)/(P520/31))-1)</x:f>
        <x:v>0.03333333333333344</x:v>
      </x:c>
      <x:c r="T520" s="11" t="n">
        <x:v>160</x:v>
      </x:c>
      <x:c r="U520" s="11" t="n">
        <x:v>160</x:v>
      </x:c>
      <x:c r="V520" s="14" t="n">
        <x:v>0.0125</x:v>
      </x:c>
      <x:c r="W520" s="12" t="n">
        <x:v>10.96875</x:v>
      </x:c>
      <x:c r="X520" s="11" t="n">
        <x:v>2</x:v>
      </x:c>
      <x:c r="Y520" s="11" t="n">
        <x:v>2</x:v>
      </x:c>
      <x:c r="Z520" s="4" t="str">
        <x:v>https://blog.skyairline.com/turismo-virtual/</x:v>
      </x:c>
      <x:c r="AA520" s="4" t="str">
        <x:v>https://blog.skyairline.com/turismo-virtual/</x:v>
      </x:c>
      <x:c r="AB520" s="4" t="str">
        <x:v>Coincidencia URL</x:v>
      </x:c>
      <x:c r="AC520" s="4" t="str">
        <x:v>Publicado hasta septiembre</x:v>
      </x:c>
      <x:c r="AD520" s="4" t="str">
        <x:v>/turismo-virtual/</x:v>
      </x:c>
      <x:c r="AE520" s="4"/>
      <x:c r="AF520" s="16" t="b">
        <x:v>0</x:v>
      </x:c>
    </x:row>
    <x:row r="521" ht="44" customHeight="1">
      <x:c r="A521" s="4" t="n">
        <x:v>982</x:v>
      </x:c>
      <x:c r="B521" s="4" t="str">
        <x:v>https://blog.skyairline.com/viajar-al-extranjero-2/</x:v>
      </x:c>
      <x:c r="C521" s="9" t="str">
        <x:v>13 documentos y papeles que no pueden faltar para viajar al extranjero</x:v>
      </x:c>
      <x:c r="D521" s="17" t="d">
        <x:v>2021-10-26T00:00:00.000Z</x:v>
      </x:c>
      <x:c r="E521" s="17" t="d">
        <x:v>2021-10-26T00:00:00.000Z</x:v>
      </x:c>
      <x:c r="F521" s="4" t="str">
        <x:v>Destinos</x:v>
      </x:c>
      <x:c r="G521" s="11" t="n">
        <x:v>1997</x:v>
      </x:c>
      <x:c r="H521" s="11" t="n">
        <x:v>200</x:v>
      </x:c>
      <x:c r="I521" s="11" t="n">
        <x:v>1</x:v>
      </x:c>
      <x:c r="J521" s="4" t="str">
        <x:v>https://blog.skyairline.com/viajar-al-extranjero-2/</x:v>
      </x:c>
      <x:c r="K521" s="16" t="b">
        <x:v>0</x:v>
      </x:c>
      <x:c r="L521" s="11" t="n">
        <x:v>0</x:v>
      </x:c>
      <x:c r="M521" s="11" t="n">
        <x:v>4</x:v>
      </x:c>
      <x:c r="N521" s="4"/>
      <x:c r="O521" s="4"/>
      <x:c r="P521" s="11" t="n">
        <x:v>3</x:v>
      </x:c>
      <x:c r="Q521" s="11" t="n">
        <x:v>2</x:v>
      </x:c>
      <x:c r="R521" s="11" t="n">
        <x:f>IF(OR(P521="",Q521=""),"",Q521-P521)</x:f>
        <x:v>-1</x:v>
      </x:c>
      <x:c r="S521" s="13" t="n">
        <x:f>IF(OR(P521="",Q521="",P521=0),"",((Q521/30)/(P521/31))-1)</x:f>
        <x:v>-0.3111111111111111</x:v>
      </x:c>
      <x:c r="T521" s="11" t="n">
        <x:v>850</x:v>
      </x:c>
      <x:c r="U521" s="11" t="n">
        <x:v>564</x:v>
      </x:c>
      <x:c r="V521" s="14" t="n">
        <x:v>0.0035460992907801418</x:v>
      </x:c>
      <x:c r="W521" s="12" t="n">
        <x:v>6.808510638297872</x:v>
      </x:c>
      <x:c r="X521" s="11" t="n">
        <x:v>4</x:v>
      </x:c>
      <x:c r="Y521" s="11" t="n">
        <x:v>4</x:v>
      </x:c>
      <x:c r="Z521" s="4" t="str">
        <x:v>https://blog.skyairline.com/viajar-al-extranjero-2/</x:v>
      </x:c>
      <x:c r="AA521" s="4" t="str">
        <x:v>https://blog.skyairline.com/viajar-al-extranjero-2/</x:v>
      </x:c>
      <x:c r="AB521" s="4" t="str">
        <x:v>Coincidencia URL</x:v>
      </x:c>
      <x:c r="AC521" s="4" t="str">
        <x:v>Publicado hasta septiembre</x:v>
      </x:c>
      <x:c r="AD521" s="4" t="str">
        <x:v>/viajar-al-extranjero-2/</x:v>
      </x:c>
      <x:c r="AE521" s="4"/>
      <x:c r="AF521" s="16" t="b">
        <x:v>0</x:v>
      </x:c>
    </x:row>
    <x:row r="522" ht="44" customHeight="1">
      <x:c r="A522" s="4" t="n">
        <x:v>1013</x:v>
      </x:c>
      <x:c r="B522" s="4" t="str">
        <x:v>https://blog.skyairline.com/oscar-del-turismo/</x:v>
      </x:c>
      <x:c r="C522" s="9" t="str">
        <x:v>World Travel Awards 2025: Chile se destaca en el Óscar del turismo</x:v>
      </x:c>
      <x:c r="D522" s="17" t="d">
        <x:v>2026-05-19T00:00:00.000Z</x:v>
      </x:c>
      <x:c r="E522" s="17" t="d">
        <x:v>2026-05-11T00:00:00.000Z</x:v>
      </x:c>
      <x:c r="F522" s="4" t="str">
        <x:v>Destinos</x:v>
      </x:c>
      <x:c r="G522" s="11" t="n">
        <x:v>1034</x:v>
      </x:c>
      <x:c r="H522" s="11" t="n">
        <x:v>200</x:v>
      </x:c>
      <x:c r="I522" s="11" t="n">
        <x:v>1</x:v>
      </x:c>
      <x:c r="J522" s="4" t="str">
        <x:v>https://blog.skyairline.com/oscar-del-turismo/</x:v>
      </x:c>
      <x:c r="K522" s="16" t="b">
        <x:v>0</x:v>
      </x:c>
      <x:c r="L522" s="11" t="n">
        <x:v>0</x:v>
      </x:c>
      <x:c r="M522" s="11" t="n">
        <x:v>0</x:v>
      </x:c>
      <x:c r="N522" s="4"/>
      <x:c r="O522" s="4"/>
      <x:c r="P522" s="11" t="n">
        <x:v>0</x:v>
      </x:c>
      <x:c r="Q522" s="11" t="n">
        <x:v>2</x:v>
      </x:c>
      <x:c r="R522" s="11" t="str">
        <x:f>IF(OR(P522="",Q522=""),"",Q522-P522)</x:f>
      </x:c>
      <x:c r="S522" s="13" t="str">
        <x:f>IF(OR(P522="",Q522="",P522=0),"",((Q522/30)/(P522/31))-1)</x:f>
      </x:c>
      <x:c r="T522" s="11" t="n">
        <x:v>16</x:v>
      </x:c>
      <x:c r="U522" s="11" t="n">
        <x:v>10</x:v>
      </x:c>
      <x:c r="V522" s="14" t="n">
        <x:v>0.2</x:v>
      </x:c>
      <x:c r="W522" s="12" t="n">
        <x:v>13.5</x:v>
      </x:c>
      <x:c r="X522" s="11" t="n">
        <x:v>2</x:v>
      </x:c>
      <x:c r="Y522" s="11" t="n">
        <x:v>3</x:v>
      </x:c>
      <x:c r="Z522" s="4" t="str">
        <x:v>https://blog.skyairline.com/oscar-del-turismo/</x:v>
      </x:c>
      <x:c r="AA522" s="4" t="str">
        <x:v>https://blog.skyairline.com/oscar-del-turismo/</x:v>
      </x:c>
      <x:c r="AB522" s="4" t="str">
        <x:v>Coincidencia URL</x:v>
      </x:c>
      <x:c r="AC522" s="4" t="str">
        <x:v>Publicado hasta septiembre</x:v>
      </x:c>
      <x:c r="AD522" s="4" t="str">
        <x:v>/oscar-del-turismo/</x:v>
      </x:c>
      <x:c r="AE522" s="4"/>
      <x:c r="AF522" s="16" t="b">
        <x:v>0</x:v>
      </x:c>
    </x:row>
    <x:row r="523" ht="44" customHeight="1">
      <x:c r="A523" s="4" t="n">
        <x:v>1016</x:v>
      </x:c>
      <x:c r="B523" s="4" t="str">
        <x:v>https://blog.skyairline.com/invierno-en-latinoamerica/</x:v>
      </x:c>
      <x:c r="C523" s="9" t="str">
        <x:v>Clima Frío en América del Sur, 4 lugares para visitar</x:v>
      </x:c>
      <x:c r="D523" s="17" t="d">
        <x:v>2026-05-03T00:00:00.000Z</x:v>
      </x:c>
      <x:c r="E523" s="17" t="d">
        <x:v>2026-04-30T00:00:00.000Z</x:v>
      </x:c>
      <x:c r="F523" s="4" t="str">
        <x:v>Destinos</x:v>
      </x:c>
      <x:c r="G523" s="11" t="n">
        <x:v>1072</x:v>
      </x:c>
      <x:c r="H523" s="11" t="n">
        <x:v>200</x:v>
      </x:c>
      <x:c r="I523" s="11" t="n">
        <x:v>1</x:v>
      </x:c>
      <x:c r="J523" s="4" t="str">
        <x:v>https://blog.skyairline.com/invierno-en-latinoamerica/</x:v>
      </x:c>
      <x:c r="K523" s="16" t="b">
        <x:v>0</x:v>
      </x:c>
      <x:c r="L523" s="11" t="n">
        <x:v>0</x:v>
      </x:c>
      <x:c r="M523" s="11" t="n">
        <x:v>0</x:v>
      </x:c>
      <x:c r="N523" s="4"/>
      <x:c r="O523" s="4"/>
      <x:c r="P523" s="11" t="n">
        <x:v>2</x:v>
      </x:c>
      <x:c r="Q523" s="11" t="n">
        <x:v>2</x:v>
      </x:c>
      <x:c r="R523" s="11" t="n">
        <x:f>IF(OR(P523="",Q523=""),"",Q523-P523)</x:f>
        <x:v>0</x:v>
      </x:c>
      <x:c r="S523" s="13" t="n">
        <x:f>IF(OR(P523="",Q523="",P523=0),"",((Q523/30)/(P523/31))-1)</x:f>
        <x:v>0.03333333333333344</x:v>
      </x:c>
      <x:c r="T523" s="11" t="n">
        <x:v>547</x:v>
      </x:c>
      <x:c r="U523" s="11" t="n">
        <x:v>493</x:v>
      </x:c>
      <x:c r="V523" s="14" t="n">
        <x:v>0.004056795131845842</x:v>
      </x:c>
      <x:c r="W523" s="12" t="n">
        <x:v>7.636916835699797</x:v>
      </x:c>
      <x:c r="X523" s="11" t="n">
        <x:v>3</x:v>
      </x:c>
      <x:c r="Y523" s="11" t="n">
        <x:v>4</x:v>
      </x:c>
      <x:c r="Z523" s="4" t="str">
        <x:v>https://blog.skyairline.com/invierno-en-latinoamerica/</x:v>
      </x:c>
      <x:c r="AA523" s="4" t="str">
        <x:v>https://blog.skyairline.com/invierno-en-latinoamerica/</x:v>
      </x:c>
      <x:c r="AB523" s="4" t="str">
        <x:v>Coincidencia URL</x:v>
      </x:c>
      <x:c r="AC523" s="4" t="str">
        <x:v>Publicado hasta septiembre</x:v>
      </x:c>
      <x:c r="AD523" s="4" t="str">
        <x:v>/invierno-en-latinoamerica/</x:v>
      </x:c>
      <x:c r="AE523" s="4"/>
      <x:c r="AF523" s="16" t="b">
        <x:v>0</x:v>
      </x:c>
    </x:row>
    <x:row r="524" ht="44" customHeight="1">
      <x:c r="A524" s="4" t="n">
        <x:v>1047</x:v>
      </x:c>
      <x:c r="B524" s="4" t="str">
        <x:v>https://blog.skyairline.com/viaje-a-juliaca/</x:v>
      </x:c>
      <x:c r="C524" s="9" t="str">
        <x:v>7 cosas que no puedes dejar de hacer durante un viaje a Juliaca</x:v>
      </x:c>
      <x:c r="D524" s="17" t="d">
        <x:v>2021-11-11T00:00:00.000Z</x:v>
      </x:c>
      <x:c r="E524" s="17" t="d">
        <x:v>2021-11-11T00:00:00.000Z</x:v>
      </x:c>
      <x:c r="F524" s="4" t="str">
        <x:v>Destinos</x:v>
      </x:c>
      <x:c r="G524" s="11" t="n">
        <x:v>939</x:v>
      </x:c>
      <x:c r="H524" s="11" t="n">
        <x:v>200</x:v>
      </x:c>
      <x:c r="I524" s="11" t="n">
        <x:v>1</x:v>
      </x:c>
      <x:c r="J524" s="4" t="str">
        <x:v>https://blog.skyairline.com/viaje-a-juliaca/</x:v>
      </x:c>
      <x:c r="K524" s="16" t="b">
        <x:v>0</x:v>
      </x:c>
      <x:c r="L524" s="11" t="n">
        <x:v>0</x:v>
      </x:c>
      <x:c r="M524" s="11" t="n">
        <x:v>4</x:v>
      </x:c>
      <x:c r="N524" s="4"/>
      <x:c r="O524" s="4"/>
      <x:c r="P524" s="11" t="n">
        <x:v>3</x:v>
      </x:c>
      <x:c r="Q524" s="11" t="n">
        <x:v>2</x:v>
      </x:c>
      <x:c r="R524" s="11" t="n">
        <x:f>IF(OR(P524="",Q524=""),"",Q524-P524)</x:f>
        <x:v>-1</x:v>
      </x:c>
      <x:c r="S524" s="13" t="n">
        <x:f>IF(OR(P524="",Q524="",P524=0),"",((Q524/30)/(P524/31))-1)</x:f>
        <x:v>-0.3111111111111111</x:v>
      </x:c>
      <x:c r="T524" s="11" t="n">
        <x:v>2139</x:v>
      </x:c>
      <x:c r="U524" s="11" t="n">
        <x:v>1407</x:v>
      </x:c>
      <x:c r="V524" s="14" t="n">
        <x:v>0.0014214641080312722</x:v>
      </x:c>
      <x:c r="W524" s="12" t="n">
        <x:v>9.057569296375267</x:v>
      </x:c>
      <x:c r="X524" s="11" t="n">
        <x:v>16</x:v>
      </x:c>
      <x:c r="Y524" s="11" t="n">
        <x:v>17</x:v>
      </x:c>
      <x:c r="Z524" s="4" t="str">
        <x:v>https://blog.skyairline.com/viaje-a-juliaca/</x:v>
      </x:c>
      <x:c r="AA524" s="4" t="str">
        <x:v>https://blog.skyairline.com/viaje-a-juliaca/</x:v>
      </x:c>
      <x:c r="AB524" s="4" t="str">
        <x:v>Coincidencia URL</x:v>
      </x:c>
      <x:c r="AC524" s="4" t="str">
        <x:v>Publicado hasta septiembre</x:v>
      </x:c>
      <x:c r="AD524" s="4" t="str">
        <x:v>/viaje-a-juliaca/</x:v>
      </x:c>
      <x:c r="AE524" s="4"/>
      <x:c r="AF524" s="16" t="b">
        <x:v>0</x:v>
      </x:c>
    </x:row>
    <x:row r="525" ht="44" customHeight="1">
      <x:c r="A525" s="4" t="n">
        <x:v>1083</x:v>
      </x:c>
      <x:c r="B525" s="4" t="str">
        <x:v>https://blog.skyairline.com/miedo-a-volar/</x:v>
      </x:c>
      <x:c r="C525" s="9" t="str">
        <x:v>9 consejos básicos para superar el miedo a volar</x:v>
      </x:c>
      <x:c r="D525" s="17" t="d">
        <x:v>2021-11-22T00:00:00.000Z</x:v>
      </x:c>
      <x:c r="E525" s="17" t="d">
        <x:v>2021-11-22T00:00:00.000Z</x:v>
      </x:c>
      <x:c r="F525" s="4" t="str">
        <x:v>Planificación de Viaje</x:v>
      </x:c>
      <x:c r="G525" s="11" t="n">
        <x:v>1182</x:v>
      </x:c>
      <x:c r="H525" s="11" t="n">
        <x:v>200</x:v>
      </x:c>
      <x:c r="I525" s="11" t="n">
        <x:v>1</x:v>
      </x:c>
      <x:c r="J525" s="4" t="str">
        <x:v>https://blog.skyairline.com/miedo-a-volar/</x:v>
      </x:c>
      <x:c r="K525" s="16" t="b">
        <x:v>0</x:v>
      </x:c>
      <x:c r="L525" s="11" t="n">
        <x:v>0</x:v>
      </x:c>
      <x:c r="M525" s="11" t="n">
        <x:v>2</x:v>
      </x:c>
      <x:c r="N525" s="4"/>
      <x:c r="O525" s="4"/>
      <x:c r="P525" s="11" t="n">
        <x:v>3</x:v>
      </x:c>
      <x:c r="Q525" s="11" t="n">
        <x:v>2</x:v>
      </x:c>
      <x:c r="R525" s="11" t="n">
        <x:f>IF(OR(P525="",Q525=""),"",Q525-P525)</x:f>
        <x:v>-1</x:v>
      </x:c>
      <x:c r="S525" s="13" t="n">
        <x:f>IF(OR(P525="",Q525="",P525=0),"",((Q525/30)/(P525/31))-1)</x:f>
        <x:v>-0.3111111111111111</x:v>
      </x:c>
      <x:c r="T525" s="11" t="n">
        <x:v>611</x:v>
      </x:c>
      <x:c r="U525" s="11" t="n">
        <x:v>297</x:v>
      </x:c>
      <x:c r="V525" s="14" t="n">
        <x:v>0.006734006734006734</x:v>
      </x:c>
      <x:c r="W525" s="12" t="n">
        <x:v>52.111111111111114</x:v>
      </x:c>
      <x:c r="X525" s="11" t="n">
        <x:v>2</x:v>
      </x:c>
      <x:c r="Y525" s="11" t="n">
        <x:v>2</x:v>
      </x:c>
      <x:c r="Z525" s="4" t="str">
        <x:v>https://blog.skyairline.com/miedo-a-volar/</x:v>
      </x:c>
      <x:c r="AA525" s="4" t="str">
        <x:v>https://blog.skyairline.com/miedo-a-volar/</x:v>
      </x:c>
      <x:c r="AB525" s="4" t="str">
        <x:v>Coincidencia URL</x:v>
      </x:c>
      <x:c r="AC525" s="4" t="str">
        <x:v>Publicado hasta septiembre</x:v>
      </x:c>
      <x:c r="AD525" s="4" t="str">
        <x:v>/miedo-a-volar/</x:v>
      </x:c>
      <x:c r="AE525" s="4"/>
      <x:c r="AF525" s="16" t="b">
        <x:v>0</x:v>
      </x:c>
    </x:row>
    <x:row r="526" ht="44" customHeight="1">
      <x:c r="A526" s="4" t="n">
        <x:v>1137</x:v>
      </x:c>
      <x:c r="B526" s="4" t="str">
        <x:v>https://blog.skyairline.com/medidas-de-seguridad-en-aeropuertos/</x:v>
      </x:c>
      <x:c r="C526" s="9" t="str">
        <x:v>Medidas de seguridad en aeropuertos: ¿Cuáles se aplican en la actualidad?</x:v>
      </x:c>
      <x:c r="D526" s="17" t="d">
        <x:v>2021-12-04T00:00:00.000Z</x:v>
      </x:c>
      <x:c r="E526" s="17" t="d">
        <x:v>2021-12-04T00:00:00.000Z</x:v>
      </x:c>
      <x:c r="F526" s="4" t="str">
        <x:v>Planificación de Viaje</x:v>
      </x:c>
      <x:c r="G526" s="11" t="n">
        <x:v>1003</x:v>
      </x:c>
      <x:c r="H526" s="11" t="n">
        <x:v>200</x:v>
      </x:c>
      <x:c r="I526" s="11" t="n">
        <x:v>1</x:v>
      </x:c>
      <x:c r="J526" s="4" t="str">
        <x:v>https://blog.skyairline.com/medidas-de-seguridad-en-aeropuertos/</x:v>
      </x:c>
      <x:c r="K526" s="16" t="b">
        <x:v>0</x:v>
      </x:c>
      <x:c r="L526" s="11" t="n">
        <x:v>0</x:v>
      </x:c>
      <x:c r="M526" s="11" t="n">
        <x:v>2</x:v>
      </x:c>
      <x:c r="N526" s="4"/>
      <x:c r="O526" s="4"/>
      <x:c r="P526" s="11" t="n">
        <x:v>0</x:v>
      </x:c>
      <x:c r="Q526" s="11" t="n">
        <x:v>2</x:v>
      </x:c>
      <x:c r="R526" s="11" t="str">
        <x:f>IF(OR(P526="",Q526=""),"",Q526-P526)</x:f>
      </x:c>
      <x:c r="S526" s="13" t="str">
        <x:f>IF(OR(P526="",Q526="",P526=0),"",((Q526/30)/(P526/31))-1)</x:f>
      </x:c>
      <x:c r="T526" s="11" t="n">
        <x:v>617</x:v>
      </x:c>
      <x:c r="U526" s="11" t="n">
        <x:v>426</x:v>
      </x:c>
      <x:c r="V526" s="14" t="n">
        <x:v>0.004694835680751174</x:v>
      </x:c>
      <x:c r="W526" s="12" t="n">
        <x:v>7.514084507042254</x:v>
      </x:c>
      <x:c r="X526" s="11" t="n">
        <x:v>3</x:v>
      </x:c>
      <x:c r="Y526" s="11" t="n">
        <x:v>3</x:v>
      </x:c>
      <x:c r="Z526" s="4" t="str">
        <x:v>https://blog.skyairline.com/medidas-de-seguridad-en-aeropuertos/</x:v>
      </x:c>
      <x:c r="AA526" s="4" t="str">
        <x:v>https://blog.skyairline.com/medidas-de-seguridad-en-aeropuertos/</x:v>
      </x:c>
      <x:c r="AB526" s="4" t="str">
        <x:v>Coincidencia URL</x:v>
      </x:c>
      <x:c r="AC526" s="4" t="str">
        <x:v>Publicado hasta septiembre</x:v>
      </x:c>
      <x:c r="AD526" s="4" t="str">
        <x:v>/medidas-de-seguridad-en-aeropuertos/</x:v>
      </x:c>
      <x:c r="AE526" s="4"/>
      <x:c r="AF526" s="16" t="b">
        <x:v>0</x:v>
      </x:c>
    </x:row>
    <x:row r="527" ht="44" customHeight="1">
      <x:c r="A527" s="4" t="n">
        <x:v>1156</x:v>
      </x:c>
      <x:c r="B527" s="4" t="str">
        <x:v>https://blog.skyairline.com/cuidado-de-las-playas/</x:v>
      </x:c>
      <x:c r="C527" s="9" t="str">
        <x:v>7 medidas para el cuidado de las playas a considerar en tus vacaciones veraniegas</x:v>
      </x:c>
      <x:c r="D527" s="17" t="d">
        <x:v>2021-12-10T00:00:00.000Z</x:v>
      </x:c>
      <x:c r="E527" s="17" t="d">
        <x:v>2021-12-10T00:00:00.000Z</x:v>
      </x:c>
      <x:c r="F527" s="4" t="str">
        <x:v>Destinos</x:v>
      </x:c>
      <x:c r="G527" s="11" t="n">
        <x:v>951</x:v>
      </x:c>
      <x:c r="H527" s="11" t="n">
        <x:v>200</x:v>
      </x:c>
      <x:c r="I527" s="11" t="n">
        <x:v>1</x:v>
      </x:c>
      <x:c r="J527" s="4" t="str">
        <x:v>https://blog.skyairline.com/cuidado-de-las-playas/</x:v>
      </x:c>
      <x:c r="K527" s="16" t="b">
        <x:v>0</x:v>
      </x:c>
      <x:c r="L527" s="11" t="n">
        <x:v>0</x:v>
      </x:c>
      <x:c r="M527" s="11" t="n">
        <x:v>2</x:v>
      </x:c>
      <x:c r="N527" s="4"/>
      <x:c r="O527" s="4"/>
      <x:c r="P527" s="11" t="n">
        <x:v>0</x:v>
      </x:c>
      <x:c r="Q527" s="11" t="n">
        <x:v>2</x:v>
      </x:c>
      <x:c r="R527" s="11" t="str">
        <x:f>IF(OR(P527="",Q527=""),"",Q527-P527)</x:f>
      </x:c>
      <x:c r="S527" s="13" t="str">
        <x:f>IF(OR(P527="",Q527="",P527=0),"",((Q527/30)/(P527/31))-1)</x:f>
      </x:c>
      <x:c r="T527" s="11" t="n">
        <x:v>174</x:v>
      </x:c>
      <x:c r="U527" s="11" t="n">
        <x:v>164</x:v>
      </x:c>
      <x:c r="V527" s="14" t="n">
        <x:v>0.012195121951219513</x:v>
      </x:c>
      <x:c r="W527" s="12" t="n">
        <x:v>21.091463414634145</x:v>
      </x:c>
      <x:c r="X527" s="11" t="n">
        <x:v>3</x:v>
      </x:c>
      <x:c r="Y527" s="11" t="n">
        <x:v>3</x:v>
      </x:c>
      <x:c r="Z527" s="4" t="str">
        <x:v>https://blog.skyairline.com/cuidado-de-las-playas/</x:v>
      </x:c>
      <x:c r="AA527" s="4" t="str">
        <x:v>https://blog.skyairline.com/cuidado-de-las-playas/</x:v>
      </x:c>
      <x:c r="AB527" s="4" t="str">
        <x:v>Coincidencia URL</x:v>
      </x:c>
      <x:c r="AC527" s="4" t="str">
        <x:v>Publicado hasta septiembre</x:v>
      </x:c>
      <x:c r="AD527" s="4" t="str">
        <x:v>/cuidado-de-las-playas/</x:v>
      </x:c>
      <x:c r="AE527" s="4"/>
      <x:c r="AF527" s="16" t="b">
        <x:v>0</x:v>
      </x:c>
    </x:row>
    <x:row r="528" ht="44" customHeight="1">
      <x:c r="A528" s="4" t="n">
        <x:v>1234</x:v>
      </x:c>
      <x:c r="B528" s="4" t="str">
        <x:v>https://blog.skyairline.com/aerolineas-baratas-en-chile-y-latinoamerica/</x:v>
      </x:c>
      <x:c r="C528" s="9" t="str">
        <x:v>Aerolíneas baratas en Chile y Latinoamérica : ¿Por qué SKY es la opción ideal?</x:v>
      </x:c>
      <x:c r="D528" s="17" t="d">
        <x:v>2021-12-29T00:00:00.000Z</x:v>
      </x:c>
      <x:c r="E528" s="17" t="d">
        <x:v>2021-12-29T00:00:00.000Z</x:v>
      </x:c>
      <x:c r="F528" s="4" t="str">
        <x:v>Destinos</x:v>
      </x:c>
      <x:c r="G528" s="11" t="n">
        <x:v>1078</x:v>
      </x:c>
      <x:c r="H528" s="11" t="n">
        <x:v>200</x:v>
      </x:c>
      <x:c r="I528" s="11" t="n">
        <x:v>1</x:v>
      </x:c>
      <x:c r="J528" s="4" t="str">
        <x:v>https://blog.skyairline.com/aerolineas-baratas-en-chile-y-latinoamerica/</x:v>
      </x:c>
      <x:c r="K528" s="16" t="b">
        <x:v>0</x:v>
      </x:c>
      <x:c r="L528" s="11" t="n">
        <x:v>0</x:v>
      </x:c>
      <x:c r="M528" s="11" t="n">
        <x:v>2</x:v>
      </x:c>
      <x:c r="N528" s="4"/>
      <x:c r="O528" s="4"/>
      <x:c r="P528" s="11" t="n">
        <x:v>0</x:v>
      </x:c>
      <x:c r="Q528" s="11" t="n">
        <x:v>2</x:v>
      </x:c>
      <x:c r="R528" s="11" t="str">
        <x:f>IF(OR(P528="",Q528=""),"",Q528-P528)</x:f>
      </x:c>
      <x:c r="S528" s="13" t="str">
        <x:f>IF(OR(P528="",Q528="",P528=0),"",((Q528/30)/(P528/31))-1)</x:f>
      </x:c>
      <x:c r="T528" s="11" t="n">
        <x:v>476</x:v>
      </x:c>
      <x:c r="U528" s="11" t="n">
        <x:v>599</x:v>
      </x:c>
      <x:c r="V528" s="14" t="n">
        <x:v>0.00333889816360601</x:v>
      </x:c>
      <x:c r="W528" s="12" t="n">
        <x:v>6.025041736227045</x:v>
      </x:c>
      <x:c r="X528" s="11" t="n">
        <x:v>3</x:v>
      </x:c>
      <x:c r="Y528" s="11" t="n">
        <x:v>3</x:v>
      </x:c>
      <x:c r="Z528" s="4" t="str">
        <x:v>https://blog.skyairline.com/aerolineas-baratas-en-chile-y-latinoamerica/</x:v>
      </x:c>
      <x:c r="AA528" s="4" t="str">
        <x:v>https://blog.skyairline.com/aerolineas-baratas-en-chile-y-latinoamerica/</x:v>
      </x:c>
      <x:c r="AB528" s="4" t="str">
        <x:v>Coincidencia URL</x:v>
      </x:c>
      <x:c r="AC528" s="4" t="str">
        <x:v>Publicado hasta septiembre</x:v>
      </x:c>
      <x:c r="AD528" s="4" t="str">
        <x:v>/aerolineas-baratas-en-chile-y-latinoamerica/</x:v>
      </x:c>
      <x:c r="AE528" s="4"/>
      <x:c r="AF528" s="16" t="b">
        <x:v>0</x:v>
      </x:c>
    </x:row>
    <x:row r="529" ht="44" customHeight="1">
      <x:c r="A529" s="4" t="n">
        <x:v>1246</x:v>
      </x:c>
      <x:c r="B529" s="4" t="str">
        <x:v>https://blog.skyairline.com/lugares-turisticos-en-pucallpa/</x:v>
      </x:c>
      <x:c r="C529" s="9" t="str">
        <x:v>Top 8 de lugares turísticos en Pucallpa</x:v>
      </x:c>
      <x:c r="D529" s="17" t="d">
        <x:v>2022-01-02T00:00:00.000Z</x:v>
      </x:c>
      <x:c r="E529" s="17" t="d">
        <x:v>2022-01-02T00:00:00.000Z</x:v>
      </x:c>
      <x:c r="F529" s="4" t="str">
        <x:v>Destinos</x:v>
      </x:c>
      <x:c r="G529" s="11" t="n">
        <x:v>1030</x:v>
      </x:c>
      <x:c r="H529" s="11" t="n">
        <x:v>200</x:v>
      </x:c>
      <x:c r="I529" s="11" t="n">
        <x:v>1</x:v>
      </x:c>
      <x:c r="J529" s="4" t="str">
        <x:v>https://blog.skyairline.com/lugares-turisticos-en-pucallpa/</x:v>
      </x:c>
      <x:c r="K529" s="16" t="b">
        <x:v>0</x:v>
      </x:c>
      <x:c r="L529" s="11" t="n">
        <x:v>0</x:v>
      </x:c>
      <x:c r="M529" s="11" t="n">
        <x:v>3</x:v>
      </x:c>
      <x:c r="N529" s="4"/>
      <x:c r="O529" s="4"/>
      <x:c r="P529" s="11" t="n">
        <x:v>9</x:v>
      </x:c>
      <x:c r="Q529" s="11" t="n">
        <x:v>2</x:v>
      </x:c>
      <x:c r="R529" s="11" t="n">
        <x:f>IF(OR(P529="",Q529=""),"",Q529-P529)</x:f>
        <x:v>-7</x:v>
      </x:c>
      <x:c r="S529" s="13" t="n">
        <x:f>IF(OR(P529="",Q529="",P529=0),"",((Q529/30)/(P529/31))-1)</x:f>
        <x:v>-0.7703703703703704</x:v>
      </x:c>
      <x:c r="T529" s="11" t="n">
        <x:v>365</x:v>
      </x:c>
      <x:c r="U529" s="11" t="n">
        <x:v>310</x:v>
      </x:c>
      <x:c r="V529" s="14" t="n">
        <x:v>0.0064516129032258064</x:v>
      </x:c>
      <x:c r="W529" s="12" t="n">
        <x:v>8.096774193548388</x:v>
      </x:c>
      <x:c r="X529" s="11" t="n">
        <x:v>7</x:v>
      </x:c>
      <x:c r="Y529" s="11" t="n">
        <x:v>7</x:v>
      </x:c>
      <x:c r="Z529" s="4" t="str">
        <x:v>https://blog.skyairline.com/lugares-turisticos-en-pucallpa/</x:v>
      </x:c>
      <x:c r="AA529" s="4" t="str">
        <x:v>https://blog.skyairline.com/lugares-turisticos-en-pucallpa/</x:v>
      </x:c>
      <x:c r="AB529" s="4" t="str">
        <x:v>Coincidencia URL</x:v>
      </x:c>
      <x:c r="AC529" s="4" t="str">
        <x:v>Publicado hasta septiembre</x:v>
      </x:c>
      <x:c r="AD529" s="4" t="str">
        <x:v>/lugares-turisticos-en-pucallpa/</x:v>
      </x:c>
      <x:c r="AE529" s="4"/>
      <x:c r="AF529" s="16" t="b">
        <x:v>0</x:v>
      </x:c>
    </x:row>
    <x:row r="530" ht="44" customHeight="1">
      <x:c r="A530" s="4" t="n">
        <x:v>1267</x:v>
      </x:c>
      <x:c r="B530" s="4" t="str">
        <x:v>https://blog.skyairline.com/isla-blanca/</x:v>
      </x:c>
      <x:c r="C530" s="9" t="str">
        <x:v>Isla Blanca: recorrido por este paraíso natural en Cancún</x:v>
      </x:c>
      <x:c r="D530" s="17" t="d">
        <x:v>2022-01-08T00:00:00.000Z</x:v>
      </x:c>
      <x:c r="E530" s="17" t="d">
        <x:v>2022-01-08T00:00:00.000Z</x:v>
      </x:c>
      <x:c r="F530" s="4" t="str">
        <x:v>Destinos</x:v>
      </x:c>
      <x:c r="G530" s="11" t="n">
        <x:v>983</x:v>
      </x:c>
      <x:c r="H530" s="11" t="n">
        <x:v>200</x:v>
      </x:c>
      <x:c r="I530" s="11" t="n">
        <x:v>1</x:v>
      </x:c>
      <x:c r="J530" s="4" t="str">
        <x:v>https://blog.skyairline.com/isla-blanca/</x:v>
      </x:c>
      <x:c r="K530" s="16" t="b">
        <x:v>0</x:v>
      </x:c>
      <x:c r="L530" s="11" t="n">
        <x:v>0</x:v>
      </x:c>
      <x:c r="M530" s="11" t="n">
        <x:v>5</x:v>
      </x:c>
      <x:c r="N530" s="4"/>
      <x:c r="O530" s="4"/>
      <x:c r="P530" s="11" t="n">
        <x:v>12</x:v>
      </x:c>
      <x:c r="Q530" s="11" t="n">
        <x:v>2</x:v>
      </x:c>
      <x:c r="R530" s="11" t="n">
        <x:f>IF(OR(P530="",Q530=""),"",Q530-P530)</x:f>
        <x:v>-10</x:v>
      </x:c>
      <x:c r="S530" s="13" t="n">
        <x:f>IF(OR(P530="",Q530="",P530=0),"",((Q530/30)/(P530/31))-1)</x:f>
        <x:v>-0.8277777777777777</x:v>
      </x:c>
      <x:c r="T530" s="11" t="n">
        <x:v>692</x:v>
      </x:c>
      <x:c r="U530" s="11" t="n">
        <x:v>456</x:v>
      </x:c>
      <x:c r="V530" s="14" t="n">
        <x:v>0.0043859649122807015</x:v>
      </x:c>
      <x:c r="W530" s="12" t="n">
        <x:v>11.741228070175438</x:v>
      </x:c>
      <x:c r="X530" s="11" t="n">
        <x:v>5</x:v>
      </x:c>
      <x:c r="Y530" s="11" t="n">
        <x:v>5</x:v>
      </x:c>
      <x:c r="Z530" s="4" t="str">
        <x:v>https://blog.skyairline.com/isla-blanca/</x:v>
      </x:c>
      <x:c r="AA530" s="4" t="str">
        <x:v>https://blog.skyairline.com/isla-blanca/</x:v>
      </x:c>
      <x:c r="AB530" s="4" t="str">
        <x:v>Coincidencia URL</x:v>
      </x:c>
      <x:c r="AC530" s="4" t="str">
        <x:v>Publicado hasta septiembre</x:v>
      </x:c>
      <x:c r="AD530" s="4" t="str">
        <x:v>/isla-blanca/</x:v>
      </x:c>
      <x:c r="AE530" s="4"/>
      <x:c r="AF530" s="16" t="b">
        <x:v>0</x:v>
      </x:c>
    </x:row>
    <x:row r="531" ht="44" customHeight="1">
      <x:c r="A531" s="4" t="n">
        <x:v>1273</x:v>
      </x:c>
      <x:c r="B531" s="4" t="str">
        <x:v>https://blog.skyairline.com/cerro-dragon/</x:v>
      </x:c>
      <x:c r="C531" s="9" t="str">
        <x:v>Cerro Dragón: un ícono para los amantes del Sandboard</x:v>
      </x:c>
      <x:c r="D531" s="17" t="d">
        <x:v>2026-05-12T00:00:00.000Z</x:v>
      </x:c>
      <x:c r="E531" s="17" t="d">
        <x:v>2026-05-11T00:00:00.000Z</x:v>
      </x:c>
      <x:c r="F531" s="4" t="str">
        <x:v>Destinos</x:v>
      </x:c>
      <x:c r="G531" s="11" t="n">
        <x:v>1008</x:v>
      </x:c>
      <x:c r="H531" s="11" t="n">
        <x:v>200</x:v>
      </x:c>
      <x:c r="I531" s="11" t="n">
        <x:v>1</x:v>
      </x:c>
      <x:c r="J531" s="4" t="str">
        <x:v>https://blog.skyairline.com/cerro-dragon/</x:v>
      </x:c>
      <x:c r="K531" s="16" t="b">
        <x:v>0</x:v>
      </x:c>
      <x:c r="L531" s="11" t="n">
        <x:v>0</x:v>
      </x:c>
      <x:c r="M531" s="11" t="n">
        <x:v>0</x:v>
      </x:c>
      <x:c r="N531" s="4"/>
      <x:c r="O531" s="4"/>
      <x:c r="P531" s="11" t="n">
        <x:v>1</x:v>
      </x:c>
      <x:c r="Q531" s="11" t="n">
        <x:v>2</x:v>
      </x:c>
      <x:c r="R531" s="11" t="n">
        <x:f>IF(OR(P531="",Q531=""),"",Q531-P531)</x:f>
        <x:v>1</x:v>
      </x:c>
      <x:c r="S531" s="13" t="n">
        <x:f>IF(OR(P531="",Q531="",P531=0),"",((Q531/30)/(P531/31))-1)</x:f>
        <x:v>1.0666666666666669</x:v>
      </x:c>
      <x:c r="T531" s="11" t="n">
        <x:v>662</x:v>
      </x:c>
      <x:c r="U531" s="11" t="n">
        <x:v>301</x:v>
      </x:c>
      <x:c r="V531" s="14" t="n">
        <x:v>0.006644518272425249</x:v>
      </x:c>
      <x:c r="W531" s="12" t="n">
        <x:v>8.966777408637874</x:v>
      </x:c>
      <x:c r="X531" s="11" t="n">
        <x:v>2</x:v>
      </x:c>
      <x:c r="Y531" s="11" t="n">
        <x:v>2</x:v>
      </x:c>
      <x:c r="Z531" s="4" t="str">
        <x:v>https://blog.skyairline.com/cerro-dragon/</x:v>
      </x:c>
      <x:c r="AA531" s="4" t="str">
        <x:v>https://blog.skyairline.com/cerro-dragon/</x:v>
      </x:c>
      <x:c r="AB531" s="4" t="str">
        <x:v>Coincidencia URL</x:v>
      </x:c>
      <x:c r="AC531" s="4" t="str">
        <x:v>Publicado hasta septiembre</x:v>
      </x:c>
      <x:c r="AD531" s="4" t="str">
        <x:v>/cerro-dragon/</x:v>
      </x:c>
      <x:c r="AE531" s="4"/>
      <x:c r="AF531" s="16" t="b">
        <x:v>0</x:v>
      </x:c>
    </x:row>
    <x:row r="532" ht="44" customHeight="1">
      <x:c r="A532" s="4" t="n">
        <x:v>1301</x:v>
      </x:c>
      <x:c r="B532" s="4" t="str">
        <x:v>https://blog.skyairline.com/cerros-mas-altas-de-chile/</x:v>
      </x:c>
      <x:c r="C532" s="9" t="str">
        <x:v>¡Descubre cuáles son los cerros más altos de Chile para conocer!</x:v>
      </x:c>
      <x:c r="D532" s="17" t="d">
        <x:v>2023-09-26T00:00:00.000Z</x:v>
      </x:c>
      <x:c r="E532" s="17" t="d">
        <x:v>2023-09-26T00:00:00.000Z</x:v>
      </x:c>
      <x:c r="F532" s="4" t="str">
        <x:v>Destinos</x:v>
      </x:c>
      <x:c r="G532" s="11" t="n">
        <x:v>1029</x:v>
      </x:c>
      <x:c r="H532" s="11" t="n">
        <x:v>200</x:v>
      </x:c>
      <x:c r="I532" s="11" t="n">
        <x:v>1</x:v>
      </x:c>
      <x:c r="J532" s="4" t="str">
        <x:v>https://blog.skyairline.com/cerros-mas-altas-de-chile/</x:v>
      </x:c>
      <x:c r="K532" s="16" t="b">
        <x:v>0</x:v>
      </x:c>
      <x:c r="L532" s="11" t="n">
        <x:v>0</x:v>
      </x:c>
      <x:c r="M532" s="11" t="n">
        <x:v>4</x:v>
      </x:c>
      <x:c r="N532" s="4"/>
      <x:c r="O532" s="4"/>
      <x:c r="P532" s="11" t="n">
        <x:v>2</x:v>
      </x:c>
      <x:c r="Q532" s="11" t="n">
        <x:v>2</x:v>
      </x:c>
      <x:c r="R532" s="11" t="n">
        <x:f>IF(OR(P532="",Q532=""),"",Q532-P532)</x:f>
        <x:v>0</x:v>
      </x:c>
      <x:c r="S532" s="13" t="n">
        <x:f>IF(OR(P532="",Q532="",P532=0),"",((Q532/30)/(P532/31))-1)</x:f>
        <x:v>0.03333333333333344</x:v>
      </x:c>
      <x:c r="T532" s="11" t="n">
        <x:v>825</x:v>
      </x:c>
      <x:c r="U532" s="11" t="n">
        <x:v>854</x:v>
      </x:c>
      <x:c r="V532" s="14" t="n">
        <x:v>0.00234192037470726</x:v>
      </x:c>
      <x:c r="W532" s="12" t="n">
        <x:v>9.343091334894613</x:v>
      </x:c>
      <x:c r="X532" s="11" t="n">
        <x:v>3</x:v>
      </x:c>
      <x:c r="Y532" s="11" t="n">
        <x:v>4</x:v>
      </x:c>
      <x:c r="Z532" s="4" t="str">
        <x:v>https://blog.skyairline.com/cerros-mas-altas-de-chile/</x:v>
      </x:c>
      <x:c r="AA532" s="4" t="str">
        <x:v>https://blog.skyairline.com/cerros-mas-altas-de-chile/</x:v>
      </x:c>
      <x:c r="AB532" s="4" t="str">
        <x:v>Coincidencia URL</x:v>
      </x:c>
      <x:c r="AC532" s="4" t="str">
        <x:v>Publicado hasta septiembre</x:v>
      </x:c>
      <x:c r="AD532" s="4" t="str">
        <x:v>/cerros-mas-altas-de-chile/</x:v>
      </x:c>
      <x:c r="AE532" s="4"/>
      <x:c r="AF532" s="16" t="b">
        <x:v>0</x:v>
      </x:c>
    </x:row>
    <x:row r="533" ht="44" customHeight="1">
      <x:c r="A533" s="4" t="n">
        <x:v>1305</x:v>
      </x:c>
      <x:c r="B533" s="4" t="str">
        <x:v>https://blog.skyairline.com/rutas-del-vino/</x:v>
      </x:c>
      <x:c r="C533" s="9" t="str">
        <x:v>11 rutas del vino en Chile que no puedes dejar de conocer</x:v>
      </x:c>
      <x:c r="D533" s="17" t="d">
        <x:v>2022-01-20T00:00:00.000Z</x:v>
      </x:c>
      <x:c r="E533" s="17" t="d">
        <x:v>2022-01-20T00:00:00.000Z</x:v>
      </x:c>
      <x:c r="F533" s="4" t="str">
        <x:v>Destinos</x:v>
      </x:c>
      <x:c r="G533" s="11" t="n">
        <x:v>1323</x:v>
      </x:c>
      <x:c r="H533" s="11" t="n">
        <x:v>200</x:v>
      </x:c>
      <x:c r="I533" s="11" t="n">
        <x:v>1</x:v>
      </x:c>
      <x:c r="J533" s="4" t="str">
        <x:v>https://blog.skyairline.com/rutas-del-vino/</x:v>
      </x:c>
      <x:c r="K533" s="16" t="b">
        <x:v>0</x:v>
      </x:c>
      <x:c r="L533" s="11" t="n">
        <x:v>0</x:v>
      </x:c>
      <x:c r="M533" s="11" t="n">
        <x:v>4</x:v>
      </x:c>
      <x:c r="N533" s="4"/>
      <x:c r="O533" s="4"/>
      <x:c r="P533" s="11" t="n">
        <x:v>0</x:v>
      </x:c>
      <x:c r="Q533" s="11" t="n">
        <x:v>2</x:v>
      </x:c>
      <x:c r="R533" s="11" t="str">
        <x:f>IF(OR(P533="",Q533=""),"",Q533-P533)</x:f>
      </x:c>
      <x:c r="S533" s="13" t="str">
        <x:f>IF(OR(P533="",Q533="",P533=0),"",((Q533/30)/(P533/31))-1)</x:f>
      </x:c>
      <x:c r="T533" s="11" t="n">
        <x:v>143</x:v>
      </x:c>
      <x:c r="U533" s="11" t="n">
        <x:v>126</x:v>
      </x:c>
      <x:c r="V533" s="14" t="n">
        <x:v>0.015873015873015872</x:v>
      </x:c>
      <x:c r="W533" s="12" t="n">
        <x:v>15.341269841269842</x:v>
      </x:c>
      <x:c r="X533" s="11" t="n">
        <x:v>7</x:v>
      </x:c>
      <x:c r="Y533" s="11" t="n">
        <x:v>6</x:v>
      </x:c>
      <x:c r="Z533" s="4" t="str">
        <x:v>https://blog.skyairline.com/rutas-del-vino/</x:v>
      </x:c>
      <x:c r="AA533" s="4" t="str">
        <x:v>https://blog.skyairline.com/rutas-del-vino/</x:v>
      </x:c>
      <x:c r="AB533" s="4" t="str">
        <x:v>Coincidencia URL</x:v>
      </x:c>
      <x:c r="AC533" s="4" t="str">
        <x:v>Publicado hasta septiembre</x:v>
      </x:c>
      <x:c r="AD533" s="4" t="str">
        <x:v>/rutas-del-vino/</x:v>
      </x:c>
      <x:c r="AE533" s="4"/>
      <x:c r="AF533" s="16" t="b">
        <x:v>0</x:v>
      </x:c>
    </x:row>
    <x:row r="534" ht="44" customHeight="1">
      <x:c r="A534" s="4" t="n">
        <x:v>1413</x:v>
      </x:c>
      <x:c r="B534" s="4" t="str">
        <x:v>https://blog.skyairline.com/ventajas-y-desventajas/</x:v>
      </x:c>
      <x:c r="C534" s="9" t="str">
        <x:v>Ventajas y desventajas de viajar en grupo</x:v>
      </x:c>
      <x:c r="D534" s="17" t="d">
        <x:v>2025-12-05T00:00:00.000Z</x:v>
      </x:c>
      <x:c r="E534" s="17" t="d">
        <x:v>2025-12-10T00:00:00.000Z</x:v>
      </x:c>
      <x:c r="F534" s="4" t="str">
        <x:v>Planificación de Viaje</x:v>
      </x:c>
      <x:c r="G534" s="11" t="n">
        <x:v>983</x:v>
      </x:c>
      <x:c r="H534" s="11" t="n">
        <x:v>200</x:v>
      </x:c>
      <x:c r="I534" s="11" t="n">
        <x:v>1</x:v>
      </x:c>
      <x:c r="J534" s="4" t="str">
        <x:v>https://blog.skyairline.com/ventajas-y-desventajas/</x:v>
      </x:c>
      <x:c r="K534" s="16" t="b">
        <x:v>0</x:v>
      </x:c>
      <x:c r="L534" s="11" t="n">
        <x:v>0</x:v>
      </x:c>
      <x:c r="M534" s="11" t="n">
        <x:v>3</x:v>
      </x:c>
      <x:c r="N534" s="4"/>
      <x:c r="O534" s="4"/>
      <x:c r="P534" s="11" t="n">
        <x:v>3</x:v>
      </x:c>
      <x:c r="Q534" s="11" t="n">
        <x:v>2</x:v>
      </x:c>
      <x:c r="R534" s="11" t="n">
        <x:f>IF(OR(P534="",Q534=""),"",Q534-P534)</x:f>
        <x:v>-1</x:v>
      </x:c>
      <x:c r="S534" s="13" t="n">
        <x:f>IF(OR(P534="",Q534="",P534=0),"",((Q534/30)/(P534/31))-1)</x:f>
        <x:v>-0.3111111111111111</x:v>
      </x:c>
      <x:c r="T534" s="11" t="n">
        <x:v>93</x:v>
      </x:c>
      <x:c r="U534" s="11" t="n">
        <x:v>86</x:v>
      </x:c>
      <x:c r="V534" s="14" t="n">
        <x:v>0.023255813953488372</x:v>
      </x:c>
      <x:c r="W534" s="12" t="n">
        <x:v>8.63953488372093</x:v>
      </x:c>
      <x:c r="X534" s="11" t="n">
        <x:v>3</x:v>
      </x:c>
      <x:c r="Y534" s="11" t="n">
        <x:v>3</x:v>
      </x:c>
      <x:c r="Z534" s="4" t="str">
        <x:v>https://blog.skyairline.com/ventajas-y-desventajas/</x:v>
      </x:c>
      <x:c r="AA534" s="4" t="str">
        <x:v>https://blog.skyairline.com/ventajas-y-desventajas/</x:v>
      </x:c>
      <x:c r="AB534" s="4" t="str">
        <x:v>Coincidencia URL</x:v>
      </x:c>
      <x:c r="AC534" s="4" t="str">
        <x:v>Publicado hasta septiembre</x:v>
      </x:c>
      <x:c r="AD534" s="4" t="str">
        <x:v>/ventajas-y-desventajas/</x:v>
      </x:c>
      <x:c r="AE534" s="4"/>
      <x:c r="AF534" s="16" t="b">
        <x:v>0</x:v>
      </x:c>
    </x:row>
    <x:row r="535" ht="44" customHeight="1">
      <x:c r="A535" s="4" t="n">
        <x:v>1488</x:v>
      </x:c>
      <x:c r="B535" s="4" t="str">
        <x:v>https://blog.skyairline.com/ahorrar-en-arriendo-de-auto/</x:v>
      </x:c>
      <x:c r="C535" s="9" t="str">
        <x:v>8 Tips para ahorrar en arriendo de auto</x:v>
      </x:c>
      <x:c r="D535" s="17" t="d">
        <x:v>2022-03-05T00:00:00.000Z</x:v>
      </x:c>
      <x:c r="E535" s="17" t="d">
        <x:v>2022-03-05T00:00:00.000Z</x:v>
      </x:c>
      <x:c r="F535" s="4" t="str">
        <x:v>Planificación de Viaje</x:v>
      </x:c>
      <x:c r="G535" s="11" t="n">
        <x:v>971</x:v>
      </x:c>
      <x:c r="H535" s="11" t="n">
        <x:v>200</x:v>
      </x:c>
      <x:c r="I535" s="11" t="n">
        <x:v>1</x:v>
      </x:c>
      <x:c r="J535" s="4" t="str">
        <x:v>https://blog.skyairline.com/ahorrar-en-arriendo-de-auto/</x:v>
      </x:c>
      <x:c r="K535" s="16" t="b">
        <x:v>0</x:v>
      </x:c>
      <x:c r="L535" s="11" t="n">
        <x:v>0</x:v>
      </x:c>
      <x:c r="M535" s="11" t="n">
        <x:v>3</x:v>
      </x:c>
      <x:c r="N535" s="4"/>
      <x:c r="O535" s="4"/>
      <x:c r="P535" s="11" t="n">
        <x:v>0</x:v>
      </x:c>
      <x:c r="Q535" s="11" t="n">
        <x:v>2</x:v>
      </x:c>
      <x:c r="R535" s="11" t="str">
        <x:f>IF(OR(P535="",Q535=""),"",Q535-P535)</x:f>
      </x:c>
      <x:c r="S535" s="13" t="str">
        <x:f>IF(OR(P535="",Q535="",P535=0),"",((Q535/30)/(P535/31))-1)</x:f>
      </x:c>
      <x:c r="T535" s="11" t="n">
        <x:v>135</x:v>
      </x:c>
      <x:c r="U535" s="11" t="n">
        <x:v>71</x:v>
      </x:c>
      <x:c r="V535" s="14" t="n">
        <x:v>0.028169014084507043</x:v>
      </x:c>
      <x:c r="W535" s="12" t="n">
        <x:v>6.098591549295775</x:v>
      </x:c>
      <x:c r="X535" s="11" t="n">
        <x:v>2</x:v>
      </x:c>
      <x:c r="Y535" s="11" t="n">
        <x:v>2</x:v>
      </x:c>
      <x:c r="Z535" s="4" t="str">
        <x:v>https://blog.skyairline.com/ahorrar-en-arriendo-de-auto/</x:v>
      </x:c>
      <x:c r="AA535" s="4" t="str">
        <x:v>https://blog.skyairline.com/ahorrar-en-arriendo-de-auto/</x:v>
      </x:c>
      <x:c r="AB535" s="4" t="str">
        <x:v>Coincidencia URL</x:v>
      </x:c>
      <x:c r="AC535" s="4" t="str">
        <x:v>Publicado hasta septiembre</x:v>
      </x:c>
      <x:c r="AD535" s="4" t="str">
        <x:v>/ahorrar-en-arriendo-de-auto/</x:v>
      </x:c>
      <x:c r="AE535" s="4"/>
      <x:c r="AF535" s="16" t="b">
        <x:v>0</x:v>
      </x:c>
    </x:row>
    <x:row r="536" ht="44" customHeight="1">
      <x:c r="A536" s="4" t="n">
        <x:v>1618</x:v>
      </x:c>
      <x:c r="B536" s="4" t="str">
        <x:v>https://blog.skyairline.com/centros-comerciales-en-concepcion/</x:v>
      </x:c>
      <x:c r="C536" s="9" t="str">
        <x:v>5 centros comerciales en Concepción para ir de compras</x:v>
      </x:c>
      <x:c r="D536" s="17" t="d">
        <x:v>2022-03-23T00:00:00.000Z</x:v>
      </x:c>
      <x:c r="E536" s="17" t="d">
        <x:v>2022-03-23T00:00:00.000Z</x:v>
      </x:c>
      <x:c r="F536" s="4" t="str">
        <x:v>Destinos</x:v>
      </x:c>
      <x:c r="G536" s="11" t="n">
        <x:v>1007</x:v>
      </x:c>
      <x:c r="H536" s="11" t="n">
        <x:v>200</x:v>
      </x:c>
      <x:c r="I536" s="11" t="n">
        <x:v>1</x:v>
      </x:c>
      <x:c r="J536" s="4" t="str">
        <x:v>https://blog.skyairline.com/centros-comerciales-en-concepcion/</x:v>
      </x:c>
      <x:c r="K536" s="16" t="b">
        <x:v>0</x:v>
      </x:c>
      <x:c r="L536" s="11" t="n">
        <x:v>0</x:v>
      </x:c>
      <x:c r="M536" s="11" t="n">
        <x:v>4</x:v>
      </x:c>
      <x:c r="N536" s="4"/>
      <x:c r="O536" s="4"/>
      <x:c r="P536" s="11" t="n">
        <x:v>2</x:v>
      </x:c>
      <x:c r="Q536" s="11" t="n">
        <x:v>2</x:v>
      </x:c>
      <x:c r="R536" s="11" t="n">
        <x:f>IF(OR(P536="",Q536=""),"",Q536-P536)</x:f>
        <x:v>0</x:v>
      </x:c>
      <x:c r="S536" s="13" t="n">
        <x:f>IF(OR(P536="",Q536="",P536=0),"",((Q536/30)/(P536/31))-1)</x:f>
        <x:v>0.03333333333333344</x:v>
      </x:c>
      <x:c r="T536" s="11" t="n">
        <x:v>1659</x:v>
      </x:c>
      <x:c r="U536" s="11" t="n">
        <x:v>1652</x:v>
      </x:c>
      <x:c r="V536" s="14" t="n">
        <x:v>0.0012106537530266344</x:v>
      </x:c>
      <x:c r="W536" s="12" t="n">
        <x:v>9.243341404358354</x:v>
      </x:c>
      <x:c r="X536" s="11" t="n">
        <x:v>2</x:v>
      </x:c>
      <x:c r="Y536" s="11" t="n">
        <x:v>2</x:v>
      </x:c>
      <x:c r="Z536" s="4" t="str">
        <x:v>https://blog.skyairline.com/centros-comerciales-en-concepcion/</x:v>
      </x:c>
      <x:c r="AA536" s="4" t="str">
        <x:v>https://blog.skyairline.com/centros-comerciales-en-concepcion/</x:v>
      </x:c>
      <x:c r="AB536" s="4" t="str">
        <x:v>Coincidencia URL</x:v>
      </x:c>
      <x:c r="AC536" s="4" t="str">
        <x:v>Publicado hasta septiembre</x:v>
      </x:c>
      <x:c r="AD536" s="4" t="str">
        <x:v>/centros-comerciales-en-concepcion/</x:v>
      </x:c>
      <x:c r="AE536" s="4"/>
      <x:c r="AF536" s="16" t="b">
        <x:v>0</x:v>
      </x:c>
    </x:row>
    <x:row r="537" ht="44" customHeight="1">
      <x:c r="A537" s="4" t="n">
        <x:v>1696</x:v>
      </x:c>
      <x:c r="B537" s="4" t="str">
        <x:v>https://blog.skyairline.com/lugares-turisticos-chile/</x:v>
      </x:c>
      <x:c r="C537" s="9" t="str">
        <x:v>Los 15 mejores lugares turísticos de Chile</x:v>
      </x:c>
      <x:c r="D537" s="17" t="d">
        <x:v>2022-04-15T00:00:00.000Z</x:v>
      </x:c>
      <x:c r="E537" s="17" t="d">
        <x:v>2022-04-15T00:00:00.000Z</x:v>
      </x:c>
      <x:c r="F537" s="4" t="str">
        <x:v>Destinos</x:v>
      </x:c>
      <x:c r="G537" s="11" t="n">
        <x:v>2881</x:v>
      </x:c>
      <x:c r="H537" s="11" t="n">
        <x:v>200</x:v>
      </x:c>
      <x:c r="I537" s="11" t="n">
        <x:v>1</x:v>
      </x:c>
      <x:c r="J537" s="4" t="str">
        <x:v>https://blog.skyairline.com/lugares-turisticos-chile/</x:v>
      </x:c>
      <x:c r="K537" s="16" t="b">
        <x:v>0</x:v>
      </x:c>
      <x:c r="L537" s="11" t="n">
        <x:v>0</x:v>
      </x:c>
      <x:c r="M537" s="11" t="n">
        <x:v>5</x:v>
      </x:c>
      <x:c r="N537" s="4"/>
      <x:c r="O537" s="4"/>
      <x:c r="P537" s="11" t="n">
        <x:v>3</x:v>
      </x:c>
      <x:c r="Q537" s="11" t="n">
        <x:v>2</x:v>
      </x:c>
      <x:c r="R537" s="11" t="n">
        <x:f>IF(OR(P537="",Q537=""),"",Q537-P537)</x:f>
        <x:v>-1</x:v>
      </x:c>
      <x:c r="S537" s="13" t="n">
        <x:f>IF(OR(P537="",Q537="",P537=0),"",((Q537/30)/(P537/31))-1)</x:f>
        <x:v>-0.3111111111111111</x:v>
      </x:c>
      <x:c r="T537" s="11" t="n">
        <x:v>1620</x:v>
      </x:c>
      <x:c r="U537" s="11" t="n">
        <x:v>847</x:v>
      </x:c>
      <x:c r="V537" s="14" t="n">
        <x:v>0.0023612750885478157</x:v>
      </x:c>
      <x:c r="W537" s="12" t="n">
        <x:v>33.34002361275088</x:v>
      </x:c>
      <x:c r="X537" s="11" t="n">
        <x:v>10</x:v>
      </x:c>
      <x:c r="Y537" s="11" t="n">
        <x:v>14</x:v>
      </x:c>
      <x:c r="Z537" s="4" t="str">
        <x:v>https://blog.skyairline.com/lugares-turisticos-chile/</x:v>
      </x:c>
      <x:c r="AA537" s="4" t="str">
        <x:v>https://blog.skyairline.com/lugares-turisticos-chile/</x:v>
      </x:c>
      <x:c r="AB537" s="4" t="str">
        <x:v>Coincidencia URL</x:v>
      </x:c>
      <x:c r="AC537" s="4" t="str">
        <x:v>Publicado hasta septiembre</x:v>
      </x:c>
      <x:c r="AD537" s="4" t="str">
        <x:v>/lugares-turisticos-chile/</x:v>
      </x:c>
      <x:c r="AE537" s="4"/>
      <x:c r="AF537" s="16" t="b">
        <x:v>1</x:v>
      </x:c>
    </x:row>
    <x:row r="538" ht="44" customHeight="1">
      <x:c r="A538" s="4" t="n">
        <x:v>1772</x:v>
      </x:c>
      <x:c r="B538" s="4" t="str">
        <x:v>https://blog.skyairline.com/parque-nacional-alerce-andino/</x:v>
      </x:c>
      <x:c r="C538" s="9" t="str">
        <x:v>Parque Nacional Alerce Andino: ¿cómo llegar y de qué disfrutar?</x:v>
      </x:c>
      <x:c r="D538" s="17" t="d">
        <x:v>2025-06-03T00:00:00.000Z</x:v>
      </x:c>
      <x:c r="E538" s="17" t="d">
        <x:v>2025-12-19T00:00:00.000Z</x:v>
      </x:c>
      <x:c r="F538" s="4" t="str">
        <x:v>Destinos</x:v>
      </x:c>
      <x:c r="G538" s="11" t="n">
        <x:v>1180</x:v>
      </x:c>
      <x:c r="H538" s="11" t="n">
        <x:v>200</x:v>
      </x:c>
      <x:c r="I538" s="11" t="n">
        <x:v>1</x:v>
      </x:c>
      <x:c r="J538" s="4" t="str">
        <x:v>https://blog.skyairline.com/parque-nacional-alerce-andino/</x:v>
      </x:c>
      <x:c r="K538" s="16" t="b">
        <x:v>0</x:v>
      </x:c>
      <x:c r="L538" s="11" t="n">
        <x:v>0</x:v>
      </x:c>
      <x:c r="M538" s="11" t="n">
        <x:v>3</x:v>
      </x:c>
      <x:c r="N538" s="4"/>
      <x:c r="O538" s="4"/>
      <x:c r="P538" s="11" t="n">
        <x:v>1</x:v>
      </x:c>
      <x:c r="Q538" s="11" t="n">
        <x:v>2</x:v>
      </x:c>
      <x:c r="R538" s="11" t="n">
        <x:f>IF(OR(P538="",Q538=""),"",Q538-P538)</x:f>
        <x:v>1</x:v>
      </x:c>
      <x:c r="S538" s="13" t="n">
        <x:f>IF(OR(P538="",Q538="",P538=0),"",((Q538/30)/(P538/31))-1)</x:f>
        <x:v>1.0666666666666669</x:v>
      </x:c>
      <x:c r="T538" s="11" t="n">
        <x:v>525</x:v>
      </x:c>
      <x:c r="U538" s="11" t="n">
        <x:v>384</x:v>
      </x:c>
      <x:c r="V538" s="14" t="n">
        <x:v>0.005208333333333333</x:v>
      </x:c>
      <x:c r="W538" s="12" t="n">
        <x:v>12.075520833333334</x:v>
      </x:c>
      <x:c r="X538" s="11" t="n">
        <x:v>3</x:v>
      </x:c>
      <x:c r="Y538" s="11" t="n">
        <x:v>5</x:v>
      </x:c>
      <x:c r="Z538" s="4" t="str">
        <x:v>https://blog.skyairline.com/parque-nacional-alerce-andino/</x:v>
      </x:c>
      <x:c r="AA538" s="4" t="str">
        <x:v>https://blog.skyairline.com/parque-nacional-alerce-andino/</x:v>
      </x:c>
      <x:c r="AB538" s="4" t="str">
        <x:v>Coincidencia URL</x:v>
      </x:c>
      <x:c r="AC538" s="4" t="str">
        <x:v>Publicado hasta septiembre</x:v>
      </x:c>
      <x:c r="AD538" s="4" t="str">
        <x:v>/parque-nacional-alerce-andino/</x:v>
      </x:c>
      <x:c r="AE538" s="4"/>
      <x:c r="AF538" s="16" t="b">
        <x:v>0</x:v>
      </x:c>
    </x:row>
    <x:row r="539" ht="44" customHeight="1">
      <x:c r="A539" s="4" t="n">
        <x:v>1779</x:v>
      </x:c>
      <x:c r="B539" s="4" t="str">
        <x:v>https://blog.skyairline.com/pucallpa/</x:v>
      </x:c>
      <x:c r="C539" s="9" t="str">
        <x:v>Pucallpa: 3 lagunas que debes conocer</x:v>
      </x:c>
      <x:c r="D539" s="17" t="d">
        <x:v>2025-12-05T00:00:00.000Z</x:v>
      </x:c>
      <x:c r="E539" s="17" t="d">
        <x:v>2025-12-10T00:00:00.000Z</x:v>
      </x:c>
      <x:c r="F539" s="4" t="str">
        <x:v>Destinos</x:v>
      </x:c>
      <x:c r="G539" s="11" t="n">
        <x:v>949</x:v>
      </x:c>
      <x:c r="H539" s="11" t="n">
        <x:v>200</x:v>
      </x:c>
      <x:c r="I539" s="11" t="n">
        <x:v>1</x:v>
      </x:c>
      <x:c r="J539" s="4" t="str">
        <x:v>https://blog.skyairline.com/pucallpa/</x:v>
      </x:c>
      <x:c r="K539" s="16" t="b">
        <x:v>0</x:v>
      </x:c>
      <x:c r="L539" s="11" t="n">
        <x:v>0</x:v>
      </x:c>
      <x:c r="M539" s="11" t="n">
        <x:v>2</x:v>
      </x:c>
      <x:c r="N539" s="4"/>
      <x:c r="O539" s="4"/>
      <x:c r="P539" s="11" t="n">
        <x:v>3</x:v>
      </x:c>
      <x:c r="Q539" s="11" t="n">
        <x:v>2</x:v>
      </x:c>
      <x:c r="R539" s="11" t="n">
        <x:f>IF(OR(P539="",Q539=""),"",Q539-P539)</x:f>
        <x:v>-1</x:v>
      </x:c>
      <x:c r="S539" s="13" t="n">
        <x:f>IF(OR(P539="",Q539="",P539=0),"",((Q539/30)/(P539/31))-1)</x:f>
        <x:v>-0.3111111111111111</x:v>
      </x:c>
      <x:c r="T539" s="11" t="n">
        <x:v>481</x:v>
      </x:c>
      <x:c r="U539" s="11" t="n">
        <x:v>827</x:v>
      </x:c>
      <x:c r="V539" s="14" t="n">
        <x:v>0.0024183796856106408</x:v>
      </x:c>
      <x:c r="W539" s="12" t="n">
        <x:v>6.476420798065297</x:v>
      </x:c>
      <x:c r="X539" s="11" t="n">
        <x:v>6</x:v>
      </x:c>
      <x:c r="Y539" s="11" t="n">
        <x:v>6</x:v>
      </x:c>
      <x:c r="Z539" s="4" t="str">
        <x:v>https://blog.skyairline.com/pucallpa/</x:v>
      </x:c>
      <x:c r="AA539" s="4" t="str">
        <x:v>https://blog.skyairline.com/pucallpa/</x:v>
      </x:c>
      <x:c r="AB539" s="4" t="str">
        <x:v>Coincidencia URL</x:v>
      </x:c>
      <x:c r="AC539" s="4" t="str">
        <x:v>Publicado hasta septiembre</x:v>
      </x:c>
      <x:c r="AD539" s="4" t="str">
        <x:v>/pucallpa/</x:v>
      </x:c>
      <x:c r="AE539" s="4"/>
      <x:c r="AF539" s="16" t="b">
        <x:v>0</x:v>
      </x:c>
    </x:row>
    <x:row r="540" ht="44" customHeight="1">
      <x:c r="A540" s="4" t="n">
        <x:v>1802</x:v>
      </x:c>
      <x:c r="B540" s="4" t="str">
        <x:v>https://blog.skyairline.com/bucear-en-chile/</x:v>
      </x:c>
      <x:c r="C540" s="9" t="str">
        <x:v>Los 8 mejores lugares para bucear en Chile</x:v>
      </x:c>
      <x:c r="D540" s="17" t="d">
        <x:v>2022-05-10T00:00:00.000Z</x:v>
      </x:c>
      <x:c r="E540" s="17" t="d">
        <x:v>2022-05-10T00:00:00.000Z</x:v>
      </x:c>
      <x:c r="F540" s="4" t="str">
        <x:v>Destinos</x:v>
      </x:c>
      <x:c r="G540" s="11" t="n">
        <x:v>1023</x:v>
      </x:c>
      <x:c r="H540" s="11" t="n">
        <x:v>200</x:v>
      </x:c>
      <x:c r="I540" s="11" t="n">
        <x:v>1</x:v>
      </x:c>
      <x:c r="J540" s="4" t="str">
        <x:v>https://blog.skyairline.com/bucear-en-chile/</x:v>
      </x:c>
      <x:c r="K540" s="16" t="b">
        <x:v>0</x:v>
      </x:c>
      <x:c r="L540" s="11" t="n">
        <x:v>0</x:v>
      </x:c>
      <x:c r="M540" s="11" t="n">
        <x:v>4</x:v>
      </x:c>
      <x:c r="N540" s="4"/>
      <x:c r="O540" s="4"/>
      <x:c r="P540" s="11" t="n">
        <x:v>1</x:v>
      </x:c>
      <x:c r="Q540" s="11" t="n">
        <x:v>2</x:v>
      </x:c>
      <x:c r="R540" s="11" t="n">
        <x:f>IF(OR(P540="",Q540=""),"",Q540-P540)</x:f>
        <x:v>1</x:v>
      </x:c>
      <x:c r="S540" s="13" t="n">
        <x:f>IF(OR(P540="",Q540="",P540=0),"",((Q540/30)/(P540/31))-1)</x:f>
        <x:v>1.0666666666666669</x:v>
      </x:c>
      <x:c r="T540" s="11" t="n">
        <x:v>171</x:v>
      </x:c>
      <x:c r="U540" s="11" t="n">
        <x:v>193</x:v>
      </x:c>
      <x:c r="V540" s="14" t="n">
        <x:v>0.010362694300518135</x:v>
      </x:c>
      <x:c r="W540" s="12" t="n">
        <x:v>15.025906735751295</x:v>
      </x:c>
      <x:c r="X540" s="11" t="n">
        <x:v>2</x:v>
      </x:c>
      <x:c r="Y540" s="11" t="n">
        <x:v>4</x:v>
      </x:c>
      <x:c r="Z540" s="4" t="str">
        <x:v>https://blog.skyairline.com/bucear-en-chile/</x:v>
      </x:c>
      <x:c r="AA540" s="4" t="str">
        <x:v>https://blog.skyairline.com/bucear-en-chile/</x:v>
      </x:c>
      <x:c r="AB540" s="4" t="str">
        <x:v>Coincidencia URL</x:v>
      </x:c>
      <x:c r="AC540" s="4" t="str">
        <x:v>Publicado hasta septiembre</x:v>
      </x:c>
      <x:c r="AD540" s="4" t="str">
        <x:v>/bucear-en-chile/</x:v>
      </x:c>
      <x:c r="AE540" s="4"/>
      <x:c r="AF540" s="16" t="b">
        <x:v>0</x:v>
      </x:c>
    </x:row>
    <x:row r="541" ht="44" customHeight="1">
      <x:c r="A541" s="4" t="n">
        <x:v>1857</x:v>
      </x:c>
      <x:c r="B541" s="4" t="str">
        <x:v>https://blog.skyairline.com/bahiua-del-corral/</x:v>
      </x:c>
      <x:c r="C541" s="9" t="str">
        <x:v>Bahía de Corral: qué hacer, lugares históricos y panoramas imperdibles</x:v>
      </x:c>
      <x:c r="D541" s="17" t="d">
        <x:v>2026-03-25T00:00:00.000Z</x:v>
      </x:c>
      <x:c r="E541" s="17" t="d">
        <x:v>2026-03-24T00:00:00.000Z</x:v>
      </x:c>
      <x:c r="F541" s="4" t="str">
        <x:v>Destinos</x:v>
      </x:c>
      <x:c r="G541" s="11" t="n">
        <x:v>1146</x:v>
      </x:c>
      <x:c r="H541" s="11" t="n">
        <x:v>200</x:v>
      </x:c>
      <x:c r="I541" s="11" t="n">
        <x:v>1</x:v>
      </x:c>
      <x:c r="J541" s="4" t="str">
        <x:v>https://blog.skyairline.com/bahiua-del-corral/</x:v>
      </x:c>
      <x:c r="K541" s="16" t="b">
        <x:v>0</x:v>
      </x:c>
      <x:c r="L541" s="11" t="n">
        <x:v>0</x:v>
      </x:c>
      <x:c r="M541" s="11" t="n">
        <x:v>0</x:v>
      </x:c>
      <x:c r="N541" s="4"/>
      <x:c r="O541" s="4"/>
      <x:c r="P541" s="11" t="n">
        <x:v>2</x:v>
      </x:c>
      <x:c r="Q541" s="11" t="n">
        <x:v>2</x:v>
      </x:c>
      <x:c r="R541" s="11" t="n">
        <x:f>IF(OR(P541="",Q541=""),"",Q541-P541)</x:f>
        <x:v>0</x:v>
      </x:c>
      <x:c r="S541" s="13" t="n">
        <x:f>IF(OR(P541="",Q541="",P541=0),"",((Q541/30)/(P541/31))-1)</x:f>
        <x:v>0.03333333333333344</x:v>
      </x:c>
      <x:c r="T541" s="11" t="n">
        <x:v>627</x:v>
      </x:c>
      <x:c r="U541" s="11" t="n">
        <x:v>287</x:v>
      </x:c>
      <x:c r="V541" s="14" t="n">
        <x:v>0.006968641114982578</x:v>
      </x:c>
      <x:c r="W541" s="12" t="n">
        <x:v>9.466898954703833</x:v>
      </x:c>
      <x:c r="X541" s="11" t="n">
        <x:v>6</x:v>
      </x:c>
      <x:c r="Y541" s="11" t="n">
        <x:v>13</x:v>
      </x:c>
      <x:c r="Z541" s="4" t="str">
        <x:v>https://blog.skyairline.com/bahiua-del-corral/</x:v>
      </x:c>
      <x:c r="AA541" s="4" t="str">
        <x:v>https://blog.skyairline.com/bahiua-del-corral/</x:v>
      </x:c>
      <x:c r="AB541" s="4" t="str">
        <x:v>Coincidencia URL</x:v>
      </x:c>
      <x:c r="AC541" s="4" t="str">
        <x:v>Publicado hasta septiembre</x:v>
      </x:c>
      <x:c r="AD541" s="4" t="str">
        <x:v>/bahiua-del-corral/</x:v>
      </x:c>
      <x:c r="AE541" s="4"/>
      <x:c r="AF541" s="16" t="b">
        <x:v>0</x:v>
      </x:c>
    </x:row>
    <x:row r="542" ht="44" customHeight="1">
      <x:c r="A542" s="4" t="n">
        <x:v>1865</x:v>
      </x:c>
      <x:c r="B542" s="4" t="str">
        <x:v>https://blog.skyairline.com/cuanto-conocemos-del-mar/</x:v>
      </x:c>
      <x:c r="C542" s="9" t="str">
        <x:v>¿Cuánto conocemos del mar? Experiencias para desconectarte</x:v>
      </x:c>
      <x:c r="D542" s="17" t="d">
        <x:v>2022-05-26T00:00:00.000Z</x:v>
      </x:c>
      <x:c r="E542" s="17" t="d">
        <x:v>2022-05-26T00:00:00.000Z</x:v>
      </x:c>
      <x:c r="F542" s="4" t="str">
        <x:v>Cultura</x:v>
      </x:c>
      <x:c r="G542" s="11" t="n">
        <x:v>1054</x:v>
      </x:c>
      <x:c r="H542" s="11" t="n">
        <x:v>200</x:v>
      </x:c>
      <x:c r="I542" s="11" t="n">
        <x:v>1</x:v>
      </x:c>
      <x:c r="J542" s="4" t="str">
        <x:v>https://blog.skyairline.com/cuanto-conocemos-del-mar/</x:v>
      </x:c>
      <x:c r="K542" s="16" t="b">
        <x:v>0</x:v>
      </x:c>
      <x:c r="L542" s="11" t="n">
        <x:v>0</x:v>
      </x:c>
      <x:c r="M542" s="11" t="n">
        <x:v>2</x:v>
      </x:c>
      <x:c r="N542" s="4"/>
      <x:c r="O542" s="4"/>
      <x:c r="P542" s="11" t="n">
        <x:v>4</x:v>
      </x:c>
      <x:c r="Q542" s="11" t="n">
        <x:v>2</x:v>
      </x:c>
      <x:c r="R542" s="11" t="n">
        <x:f>IF(OR(P542="",Q542=""),"",Q542-P542)</x:f>
        <x:v>-2</x:v>
      </x:c>
      <x:c r="S542" s="13" t="n">
        <x:f>IF(OR(P542="",Q542="",P542=0),"",((Q542/30)/(P542/31))-1)</x:f>
        <x:v>-0.4833333333333333</x:v>
      </x:c>
      <x:c r="T542" s="11" t="n">
        <x:v>2144</x:v>
      </x:c>
      <x:c r="U542" s="11" t="n">
        <x:v>1606</x:v>
      </x:c>
      <x:c r="V542" s="14" t="n">
        <x:v>0.0012453300124533001</x:v>
      </x:c>
      <x:c r="W542" s="12" t="n">
        <x:v>9.911581569115816</x:v>
      </x:c>
      <x:c r="X542" s="11" t="n">
        <x:v>4</x:v>
      </x:c>
      <x:c r="Y542" s="11" t="n">
        <x:v>5</x:v>
      </x:c>
      <x:c r="Z542" s="4" t="str">
        <x:v>https://blog.skyairline.com/cuanto-conocemos-del-mar/</x:v>
      </x:c>
      <x:c r="AA542" s="4" t="str">
        <x:v>https://blog.skyairline.com/cuanto-conocemos-del-mar/</x:v>
      </x:c>
      <x:c r="AB542" s="4" t="str">
        <x:v>Coincidencia URL</x:v>
      </x:c>
      <x:c r="AC542" s="4" t="str">
        <x:v>Publicado hasta septiembre</x:v>
      </x:c>
      <x:c r="AD542" s="4" t="str">
        <x:v>/cuanto-conocemos-del-mar/</x:v>
      </x:c>
      <x:c r="AE542" s="4"/>
      <x:c r="AF542" s="16" t="b">
        <x:v>0</x:v>
      </x:c>
    </x:row>
    <x:row r="543" ht="44" customHeight="1">
      <x:c r="A543" s="4" t="n">
        <x:v>1871</x:v>
      </x:c>
      <x:c r="B543" s="4" t="str">
        <x:v>https://blog.skyairline.com/museo-de-sal/</x:v>
      </x:c>
      <x:c r="C543" s="9" t="str">
        <x:v>¿Por qué debes visitar el Museo de Sal?</x:v>
      </x:c>
      <x:c r="D543" s="17" t="d">
        <x:v>2022-05-29T00:00:00.000Z</x:v>
      </x:c>
      <x:c r="E543" s="17" t="d">
        <x:v>2022-05-29T00:00:00.000Z</x:v>
      </x:c>
      <x:c r="F543" s="4" t="str">
        <x:v>Destinos</x:v>
      </x:c>
      <x:c r="G543" s="11" t="n">
        <x:v>1005</x:v>
      </x:c>
      <x:c r="H543" s="11" t="n">
        <x:v>200</x:v>
      </x:c>
      <x:c r="I543" s="11" t="n">
        <x:v>1</x:v>
      </x:c>
      <x:c r="J543" s="4" t="str">
        <x:v>https://blog.skyairline.com/museo-de-sal/</x:v>
      </x:c>
      <x:c r="K543" s="16" t="b">
        <x:v>0</x:v>
      </x:c>
      <x:c r="L543" s="11" t="n">
        <x:v>0</x:v>
      </x:c>
      <x:c r="M543" s="11" t="n">
        <x:v>4</x:v>
      </x:c>
      <x:c r="N543" s="4"/>
      <x:c r="O543" s="4"/>
      <x:c r="P543" s="11" t="n">
        <x:v>3</x:v>
      </x:c>
      <x:c r="Q543" s="11" t="n">
        <x:v>2</x:v>
      </x:c>
      <x:c r="R543" s="11" t="n">
        <x:f>IF(OR(P543="",Q543=""),"",Q543-P543)</x:f>
        <x:v>-1</x:v>
      </x:c>
      <x:c r="S543" s="13" t="n">
        <x:f>IF(OR(P543="",Q543="",P543=0),"",((Q543/30)/(P543/31))-1)</x:f>
        <x:v>-0.3111111111111111</x:v>
      </x:c>
      <x:c r="T543" s="11" t="n">
        <x:v>215</x:v>
      </x:c>
      <x:c r="U543" s="11" t="n">
        <x:v>177</x:v>
      </x:c>
      <x:c r="V543" s="14" t="n">
        <x:v>0.011299435028248588</x:v>
      </x:c>
      <x:c r="W543" s="12" t="n">
        <x:v>8.214689265536723</x:v>
      </x:c>
      <x:c r="X543" s="11" t="n">
        <x:v>3</x:v>
      </x:c>
      <x:c r="Y543" s="11" t="n">
        <x:v>3</x:v>
      </x:c>
      <x:c r="Z543" s="4" t="str">
        <x:v>https://blog.skyairline.com/museo-de-sal/</x:v>
      </x:c>
      <x:c r="AA543" s="4" t="str">
        <x:v>https://blog.skyairline.com/museo-de-sal/</x:v>
      </x:c>
      <x:c r="AB543" s="4" t="str">
        <x:v>Coincidencia URL</x:v>
      </x:c>
      <x:c r="AC543" s="4" t="str">
        <x:v>Publicado hasta septiembre</x:v>
      </x:c>
      <x:c r="AD543" s="4" t="str">
        <x:v>/museo-de-sal/</x:v>
      </x:c>
      <x:c r="AE543" s="4"/>
      <x:c r="AF543" s="16" t="b">
        <x:v>0</x:v>
      </x:c>
    </x:row>
    <x:row r="544" ht="44" customHeight="1">
      <x:c r="A544" s="4" t="n">
        <x:v>1993</x:v>
      </x:c>
      <x:c r="B544" s="4" t="str">
        <x:v>https://blog.skyairline.com/voluntariados/</x:v>
      </x:c>
      <x:c r="C544" s="9" t="str">
        <x:v>Voluntariados: una gran opción para viajar low cost</x:v>
      </x:c>
      <x:c r="D544" s="17" t="d">
        <x:v>2022-06-28T00:00:00.000Z</x:v>
      </x:c>
      <x:c r="E544" s="17" t="d">
        <x:v>2022-06-28T00:00:00.000Z</x:v>
      </x:c>
      <x:c r="F544" s="4" t="str">
        <x:v>Cultura</x:v>
      </x:c>
      <x:c r="G544" s="11" t="n">
        <x:v>1088</x:v>
      </x:c>
      <x:c r="H544" s="11" t="n">
        <x:v>200</x:v>
      </x:c>
      <x:c r="I544" s="11" t="n">
        <x:v>1</x:v>
      </x:c>
      <x:c r="J544" s="4" t="str">
        <x:v>https://blog.skyairline.com/voluntariados/</x:v>
      </x:c>
      <x:c r="K544" s="16" t="b">
        <x:v>0</x:v>
      </x:c>
      <x:c r="L544" s="11" t="n">
        <x:v>0</x:v>
      </x:c>
      <x:c r="M544" s="11" t="n">
        <x:v>4</x:v>
      </x:c>
      <x:c r="N544" s="4"/>
      <x:c r="O544" s="4"/>
      <x:c r="P544" s="11" t="n">
        <x:v>0</x:v>
      </x:c>
      <x:c r="Q544" s="11" t="n">
        <x:v>2</x:v>
      </x:c>
      <x:c r="R544" s="11" t="str">
        <x:f>IF(OR(P544="",Q544=""),"",Q544-P544)</x:f>
      </x:c>
      <x:c r="S544" s="13" t="str">
        <x:f>IF(OR(P544="",Q544="",P544=0),"",((Q544/30)/(P544/31))-1)</x:f>
      </x:c>
      <x:c r="T544" s="11" t="n">
        <x:v>70</x:v>
      </x:c>
      <x:c r="U544" s="11" t="n">
        <x:v>173</x:v>
      </x:c>
      <x:c r="V544" s="14" t="n">
        <x:v>0.011560693641618497</x:v>
      </x:c>
      <x:c r="W544" s="12" t="n">
        <x:v>8.023121387283236</x:v>
      </x:c>
      <x:c r="X544" s="11" t="n">
        <x:v>2</x:v>
      </x:c>
      <x:c r="Y544" s="11" t="n">
        <x:v>2</x:v>
      </x:c>
      <x:c r="Z544" s="4" t="str">
        <x:v>https://blog.skyairline.com/voluntariados/</x:v>
      </x:c>
      <x:c r="AA544" s="4" t="str">
        <x:v>https://blog.skyairline.com/voluntariados/</x:v>
      </x:c>
      <x:c r="AB544" s="4" t="str">
        <x:v>Coincidencia URL</x:v>
      </x:c>
      <x:c r="AC544" s="4" t="str">
        <x:v>Publicado hasta septiembre</x:v>
      </x:c>
      <x:c r="AD544" s="4" t="str">
        <x:v>/voluntariados/</x:v>
      </x:c>
      <x:c r="AE544" s="4"/>
      <x:c r="AF544" s="16" t="b">
        <x:v>0</x:v>
      </x:c>
    </x:row>
    <x:row r="545" ht="44" customHeight="1">
      <x:c r="A545" s="4" t="n">
        <x:v>2119</x:v>
      </x:c>
      <x:c r="B545" s="4" t="str">
        <x:v>https://blog.skyairline.com/vida-nocturna-en-sao-paulo/</x:v>
      </x:c>
      <x:c r="C545" s="9" t="str">
        <x:v>Qué hacer de noche en São Paulo</x:v>
      </x:c>
      <x:c r="D545" s="17" t="d">
        <x:v>2026-08-14T00:00:00.000Z</x:v>
      </x:c>
      <x:c r="E545" s="17" t="d">
        <x:v>2026-08-13T00:00:00.000Z</x:v>
      </x:c>
      <x:c r="F545" s="4" t="str">
        <x:v>Destinos</x:v>
      </x:c>
      <x:c r="G545" s="11" t="n">
        <x:v>1147</x:v>
      </x:c>
      <x:c r="H545" s="11" t="n">
        <x:v>200</x:v>
      </x:c>
      <x:c r="I545" s="11" t="n">
        <x:v>1</x:v>
      </x:c>
      <x:c r="J545" s="4" t="str">
        <x:v>https://blog.skyairline.com/vida-nocturna-en-sao-paulo/</x:v>
      </x:c>
      <x:c r="K545" s="16" t="b">
        <x:v>0</x:v>
      </x:c>
      <x:c r="L545" s="11" t="n">
        <x:v>0</x:v>
      </x:c>
      <x:c r="M545" s="11" t="n">
        <x:v>0</x:v>
      </x:c>
      <x:c r="N545" s="4"/>
      <x:c r="O545" s="4"/>
      <x:c r="P545" s="11" t="n">
        <x:v>3</x:v>
      </x:c>
      <x:c r="Q545" s="11" t="n">
        <x:v>2</x:v>
      </x:c>
      <x:c r="R545" s="11" t="n">
        <x:f>IF(OR(P545="",Q545=""),"",Q545-P545)</x:f>
        <x:v>-1</x:v>
      </x:c>
      <x:c r="S545" s="13" t="n">
        <x:f>IF(OR(P545="",Q545="",P545=0),"",((Q545/30)/(P545/31))-1)</x:f>
        <x:v>-0.3111111111111111</x:v>
      </x:c>
      <x:c r="T545" s="11" t="n">
        <x:v>313</x:v>
      </x:c>
      <x:c r="U545" s="11" t="n">
        <x:v>230</x:v>
      </x:c>
      <x:c r="V545" s="14" t="n">
        <x:v>0.008695652173913044</x:v>
      </x:c>
      <x:c r="W545" s="12" t="n">
        <x:v>7.473913043478261</x:v>
      </x:c>
      <x:c r="X545" s="11" t="n">
        <x:v>6</x:v>
      </x:c>
      <x:c r="Y545" s="11" t="n">
        <x:v>5</x:v>
      </x:c>
      <x:c r="Z545" s="4" t="str">
        <x:v>https://blog.skyairline.com/vida-nocturna-en-sao-paulo/</x:v>
      </x:c>
      <x:c r="AA545" s="4" t="str">
        <x:v>https://blog.skyairline.com/vida-nocturna-en-sao-paulo/</x:v>
      </x:c>
      <x:c r="AB545" s="4" t="str">
        <x:v>Coincidencia URL</x:v>
      </x:c>
      <x:c r="AC545" s="4" t="str">
        <x:v>Publicado hasta septiembre</x:v>
      </x:c>
      <x:c r="AD545" s="4" t="str">
        <x:v>/vida-nocturna-en-sao-paulo/</x:v>
      </x:c>
      <x:c r="AE545" s="4"/>
      <x:c r="AF545" s="16" t="b">
        <x:v>0</x:v>
      </x:c>
    </x:row>
    <x:row r="546" ht="44" customHeight="1">
      <x:c r="A546" s="4" t="n">
        <x:v>2259</x:v>
      </x:c>
      <x:c r="B546" s="4" t="str">
        <x:v>https://blog.skyairline.com/transporte-en-chile/</x:v>
      </x:c>
      <x:c r="C546" s="9" t="str">
        <x:v>¿Cómo es el transporte en Chile? ¡Descúbrelo aquí!</x:v>
      </x:c>
      <x:c r="D546" s="17" t="d">
        <x:v>2022-09-08T00:00:00.000Z</x:v>
      </x:c>
      <x:c r="E546" s="17" t="d">
        <x:v>2022-09-08T00:00:00.000Z</x:v>
      </x:c>
      <x:c r="F546" s="4" t="str">
        <x:v>Planificación de Viaje</x:v>
      </x:c>
      <x:c r="G546" s="11" t="n">
        <x:v>977</x:v>
      </x:c>
      <x:c r="H546" s="11" t="n">
        <x:v>200</x:v>
      </x:c>
      <x:c r="I546" s="11" t="n">
        <x:v>1</x:v>
      </x:c>
      <x:c r="J546" s="4" t="str">
        <x:v>https://blog.skyairline.com/transporte-en-chile/</x:v>
      </x:c>
      <x:c r="K546" s="16" t="b">
        <x:v>0</x:v>
      </x:c>
      <x:c r="L546" s="11" t="n">
        <x:v>0</x:v>
      </x:c>
      <x:c r="M546" s="11" t="n">
        <x:v>3</x:v>
      </x:c>
      <x:c r="N546" s="4"/>
      <x:c r="O546" s="4"/>
      <x:c r="P546" s="11" t="n">
        <x:v>0</x:v>
      </x:c>
      <x:c r="Q546" s="11" t="n">
        <x:v>2</x:v>
      </x:c>
      <x:c r="R546" s="11" t="str">
        <x:f>IF(OR(P546="",Q546=""),"",Q546-P546)</x:f>
      </x:c>
      <x:c r="S546" s="13" t="str">
        <x:f>IF(OR(P546="",Q546="",P546=0),"",((Q546/30)/(P546/31))-1)</x:f>
      </x:c>
      <x:c r="T546" s="11" t="n">
        <x:v>287</x:v>
      </x:c>
      <x:c r="U546" s="11" t="n">
        <x:v>259</x:v>
      </x:c>
      <x:c r="V546" s="14" t="n">
        <x:v>0.007722007722007722</x:v>
      </x:c>
      <x:c r="W546" s="12" t="n">
        <x:v>7.934362934362935</x:v>
      </x:c>
      <x:c r="X546" s="11" t="n">
        <x:v>2</x:v>
      </x:c>
      <x:c r="Y546" s="11" t="n">
        <x:v>2</x:v>
      </x:c>
      <x:c r="Z546" s="4" t="str">
        <x:v>https://blog.skyairline.com/transporte-en-chile/</x:v>
      </x:c>
      <x:c r="AA546" s="4" t="str">
        <x:v>https://blog.skyairline.com/transporte-en-chile/</x:v>
      </x:c>
      <x:c r="AB546" s="4" t="str">
        <x:v>Coincidencia URL</x:v>
      </x:c>
      <x:c r="AC546" s="4" t="str">
        <x:v>Publicado hasta septiembre</x:v>
      </x:c>
      <x:c r="AD546" s="4" t="str">
        <x:v>/transporte-en-chile/</x:v>
      </x:c>
      <x:c r="AE546" s="4"/>
      <x:c r="AF546" s="16" t="b">
        <x:v>0</x:v>
      </x:c>
    </x:row>
    <x:row r="547" ht="44" customHeight="1">
      <x:c r="A547" s="4" t="n">
        <x:v>2263</x:v>
      </x:c>
      <x:c r="B547" s="4" t="str">
        <x:v>https://blog.skyairline.com/patagonia-chilena/</x:v>
      </x:c>
      <x:c r="C547" s="9" t="str">
        <x:v>Cómo llegar a la Patagonia Chilena desde Punta Arenas y qué hacer</x:v>
      </x:c>
      <x:c r="D547" s="17" t="d">
        <x:v>2022-09-10T00:00:00.000Z</x:v>
      </x:c>
      <x:c r="E547" s="17" t="d">
        <x:v>2022-09-10T00:00:00.000Z</x:v>
      </x:c>
      <x:c r="F547" s="4" t="str">
        <x:v>Destinos</x:v>
      </x:c>
      <x:c r="G547" s="11" t="n">
        <x:v>1183</x:v>
      </x:c>
      <x:c r="H547" s="11" t="n">
        <x:v>200</x:v>
      </x:c>
      <x:c r="I547" s="11" t="n">
        <x:v>1</x:v>
      </x:c>
      <x:c r="J547" s="4" t="str">
        <x:v>https://blog.skyairline.com/patagonia-chilena/</x:v>
      </x:c>
      <x:c r="K547" s="16" t="b">
        <x:v>0</x:v>
      </x:c>
      <x:c r="L547" s="11" t="n">
        <x:v>0</x:v>
      </x:c>
      <x:c r="M547" s="11" t="n">
        <x:v>5</x:v>
      </x:c>
      <x:c r="N547" s="4"/>
      <x:c r="O547" s="4"/>
      <x:c r="P547" s="11" t="n">
        <x:v>2</x:v>
      </x:c>
      <x:c r="Q547" s="11" t="n">
        <x:v>2</x:v>
      </x:c>
      <x:c r="R547" s="11" t="n">
        <x:f>IF(OR(P547="",Q547=""),"",Q547-P547)</x:f>
        <x:v>0</x:v>
      </x:c>
      <x:c r="S547" s="13" t="n">
        <x:f>IF(OR(P547="",Q547="",P547=0),"",((Q547/30)/(P547/31))-1)</x:f>
        <x:v>0.03333333333333344</x:v>
      </x:c>
      <x:c r="T547" s="11" t="n">
        <x:v>1013</x:v>
      </x:c>
      <x:c r="U547" s="11" t="n">
        <x:v>737</x:v>
      </x:c>
      <x:c r="V547" s="14" t="n">
        <x:v>0.0027137042062415195</x:v>
      </x:c>
      <x:c r="W547" s="12" t="n">
        <x:v>11.035278154681139</x:v>
      </x:c>
      <x:c r="X547" s="11" t="n">
        <x:v>4</x:v>
      </x:c>
      <x:c r="Y547" s="11" t="n">
        <x:v>4</x:v>
      </x:c>
      <x:c r="Z547" s="4" t="str">
        <x:v>https://blog.skyairline.com/patagonia-chilena/</x:v>
      </x:c>
      <x:c r="AA547" s="4" t="str">
        <x:v>https://blog.skyairline.com/patagonia-chilena/</x:v>
      </x:c>
      <x:c r="AB547" s="4" t="str">
        <x:v>Coincidencia URL</x:v>
      </x:c>
      <x:c r="AC547" s="4" t="str">
        <x:v>Publicado hasta septiembre</x:v>
      </x:c>
      <x:c r="AD547" s="4" t="str">
        <x:v>/patagonia-chilena/</x:v>
      </x:c>
      <x:c r="AE547" s="4"/>
      <x:c r="AF547" s="16" t="b">
        <x:v>0</x:v>
      </x:c>
    </x:row>
    <x:row r="548" ht="44" customHeight="1">
      <x:c r="A548" s="4" t="n">
        <x:v>2276</x:v>
      </x:c>
      <x:c r="B548" s="4" t="str">
        <x:v>https://blog.skyairline.com/playa-la-virgen-de-la-region-atacama/</x:v>
      </x:c>
      <x:c r="C548" s="9" t="str">
        <x:v>Playa La Virgen de la Región Atacama: 5 cosas imperdibles de este destino</x:v>
      </x:c>
      <x:c r="D548" s="17" t="d">
        <x:v>2022-09-17T00:00:00.000Z</x:v>
      </x:c>
      <x:c r="E548" s="17" t="d">
        <x:v>2022-09-17T00:00:00.000Z</x:v>
      </x:c>
      <x:c r="F548" s="4" t="str">
        <x:v>Destinos</x:v>
      </x:c>
      <x:c r="G548" s="11" t="n">
        <x:v>1085</x:v>
      </x:c>
      <x:c r="H548" s="11" t="n">
        <x:v>200</x:v>
      </x:c>
      <x:c r="I548" s="11" t="n">
        <x:v>1</x:v>
      </x:c>
      <x:c r="J548" s="4" t="str">
        <x:v>https://blog.skyairline.com/playa-la-virgen-de-la-region-atacama/</x:v>
      </x:c>
      <x:c r="K548" s="16" t="b">
        <x:v>0</x:v>
      </x:c>
      <x:c r="L548" s="11" t="n">
        <x:v>0</x:v>
      </x:c>
      <x:c r="M548" s="11" t="n">
        <x:v>6</x:v>
      </x:c>
      <x:c r="N548" s="4"/>
      <x:c r="O548" s="4"/>
      <x:c r="P548" s="11" t="n">
        <x:v>0</x:v>
      </x:c>
      <x:c r="Q548" s="11" t="n">
        <x:v>2</x:v>
      </x:c>
      <x:c r="R548" s="11" t="str">
        <x:f>IF(OR(P548="",Q548=""),"",Q548-P548)</x:f>
      </x:c>
      <x:c r="S548" s="13" t="str">
        <x:f>IF(OR(P548="",Q548="",P548=0),"",((Q548/30)/(P548/31))-1)</x:f>
      </x:c>
      <x:c r="T548" s="11" t="n">
        <x:v>516</x:v>
      </x:c>
      <x:c r="U548" s="11" t="n">
        <x:v>552</x:v>
      </x:c>
      <x:c r="V548" s="14" t="n">
        <x:v>0.0036231884057971015</x:v>
      </x:c>
      <x:c r="W548" s="12" t="n">
        <x:v>12.068840579710145</x:v>
      </x:c>
      <x:c r="X548" s="11" t="n">
        <x:v>4</x:v>
      </x:c>
      <x:c r="Y548" s="11" t="n">
        <x:v>5</x:v>
      </x:c>
      <x:c r="Z548" s="4" t="str">
        <x:v>https://blog.skyairline.com/playa-la-virgen-de-la-region-atacama/</x:v>
      </x:c>
      <x:c r="AA548" s="4" t="str">
        <x:v>https://blog.skyairline.com/playa-la-virgen-de-la-region-atacama/</x:v>
      </x:c>
      <x:c r="AB548" s="4" t="str">
        <x:v>Coincidencia URL</x:v>
      </x:c>
      <x:c r="AC548" s="4" t="str">
        <x:v>Publicado hasta septiembre</x:v>
      </x:c>
      <x:c r="AD548" s="4" t="str">
        <x:v>/playa-la-virgen-de-la-region-atacama/</x:v>
      </x:c>
      <x:c r="AE548" s="4"/>
      <x:c r="AF548" s="16" t="b">
        <x:v>0</x:v>
      </x:c>
    </x:row>
    <x:row r="549" ht="44" customHeight="1">
      <x:c r="A549" s="4" t="n">
        <x:v>2302</x:v>
      </x:c>
      <x:c r="B549" s="4" t="str">
        <x:v>https://blog.skyairline.com/como-visitar-el-eje-cafetero-desde-el-aeropuerto-el-dorado/</x:v>
      </x:c>
      <x:c r="C549" s="9" t="str">
        <x:v>Cómo visitar el Eje Cafetero desde el aeropuerto El Dorado en Bogotá</x:v>
      </x:c>
      <x:c r="D549" s="17" t="d">
        <x:v>2022-09-27T00:00:00.000Z</x:v>
      </x:c>
      <x:c r="E549" s="17" t="d">
        <x:v>2022-09-27T00:00:00.000Z</x:v>
      </x:c>
      <x:c r="F549" s="4" t="str">
        <x:v>Planificación de Viaje</x:v>
      </x:c>
      <x:c r="G549" s="11" t="n">
        <x:v>1001</x:v>
      </x:c>
      <x:c r="H549" s="11" t="n">
        <x:v>200</x:v>
      </x:c>
      <x:c r="I549" s="11" t="n">
        <x:v>1</x:v>
      </x:c>
      <x:c r="J549" s="4" t="str">
        <x:v>https://blog.skyairline.com/como-visitar-el-eje-cafetero-desde-el-aeropuerto-el-dorado/</x:v>
      </x:c>
      <x:c r="K549" s="16" t="b">
        <x:v>0</x:v>
      </x:c>
      <x:c r="L549" s="11" t="n">
        <x:v>0</x:v>
      </x:c>
      <x:c r="M549" s="11" t="n">
        <x:v>3</x:v>
      </x:c>
      <x:c r="N549" s="4"/>
      <x:c r="O549" s="4"/>
      <x:c r="P549" s="11" t="n">
        <x:v>4</x:v>
      </x:c>
      <x:c r="Q549" s="11" t="n">
        <x:v>2</x:v>
      </x:c>
      <x:c r="R549" s="11" t="n">
        <x:f>IF(OR(P549="",Q549=""),"",Q549-P549)</x:f>
        <x:v>-2</x:v>
      </x:c>
      <x:c r="S549" s="13" t="n">
        <x:f>IF(OR(P549="",Q549="",P549=0),"",((Q549/30)/(P549/31))-1)</x:f>
        <x:v>-0.4833333333333333</x:v>
      </x:c>
      <x:c r="T549" s="11" t="n">
        <x:v>727</x:v>
      </x:c>
      <x:c r="U549" s="11" t="n">
        <x:v>389</x:v>
      </x:c>
      <x:c r="V549" s="14" t="n">
        <x:v>0.005141388174807198</x:v>
      </x:c>
      <x:c r="W549" s="12" t="n">
        <x:v>8.853470437017995</x:v>
      </x:c>
      <x:c r="X549" s="11" t="n">
        <x:v>2</x:v>
      </x:c>
      <x:c r="Y549" s="11" t="n">
        <x:v>2</x:v>
      </x:c>
      <x:c r="Z549" s="4" t="str">
        <x:v>https://blog.skyairline.com/como-visitar-el-eje-cafetero-desde-el-aeropuerto-el-dorado/</x:v>
      </x:c>
      <x:c r="AA549" s="4" t="str">
        <x:v>https://blog.skyairline.com/como-visitar-el-eje-cafetero-desde-el-aeropuerto-el-dorado/</x:v>
      </x:c>
      <x:c r="AB549" s="4" t="str">
        <x:v>Coincidencia URL</x:v>
      </x:c>
      <x:c r="AC549" s="4" t="str">
        <x:v>Publicado hasta septiembre</x:v>
      </x:c>
      <x:c r="AD549" s="4" t="str">
        <x:v>/como-visitar-el-eje-cafetero-desde-el-aeropuerto-el-dorado/</x:v>
      </x:c>
      <x:c r="AE549" s="4"/>
      <x:c r="AF549" s="16" t="b">
        <x:v>0</x:v>
      </x:c>
    </x:row>
    <x:row r="550" ht="44" customHeight="1">
      <x:c r="A550" s="4" t="n">
        <x:v>2351</x:v>
      </x:c>
      <x:c r="B550" s="4" t="str">
        <x:v>https://blog.skyairline.com/noroeste-argentino/</x:v>
      </x:c>
      <x:c r="C550" s="9" t="str">
        <x:v>7 cosas que puedes hacer si visitas el noroeste argentino</x:v>
      </x:c>
      <x:c r="D550" s="17" t="d">
        <x:v>2022-10-03T00:00:00.000Z</x:v>
      </x:c>
      <x:c r="E550" s="17" t="d">
        <x:v>2022-10-03T00:00:00.000Z</x:v>
      </x:c>
      <x:c r="F550" s="4" t="str">
        <x:v>Destinos</x:v>
      </x:c>
      <x:c r="G550" s="11" t="n">
        <x:v>1104</x:v>
      </x:c>
      <x:c r="H550" s="11" t="n">
        <x:v>200</x:v>
      </x:c>
      <x:c r="I550" s="11" t="n">
        <x:v>1</x:v>
      </x:c>
      <x:c r="J550" s="4" t="str">
        <x:v>https://blog.skyairline.com/noroeste-argentino/</x:v>
      </x:c>
      <x:c r="K550" s="16" t="b">
        <x:v>0</x:v>
      </x:c>
      <x:c r="L550" s="11" t="n">
        <x:v>0</x:v>
      </x:c>
      <x:c r="M550" s="11" t="n">
        <x:v>3</x:v>
      </x:c>
      <x:c r="N550" s="4"/>
      <x:c r="O550" s="4"/>
      <x:c r="P550" s="11" t="n">
        <x:v>3</x:v>
      </x:c>
      <x:c r="Q550" s="11" t="n">
        <x:v>2</x:v>
      </x:c>
      <x:c r="R550" s="11" t="n">
        <x:f>IF(OR(P550="",Q550=""),"",Q550-P550)</x:f>
        <x:v>-1</x:v>
      </x:c>
      <x:c r="S550" s="13" t="n">
        <x:f>IF(OR(P550="",Q550="",P550=0),"",((Q550/30)/(P550/31))-1)</x:f>
        <x:v>-0.3111111111111111</x:v>
      </x:c>
      <x:c r="T550" s="11" t="n">
        <x:v>241</x:v>
      </x:c>
      <x:c r="U550" s="11" t="n">
        <x:v>221</x:v>
      </x:c>
      <x:c r="V550" s="14" t="n">
        <x:v>0.00904977375565611</x:v>
      </x:c>
      <x:c r="W550" s="12" t="n">
        <x:v>7.891402714932127</x:v>
      </x:c>
      <x:c r="X550" s="11" t="n">
        <x:v>2</x:v>
      </x:c>
      <x:c r="Y550" s="11" t="n">
        <x:v>2</x:v>
      </x:c>
      <x:c r="Z550" s="4" t="str">
        <x:v>https://blog.skyairline.com/noroeste-argentino/</x:v>
      </x:c>
      <x:c r="AA550" s="4" t="str">
        <x:v>https://blog.skyairline.com/noroeste-argentino/</x:v>
      </x:c>
      <x:c r="AB550" s="4" t="str">
        <x:v>Coincidencia URL</x:v>
      </x:c>
      <x:c r="AC550" s="4" t="str">
        <x:v>Publicado hasta septiembre</x:v>
      </x:c>
      <x:c r="AD550" s="4" t="str">
        <x:v>/noroeste-argentino/</x:v>
      </x:c>
      <x:c r="AE550" s="4"/>
      <x:c r="AF550" s="16" t="b">
        <x:v>0</x:v>
      </x:c>
    </x:row>
    <x:row r="551" ht="44" customHeight="1">
      <x:c r="A551" s="4" t="n">
        <x:v>2370</x:v>
      </x:c>
      <x:c r="B551" s="4" t="str">
        <x:v>https://blog.skyairline.com/co2-vuelos/</x:v>
      </x:c>
      <x:c r="C551" s="9" t="str">
        <x:v>Importancia de la elección de un vuelo que emita menos CO2</x:v>
      </x:c>
      <x:c r="D551" s="17" t="d">
        <x:v>2022-10-09T00:00:00.000Z</x:v>
      </x:c>
      <x:c r="E551" s="17" t="d">
        <x:v>2022-10-09T00:00:00.000Z</x:v>
      </x:c>
      <x:c r="F551" s="4" t="str">
        <x:v>Cultura</x:v>
      </x:c>
      <x:c r="G551" s="11" t="n">
        <x:v>1068</x:v>
      </x:c>
      <x:c r="H551" s="11" t="n">
        <x:v>200</x:v>
      </x:c>
      <x:c r="I551" s="11" t="n">
        <x:v>1</x:v>
      </x:c>
      <x:c r="J551" s="4" t="str">
        <x:v>https://blog.skyairline.com/co2-vuelos/</x:v>
      </x:c>
      <x:c r="K551" s="16" t="b">
        <x:v>0</x:v>
      </x:c>
      <x:c r="L551" s="11" t="n">
        <x:v>0</x:v>
      </x:c>
      <x:c r="M551" s="11" t="n">
        <x:v>5</x:v>
      </x:c>
      <x:c r="N551" s="4"/>
      <x:c r="O551" s="4"/>
      <x:c r="P551" s="11" t="n">
        <x:v>1</x:v>
      </x:c>
      <x:c r="Q551" s="11" t="n">
        <x:v>2</x:v>
      </x:c>
      <x:c r="R551" s="11" t="n">
        <x:f>IF(OR(P551="",Q551=""),"",Q551-P551)</x:f>
        <x:v>1</x:v>
      </x:c>
      <x:c r="S551" s="13" t="n">
        <x:f>IF(OR(P551="",Q551="",P551=0),"",((Q551/30)/(P551/31))-1)</x:f>
        <x:v>1.0666666666666669</x:v>
      </x:c>
      <x:c r="T551" s="11" t="n">
        <x:v>198</x:v>
      </x:c>
      <x:c r="U551" s="11" t="n">
        <x:v>209</x:v>
      </x:c>
      <x:c r="V551" s="14" t="n">
        <x:v>0.009569377990430622</x:v>
      </x:c>
      <x:c r="W551" s="12" t="n">
        <x:v>6.311004784688995</x:v>
      </x:c>
      <x:c r="X551" s="11" t="n">
        <x:v>3</x:v>
      </x:c>
      <x:c r="Y551" s="11" t="n">
        <x:v>2</x:v>
      </x:c>
      <x:c r="Z551" s="4" t="str">
        <x:v>https://blog.skyairline.com/co2-vuelos/</x:v>
      </x:c>
      <x:c r="AA551" s="4" t="str">
        <x:v>https://blog.skyairline.com/co2-vuelos/</x:v>
      </x:c>
      <x:c r="AB551" s="4" t="str">
        <x:v>Coincidencia URL</x:v>
      </x:c>
      <x:c r="AC551" s="4" t="str">
        <x:v>Publicado hasta septiembre</x:v>
      </x:c>
      <x:c r="AD551" s="4" t="str">
        <x:v>/co2-vuelos/</x:v>
      </x:c>
      <x:c r="AE551" s="4"/>
      <x:c r="AF551" s="16" t="b">
        <x:v>0</x:v>
      </x:c>
    </x:row>
    <x:row r="552" ht="44" customHeight="1">
      <x:c r="A552" s="4" t="n">
        <x:v>2439</x:v>
      </x:c>
      <x:c r="B552" s="4" t="str">
        <x:v>https://blog.skyairline.com/viajes-a-valparaiso/</x:v>
      </x:c>
      <x:c r="C552" s="9" t="str">
        <x:v>Viajes a Valparaíso: una guía actualizada para visitantes</x:v>
      </x:c>
      <x:c r="D552" s="17" t="d">
        <x:v>2026-04-02T00:00:00.000Z</x:v>
      </x:c>
      <x:c r="E552" s="17" t="d">
        <x:v>2026-03-24T00:00:00.000Z</x:v>
      </x:c>
      <x:c r="F552" s="4" t="str">
        <x:v>Planificación de Viaje</x:v>
      </x:c>
      <x:c r="G552" s="11" t="n">
        <x:v>1060</x:v>
      </x:c>
      <x:c r="H552" s="11" t="n">
        <x:v>200</x:v>
      </x:c>
      <x:c r="I552" s="11" t="n">
        <x:v>1</x:v>
      </x:c>
      <x:c r="J552" s="4" t="str">
        <x:v>https://blog.skyairline.com/viajes-a-valparaiso/</x:v>
      </x:c>
      <x:c r="K552" s="16" t="b">
        <x:v>0</x:v>
      </x:c>
      <x:c r="L552" s="11" t="n">
        <x:v>0</x:v>
      </x:c>
      <x:c r="M552" s="11" t="n">
        <x:v>0</x:v>
      </x:c>
      <x:c r="N552" s="4"/>
      <x:c r="O552" s="4"/>
      <x:c r="P552" s="11" t="n">
        <x:v>1</x:v>
      </x:c>
      <x:c r="Q552" s="11" t="n">
        <x:v>2</x:v>
      </x:c>
      <x:c r="R552" s="11" t="n">
        <x:f>IF(OR(P552="",Q552=""),"",Q552-P552)</x:f>
        <x:v>1</x:v>
      </x:c>
      <x:c r="S552" s="13" t="n">
        <x:f>IF(OR(P552="",Q552="",P552=0),"",((Q552/30)/(P552/31))-1)</x:f>
        <x:v>1.0666666666666669</x:v>
      </x:c>
      <x:c r="T552" s="11" t="n">
        <x:v>233</x:v>
      </x:c>
      <x:c r="U552" s="11" t="n">
        <x:v>185</x:v>
      </x:c>
      <x:c r="V552" s="14" t="n">
        <x:v>0.010810810810810811</x:v>
      </x:c>
      <x:c r="W552" s="12" t="n">
        <x:v>10.87027027027027</x:v>
      </x:c>
      <x:c r="X552" s="11" t="n">
        <x:v>4</x:v>
      </x:c>
      <x:c r="Y552" s="11" t="n">
        <x:v>5</x:v>
      </x:c>
      <x:c r="Z552" s="4" t="str">
        <x:v>https://blog.skyairline.com/viajes-a-valparaiso/</x:v>
      </x:c>
      <x:c r="AA552" s="4" t="str">
        <x:v>https://blog.skyairline.com/viajes-a-valparaiso/</x:v>
      </x:c>
      <x:c r="AB552" s="4" t="str">
        <x:v>Coincidencia URL</x:v>
      </x:c>
      <x:c r="AC552" s="4" t="str">
        <x:v>Publicado hasta septiembre</x:v>
      </x:c>
      <x:c r="AD552" s="4" t="str">
        <x:v>/viajes-a-valparaiso/</x:v>
      </x:c>
      <x:c r="AE552" s="4"/>
      <x:c r="AF552" s="16" t="b">
        <x:v>0</x:v>
      </x:c>
    </x:row>
    <x:row r="553" ht="44" customHeight="1">
      <x:c r="A553" s="4" t="n">
        <x:v>2442</x:v>
      </x:c>
      <x:c r="B553" s="4" t="str">
        <x:v>https://blog.skyairline.com/viaje-a-sao-paulo/</x:v>
      </x:c>
      <x:c r="C553" s="9" t="str">
        <x:v>10 consejos para tu viaje a São Paulo</x:v>
      </x:c>
      <x:c r="D553" s="17" t="d">
        <x:v>2026-08-14T00:00:00.000Z</x:v>
      </x:c>
      <x:c r="E553" s="17" t="d">
        <x:v>2026-08-13T00:00:00.000Z</x:v>
      </x:c>
      <x:c r="F553" s="4" t="str">
        <x:v>Destinos</x:v>
      </x:c>
      <x:c r="G553" s="11" t="n">
        <x:v>1068</x:v>
      </x:c>
      <x:c r="H553" s="11" t="n">
        <x:v>200</x:v>
      </x:c>
      <x:c r="I553" s="11" t="n">
        <x:v>1</x:v>
      </x:c>
      <x:c r="J553" s="4" t="str">
        <x:v>https://blog.skyairline.com/viaje-a-sao-paulo/</x:v>
      </x:c>
      <x:c r="K553" s="16" t="b">
        <x:v>0</x:v>
      </x:c>
      <x:c r="L553" s="11" t="n">
        <x:v>0</x:v>
      </x:c>
      <x:c r="M553" s="11" t="n">
        <x:v>0</x:v>
      </x:c>
      <x:c r="N553" s="4"/>
      <x:c r="O553" s="4"/>
      <x:c r="P553" s="11" t="n">
        <x:v>1</x:v>
      </x:c>
      <x:c r="Q553" s="11" t="n">
        <x:v>2</x:v>
      </x:c>
      <x:c r="R553" s="11" t="n">
        <x:f>IF(OR(P553="",Q553=""),"",Q553-P553)</x:f>
        <x:v>1</x:v>
      </x:c>
      <x:c r="S553" s="13" t="n">
        <x:f>IF(OR(P553="",Q553="",P553=0),"",((Q553/30)/(P553/31))-1)</x:f>
        <x:v>1.0666666666666669</x:v>
      </x:c>
      <x:c r="T553" s="11" t="n">
        <x:v>55</x:v>
      </x:c>
      <x:c r="U553" s="11" t="n">
        <x:v>73</x:v>
      </x:c>
      <x:c r="V553" s="14" t="n">
        <x:v>0.0273972602739726</x:v>
      </x:c>
      <x:c r="W553" s="12" t="n">
        <x:v>8.698630136986301</x:v>
      </x:c>
      <x:c r="X553" s="11" t="n">
        <x:v>1</x:v>
      </x:c>
      <x:c r="Y553" s="11" t="n">
        <x:v>1</x:v>
      </x:c>
      <x:c r="Z553" s="4" t="str">
        <x:v>https://blog.skyairline.com/viaje-a-sao-paulo/</x:v>
      </x:c>
      <x:c r="AA553" s="4" t="str">
        <x:v>https://blog.skyairline.com/viaje-a-sao-paulo/</x:v>
      </x:c>
      <x:c r="AB553" s="4" t="str">
        <x:v>Coincidencia URL</x:v>
      </x:c>
      <x:c r="AC553" s="4" t="str">
        <x:v>Publicado hasta septiembre</x:v>
      </x:c>
      <x:c r="AD553" s="4" t="str">
        <x:v>/viaje-a-sao-paulo/</x:v>
      </x:c>
      <x:c r="AE553" s="4"/>
      <x:c r="AF553" s="16" t="b">
        <x:v>0</x:v>
      </x:c>
    </x:row>
    <x:row r="554" ht="44" customHeight="1">
      <x:c r="A554" s="4" t="n">
        <x:v>2448</x:v>
      </x:c>
      <x:c r="B554" s="4" t="str">
        <x:v>https://blog.skyairline.com/ciudad-de-mendoza/</x:v>
      </x:c>
      <x:c r="C554" s="9" t="str">
        <x:v>6 cosas para hacer si viajas a Ciudad de Mendoza</x:v>
      </x:c>
      <x:c r="D554" s="17" t="d">
        <x:v>2022-11-03T00:00:00.000Z</x:v>
      </x:c>
      <x:c r="E554" s="17" t="d">
        <x:v>2022-11-03T00:00:00.000Z</x:v>
      </x:c>
      <x:c r="F554" s="4" t="str">
        <x:v>Destinos</x:v>
      </x:c>
      <x:c r="G554" s="11" t="n">
        <x:v>933</x:v>
      </x:c>
      <x:c r="H554" s="11" t="n">
        <x:v>200</x:v>
      </x:c>
      <x:c r="I554" s="11" t="n">
        <x:v>1</x:v>
      </x:c>
      <x:c r="J554" s="4" t="str">
        <x:v>https://blog.skyairline.com/ciudad-de-mendoza/</x:v>
      </x:c>
      <x:c r="K554" s="16" t="b">
        <x:v>0</x:v>
      </x:c>
      <x:c r="L554" s="11" t="n">
        <x:v>0</x:v>
      </x:c>
      <x:c r="M554" s="11" t="n">
        <x:v>3</x:v>
      </x:c>
      <x:c r="N554" s="4"/>
      <x:c r="O554" s="4"/>
      <x:c r="P554" s="11" t="n">
        <x:v>3</x:v>
      </x:c>
      <x:c r="Q554" s="11" t="n">
        <x:v>2</x:v>
      </x:c>
      <x:c r="R554" s="11" t="n">
        <x:f>IF(OR(P554="",Q554=""),"",Q554-P554)</x:f>
        <x:v>-1</x:v>
      </x:c>
      <x:c r="S554" s="13" t="n">
        <x:f>IF(OR(P554="",Q554="",P554=0),"",((Q554/30)/(P554/31))-1)</x:f>
        <x:v>-0.3111111111111111</x:v>
      </x:c>
      <x:c r="T554" s="11" t="n">
        <x:v>962</x:v>
      </x:c>
      <x:c r="U554" s="11" t="n">
        <x:v>354</x:v>
      </x:c>
      <x:c r="V554" s="14" t="n">
        <x:v>0.005649717514124294</x:v>
      </x:c>
      <x:c r="W554" s="12" t="n">
        <x:v>10.889830508474576</x:v>
      </x:c>
      <x:c r="X554" s="11" t="n">
        <x:v>2</x:v>
      </x:c>
      <x:c r="Y554" s="11" t="n">
        <x:v>2</x:v>
      </x:c>
      <x:c r="Z554" s="4" t="str">
        <x:v>https://blog.skyairline.com/ciudad-de-mendoza/</x:v>
      </x:c>
      <x:c r="AA554" s="4" t="str">
        <x:v>https://blog.skyairline.com/ciudad-de-mendoza/</x:v>
      </x:c>
      <x:c r="AB554" s="4" t="str">
        <x:v>Coincidencia URL</x:v>
      </x:c>
      <x:c r="AC554" s="4" t="str">
        <x:v>Publicado hasta septiembre</x:v>
      </x:c>
      <x:c r="AD554" s="4" t="str">
        <x:v>/ciudad-de-mendoza/</x:v>
      </x:c>
      <x:c r="AE554" s="4"/>
      <x:c r="AF554" s="16" t="b">
        <x:v>0</x:v>
      </x:c>
    </x:row>
    <x:row r="555" ht="44" customHeight="1">
      <x:c r="A555" s="4" t="n">
        <x:v>2457</x:v>
      </x:c>
      <x:c r="B555" s="4" t="str">
        <x:v>https://blog.skyairline.com/termas-en-el-sur-de-chile/</x:v>
      </x:c>
      <x:c r="C555" s="9" t="str">
        <x:v>Termas del sur de Chile: guía 2026 para elegir, planificar y disfrutar</x:v>
      </x:c>
      <x:c r="D555" s="17" t="d">
        <x:v>2026-04-14T00:00:00.000Z</x:v>
      </x:c>
      <x:c r="E555" s="17" t="d">
        <x:v>2026-04-14T00:00:00.000Z</x:v>
      </x:c>
      <x:c r="F555" s="4" t="str">
        <x:v>Destinos</x:v>
      </x:c>
      <x:c r="G555" s="11" t="n">
        <x:v>1057</x:v>
      </x:c>
      <x:c r="H555" s="11" t="n">
        <x:v>200</x:v>
      </x:c>
      <x:c r="I555" s="11" t="n">
        <x:v>1</x:v>
      </x:c>
      <x:c r="J555" s="4" t="str">
        <x:v>https://blog.skyairline.com/termas-en-el-sur-de-chile/</x:v>
      </x:c>
      <x:c r="K555" s="16" t="b">
        <x:v>0</x:v>
      </x:c>
      <x:c r="L555" s="11" t="n">
        <x:v>0</x:v>
      </x:c>
      <x:c r="M555" s="11" t="n">
        <x:v>0</x:v>
      </x:c>
      <x:c r="N555" s="4"/>
      <x:c r="O555" s="4"/>
      <x:c r="P555" s="11" t="n">
        <x:v>6</x:v>
      </x:c>
      <x:c r="Q555" s="11" t="n">
        <x:v>2</x:v>
      </x:c>
      <x:c r="R555" s="11" t="n">
        <x:f>IF(OR(P555="",Q555=""),"",Q555-P555)</x:f>
        <x:v>-4</x:v>
      </x:c>
      <x:c r="S555" s="13" t="n">
        <x:f>IF(OR(P555="",Q555="",P555=0),"",((Q555/30)/(P555/31))-1)</x:f>
        <x:v>-0.6555555555555556</x:v>
      </x:c>
      <x:c r="T555" s="11" t="n">
        <x:v>887</x:v>
      </x:c>
      <x:c r="U555" s="11" t="n">
        <x:v>401</x:v>
      </x:c>
      <x:c r="V555" s="14" t="n">
        <x:v>0.004987531172069825</x:v>
      </x:c>
      <x:c r="W555" s="12" t="n">
        <x:v>14.309226932668329</x:v>
      </x:c>
      <x:c r="X555" s="11" t="n">
        <x:v>2</x:v>
      </x:c>
      <x:c r="Y555" s="11" t="n">
        <x:v>2</x:v>
      </x:c>
      <x:c r="Z555" s="4" t="str">
        <x:v>https://blog.skyairline.com/termas-en-el-sur-de-chile/</x:v>
      </x:c>
      <x:c r="AA555" s="4" t="str">
        <x:v>https://blog.skyairline.com/termas-en-el-sur-de-chile/
https://blog.skyairline.com/termas-en-el-sur-de-chile</x:v>
      </x:c>
      <x:c r="AB555" s="4" t="str">
        <x:v>Alias slash agregado</x:v>
      </x:c>
      <x:c r="AC555" s="4" t="str">
        <x:v>Publicado hasta septiembre</x:v>
      </x:c>
      <x:c r="AD555" s="4" t="str">
        <x:v>/termas-en-el-sur-de-chile/</x:v>
      </x:c>
      <x:c r="AE555" s="4"/>
      <x:c r="AF555" s="16" t="b">
        <x:v>0</x:v>
      </x:c>
    </x:row>
    <x:row r="556" ht="44" customHeight="1">
      <x:c r="A556" s="4" t="n">
        <x:v>2463</x:v>
      </x:c>
      <x:c r="B556" s="4" t="str">
        <x:v>https://blog.skyairline.com/fiestas-en-halloween/</x:v>
      </x:c>
      <x:c r="C556" s="9" t="str">
        <x:v>Principales fiestas en Halloween que puedes disfrutar en Latinoamérica y Miami</x:v>
      </x:c>
      <x:c r="D556" s="17" t="d">
        <x:v>2022-11-09T00:00:00.000Z</x:v>
      </x:c>
      <x:c r="E556" s="17" t="d">
        <x:v>2022-11-09T00:00:00.000Z</x:v>
      </x:c>
      <x:c r="F556" s="4" t="str">
        <x:v>Cultura</x:v>
      </x:c>
      <x:c r="G556" s="11" t="n">
        <x:v>1098</x:v>
      </x:c>
      <x:c r="H556" s="11" t="n">
        <x:v>200</x:v>
      </x:c>
      <x:c r="I556" s="11" t="n">
        <x:v>1</x:v>
      </x:c>
      <x:c r="J556" s="4" t="str">
        <x:v>https://blog.skyairline.com/fiestas-en-halloween/</x:v>
      </x:c>
      <x:c r="K556" s="16" t="b">
        <x:v>0</x:v>
      </x:c>
      <x:c r="L556" s="11" t="n">
        <x:v>0</x:v>
      </x:c>
      <x:c r="M556" s="11" t="n">
        <x:v>3</x:v>
      </x:c>
      <x:c r="N556" s="4"/>
      <x:c r="O556" s="4"/>
      <x:c r="P556" s="11" t="n">
        <x:v>3</x:v>
      </x:c>
      <x:c r="Q556" s="11" t="n">
        <x:v>2</x:v>
      </x:c>
      <x:c r="R556" s="11" t="n">
        <x:f>IF(OR(P556="",Q556=""),"",Q556-P556)</x:f>
        <x:v>-1</x:v>
      </x:c>
      <x:c r="S556" s="13" t="n">
        <x:f>IF(OR(P556="",Q556="",P556=0),"",((Q556/30)/(P556/31))-1)</x:f>
        <x:v>-0.3111111111111111</x:v>
      </x:c>
      <x:c r="T556" s="11" t="n">
        <x:v>122</x:v>
      </x:c>
      <x:c r="U556" s="11" t="n">
        <x:v>215</x:v>
      </x:c>
      <x:c r="V556" s="14" t="n">
        <x:v>0.009302325581395349</x:v>
      </x:c>
      <x:c r="W556" s="12" t="n">
        <x:v>8.851162790697675</x:v>
      </x:c>
      <x:c r="X556" s="11" t="n">
        <x:v>2</x:v>
      </x:c>
      <x:c r="Y556" s="11" t="n">
        <x:v>2</x:v>
      </x:c>
      <x:c r="Z556" s="4" t="str">
        <x:v>https://blog.skyairline.com/fiestas-en-halloween/</x:v>
      </x:c>
      <x:c r="AA556" s="4" t="str">
        <x:v>https://blog.skyairline.com/fiestas-en-halloween/</x:v>
      </x:c>
      <x:c r="AB556" s="4" t="str">
        <x:v>Coincidencia URL</x:v>
      </x:c>
      <x:c r="AC556" s="4" t="str">
        <x:v>Publicado hasta septiembre</x:v>
      </x:c>
      <x:c r="AD556" s="4" t="str">
        <x:v>/fiestas-en-halloween/</x:v>
      </x:c>
      <x:c r="AE556" s="4"/>
      <x:c r="AF556" s="16" t="b">
        <x:v>0</x:v>
      </x:c>
    </x:row>
    <x:row r="557" ht="44" customHeight="1">
      <x:c r="A557" s="4" t="n">
        <x:v>2527</x:v>
      </x:c>
      <x:c r="B557" s="4" t="str">
        <x:v>https://blog.skyairline.com/puerto-natales-2/</x:v>
      </x:c>
      <x:c r="C557" s="9" t="str">
        <x:v>7 lugares para hacer trekking y caminatas en Puerto Natales</x:v>
      </x:c>
      <x:c r="D557" s="17" t="d">
        <x:v>2022-11-28T00:00:00.000Z</x:v>
      </x:c>
      <x:c r="E557" s="17" t="d">
        <x:v>2022-11-28T00:00:00.000Z</x:v>
      </x:c>
      <x:c r="F557" s="4" t="str">
        <x:v>Destinos</x:v>
      </x:c>
      <x:c r="G557" s="11" t="n">
        <x:v>1126</x:v>
      </x:c>
      <x:c r="H557" s="11" t="n">
        <x:v>200</x:v>
      </x:c>
      <x:c r="I557" s="11" t="n">
        <x:v>1</x:v>
      </x:c>
      <x:c r="J557" s="4" t="str">
        <x:v>https://blog.skyairline.com/puerto-natales-2/</x:v>
      </x:c>
      <x:c r="K557" s="16" t="b">
        <x:v>0</x:v>
      </x:c>
      <x:c r="L557" s="11" t="n">
        <x:v>0</x:v>
      </x:c>
      <x:c r="M557" s="11" t="n">
        <x:v>0</x:v>
      </x:c>
      <x:c r="N557" s="4"/>
      <x:c r="O557" s="4"/>
      <x:c r="P557" s="11" t="n">
        <x:v>1</x:v>
      </x:c>
      <x:c r="Q557" s="11" t="n">
        <x:v>2</x:v>
      </x:c>
      <x:c r="R557" s="11" t="n">
        <x:f>IF(OR(P557="",Q557=""),"",Q557-P557)</x:f>
        <x:v>1</x:v>
      </x:c>
      <x:c r="S557" s="13" t="n">
        <x:f>IF(OR(P557="",Q557="",P557=0),"",((Q557/30)/(P557/31))-1)</x:f>
        <x:v>1.0666666666666669</x:v>
      </x:c>
      <x:c r="T557" s="11" t="n">
        <x:v>196</x:v>
      </x:c>
      <x:c r="U557" s="11" t="n">
        <x:v>315</x:v>
      </x:c>
      <x:c r="V557" s="14" t="n">
        <x:v>0.006349206349206349</x:v>
      </x:c>
      <x:c r="W557" s="12" t="n">
        <x:v>7.974603174603175</x:v>
      </x:c>
      <x:c r="X557" s="11" t="n">
        <x:v>3</x:v>
      </x:c>
      <x:c r="Y557" s="11" t="n">
        <x:v>5</x:v>
      </x:c>
      <x:c r="Z557" s="4" t="str">
        <x:v>https://blog.skyairline.com/puerto-natales-2/</x:v>
      </x:c>
      <x:c r="AA557" s="4" t="str">
        <x:v>https://blog.skyairline.com/puerto-natales-2/</x:v>
      </x:c>
      <x:c r="AB557" s="4" t="str">
        <x:v>Coincidencia URL</x:v>
      </x:c>
      <x:c r="AC557" s="4" t="str">
        <x:v>Publicado hasta septiembre</x:v>
      </x:c>
      <x:c r="AD557" s="4" t="str">
        <x:v>/puerto-natales-2/</x:v>
      </x:c>
      <x:c r="AE557" s="4"/>
      <x:c r="AF557" s="16" t="b">
        <x:v>0</x:v>
      </x:c>
    </x:row>
    <x:row r="558" ht="44" customHeight="1">
      <x:c r="A558" s="4" t="n">
        <x:v>2614</x:v>
      </x:c>
      <x:c r="B558" s="4" t="str">
        <x:v>https://blog.skyairline.com/playa-copacabana/</x:v>
      </x:c>
      <x:c r="C558" s="9" t="str">
        <x:v>Playa de Copacabana: lo mejor de Río de Janeiro</x:v>
      </x:c>
      <x:c r="D558" s="17" t="d">
        <x:v>2024-11-25T00:00:00.000Z</x:v>
      </x:c>
      <x:c r="E558" s="17" t="d">
        <x:v>2024-11-25T00:00:00.000Z</x:v>
      </x:c>
      <x:c r="F558" s="4" t="str">
        <x:v>Destinos</x:v>
      </x:c>
      <x:c r="G558" s="11" t="n">
        <x:v>2434</x:v>
      </x:c>
      <x:c r="H558" s="11" t="n">
        <x:v>200</x:v>
      </x:c>
      <x:c r="I558" s="11" t="n">
        <x:v>1</x:v>
      </x:c>
      <x:c r="J558" s="4" t="str">
        <x:v>https://blog.skyairline.com/playa-copacabana/</x:v>
      </x:c>
      <x:c r="K558" s="16" t="b">
        <x:v>0</x:v>
      </x:c>
      <x:c r="L558" s="11" t="n">
        <x:v>0</x:v>
      </x:c>
      <x:c r="M558" s="11" t="n">
        <x:v>3</x:v>
      </x:c>
      <x:c r="N558" s="4"/>
      <x:c r="O558" s="4"/>
      <x:c r="P558" s="11" t="n">
        <x:v>2</x:v>
      </x:c>
      <x:c r="Q558" s="11" t="n">
        <x:v>2</x:v>
      </x:c>
      <x:c r="R558" s="11" t="n">
        <x:f>IF(OR(P558="",Q558=""),"",Q558-P558)</x:f>
        <x:v>0</x:v>
      </x:c>
      <x:c r="S558" s="13" t="n">
        <x:f>IF(OR(P558="",Q558="",P558=0),"",((Q558/30)/(P558/31))-1)</x:f>
        <x:v>0.03333333333333344</x:v>
      </x:c>
      <x:c r="T558" s="11" t="n">
        <x:v>1005</x:v>
      </x:c>
      <x:c r="U558" s="11" t="n">
        <x:v>838</x:v>
      </x:c>
      <x:c r="V558" s="14" t="n">
        <x:v>0.002386634844868735</x:v>
      </x:c>
      <x:c r="W558" s="12" t="n">
        <x:v>14.890214797136037</x:v>
      </x:c>
      <x:c r="X558" s="11" t="n">
        <x:v>10</x:v>
      </x:c>
      <x:c r="Y558" s="11" t="n">
        <x:v>9</x:v>
      </x:c>
      <x:c r="Z558" s="4" t="str">
        <x:v>https://blog.skyairline.com/playa-copacabana/</x:v>
      </x:c>
      <x:c r="AA558" s="4" t="str">
        <x:v>https://blog.skyairline.com/playa-copacabana/</x:v>
      </x:c>
      <x:c r="AB558" s="4" t="str">
        <x:v>Coincidencia URL</x:v>
      </x:c>
      <x:c r="AC558" s="4" t="str">
        <x:v>Publicado hasta septiembre</x:v>
      </x:c>
      <x:c r="AD558" s="4" t="str">
        <x:v>/playa-copacabana/</x:v>
      </x:c>
      <x:c r="AE558" s="4"/>
      <x:c r="AF558" s="16" t="b">
        <x:v>0</x:v>
      </x:c>
    </x:row>
    <x:row r="559" ht="44" customHeight="1">
      <x:c r="A559" s="4" t="n">
        <x:v>2629</x:v>
      </x:c>
      <x:c r="B559" s="4" t="str">
        <x:v>https://blog.skyairline.com/verano-en-chile-3/</x:v>
      </x:c>
      <x:c r="C559" s="9" t="str">
        <x:v>Vacaciones de verano en Chile: ¿mar o lago? Viña del Mar vs. Pucón</x:v>
      </x:c>
      <x:c r="D559" s="17" t="d">
        <x:v>2026-10-07T00:00:00.000Z</x:v>
      </x:c>
      <x:c r="E559" s="17" t="d">
        <x:v>2026-09-22T00:00:00.000Z</x:v>
      </x:c>
      <x:c r="F559" s="4" t="str">
        <x:v>Destinos</x:v>
      </x:c>
      <x:c r="G559" s="11" t="n">
        <x:v>1115</x:v>
      </x:c>
      <x:c r="H559" s="11" t="n">
        <x:v>200</x:v>
      </x:c>
      <x:c r="I559" s="11" t="n">
        <x:v>1</x:v>
      </x:c>
      <x:c r="J559" s="4" t="str">
        <x:v>https://blog.skyairline.com/verano-en-chile-3/</x:v>
      </x:c>
      <x:c r="K559" s="16" t="b">
        <x:v>0</x:v>
      </x:c>
      <x:c r="L559" s="11" t="n">
        <x:v>0</x:v>
      </x:c>
      <x:c r="M559" s="11" t="n">
        <x:v>0</x:v>
      </x:c>
      <x:c r="N559" s="4"/>
      <x:c r="O559" s="4"/>
      <x:c r="P559" s="11" t="n">
        <x:v>1</x:v>
      </x:c>
      <x:c r="Q559" s="11" t="n">
        <x:v>2</x:v>
      </x:c>
      <x:c r="R559" s="11" t="n">
        <x:f>IF(OR(P559="",Q559=""),"",Q559-P559)</x:f>
        <x:v>1</x:v>
      </x:c>
      <x:c r="S559" s="13" t="n">
        <x:f>IF(OR(P559="",Q559="",P559=0),"",((Q559/30)/(P559/31))-1)</x:f>
        <x:v>1.0666666666666669</x:v>
      </x:c>
      <x:c r="T559" s="11" t="n">
        <x:v>287</x:v>
      </x:c>
      <x:c r="U559" s="11" t="n">
        <x:v>140</x:v>
      </x:c>
      <x:c r="V559" s="14" t="n">
        <x:v>0.014285714285714285</x:v>
      </x:c>
      <x:c r="W559" s="12" t="n">
        <x:v>14.557142857142857</x:v>
      </x:c>
      <x:c r="X559" s="11" t="n">
        <x:v>4</x:v>
      </x:c>
      <x:c r="Y559" s="11" t="n">
        <x:v>5</x:v>
      </x:c>
      <x:c r="Z559" s="4" t="str">
        <x:v>https://blog.skyairline.com/verano-en-chile-3/</x:v>
      </x:c>
      <x:c r="AA559" s="4" t="str">
        <x:v>https://blog.skyairline.com/verano-en-chile-3/</x:v>
      </x:c>
      <x:c r="AB559" s="4" t="str">
        <x:v>Coincidencia URL</x:v>
      </x:c>
      <x:c r="AC559" s="4" t="str">
        <x:v>Publicado después del mes</x:v>
      </x:c>
      <x:c r="AD559" s="4" t="str">
        <x:v>/verano-en-chile-3/</x:v>
      </x:c>
      <x:c r="AE559" s="4"/>
      <x:c r="AF559" s="16" t="b">
        <x:v>0</x:v>
      </x:c>
    </x:row>
    <x:row r="560" ht="44" customHeight="1">
      <x:c r="A560" s="4" t="n">
        <x:v>2759</x:v>
      </x:c>
      <x:c r="B560" s="4" t="str">
        <x:v>https://blog.skyairline.com/ciudades-de-peru/</x:v>
      </x:c>
      <x:c r="C560" s="9" t="str">
        <x:v>Ciudades imperdibles: top de ciudades de Perú para explorar</x:v>
      </x:c>
      <x:c r="D560" s="17" t="d">
        <x:v>2025-10-14T00:00:00.000Z</x:v>
      </x:c>
      <x:c r="E560" s="17" t="d">
        <x:v>2026-01-12T00:00:00.000Z</x:v>
      </x:c>
      <x:c r="F560" s="4" t="str">
        <x:v>Planificación de Viaje</x:v>
      </x:c>
      <x:c r="G560" s="11" t="n">
        <x:v>1006</x:v>
      </x:c>
      <x:c r="H560" s="11" t="n">
        <x:v>200</x:v>
      </x:c>
      <x:c r="I560" s="11" t="n">
        <x:v>1</x:v>
      </x:c>
      <x:c r="J560" s="4" t="str">
        <x:v>https://blog.skyairline.com/ciudades-de-peru/</x:v>
      </x:c>
      <x:c r="K560" s="16" t="b">
        <x:v>0</x:v>
      </x:c>
      <x:c r="L560" s="11" t="n">
        <x:v>0</x:v>
      </x:c>
      <x:c r="M560" s="11" t="n">
        <x:v>6</x:v>
      </x:c>
      <x:c r="N560" s="4"/>
      <x:c r="O560" s="4"/>
      <x:c r="P560" s="11" t="n">
        <x:v>2</x:v>
      </x:c>
      <x:c r="Q560" s="11" t="n">
        <x:v>2</x:v>
      </x:c>
      <x:c r="R560" s="11" t="n">
        <x:f>IF(OR(P560="",Q560=""),"",Q560-P560)</x:f>
        <x:v>0</x:v>
      </x:c>
      <x:c r="S560" s="13" t="n">
        <x:f>IF(OR(P560="",Q560="",P560=0),"",((Q560/30)/(P560/31))-1)</x:f>
        <x:v>0.03333333333333344</x:v>
      </x:c>
      <x:c r="T560" s="11" t="n">
        <x:v>1685</x:v>
      </x:c>
      <x:c r="U560" s="11" t="n">
        <x:v>758</x:v>
      </x:c>
      <x:c r="V560" s="14" t="n">
        <x:v>0.002638522427440633</x:v>
      </x:c>
      <x:c r="W560" s="12" t="n">
        <x:v>12.353562005277045</x:v>
      </x:c>
      <x:c r="X560" s="11" t="n">
        <x:v>2</x:v>
      </x:c>
      <x:c r="Y560" s="11" t="n">
        <x:v>2</x:v>
      </x:c>
      <x:c r="Z560" s="4" t="str">
        <x:v>https://blog.skyairline.com/ciudades-de-peru/</x:v>
      </x:c>
      <x:c r="AA560" s="4" t="str">
        <x:v>https://blog.skyairline.com/ciudades-de-peru/</x:v>
      </x:c>
      <x:c r="AB560" s="4" t="str">
        <x:v>Coincidencia URL</x:v>
      </x:c>
      <x:c r="AC560" s="4" t="str">
        <x:v>Publicado hasta septiembre</x:v>
      </x:c>
      <x:c r="AD560" s="4" t="str">
        <x:v>/ciudades-de-peru/</x:v>
      </x:c>
      <x:c r="AE560" s="4"/>
      <x:c r="AF560" s="16" t="b">
        <x:v>0</x:v>
      </x:c>
    </x:row>
    <x:row r="561" ht="44" customHeight="1">
      <x:c r="A561" s="4" t="n">
        <x:v>2763</x:v>
      </x:c>
      <x:c r="B561" s="4" t="str">
        <x:v>https://blog.skyairline.com/baquedano/</x:v>
      </x:c>
      <x:c r="C561" s="9" t="str">
        <x:v>Baquedano: conoce esta calle histórica de Iquique</x:v>
      </x:c>
      <x:c r="D561" s="17" t="d">
        <x:v>2023-03-24T00:00:00.000Z</x:v>
      </x:c>
      <x:c r="E561" s="17" t="d">
        <x:v>2023-03-24T00:00:00.000Z</x:v>
      </x:c>
      <x:c r="F561" s="4" t="str">
        <x:v>Destinos</x:v>
      </x:c>
      <x:c r="G561" s="11" t="n">
        <x:v>1034</x:v>
      </x:c>
      <x:c r="H561" s="11" t="n">
        <x:v>200</x:v>
      </x:c>
      <x:c r="I561" s="11" t="n">
        <x:v>1</x:v>
      </x:c>
      <x:c r="J561" s="4" t="str">
        <x:v>https://blog.skyairline.com/baquedano/</x:v>
      </x:c>
      <x:c r="K561" s="16" t="b">
        <x:v>0</x:v>
      </x:c>
      <x:c r="L561" s="11" t="n">
        <x:v>0</x:v>
      </x:c>
      <x:c r="M561" s="11" t="n">
        <x:v>5</x:v>
      </x:c>
      <x:c r="N561" s="4"/>
      <x:c r="O561" s="4"/>
      <x:c r="P561" s="11" t="n">
        <x:v>0</x:v>
      </x:c>
      <x:c r="Q561" s="11" t="n">
        <x:v>2</x:v>
      </x:c>
      <x:c r="R561" s="11" t="str">
        <x:f>IF(OR(P561="",Q561=""),"",Q561-P561)</x:f>
      </x:c>
      <x:c r="S561" s="13" t="str">
        <x:f>IF(OR(P561="",Q561="",P561=0),"",((Q561/30)/(P561/31))-1)</x:f>
      </x:c>
      <x:c r="T561" s="11" t="n">
        <x:v>540</x:v>
      </x:c>
      <x:c r="U561" s="11" t="n">
        <x:v>484</x:v>
      </x:c>
      <x:c r="V561" s="14" t="n">
        <x:v>0.004132231404958678</x:v>
      </x:c>
      <x:c r="W561" s="12" t="n">
        <x:v>8.661157024793388</x:v>
      </x:c>
      <x:c r="X561" s="11" t="n">
        <x:v>5</x:v>
      </x:c>
      <x:c r="Y561" s="11" t="n">
        <x:v>6</x:v>
      </x:c>
      <x:c r="Z561" s="4" t="str">
        <x:v>https://blog.skyairline.com/baquedano/</x:v>
      </x:c>
      <x:c r="AA561" s="4" t="str">
        <x:v>https://blog.skyairline.com/baquedano/</x:v>
      </x:c>
      <x:c r="AB561" s="4" t="str">
        <x:v>Coincidencia URL</x:v>
      </x:c>
      <x:c r="AC561" s="4" t="str">
        <x:v>Publicado hasta septiembre</x:v>
      </x:c>
      <x:c r="AD561" s="4" t="str">
        <x:v>/baquedano/</x:v>
      </x:c>
      <x:c r="AE561" s="4"/>
      <x:c r="AF561" s="16" t="b">
        <x:v>0</x:v>
      </x:c>
    </x:row>
    <x:row r="562" ht="44" customHeight="1">
      <x:c r="A562" s="4" t="n">
        <x:v>2849</x:v>
      </x:c>
      <x:c r="B562" s="4" t="str">
        <x:v>https://blog.skyairline.com/presencia-en-brasil-sky/</x:v>
      </x:c>
      <x:c r="C562" s="9" t="str">
        <x:v>Aerolínea low cost SKY refuerza su presencia en Brasil con oferta para conectar con el Caribe y destinos de nieve</x:v>
      </x:c>
      <x:c r="D562" s="17" t="d">
        <x:v>2023-04-19T00:00:00.000Z</x:v>
      </x:c>
      <x:c r="E562" s="17" t="d">
        <x:v>2023-04-19T00:00:00.000Z</x:v>
      </x:c>
      <x:c r="F562" s="4" t="str">
        <x:v>Noticias</x:v>
      </x:c>
      <x:c r="G562" s="11" t="n">
        <x:v>594</x:v>
      </x:c>
      <x:c r="H562" s="11" t="n">
        <x:v>200</x:v>
      </x:c>
      <x:c r="I562" s="11" t="n">
        <x:v>1</x:v>
      </x:c>
      <x:c r="J562" s="4" t="str">
        <x:v>https://blog.skyairline.com/presencia-en-brasil-sky/</x:v>
      </x:c>
      <x:c r="K562" s="16" t="b">
        <x:v>0</x:v>
      </x:c>
      <x:c r="L562" s="11" t="n">
        <x:v>0</x:v>
      </x:c>
      <x:c r="M562" s="11" t="n">
        <x:v>0</x:v>
      </x:c>
      <x:c r="N562" s="4"/>
      <x:c r="O562" s="4"/>
      <x:c r="P562" s="11" t="n">
        <x:v>0</x:v>
      </x:c>
      <x:c r="Q562" s="11" t="n">
        <x:v>2</x:v>
      </x:c>
      <x:c r="R562" s="11" t="str">
        <x:f>IF(OR(P562="",Q562=""),"",Q562-P562)</x:f>
      </x:c>
      <x:c r="S562" s="13" t="str">
        <x:f>IF(OR(P562="",Q562="",P562=0),"",((Q562/30)/(P562/31))-1)</x:f>
      </x:c>
      <x:c r="T562" s="11" t="n">
        <x:v>131</x:v>
      </x:c>
      <x:c r="U562" s="11" t="n">
        <x:v>338</x:v>
      </x:c>
      <x:c r="V562" s="14" t="n">
        <x:v>0.005917159763313609</x:v>
      </x:c>
      <x:c r="W562" s="12" t="n">
        <x:v>9.112426035502958</x:v>
      </x:c>
      <x:c r="X562" s="11" t="n">
        <x:v>1</x:v>
      </x:c>
      <x:c r="Y562" s="11" t="n">
        <x:v>1</x:v>
      </x:c>
      <x:c r="Z562" s="4" t="str">
        <x:v>https://blog.skyairline.com/presencia-en-brasil-sky/</x:v>
      </x:c>
      <x:c r="AA562" s="4" t="str">
        <x:v>https://blog.skyairline.com/presencia-en-brasil-sky/</x:v>
      </x:c>
      <x:c r="AB562" s="4" t="str">
        <x:v>Coincidencia URL</x:v>
      </x:c>
      <x:c r="AC562" s="4" t="str">
        <x:v>Publicado hasta septiembre</x:v>
      </x:c>
      <x:c r="AD562" s="4" t="str">
        <x:v>/presencia-en-brasil-sky/</x:v>
      </x:c>
      <x:c r="AE562" s="4"/>
      <x:c r="AF562" s="16" t="b">
        <x:v>0</x:v>
      </x:c>
    </x:row>
    <x:row r="563" ht="44" customHeight="1">
      <x:c r="A563" s="4" t="n">
        <x:v>2883</x:v>
      </x:c>
      <x:c r="B563" s="4" t="str">
        <x:v>https://blog.skyairline.com/estadios-de-futbol-de-porto-alegre/</x:v>
      </x:c>
      <x:c r="C563" s="9" t="str">
        <x:v>Estadios de fútbol en Porto Alegre: ¿cuáles visitar como turista?</x:v>
      </x:c>
      <x:c r="D563" s="17" t="d">
        <x:v>2023-05-01T00:00:00.000Z</x:v>
      </x:c>
      <x:c r="E563" s="17" t="d">
        <x:v>2023-05-01T00:00:00.000Z</x:v>
      </x:c>
      <x:c r="F563" s="4" t="str">
        <x:v>Destinos</x:v>
      </x:c>
      <x:c r="G563" s="11" t="n">
        <x:v>1062</x:v>
      </x:c>
      <x:c r="H563" s="11" t="n">
        <x:v>200</x:v>
      </x:c>
      <x:c r="I563" s="11" t="n">
        <x:v>1</x:v>
      </x:c>
      <x:c r="J563" s="4" t="str">
        <x:v>https://blog.skyairline.com/estadios-de-futbol-de-porto-alegre/</x:v>
      </x:c>
      <x:c r="K563" s="16" t="b">
        <x:v>0</x:v>
      </x:c>
      <x:c r="L563" s="11" t="n">
        <x:v>0</x:v>
      </x:c>
      <x:c r="M563" s="11" t="n">
        <x:v>3</x:v>
      </x:c>
      <x:c r="N563" s="4"/>
      <x:c r="O563" s="4"/>
      <x:c r="P563" s="11" t="n">
        <x:v>2</x:v>
      </x:c>
      <x:c r="Q563" s="11" t="n">
        <x:v>2</x:v>
      </x:c>
      <x:c r="R563" s="11" t="n">
        <x:f>IF(OR(P563="",Q563=""),"",Q563-P563)</x:f>
        <x:v>0</x:v>
      </x:c>
      <x:c r="S563" s="13" t="n">
        <x:f>IF(OR(P563="",Q563="",P563=0),"",((Q563/30)/(P563/31))-1)</x:f>
        <x:v>0.03333333333333344</x:v>
      </x:c>
      <x:c r="T563" s="11" t="n">
        <x:v>364</x:v>
      </x:c>
      <x:c r="U563" s="11" t="n">
        <x:v>352</x:v>
      </x:c>
      <x:c r="V563" s="14" t="n">
        <x:v>0.005681818181818182</x:v>
      </x:c>
      <x:c r="W563" s="12" t="n">
        <x:v>8.650568181818182</x:v>
      </x:c>
      <x:c r="X563" s="11" t="n">
        <x:v>2</x:v>
      </x:c>
      <x:c r="Y563" s="11" t="n">
        <x:v>2</x:v>
      </x:c>
      <x:c r="Z563" s="4" t="str">
        <x:v>https://blog.skyairline.com/estadios-de-futbol-de-porto-alegre/</x:v>
      </x:c>
      <x:c r="AA563" s="4" t="str">
        <x:v>https://blog.skyairline.com/estadios-de-futbol-de-porto-alegre/</x:v>
      </x:c>
      <x:c r="AB563" s="4" t="str">
        <x:v>Coincidencia URL</x:v>
      </x:c>
      <x:c r="AC563" s="4" t="str">
        <x:v>Publicado hasta septiembre</x:v>
      </x:c>
      <x:c r="AD563" s="4" t="str">
        <x:v>/estadios-de-futbol-de-porto-alegre/</x:v>
      </x:c>
      <x:c r="AE563" s="4"/>
      <x:c r="AF563" s="16" t="b">
        <x:v>0</x:v>
      </x:c>
    </x:row>
    <x:row r="564" ht="44" customHeight="1">
      <x:c r="A564" s="4" t="n">
        <x:v>2904</x:v>
      </x:c>
      <x:c r="B564" s="4" t="str">
        <x:v>https://blog.skyairline.com/paseo-del-mar-de-antofagasta/</x:v>
      </x:c>
      <x:c r="C564" s="9" t="str">
        <x:v>Todo lo que debes saber sobre el Paseo del Mar de Antofagasta</x:v>
      </x:c>
      <x:c r="D564" s="17" t="d">
        <x:v>2023-05-05T00:00:00.000Z</x:v>
      </x:c>
      <x:c r="E564" s="17" t="d">
        <x:v>2023-05-05T00:00:00.000Z</x:v>
      </x:c>
      <x:c r="F564" s="4" t="str">
        <x:v>Destinos</x:v>
      </x:c>
      <x:c r="G564" s="11" t="n">
        <x:v>1060</x:v>
      </x:c>
      <x:c r="H564" s="11" t="n">
        <x:v>200</x:v>
      </x:c>
      <x:c r="I564" s="11" t="n">
        <x:v>1</x:v>
      </x:c>
      <x:c r="J564" s="4" t="str">
        <x:v>https://blog.skyairline.com/paseo-del-mar-de-antofagasta/</x:v>
      </x:c>
      <x:c r="K564" s="16" t="b">
        <x:v>0</x:v>
      </x:c>
      <x:c r="L564" s="11" t="n">
        <x:v>0</x:v>
      </x:c>
      <x:c r="M564" s="11" t="n">
        <x:v>6</x:v>
      </x:c>
      <x:c r="N564" s="4"/>
      <x:c r="O564" s="4"/>
      <x:c r="P564" s="11" t="n">
        <x:v>4</x:v>
      </x:c>
      <x:c r="Q564" s="11" t="n">
        <x:v>2</x:v>
      </x:c>
      <x:c r="R564" s="11" t="n">
        <x:f>IF(OR(P564="",Q564=""),"",Q564-P564)</x:f>
        <x:v>-2</x:v>
      </x:c>
      <x:c r="S564" s="13" t="n">
        <x:f>IF(OR(P564="",Q564="",P564=0),"",((Q564/30)/(P564/31))-1)</x:f>
        <x:v>-0.4833333333333333</x:v>
      </x:c>
      <x:c r="T564" s="11" t="n">
        <x:v>388</x:v>
      </x:c>
      <x:c r="U564" s="11" t="n">
        <x:v>176</x:v>
      </x:c>
      <x:c r="V564" s="14" t="n">
        <x:v>0.011363636363636364</x:v>
      </x:c>
      <x:c r="W564" s="12" t="n">
        <x:v>8.198863636363637</x:v>
      </x:c>
      <x:c r="X564" s="11" t="n">
        <x:v>2</x:v>
      </x:c>
      <x:c r="Y564" s="11" t="n">
        <x:v>2</x:v>
      </x:c>
      <x:c r="Z564" s="4" t="str">
        <x:v>https://blog.skyairline.com/paseo-del-mar-de-antofagasta/</x:v>
      </x:c>
      <x:c r="AA564" s="4" t="str">
        <x:v>https://blog.skyairline.com/paseo-del-mar-de-antofagasta/</x:v>
      </x:c>
      <x:c r="AB564" s="4" t="str">
        <x:v>Coincidencia URL</x:v>
      </x:c>
      <x:c r="AC564" s="4" t="str">
        <x:v>Publicado hasta septiembre</x:v>
      </x:c>
      <x:c r="AD564" s="4" t="str">
        <x:v>/paseo-del-mar-de-antofagasta/</x:v>
      </x:c>
      <x:c r="AE564" s="4"/>
      <x:c r="AF564" s="16" t="b">
        <x:v>0</x:v>
      </x:c>
    </x:row>
    <x:row r="565" ht="44" customHeight="1">
      <x:c r="A565" s="4" t="n">
        <x:v>2928</x:v>
      </x:c>
      <x:c r="B565" s="4" t="str">
        <x:v>https://blog.skyairline.com/paseo-por-el-lago-guaiba/</x:v>
      </x:c>
      <x:c r="C565" s="9" t="str">
        <x:v>Paseo por el lago Guaíba: un gran atractivo turístico de Porto Alegre</x:v>
      </x:c>
      <x:c r="D565" s="17" t="d">
        <x:v>2023-05-12T00:00:00.000Z</x:v>
      </x:c>
      <x:c r="E565" s="17" t="d">
        <x:v>2023-05-12T00:00:00.000Z</x:v>
      </x:c>
      <x:c r="F565" s="4" t="str">
        <x:v>Destinos</x:v>
      </x:c>
      <x:c r="G565" s="11" t="n">
        <x:v>982</x:v>
      </x:c>
      <x:c r="H565" s="11" t="n">
        <x:v>200</x:v>
      </x:c>
      <x:c r="I565" s="11" t="n">
        <x:v>1</x:v>
      </x:c>
      <x:c r="J565" s="4" t="str">
        <x:v>https://blog.skyairline.com/paseo-por-el-lago-guaiba/</x:v>
      </x:c>
      <x:c r="K565" s="16" t="b">
        <x:v>0</x:v>
      </x:c>
      <x:c r="L565" s="11" t="n">
        <x:v>0</x:v>
      </x:c>
      <x:c r="M565" s="11" t="n">
        <x:v>3</x:v>
      </x:c>
      <x:c r="N565" s="4"/>
      <x:c r="O565" s="4"/>
      <x:c r="P565" s="11" t="n">
        <x:v>1</x:v>
      </x:c>
      <x:c r="Q565" s="11" t="n">
        <x:v>2</x:v>
      </x:c>
      <x:c r="R565" s="11" t="n">
        <x:f>IF(OR(P565="",Q565=""),"",Q565-P565)</x:f>
        <x:v>1</x:v>
      </x:c>
      <x:c r="S565" s="13" t="n">
        <x:f>IF(OR(P565="",Q565="",P565=0),"",((Q565/30)/(P565/31))-1)</x:f>
        <x:v>1.0666666666666669</x:v>
      </x:c>
      <x:c r="T565" s="11" t="n">
        <x:v>260</x:v>
      </x:c>
      <x:c r="U565" s="11" t="n">
        <x:v>233</x:v>
      </x:c>
      <x:c r="V565" s="14" t="n">
        <x:v>0.008583690987124463</x:v>
      </x:c>
      <x:c r="W565" s="12" t="n">
        <x:v>8.32618025751073</x:v>
      </x:c>
      <x:c r="X565" s="11" t="n">
        <x:v>4</x:v>
      </x:c>
      <x:c r="Y565" s="11" t="n">
        <x:v>4</x:v>
      </x:c>
      <x:c r="Z565" s="4" t="str">
        <x:v>https://blog.skyairline.com/paseo-por-el-lago-guaiba/</x:v>
      </x:c>
      <x:c r="AA565" s="4" t="str">
        <x:v>https://blog.skyairline.com/paseo-por-el-lago-guaiba/</x:v>
      </x:c>
      <x:c r="AB565" s="4" t="str">
        <x:v>Coincidencia URL</x:v>
      </x:c>
      <x:c r="AC565" s="4" t="str">
        <x:v>Publicado hasta septiembre</x:v>
      </x:c>
      <x:c r="AD565" s="4" t="str">
        <x:v>/paseo-por-el-lago-guaiba/</x:v>
      </x:c>
      <x:c r="AE565" s="4"/>
      <x:c r="AF565" s="16" t="b">
        <x:v>0</x:v>
      </x:c>
    </x:row>
    <x:row r="566" ht="44" customHeight="1">
      <x:c r="A566" s="4" t="n">
        <x:v>2937</x:v>
      </x:c>
      <x:c r="B566" s="4" t="str">
        <x:v>https://blog.skyairline.com/isla-grande-de-chiloe/</x:v>
      </x:c>
      <x:c r="C566" s="9" t="str">
        <x:v>Explora la encantadora isla grande de Chiloé</x:v>
      </x:c>
      <x:c r="D566" s="17" t="d">
        <x:v>2025-10-08T00:00:00.000Z</x:v>
      </x:c>
      <x:c r="E566" s="17" t="d">
        <x:v>2026-01-12T00:00:00.000Z</x:v>
      </x:c>
      <x:c r="F566" s="4" t="str">
        <x:v>Destinos</x:v>
      </x:c>
      <x:c r="G566" s="11" t="n">
        <x:v>1130</x:v>
      </x:c>
      <x:c r="H566" s="11" t="n">
        <x:v>200</x:v>
      </x:c>
      <x:c r="I566" s="11" t="n">
        <x:v>1</x:v>
      </x:c>
      <x:c r="J566" s="4" t="str">
        <x:v>https://blog.skyairline.com/isla-grande-de-chiloe/</x:v>
      </x:c>
      <x:c r="K566" s="16" t="b">
        <x:v>0</x:v>
      </x:c>
      <x:c r="L566" s="11" t="n">
        <x:v>0</x:v>
      </x:c>
      <x:c r="M566" s="11" t="n">
        <x:v>6</x:v>
      </x:c>
      <x:c r="N566" s="4"/>
      <x:c r="O566" s="4"/>
      <x:c r="P566" s="11" t="n">
        <x:v>1</x:v>
      </x:c>
      <x:c r="Q566" s="11" t="n">
        <x:v>2</x:v>
      </x:c>
      <x:c r="R566" s="11" t="n">
        <x:f>IF(OR(P566="",Q566=""),"",Q566-P566)</x:f>
        <x:v>1</x:v>
      </x:c>
      <x:c r="S566" s="13" t="n">
        <x:f>IF(OR(P566="",Q566="",P566=0),"",((Q566/30)/(P566/31))-1)</x:f>
        <x:v>1.0666666666666669</x:v>
      </x:c>
      <x:c r="T566" s="11" t="n">
        <x:v>338</x:v>
      </x:c>
      <x:c r="U566" s="11" t="n">
        <x:v>202</x:v>
      </x:c>
      <x:c r="V566" s="14" t="n">
        <x:v>0.009900990099009901</x:v>
      </x:c>
      <x:c r="W566" s="12" t="n">
        <x:v>11.272277227722773</x:v>
      </x:c>
      <x:c r="X566" s="11" t="n">
        <x:v>3</x:v>
      </x:c>
      <x:c r="Y566" s="11" t="n">
        <x:v>3</x:v>
      </x:c>
      <x:c r="Z566" s="4" t="str">
        <x:v>https://blog.skyairline.com/isla-grande-de-chiloe/</x:v>
      </x:c>
      <x:c r="AA566" s="4" t="str">
        <x:v>https://blog.skyairline.com/isla-grande-de-chiloe/</x:v>
      </x:c>
      <x:c r="AB566" s="4" t="str">
        <x:v>Coincidencia URL</x:v>
      </x:c>
      <x:c r="AC566" s="4" t="str">
        <x:v>Publicado hasta septiembre</x:v>
      </x:c>
      <x:c r="AD566" s="4" t="str">
        <x:v>/isla-grande-de-chiloe/</x:v>
      </x:c>
      <x:c r="AE566" s="4"/>
      <x:c r="AF566" s="16" t="b">
        <x:v>0</x:v>
      </x:c>
    </x:row>
    <x:row r="567" ht="44" customHeight="1">
      <x:c r="A567" s="4" t="n">
        <x:v>3009</x:v>
      </x:c>
      <x:c r="B567" s="4" t="str">
        <x:v>https://blog.skyairline.com/sky-pone-el-cielo-al-alcance-de-quienes-necesitan/</x:v>
      </x:c>
      <x:c r="C567" s="9" t="str">
        <x:v>SKY pone el cielo al alcance de quienes más lo necesitan</x:v>
      </x:c>
      <x:c r="D567" s="17" t="d">
        <x:v>2023-05-22T00:00:00.000Z</x:v>
      </x:c>
      <x:c r="E567" s="17" t="d">
        <x:v>2023-05-22T00:00:00.000Z</x:v>
      </x:c>
      <x:c r="F567" s="4" t="str">
        <x:v>Noticias</x:v>
      </x:c>
      <x:c r="G567" s="11" t="n">
        <x:v>287</x:v>
      </x:c>
      <x:c r="H567" s="11" t="n">
        <x:v>200</x:v>
      </x:c>
      <x:c r="I567" s="11" t="n">
        <x:v>1</x:v>
      </x:c>
      <x:c r="J567" s="4" t="str">
        <x:v>https://blog.skyairline.com/sky-pone-el-cielo-al-alcance-de-quienes-necesitan/</x:v>
      </x:c>
      <x:c r="K567" s="16" t="b">
        <x:v>0</x:v>
      </x:c>
      <x:c r="L567" s="11" t="n">
        <x:v>0</x:v>
      </x:c>
      <x:c r="M567" s="11" t="n">
        <x:v>0</x:v>
      </x:c>
      <x:c r="N567" s="4"/>
      <x:c r="O567" s="4"/>
      <x:c r="P567" s="11" t="n">
        <x:v>5</x:v>
      </x:c>
      <x:c r="Q567" s="11" t="n">
        <x:v>2</x:v>
      </x:c>
      <x:c r="R567" s="11" t="n">
        <x:f>IF(OR(P567="",Q567=""),"",Q567-P567)</x:f>
        <x:v>-3</x:v>
      </x:c>
      <x:c r="S567" s="13" t="n">
        <x:f>IF(OR(P567="",Q567="",P567=0),"",((Q567/30)/(P567/31))-1)</x:f>
        <x:v>-0.5866666666666667</x:v>
      </x:c>
      <x:c r="T567" s="11" t="n">
        <x:v>99</x:v>
      </x:c>
      <x:c r="U567" s="11" t="n">
        <x:v>65</x:v>
      </x:c>
      <x:c r="V567" s="14" t="n">
        <x:v>0.03076923076923077</x:v>
      </x:c>
      <x:c r="W567" s="12" t="n">
        <x:v>4.36923076923077</x:v>
      </x:c>
      <x:c r="X567" s="11" t="n">
        <x:v>3</x:v>
      </x:c>
      <x:c r="Y567" s="11" t="n">
        <x:v>8</x:v>
      </x:c>
      <x:c r="Z567" s="4" t="str">
        <x:v>https://blog.skyairline.com/sky-pone-el-cielo-al-alcance-de-quienes-necesitan/</x:v>
      </x:c>
      <x:c r="AA567" s="4" t="str">
        <x:v>https://blog.skyairline.com/sky-pone-el-cielo-al-alcance-de-quienes-necesitan/</x:v>
      </x:c>
      <x:c r="AB567" s="4" t="str">
        <x:v>Coincidencia URL</x:v>
      </x:c>
      <x:c r="AC567" s="4" t="str">
        <x:v>Publicado hasta septiembre</x:v>
      </x:c>
      <x:c r="AD567" s="4" t="str">
        <x:v>/sky-pone-el-cielo-al-alcance-de-quienes-necesitan/</x:v>
      </x:c>
      <x:c r="AE567" s="4"/>
      <x:c r="AF567" s="16" t="b">
        <x:v>0</x:v>
      </x:c>
    </x:row>
    <x:row r="568" ht="44" customHeight="1">
      <x:c r="A568" s="4" t="n">
        <x:v>3057</x:v>
      </x:c>
      <x:c r="B568" s="4" t="str">
        <x:v>https://blog.skyairline.com/ciudades-peruanas/</x:v>
      </x:c>
      <x:c r="C568" s="9" t="str">
        <x:v>Conoce las ciudades a las que SKY Perú te lleva</x:v>
      </x:c>
      <x:c r="D568" s="17" t="d">
        <x:v>2025-12-17T00:00:00.000Z</x:v>
      </x:c>
      <x:c r="E568" s="17" t="d">
        <x:v>2025-12-17T00:00:00.000Z</x:v>
      </x:c>
      <x:c r="F568" s="4" t="str">
        <x:v>Destinos</x:v>
      </x:c>
      <x:c r="G568" s="11" t="n">
        <x:v>993</x:v>
      </x:c>
      <x:c r="H568" s="11" t="n">
        <x:v>200</x:v>
      </x:c>
      <x:c r="I568" s="11" t="n">
        <x:v>1</x:v>
      </x:c>
      <x:c r="J568" s="4" t="str">
        <x:v>https://blog.skyairline.com/ciudades-peruanas/</x:v>
      </x:c>
      <x:c r="K568" s="16" t="b">
        <x:v>0</x:v>
      </x:c>
      <x:c r="L568" s="11" t="n">
        <x:v>0</x:v>
      </x:c>
      <x:c r="M568" s="11" t="n">
        <x:v>0</x:v>
      </x:c>
      <x:c r="N568" s="4"/>
      <x:c r="O568" s="4"/>
      <x:c r="P568" s="11" t="n">
        <x:v>1</x:v>
      </x:c>
      <x:c r="Q568" s="11" t="n">
        <x:v>2</x:v>
      </x:c>
      <x:c r="R568" s="11" t="n">
        <x:f>IF(OR(P568="",Q568=""),"",Q568-P568)</x:f>
        <x:v>1</x:v>
      </x:c>
      <x:c r="S568" s="13" t="n">
        <x:f>IF(OR(P568="",Q568="",P568=0),"",((Q568/30)/(P568/31))-1)</x:f>
        <x:v>1.0666666666666669</x:v>
      </x:c>
      <x:c r="T568" s="11" t="n">
        <x:v>381</x:v>
      </x:c>
      <x:c r="U568" s="11" t="n">
        <x:v>378</x:v>
      </x:c>
      <x:c r="V568" s="14" t="n">
        <x:v>0.005291005291005291</x:v>
      </x:c>
      <x:c r="W568" s="12" t="n">
        <x:v>7.677248677248677</x:v>
      </x:c>
      <x:c r="X568" s="11" t="n">
        <x:v>4</x:v>
      </x:c>
      <x:c r="Y568" s="11" t="n">
        <x:v>4</x:v>
      </x:c>
      <x:c r="Z568" s="4" t="str">
        <x:v>https://blog.skyairline.com/ciudades-peruanas/</x:v>
      </x:c>
      <x:c r="AA568" s="4" t="str">
        <x:v>https://blog.skyairline.com/ciudades-peruanas/</x:v>
      </x:c>
      <x:c r="AB568" s="4" t="str">
        <x:v>Coincidencia URL</x:v>
      </x:c>
      <x:c r="AC568" s="4" t="str">
        <x:v>Publicado hasta septiembre</x:v>
      </x:c>
      <x:c r="AD568" s="4" t="str">
        <x:v>/ciudades-peruanas/</x:v>
      </x:c>
      <x:c r="AE568" s="4"/>
      <x:c r="AF568" s="16" t="b">
        <x:v>0</x:v>
      </x:c>
    </x:row>
    <x:row r="569" ht="44" customHeight="1">
      <x:c r="A569" s="4" t="n">
        <x:v>3191</x:v>
      </x:c>
      <x:c r="B569" s="4" t="str">
        <x:v>https://blog.skyairline.com/aerolinea-sky-inicia-vuelos-a-chiclayo-y-cajamarca/</x:v>
      </x:c>
      <x:c r="C569" s="9" t="str">
        <x:v>AEROLÍNEA SKY INICIA VUELOS A CHICLAYO Y CAJAMARCA</x:v>
      </x:c>
      <x:c r="D569" s="17" t="d">
        <x:v>2023-07-19T00:00:00.000Z</x:v>
      </x:c>
      <x:c r="E569" s="17" t="d">
        <x:v>2023-07-19T00:00:00.000Z</x:v>
      </x:c>
      <x:c r="F569" s="4" t="str">
        <x:v>Noticias</x:v>
      </x:c>
      <x:c r="G569" s="11" t="n">
        <x:v>508</x:v>
      </x:c>
      <x:c r="H569" s="11" t="n">
        <x:v>200</x:v>
      </x:c>
      <x:c r="I569" s="11" t="n">
        <x:v>1</x:v>
      </x:c>
      <x:c r="J569" s="4" t="str">
        <x:v>https://blog.skyairline.com/aerolinea-sky-inicia-vuelos-a-chiclayo-y-cajamarca/</x:v>
      </x:c>
      <x:c r="K569" s="16" t="b">
        <x:v>0</x:v>
      </x:c>
      <x:c r="L569" s="11" t="n">
        <x:v>0</x:v>
      </x:c>
      <x:c r="M569" s="11" t="n">
        <x:v>0</x:v>
      </x:c>
      <x:c r="N569" s="4"/>
      <x:c r="O569" s="4"/>
      <x:c r="P569" s="11" t="n">
        <x:v>4</x:v>
      </x:c>
      <x:c r="Q569" s="11" t="n">
        <x:v>2</x:v>
      </x:c>
      <x:c r="R569" s="11" t="n">
        <x:f>IF(OR(P569="",Q569=""),"",Q569-P569)</x:f>
        <x:v>-2</x:v>
      </x:c>
      <x:c r="S569" s="13" t="n">
        <x:f>IF(OR(P569="",Q569="",P569=0),"",((Q569/30)/(P569/31))-1)</x:f>
        <x:v>-0.4833333333333333</x:v>
      </x:c>
      <x:c r="T569" s="11" t="n">
        <x:v>1298</x:v>
      </x:c>
      <x:c r="U569" s="11" t="n">
        <x:v>1113</x:v>
      </x:c>
      <x:c r="V569" s="14" t="n">
        <x:v>0.0017969451931716084</x:v>
      </x:c>
      <x:c r="W569" s="12" t="n">
        <x:v>8.762803234501348</x:v>
      </x:c>
      <x:c r="X569" s="11" t="n">
        <x:v>3</x:v>
      </x:c>
      <x:c r="Y569" s="11" t="n">
        <x:v>3</x:v>
      </x:c>
      <x:c r="Z569" s="4" t="str">
        <x:v>https://blog.skyairline.com/aerolinea-sky-inicia-vuelos-a-chiclayo-y-cajamarca/</x:v>
      </x:c>
      <x:c r="AA569" s="4" t="str">
        <x:v>https://blog.skyairline.com/aerolinea-sky-inicia-vuelos-a-chiclayo-y-cajamarca/</x:v>
      </x:c>
      <x:c r="AB569" s="4" t="str">
        <x:v>Coincidencia URL</x:v>
      </x:c>
      <x:c r="AC569" s="4" t="str">
        <x:v>Publicado hasta septiembre</x:v>
      </x:c>
      <x:c r="AD569" s="4" t="str">
        <x:v>/aerolinea-sky-inicia-vuelos-a-chiclayo-y-cajamarca/</x:v>
      </x:c>
      <x:c r="AE569" s="4"/>
      <x:c r="AF569" s="16" t="b">
        <x:v>0</x:v>
      </x:c>
    </x:row>
    <x:row r="570" ht="44" customHeight="1">
      <x:c r="A570" s="4" t="n">
        <x:v>3228</x:v>
      </x:c>
      <x:c r="B570" s="4" t="str">
        <x:v>https://blog.skyairline.com/esmeralda/</x:v>
      </x:c>
      <x:c r="C570" s="9" t="str">
        <x:v>Visita el Museo Corbeta Esmeralda de Iquique</x:v>
      </x:c>
      <x:c r="D570" s="17" t="d">
        <x:v>2025-12-15T00:00:00.000Z</x:v>
      </x:c>
      <x:c r="E570" s="17" t="d">
        <x:v>2025-12-15T00:00:00.000Z</x:v>
      </x:c>
      <x:c r="F570" s="4" t="str">
        <x:v>Destinos</x:v>
      </x:c>
      <x:c r="G570" s="11" t="n">
        <x:v>1105</x:v>
      </x:c>
      <x:c r="H570" s="11" t="n">
        <x:v>200</x:v>
      </x:c>
      <x:c r="I570" s="11" t="n">
        <x:v>1</x:v>
      </x:c>
      <x:c r="J570" s="4" t="str">
        <x:v>https://blog.skyairline.com/esmeralda/</x:v>
      </x:c>
      <x:c r="K570" s="16" t="b">
        <x:v>0</x:v>
      </x:c>
      <x:c r="L570" s="11" t="n">
        <x:v>0</x:v>
      </x:c>
      <x:c r="M570" s="11" t="n">
        <x:v>0</x:v>
      </x:c>
      <x:c r="N570" s="4"/>
      <x:c r="O570" s="4"/>
      <x:c r="P570" s="11" t="n">
        <x:v>1</x:v>
      </x:c>
      <x:c r="Q570" s="11" t="n">
        <x:v>2</x:v>
      </x:c>
      <x:c r="R570" s="11" t="n">
        <x:f>IF(OR(P570="",Q570=""),"",Q570-P570)</x:f>
        <x:v>1</x:v>
      </x:c>
      <x:c r="S570" s="13" t="n">
        <x:f>IF(OR(P570="",Q570="",P570=0),"",((Q570/30)/(P570/31))-1)</x:f>
        <x:v>1.0666666666666669</x:v>
      </x:c>
      <x:c r="T570" s="11" t="n">
        <x:v>1027</x:v>
      </x:c>
      <x:c r="U570" s="11" t="n">
        <x:v>1521</x:v>
      </x:c>
      <x:c r="V570" s="14" t="n">
        <x:v>0.0013149243918474688</x:v>
      </x:c>
      <x:c r="W570" s="12" t="n">
        <x:v>8.938856015779093</x:v>
      </x:c>
      <x:c r="X570" s="11" t="n">
        <x:v>2</x:v>
      </x:c>
      <x:c r="Y570" s="11" t="n">
        <x:v>2</x:v>
      </x:c>
      <x:c r="Z570" s="4" t="str">
        <x:v>https://blog.skyairline.com/esmeralda/</x:v>
      </x:c>
      <x:c r="AA570" s="4" t="str">
        <x:v>https://blog.skyairline.com/esmeralda/</x:v>
      </x:c>
      <x:c r="AB570" s="4" t="str">
        <x:v>Coincidencia URL</x:v>
      </x:c>
      <x:c r="AC570" s="4" t="str">
        <x:v>Publicado hasta septiembre</x:v>
      </x:c>
      <x:c r="AD570" s="4" t="str">
        <x:v>/esmeralda/</x:v>
      </x:c>
      <x:c r="AE570" s="4"/>
      <x:c r="AF570" s="16" t="b">
        <x:v>0</x:v>
      </x:c>
    </x:row>
    <x:row r="571" ht="44" customHeight="1">
      <x:c r="A571" s="4" t="n">
        <x:v>3294</x:v>
      </x:c>
      <x:c r="B571" s="4" t="str">
        <x:v>https://blog.skyairline.com/lugares-para-comer-en-rio-de-janeiro/</x:v>
      </x:c>
      <x:c r="C571" s="9" t="str">
        <x:v>7 lugares para comer en Río de Janeiro</x:v>
      </x:c>
      <x:c r="D571" s="17" t="d">
        <x:v>2024-11-19T00:00:00.000Z</x:v>
      </x:c>
      <x:c r="E571" s="17" t="d">
        <x:v>2024-11-19T00:00:00.000Z</x:v>
      </x:c>
      <x:c r="F571" s="4" t="str">
        <x:v>Destinos</x:v>
      </x:c>
      <x:c r="G571" s="11" t="n">
        <x:v>2177</x:v>
      </x:c>
      <x:c r="H571" s="11" t="n">
        <x:v>200</x:v>
      </x:c>
      <x:c r="I571" s="11" t="n">
        <x:v>1</x:v>
      </x:c>
      <x:c r="J571" s="4" t="str">
        <x:v>https://blog.skyairline.com/lugares-para-comer-en-rio-de-janeiro/</x:v>
      </x:c>
      <x:c r="K571" s="16" t="b">
        <x:v>0</x:v>
      </x:c>
      <x:c r="L571" s="11" t="n">
        <x:v>0</x:v>
      </x:c>
      <x:c r="M571" s="11" t="n">
        <x:v>3</x:v>
      </x:c>
      <x:c r="N571" s="4"/>
      <x:c r="O571" s="4"/>
      <x:c r="P571" s="11" t="n">
        <x:v>3</x:v>
      </x:c>
      <x:c r="Q571" s="11" t="n">
        <x:v>2</x:v>
      </x:c>
      <x:c r="R571" s="11" t="n">
        <x:f>IF(OR(P571="",Q571=""),"",Q571-P571)</x:f>
        <x:v>-1</x:v>
      </x:c>
      <x:c r="S571" s="13" t="n">
        <x:f>IF(OR(P571="",Q571="",P571=0),"",((Q571/30)/(P571/31))-1)</x:f>
        <x:v>-0.3111111111111111</x:v>
      </x:c>
      <x:c r="T571" s="11" t="n">
        <x:v>2399</x:v>
      </x:c>
      <x:c r="U571" s="11" t="n">
        <x:v>1355</x:v>
      </x:c>
      <x:c r="V571" s="14" t="n">
        <x:v>0.0014760147601476014</x:v>
      </x:c>
      <x:c r="W571" s="12" t="n">
        <x:v>12.727675276752768</x:v>
      </x:c>
      <x:c r="X571" s="11" t="n">
        <x:v>3</x:v>
      </x:c>
      <x:c r="Y571" s="11" t="n">
        <x:v>3</x:v>
      </x:c>
      <x:c r="Z571" s="4" t="str">
        <x:v>https://blog.skyairline.com/lugares-para-comer-en-rio-de-janeiro/</x:v>
      </x:c>
      <x:c r="AA571" s="4" t="str">
        <x:v>https://blog.skyairline.com/lugares-para-comer-en-rio-de-janeiro/</x:v>
      </x:c>
      <x:c r="AB571" s="4" t="str">
        <x:v>Coincidencia URL</x:v>
      </x:c>
      <x:c r="AC571" s="4" t="str">
        <x:v>Publicado hasta septiembre</x:v>
      </x:c>
      <x:c r="AD571" s="4" t="str">
        <x:v>/lugares-para-comer-en-rio-de-janeiro/</x:v>
      </x:c>
      <x:c r="AE571" s="4"/>
      <x:c r="AF571" s="16" t="b">
        <x:v>0</x:v>
      </x:c>
    </x:row>
    <x:row r="572" ht="44" customHeight="1">
      <x:c r="A572" s="4" t="n">
        <x:v>3400</x:v>
      </x:c>
      <x:c r="B572" s="4" t="str">
        <x:v>https://blog.skyairline.com/edificios-en-sao-paulo/</x:v>
      </x:c>
      <x:c r="C572" s="9" t="str">
        <x:v>12 edificios arquitectónicos de São Paulo para amantes del turismo urbano</x:v>
      </x:c>
      <x:c r="D572" s="17" t="d">
        <x:v>2023-09-28T00:00:00.000Z</x:v>
      </x:c>
      <x:c r="E572" s="17" t="d">
        <x:v>2023-09-28T00:00:00.000Z</x:v>
      </x:c>
      <x:c r="F572" s="4" t="str">
        <x:v>Destinos</x:v>
      </x:c>
      <x:c r="G572" s="11" t="n">
        <x:v>1216</x:v>
      </x:c>
      <x:c r="H572" s="11" t="n">
        <x:v>200</x:v>
      </x:c>
      <x:c r="I572" s="11" t="n">
        <x:v>1</x:v>
      </x:c>
      <x:c r="J572" s="4" t="str">
        <x:v>https://blog.skyairline.com/edificios-en-sao-paulo/</x:v>
      </x:c>
      <x:c r="K572" s="16" t="b">
        <x:v>0</x:v>
      </x:c>
      <x:c r="L572" s="11" t="n">
        <x:v>0</x:v>
      </x:c>
      <x:c r="M572" s="11" t="n">
        <x:v>4</x:v>
      </x:c>
      <x:c r="N572" s="4"/>
      <x:c r="O572" s="4"/>
      <x:c r="P572" s="11" t="n">
        <x:v>1</x:v>
      </x:c>
      <x:c r="Q572" s="11" t="n">
        <x:v>2</x:v>
      </x:c>
      <x:c r="R572" s="11" t="n">
        <x:f>IF(OR(P572="",Q572=""),"",Q572-P572)</x:f>
        <x:v>1</x:v>
      </x:c>
      <x:c r="S572" s="13" t="n">
        <x:f>IF(OR(P572="",Q572="",P572=0),"",((Q572/30)/(P572/31))-1)</x:f>
        <x:v>1.0666666666666669</x:v>
      </x:c>
      <x:c r="T572" s="11" t="n">
        <x:v>56</x:v>
      </x:c>
      <x:c r="U572" s="11" t="n">
        <x:v>62</x:v>
      </x:c>
      <x:c r="V572" s="14" t="n">
        <x:v>0.03225806451612903</x:v>
      </x:c>
      <x:c r="W572" s="12" t="n">
        <x:v>9.080645161290322</x:v>
      </x:c>
      <x:c r="X572" s="11" t="n">
        <x:v>3</x:v>
      </x:c>
      <x:c r="Y572" s="11" t="n">
        <x:v>5</x:v>
      </x:c>
      <x:c r="Z572" s="4" t="str">
        <x:v>https://blog.skyairline.com/edificios-en-sao-paulo/</x:v>
      </x:c>
      <x:c r="AA572" s="4" t="str">
        <x:v>https://blog.skyairline.com/edificios-en-sao-paulo/</x:v>
      </x:c>
      <x:c r="AB572" s="4" t="str">
        <x:v>Coincidencia URL</x:v>
      </x:c>
      <x:c r="AC572" s="4" t="str">
        <x:v>Publicado hasta septiembre</x:v>
      </x:c>
      <x:c r="AD572" s="4" t="str">
        <x:v>/edificios-en-sao-paulo/</x:v>
      </x:c>
      <x:c r="AE572" s="4"/>
      <x:c r="AF572" s="16" t="b">
        <x:v>0</x:v>
      </x:c>
    </x:row>
    <x:row r="573" ht="44" customHeight="1">
      <x:c r="A573" s="4" t="n">
        <x:v>3412</x:v>
      </x:c>
      <x:c r="B573" s="4" t="str">
        <x:v>https://blog.skyairline.com/labicolor-anuncia-a-sky-airline-como-su-nuevo-patrocinador/</x:v>
      </x:c>
      <x:c r="C573" s="9" t="str">
        <x:v>LaBicolor anuncia a SKY Airline como su nuevo patrocinador</x:v>
      </x:c>
      <x:c r="D573" s="17" t="d">
        <x:v>2023-08-23T00:00:00.000Z</x:v>
      </x:c>
      <x:c r="E573" s="17" t="d">
        <x:v>2023-08-23T00:00:00.000Z</x:v>
      </x:c>
      <x:c r="F573" s="4" t="str">
        <x:v>Noticias</x:v>
      </x:c>
      <x:c r="G573" s="11" t="n">
        <x:v>867</x:v>
      </x:c>
      <x:c r="H573" s="11" t="n">
        <x:v>200</x:v>
      </x:c>
      <x:c r="I573" s="11" t="n">
        <x:v>1</x:v>
      </x:c>
      <x:c r="J573" s="4" t="str">
        <x:v>https://blog.skyairline.com/labicolor-anuncia-a-sky-airline-como-su-nuevo-patrocinador/</x:v>
      </x:c>
      <x:c r="K573" s="16" t="b">
        <x:v>0</x:v>
      </x:c>
      <x:c r="L573" s="11" t="n">
        <x:v>0</x:v>
      </x:c>
      <x:c r="M573" s="11" t="n">
        <x:v>0</x:v>
      </x:c>
      <x:c r="N573" s="4"/>
      <x:c r="O573" s="4"/>
      <x:c r="P573" s="11" t="n">
        <x:v>0</x:v>
      </x:c>
      <x:c r="Q573" s="11" t="n">
        <x:v>2</x:v>
      </x:c>
      <x:c r="R573" s="11" t="str">
        <x:f>IF(OR(P573="",Q573=""),"",Q573-P573)</x:f>
      </x:c>
      <x:c r="S573" s="13" t="str">
        <x:f>IF(OR(P573="",Q573="",P573=0),"",((Q573/30)/(P573/31))-1)</x:f>
      </x:c>
      <x:c r="T573" s="11" t="n">
        <x:v>33</x:v>
      </x:c>
      <x:c r="U573" s="11" t="n">
        <x:v>49</x:v>
      </x:c>
      <x:c r="V573" s="14" t="n">
        <x:v>0.04081632653061224</x:v>
      </x:c>
      <x:c r="W573" s="12" t="n">
        <x:v>3.4081632653061225</x:v>
      </x:c>
      <x:c r="X573" s="11" t="n">
        <x:v>2</x:v>
      </x:c>
      <x:c r="Y573" s="11" t="n">
        <x:v>3</x:v>
      </x:c>
      <x:c r="Z573" s="4" t="str">
        <x:v>https://blog.skyairline.com/labicolor-anuncia-a-sky-airline-como-su-nuevo-patrocinador/</x:v>
      </x:c>
      <x:c r="AA573" s="4" t="str">
        <x:v>https://blog.skyairline.com/labicolor-anuncia-a-sky-airline-como-su-nuevo-patrocinador/</x:v>
      </x:c>
      <x:c r="AB573" s="4" t="str">
        <x:v>Coincidencia URL</x:v>
      </x:c>
      <x:c r="AC573" s="4" t="str">
        <x:v>Publicado hasta septiembre</x:v>
      </x:c>
      <x:c r="AD573" s="4" t="str">
        <x:v>/labicolor-anuncia-a-sky-airline-como-su-nuevo-patrocinador/</x:v>
      </x:c>
      <x:c r="AE573" s="4"/>
      <x:c r="AF573" s="16" t="b">
        <x:v>0</x:v>
      </x:c>
    </x:row>
    <x:row r="574" ht="44" customHeight="1">
      <x:c r="A574" s="4" t="n">
        <x:v>3420</x:v>
      </x:c>
      <x:c r="B574" s="4" t="str">
        <x:v>https://blog.skyairline.com/viajar-solo-primera-vez/</x:v>
      </x:c>
      <x:c r="C574" s="9" t="str">
        <x:v>8 consejos para viajar solo por primera vez</x:v>
      </x:c>
      <x:c r="D574" s="17" t="d">
        <x:v>2023-10-04T00:00:00.000Z</x:v>
      </x:c>
      <x:c r="E574" s="17" t="d">
        <x:v>2023-10-04T00:00:00.000Z</x:v>
      </x:c>
      <x:c r="F574" s="4" t="str">
        <x:v>Destinos</x:v>
      </x:c>
      <x:c r="G574" s="11" t="n">
        <x:v>1160</x:v>
      </x:c>
      <x:c r="H574" s="11" t="n">
        <x:v>200</x:v>
      </x:c>
      <x:c r="I574" s="11" t="n">
        <x:v>1</x:v>
      </x:c>
      <x:c r="J574" s="4" t="str">
        <x:v>https://blog.skyairline.com/viajar-solo-primera-vez/</x:v>
      </x:c>
      <x:c r="K574" s="16" t="b">
        <x:v>0</x:v>
      </x:c>
      <x:c r="L574" s="11" t="n">
        <x:v>0</x:v>
      </x:c>
      <x:c r="M574" s="11" t="n">
        <x:v>11</x:v>
      </x:c>
      <x:c r="N574" s="4"/>
      <x:c r="O574" s="4"/>
      <x:c r="P574" s="11" t="n">
        <x:v>0</x:v>
      </x:c>
      <x:c r="Q574" s="11" t="n">
        <x:v>2</x:v>
      </x:c>
      <x:c r="R574" s="11" t="str">
        <x:f>IF(OR(P574="",Q574=""),"",Q574-P574)</x:f>
      </x:c>
      <x:c r="S574" s="13" t="str">
        <x:f>IF(OR(P574="",Q574="",P574=0),"",((Q574/30)/(P574/31))-1)</x:f>
      </x:c>
      <x:c r="T574" s="11" t="n">
        <x:v>163</x:v>
      </x:c>
      <x:c r="U574" s="11" t="n">
        <x:v>124</x:v>
      </x:c>
      <x:c r="V574" s="14" t="n">
        <x:v>0.016129032258064516</x:v>
      </x:c>
      <x:c r="W574" s="12" t="n">
        <x:v>6.806451612903226</x:v>
      </x:c>
      <x:c r="X574" s="11" t="n">
        <x:v>3</x:v>
      </x:c>
      <x:c r="Y574" s="11" t="n">
        <x:v>3</x:v>
      </x:c>
      <x:c r="Z574" s="4" t="str">
        <x:v>https://blog.skyairline.com/viajar-solo-primera-vez/</x:v>
      </x:c>
      <x:c r="AA574" s="4" t="str">
        <x:v>https://blog.skyairline.com/viajar-solo-primera-vez/</x:v>
      </x:c>
      <x:c r="AB574" s="4" t="str">
        <x:v>Coincidencia URL</x:v>
      </x:c>
      <x:c r="AC574" s="4" t="str">
        <x:v>Publicado hasta septiembre</x:v>
      </x:c>
      <x:c r="AD574" s="4" t="str">
        <x:v>/viajar-solo-primera-vez/</x:v>
      </x:c>
      <x:c r="AE574" s="4"/>
      <x:c r="AF574" s="16" t="b">
        <x:v>1</x:v>
      </x:c>
    </x:row>
    <x:row r="575" ht="44" customHeight="1">
      <x:c r="A575" s="4" t="n">
        <x:v>3448</x:v>
      </x:c>
      <x:c r="B575" s="4" t="str">
        <x:v>https://blog.skyairline.com/sky-es-la-nueva-linea-aerea-oficial-de-la-seleccion-chilena-de-futbol/</x:v>
      </x:c>
      <x:c r="C575" s="9" t="str">
        <x:v>SKY es la nueva línea aérea oficial de la Selección Chilena de Fútbol</x:v>
      </x:c>
      <x:c r="D575" s="17" t="d">
        <x:v>2023-08-29T00:00:00.000Z</x:v>
      </x:c>
      <x:c r="E575" s="17" t="d">
        <x:v>2023-08-29T00:00:00.000Z</x:v>
      </x:c>
      <x:c r="F575" s="4" t="str">
        <x:v>Noticias</x:v>
      </x:c>
      <x:c r="G575" s="11" t="n">
        <x:v>454</x:v>
      </x:c>
      <x:c r="H575" s="11" t="n">
        <x:v>200</x:v>
      </x:c>
      <x:c r="I575" s="11" t="n">
        <x:v>1</x:v>
      </x:c>
      <x:c r="J575" s="4" t="str">
        <x:v>https://blog.skyairline.com/sky-es-la-nueva-linea-aerea-oficial-de-la-seleccion-chilena-de-futbol/</x:v>
      </x:c>
      <x:c r="K575" s="16" t="b">
        <x:v>0</x:v>
      </x:c>
      <x:c r="L575" s="11" t="n">
        <x:v>0</x:v>
      </x:c>
      <x:c r="M575" s="11" t="n">
        <x:v>0</x:v>
      </x:c>
      <x:c r="N575" s="4"/>
      <x:c r="O575" s="4"/>
      <x:c r="P575" s="11" t="n">
        <x:v>0</x:v>
      </x:c>
      <x:c r="Q575" s="11" t="n">
        <x:v>2</x:v>
      </x:c>
      <x:c r="R575" s="11" t="str">
        <x:f>IF(OR(P575="",Q575=""),"",Q575-P575)</x:f>
      </x:c>
      <x:c r="S575" s="13" t="str">
        <x:f>IF(OR(P575="",Q575="",P575=0),"",((Q575/30)/(P575/31))-1)</x:f>
      </x:c>
      <x:c r="T575" s="11" t="n">
        <x:v>63</x:v>
      </x:c>
      <x:c r="U575" s="11" t="n">
        <x:v>96</x:v>
      </x:c>
      <x:c r="V575" s="14" t="n">
        <x:v>0.020833333333333332</x:v>
      </x:c>
      <x:c r="W575" s="12" t="n">
        <x:v>7.625</x:v>
      </x:c>
      <x:c r="X575" s="11" t="n">
        <x:v>4</x:v>
      </x:c>
      <x:c r="Y575" s="11" t="n">
        <x:v>3</x:v>
      </x:c>
      <x:c r="Z575" s="4" t="str">
        <x:v>https://blog.skyairline.com/sky-es-la-nueva-linea-aerea-oficial-de-la-seleccion-chilena-de-futbol/</x:v>
      </x:c>
      <x:c r="AA575" s="4" t="str">
        <x:v>https://blog.skyairline.com/sky-es-la-nueva-linea-aerea-oficial-de-la-seleccion-chilena-de-futbol/</x:v>
      </x:c>
      <x:c r="AB575" s="4" t="str">
        <x:v>Coincidencia URL</x:v>
      </x:c>
      <x:c r="AC575" s="4" t="str">
        <x:v>Publicado hasta septiembre</x:v>
      </x:c>
      <x:c r="AD575" s="4" t="str">
        <x:v>/sky-es-la-nueva-linea-aerea-oficial-de-la-seleccion-chilena-de-futbol/</x:v>
      </x:c>
      <x:c r="AE575" s="4"/>
      <x:c r="AF575" s="16" t="b">
        <x:v>0</x:v>
      </x:c>
    </x:row>
    <x:row r="576" ht="44" customHeight="1">
      <x:c r="A576" s="4" t="n">
        <x:v>3517</x:v>
      </x:c>
      <x:c r="B576" s="4" t="str">
        <x:v>https://blog.skyairline.com/jose-ignacio-dougnac-lider-destacado-en-la-industria-area-mundial-2023/</x:v>
      </x:c>
      <x:c r="C576" s="9" t="str">
        <x:v>José Ignacio Dougnac, líder destacado en la industria área mundial 2023</x:v>
      </x:c>
      <x:c r="D576" s="17" t="d">
        <x:v>2023-09-26T00:00:00.000Z</x:v>
      </x:c>
      <x:c r="E576" s="17" t="d">
        <x:v>2023-09-26T00:00:00.000Z</x:v>
      </x:c>
      <x:c r="F576" s="4" t="str">
        <x:v>Noticias</x:v>
      </x:c>
      <x:c r="G576" s="11" t="n">
        <x:v>640</x:v>
      </x:c>
      <x:c r="H576" s="11" t="n">
        <x:v>200</x:v>
      </x:c>
      <x:c r="I576" s="11" t="n">
        <x:v>1</x:v>
      </x:c>
      <x:c r="J576" s="4" t="str">
        <x:v>https://blog.skyairline.com/jose-ignacio-dougnac-lider-destacado-en-la-industria-area-mundial-2023/</x:v>
      </x:c>
      <x:c r="K576" s="16" t="b">
        <x:v>0</x:v>
      </x:c>
      <x:c r="L576" s="11" t="n">
        <x:v>0</x:v>
      </x:c>
      <x:c r="M576" s="11" t="n">
        <x:v>0</x:v>
      </x:c>
      <x:c r="N576" s="4"/>
      <x:c r="O576" s="4"/>
      <x:c r="P576" s="11" t="n">
        <x:v>2</x:v>
      </x:c>
      <x:c r="Q576" s="11" t="n">
        <x:v>2</x:v>
      </x:c>
      <x:c r="R576" s="11" t="n">
        <x:f>IF(OR(P576="",Q576=""),"",Q576-P576)</x:f>
        <x:v>0</x:v>
      </x:c>
      <x:c r="S576" s="13" t="n">
        <x:f>IF(OR(P576="",Q576="",P576=0),"",((Q576/30)/(P576/31))-1)</x:f>
        <x:v>0.03333333333333344</x:v>
      </x:c>
      <x:c r="T576" s="11" t="n">
        <x:v>285</x:v>
      </x:c>
      <x:c r="U576" s="11" t="n">
        <x:v>214</x:v>
      </x:c>
      <x:c r="V576" s="14" t="n">
        <x:v>0.009345794392523364</x:v>
      </x:c>
      <x:c r="W576" s="12" t="n">
        <x:v>8.616822429906541</x:v>
      </x:c>
      <x:c r="X576" s="11" t="n">
        <x:v>2</x:v>
      </x:c>
      <x:c r="Y576" s="11" t="n">
        <x:v>2</x:v>
      </x:c>
      <x:c r="Z576" s="4" t="str">
        <x:v>https://blog.skyairline.com/jose-ignacio-dougnac-lider-destacado-en-la-industria-area-mundial-2023/</x:v>
      </x:c>
      <x:c r="AA576" s="4" t="str">
        <x:v>https://blog.skyairline.com/jose-ignacio-dougnac-lider-destacado-en-la-industria-area-mundial-2023/</x:v>
      </x:c>
      <x:c r="AB576" s="4" t="str">
        <x:v>Coincidencia URL</x:v>
      </x:c>
      <x:c r="AC576" s="4" t="str">
        <x:v>Publicado hasta septiembre</x:v>
      </x:c>
      <x:c r="AD576" s="4" t="str">
        <x:v>/jose-ignacio-dougnac-lider-destacado-en-la-industria-area-mundial-2023/</x:v>
      </x:c>
      <x:c r="AE576" s="4"/>
      <x:c r="AF576" s="16" t="b">
        <x:v>0</x:v>
      </x:c>
    </x:row>
    <x:row r="577" ht="44" customHeight="1">
      <x:c r="A577" s="4" t="n">
        <x:v>3965</x:v>
      </x:c>
      <x:c r="B577" s="4" t="str">
        <x:v>https://blog.skyairline.com/somos-categoria-oro-en-seguridad-operacional/</x:v>
      </x:c>
      <x:c r="C577" s="9" t="str">
        <x:v>¡Somos Categoría Oro en Seguridad Operacional!</x:v>
      </x:c>
      <x:c r="D577" s="17" t="d">
        <x:v>2024-01-23T00:00:00.000Z</x:v>
      </x:c>
      <x:c r="E577" s="17" t="d">
        <x:v>2024-01-23T00:00:00.000Z</x:v>
      </x:c>
      <x:c r="F577" s="4" t="str">
        <x:v>Noticias</x:v>
      </x:c>
      <x:c r="G577" s="11" t="n">
        <x:v>122</x:v>
      </x:c>
      <x:c r="H577" s="11" t="n">
        <x:v>200</x:v>
      </x:c>
      <x:c r="I577" s="11" t="n">
        <x:v>1</x:v>
      </x:c>
      <x:c r="J577" s="4" t="str">
        <x:v>https://blog.skyairline.com/somos-categoria-oro-en-seguridad-operacional/</x:v>
      </x:c>
      <x:c r="K577" s="16" t="b">
        <x:v>0</x:v>
      </x:c>
      <x:c r="L577" s="11" t="n">
        <x:v>0</x:v>
      </x:c>
      <x:c r="M577" s="11" t="n">
        <x:v>1</x:v>
      </x:c>
      <x:c r="N577" s="4"/>
      <x:c r="O577" s="4"/>
      <x:c r="P577" s="11" t="n">
        <x:v>0</x:v>
      </x:c>
      <x:c r="Q577" s="11" t="n">
        <x:v>2</x:v>
      </x:c>
      <x:c r="R577" s="11" t="str">
        <x:f>IF(OR(P577="",Q577=""),"",Q577-P577)</x:f>
      </x:c>
      <x:c r="S577" s="13" t="str">
        <x:f>IF(OR(P577="",Q577="",P577=0),"",((Q577/30)/(P577/31))-1)</x:f>
      </x:c>
      <x:c r="T577" s="11" t="n">
        <x:v>99</x:v>
      </x:c>
      <x:c r="U577" s="11" t="n">
        <x:v>76</x:v>
      </x:c>
      <x:c r="V577" s="14" t="n">
        <x:v>0.02631578947368421</x:v>
      </x:c>
      <x:c r="W577" s="12" t="n">
        <x:v>6.0394736842105265</x:v>
      </x:c>
      <x:c r="X577" s="11" t="n">
        <x:v>2</x:v>
      </x:c>
      <x:c r="Y577" s="11" t="n">
        <x:v>2</x:v>
      </x:c>
      <x:c r="Z577" s="4" t="str">
        <x:v>https://blog.skyairline.com/somos-categoria-oro-en-seguridad-operacional/</x:v>
      </x:c>
      <x:c r="AA577" s="4" t="str">
        <x:v>https://blog.skyairline.com/somos-categoria-oro-en-seguridad-operacional/</x:v>
      </x:c>
      <x:c r="AB577" s="4" t="str">
        <x:v>Coincidencia URL</x:v>
      </x:c>
      <x:c r="AC577" s="4" t="str">
        <x:v>Publicado hasta septiembre</x:v>
      </x:c>
      <x:c r="AD577" s="4" t="str">
        <x:v>/somos-categoria-oro-en-seguridad-operacional/</x:v>
      </x:c>
      <x:c r="AE577" s="4"/>
      <x:c r="AF577" s="16" t="b">
        <x:v>0</x:v>
      </x:c>
    </x:row>
    <x:row r="578" ht="44" customHeight="1">
      <x:c r="A578" s="4" t="n">
        <x:v>4095</x:v>
      </x:c>
      <x:c r="B578" s="4" t="str">
        <x:v>https://blog.skyairline.com/lugares-para-visitar-en-puerto-montt/</x:v>
      </x:c>
      <x:c r="C578" s="9" t="str">
        <x:v>Los 8 mejores lugares para visitar en Puerto Montt</x:v>
      </x:c>
      <x:c r="D578" s="17" t="d">
        <x:v>2024-03-02T00:00:00.000Z</x:v>
      </x:c>
      <x:c r="E578" s="17" t="d">
        <x:v>2024-03-02T00:00:00.000Z</x:v>
      </x:c>
      <x:c r="F578" s="4" t="str">
        <x:v>Destinos</x:v>
      </x:c>
      <x:c r="G578" s="11" t="n">
        <x:v>1005</x:v>
      </x:c>
      <x:c r="H578" s="11" t="n">
        <x:v>200</x:v>
      </x:c>
      <x:c r="I578" s="11" t="n">
        <x:v>1</x:v>
      </x:c>
      <x:c r="J578" s="4" t="str">
        <x:v>https://blog.skyairline.com/lugares-para-visitar-en-puerto-montt/</x:v>
      </x:c>
      <x:c r="K578" s="16" t="b">
        <x:v>0</x:v>
      </x:c>
      <x:c r="L578" s="11" t="n">
        <x:v>0</x:v>
      </x:c>
      <x:c r="M578" s="11" t="n">
        <x:v>5</x:v>
      </x:c>
      <x:c r="N578" s="4"/>
      <x:c r="O578" s="4"/>
      <x:c r="P578" s="11" t="n">
        <x:v>0</x:v>
      </x:c>
      <x:c r="Q578" s="11" t="n">
        <x:v>2</x:v>
      </x:c>
      <x:c r="R578" s="11" t="str">
        <x:f>IF(OR(P578="",Q578=""),"",Q578-P578)</x:f>
      </x:c>
      <x:c r="S578" s="13" t="str">
        <x:f>IF(OR(P578="",Q578="",P578=0),"",((Q578/30)/(P578/31))-1)</x:f>
      </x:c>
      <x:c r="T578" s="11" t="n">
        <x:v>283</x:v>
      </x:c>
      <x:c r="U578" s="11" t="n">
        <x:v>229</x:v>
      </x:c>
      <x:c r="V578" s="14" t="n">
        <x:v>0.008733624454148471</x:v>
      </x:c>
      <x:c r="W578" s="12" t="n">
        <x:v>20.51528384279476</x:v>
      </x:c>
      <x:c r="X578" s="11" t="n">
        <x:v>4</x:v>
      </x:c>
      <x:c r="Y578" s="11" t="n">
        <x:v>5</x:v>
      </x:c>
      <x:c r="Z578" s="4" t="str">
        <x:v>https://blog.skyairline.com/lugares-para-visitar-en-puerto-montt/</x:v>
      </x:c>
      <x:c r="AA578" s="4" t="str">
        <x:v>https://blog.skyairline.com/lugares-para-visitar-en-puerto-montt/</x:v>
      </x:c>
      <x:c r="AB578" s="4" t="str">
        <x:v>Coincidencia URL</x:v>
      </x:c>
      <x:c r="AC578" s="4" t="str">
        <x:v>Publicado hasta septiembre</x:v>
      </x:c>
      <x:c r="AD578" s="4" t="str">
        <x:v>/lugares-para-visitar-en-puerto-montt/</x:v>
      </x:c>
      <x:c r="AE578" s="4"/>
      <x:c r="AF578" s="16" t="b">
        <x:v>0</x:v>
      </x:c>
    </x:row>
    <x:row r="579" ht="44" customHeight="1">
      <x:c r="A579" s="4" t="n">
        <x:v>4205</x:v>
      </x:c>
      <x:c r="B579" s="4" t="str">
        <x:v>https://blog.skyairline.com/conciertos-en-chile-2025/</x:v>
      </x:c>
      <x:c r="C579" s="9" t="str">
        <x:v>Próximos conciertos en Chile: agenda musical 2025</x:v>
      </x:c>
      <x:c r="D579" s="17" t="d">
        <x:v>2025-06-17T00:00:00.000Z</x:v>
      </x:c>
      <x:c r="E579" s="17" t="d">
        <x:v>2025-12-19T00:00:00.000Z</x:v>
      </x:c>
      <x:c r="F579" s="4" t="str">
        <x:v>Planificación de Viaje</x:v>
      </x:c>
      <x:c r="G579" s="11" t="n">
        <x:v>1415</x:v>
      </x:c>
      <x:c r="H579" s="11" t="n">
        <x:v>200</x:v>
      </x:c>
      <x:c r="I579" s="11" t="n">
        <x:v>1</x:v>
      </x:c>
      <x:c r="J579" s="4" t="str">
        <x:v>https://blog.skyairline.com/conciertos-en-chile-2025/</x:v>
      </x:c>
      <x:c r="K579" s="16" t="b">
        <x:v>0</x:v>
      </x:c>
      <x:c r="L579" s="11" t="n">
        <x:v>0</x:v>
      </x:c>
      <x:c r="M579" s="11" t="n">
        <x:v>2</x:v>
      </x:c>
      <x:c r="N579" s="4"/>
      <x:c r="O579" s="4"/>
      <x:c r="P579" s="11" t="n">
        <x:v>3</x:v>
      </x:c>
      <x:c r="Q579" s="11" t="n">
        <x:v>2</x:v>
      </x:c>
      <x:c r="R579" s="11" t="n">
        <x:f>IF(OR(P579="",Q579=""),"",Q579-P579)</x:f>
        <x:v>-1</x:v>
      </x:c>
      <x:c r="S579" s="13" t="n">
        <x:f>IF(OR(P579="",Q579="",P579=0),"",((Q579/30)/(P579/31))-1)</x:f>
        <x:v>-0.3111111111111111</x:v>
      </x:c>
      <x:c r="T579" s="11" t="n">
        <x:v>216</x:v>
      </x:c>
      <x:c r="U579" s="11" t="n">
        <x:v>175</x:v>
      </x:c>
      <x:c r="V579" s="14" t="n">
        <x:v>0.011428571428571429</x:v>
      </x:c>
      <x:c r="W579" s="12" t="n">
        <x:v>11.90857142857143</x:v>
      </x:c>
      <x:c r="X579" s="11" t="n">
        <x:v>2</x:v>
      </x:c>
      <x:c r="Y579" s="11" t="n">
        <x:v>2</x:v>
      </x:c>
      <x:c r="Z579" s="4" t="str">
        <x:v>https://blog.skyairline.com/conciertos-en-chile-2025/</x:v>
      </x:c>
      <x:c r="AA579" s="4" t="str">
        <x:v>https://blog.skyairline.com/conciertos-en-chile-2025/</x:v>
      </x:c>
      <x:c r="AB579" s="4" t="str">
        <x:v>Coincidencia URL</x:v>
      </x:c>
      <x:c r="AC579" s="4" t="str">
        <x:v>Publicado hasta septiembre</x:v>
      </x:c>
      <x:c r="AD579" s="4" t="str">
        <x:v>/conciertos-en-chile-2025/</x:v>
      </x:c>
      <x:c r="AE579" s="4"/>
      <x:c r="AF579" s="16" t="b">
        <x:v>0</x:v>
      </x:c>
    </x:row>
    <x:row r="580" ht="44" customHeight="1">
      <x:c r="A580" s="4" t="n">
        <x:v>4322</x:v>
      </x:c>
      <x:c r="B580" s="4" t="str">
        <x:v>https://blog.skyairline.com/maraton-de-santiago/</x:v>
      </x:c>
      <x:c r="C580" s="9" t="str">
        <x:v> ¡No te pierdas el maratón de Santiago 2025!</x:v>
      </x:c>
      <x:c r="D580" s="17" t="d">
        <x:v>2025-06-14T00:00:00.000Z</x:v>
      </x:c>
      <x:c r="E580" s="17" t="d">
        <x:v>2025-12-19T00:00:00.000Z</x:v>
      </x:c>
      <x:c r="F580" s="4" t="str">
        <x:v>Destinos, Oportunidades</x:v>
      </x:c>
      <x:c r="G580" s="11" t="n">
        <x:v>1210</x:v>
      </x:c>
      <x:c r="H580" s="11" t="n">
        <x:v>200</x:v>
      </x:c>
      <x:c r="I580" s="11" t="n">
        <x:v>1</x:v>
      </x:c>
      <x:c r="J580" s="4" t="str">
        <x:v>https://blog.skyairline.com/maraton-de-santiago/</x:v>
      </x:c>
      <x:c r="K580" s="16" t="b">
        <x:v>0</x:v>
      </x:c>
      <x:c r="L580" s="11" t="n">
        <x:v>0</x:v>
      </x:c>
      <x:c r="M580" s="11" t="n">
        <x:v>3</x:v>
      </x:c>
      <x:c r="N580" s="4"/>
      <x:c r="O580" s="4"/>
      <x:c r="P580" s="11" t="n">
        <x:v>0</x:v>
      </x:c>
      <x:c r="Q580" s="11" t="n">
        <x:v>2</x:v>
      </x:c>
      <x:c r="R580" s="11" t="str">
        <x:f>IF(OR(P580="",Q580=""),"",Q580-P580)</x:f>
      </x:c>
      <x:c r="S580" s="13" t="str">
        <x:f>IF(OR(P580="",Q580="",P580=0),"",((Q580/30)/(P580/31))-1)</x:f>
      </x:c>
      <x:c r="T580" s="11" t="n">
        <x:v>328</x:v>
      </x:c>
      <x:c r="U580" s="11" t="n">
        <x:v>354</x:v>
      </x:c>
      <x:c r="V580" s="14" t="n">
        <x:v>0.005649717514124294</x:v>
      </x:c>
      <x:c r="W580" s="12" t="n">
        <x:v>6.627118644067797</x:v>
      </x:c>
      <x:c r="X580" s="11" t="n">
        <x:v>3</x:v>
      </x:c>
      <x:c r="Y580" s="11" t="n">
        <x:v>3</x:v>
      </x:c>
      <x:c r="Z580" s="4" t="str">
        <x:v>https://blog.skyairline.com/maraton-de-santiago/</x:v>
      </x:c>
      <x:c r="AA580" s="4" t="str">
        <x:v>https://blog.skyairline.com/maraton-de-santiago/</x:v>
      </x:c>
      <x:c r="AB580" s="4" t="str">
        <x:v>Coincidencia URL</x:v>
      </x:c>
      <x:c r="AC580" s="4" t="str">
        <x:v>Publicado hasta septiembre</x:v>
      </x:c>
      <x:c r="AD580" s="4" t="str">
        <x:v>/maraton-de-santiago/</x:v>
      </x:c>
      <x:c r="AE580" s="4"/>
      <x:c r="AF580" s="16" t="b">
        <x:v>0</x:v>
      </x:c>
    </x:row>
    <x:row r="581" ht="44" customHeight="1">
      <x:c r="A581" s="4" t="n">
        <x:v>4323</x:v>
      </x:c>
      <x:c r="B581" s="4" t="str">
        <x:v>https://blog.skyairline.com/porto-seguro/</x:v>
      </x:c>
      <x:c r="C581" s="9" t="str">
        <x:v>Qué hacer en Porto Seguro: historia, sol y vida nocturna</x:v>
      </x:c>
      <x:c r="D581" s="17" t="d">
        <x:v>2025-10-04T00:00:00.000Z</x:v>
      </x:c>
      <x:c r="E581" s="17" t="d">
        <x:v>2026-01-12T00:00:00.000Z</x:v>
      </x:c>
      <x:c r="F581" s="4" t="str">
        <x:v>Destinos</x:v>
      </x:c>
      <x:c r="G581" s="11" t="n">
        <x:v>1079</x:v>
      </x:c>
      <x:c r="H581" s="11" t="n">
        <x:v>200</x:v>
      </x:c>
      <x:c r="I581" s="11" t="n">
        <x:v>1</x:v>
      </x:c>
      <x:c r="J581" s="4" t="str">
        <x:v>https://blog.skyairline.com/porto-seguro/</x:v>
      </x:c>
      <x:c r="K581" s="16" t="b">
        <x:v>0</x:v>
      </x:c>
      <x:c r="L581" s="11" t="n">
        <x:v>0</x:v>
      </x:c>
      <x:c r="M581" s="11" t="n">
        <x:v>3</x:v>
      </x:c>
      <x:c r="N581" s="4"/>
      <x:c r="O581" s="4"/>
      <x:c r="P581" s="11" t="n">
        <x:v>1</x:v>
      </x:c>
      <x:c r="Q581" s="11" t="n">
        <x:v>2</x:v>
      </x:c>
      <x:c r="R581" s="11" t="n">
        <x:f>IF(OR(P581="",Q581=""),"",Q581-P581)</x:f>
        <x:v>1</x:v>
      </x:c>
      <x:c r="S581" s="13" t="n">
        <x:f>IF(OR(P581="",Q581="",P581=0),"",((Q581/30)/(P581/31))-1)</x:f>
        <x:v>1.0666666666666669</x:v>
      </x:c>
      <x:c r="T581" s="11" t="n">
        <x:v>836</x:v>
      </x:c>
      <x:c r="U581" s="11" t="n">
        <x:v>724</x:v>
      </x:c>
      <x:c r="V581" s="14" t="n">
        <x:v>0.0027624309392265192</x:v>
      </x:c>
      <x:c r="W581" s="12" t="n">
        <x:v>10.404696132596685</x:v>
      </x:c>
      <x:c r="X581" s="11" t="n">
        <x:v>2</x:v>
      </x:c>
      <x:c r="Y581" s="11" t="n">
        <x:v>2</x:v>
      </x:c>
      <x:c r="Z581" s="4" t="str">
        <x:v>https://blog.skyairline.com/porto-seguro/</x:v>
      </x:c>
      <x:c r="AA581" s="4" t="str">
        <x:v>https://blog.skyairline.com/porto-seguro/</x:v>
      </x:c>
      <x:c r="AB581" s="4" t="str">
        <x:v>Coincidencia URL</x:v>
      </x:c>
      <x:c r="AC581" s="4" t="str">
        <x:v>Publicado hasta septiembre</x:v>
      </x:c>
      <x:c r="AD581" s="4" t="str">
        <x:v>/porto-seguro/</x:v>
      </x:c>
      <x:c r="AE581" s="4"/>
      <x:c r="AF581" s="16" t="b">
        <x:v>0</x:v>
      </x:c>
    </x:row>
    <x:row r="582" ht="44" customHeight="1">
      <x:c r="A582" s="4" t="n">
        <x:v>4335</x:v>
      </x:c>
      <x:c r="B582" s="4" t="str">
        <x:v>https://blog.skyairline.com/ilhabela/</x:v>
      </x:c>
      <x:c r="C582" s="9" t="str">
        <x:v>Descubriendo Ilhabela en Brasil: explorando el paraíso insular</x:v>
      </x:c>
      <x:c r="D582" s="17" t="d">
        <x:v>2025-09-04T00:00:00.000Z</x:v>
      </x:c>
      <x:c r="E582" s="17" t="d">
        <x:v>2026-01-12T00:00:00.000Z</x:v>
      </x:c>
      <x:c r="F582" s="4" t="str">
        <x:v>Destinos</x:v>
      </x:c>
      <x:c r="G582" s="11" t="n">
        <x:v>967</x:v>
      </x:c>
      <x:c r="H582" s="11" t="n">
        <x:v>200</x:v>
      </x:c>
      <x:c r="I582" s="11" t="n">
        <x:v>1</x:v>
      </x:c>
      <x:c r="J582" s="4" t="str">
        <x:v>https://blog.skyairline.com/ilhabela/</x:v>
      </x:c>
      <x:c r="K582" s="16" t="b">
        <x:v>0</x:v>
      </x:c>
      <x:c r="L582" s="11" t="n">
        <x:v>0</x:v>
      </x:c>
      <x:c r="M582" s="11" t="n">
        <x:v>0</x:v>
      </x:c>
      <x:c r="N582" s="4"/>
      <x:c r="O582" s="4"/>
      <x:c r="P582" s="11" t="n">
        <x:v>10</x:v>
      </x:c>
      <x:c r="Q582" s="11" t="n">
        <x:v>2</x:v>
      </x:c>
      <x:c r="R582" s="11" t="n">
        <x:f>IF(OR(P582="",Q582=""),"",Q582-P582)</x:f>
        <x:v>-8</x:v>
      </x:c>
      <x:c r="S582" s="13" t="n">
        <x:f>IF(OR(P582="",Q582="",P582=0),"",((Q582/30)/(P582/31))-1)</x:f>
        <x:v>-0.7933333333333333</x:v>
      </x:c>
      <x:c r="T582" s="11" t="n">
        <x:v>2052</x:v>
      </x:c>
      <x:c r="U582" s="11" t="n">
        <x:v>2983</x:v>
      </x:c>
      <x:c r="V582" s="14" t="n">
        <x:v>0.0006704659738518271</x:v>
      </x:c>
      <x:c r="W582" s="12" t="n">
        <x:v>9.635601743211533</x:v>
      </x:c>
      <x:c r="X582" s="11" t="n">
        <x:v>6</x:v>
      </x:c>
      <x:c r="Y582" s="11" t="n">
        <x:v>9</x:v>
      </x:c>
      <x:c r="Z582" s="4" t="str">
        <x:v>https://blog.skyairline.com/ilhabela/</x:v>
      </x:c>
      <x:c r="AA582" s="4" t="str">
        <x:v>https://blog.skyairline.com/ilhabela/</x:v>
      </x:c>
      <x:c r="AB582" s="4" t="str">
        <x:v>Coincidencia URL</x:v>
      </x:c>
      <x:c r="AC582" s="4" t="str">
        <x:v>Publicado hasta septiembre</x:v>
      </x:c>
      <x:c r="AD582" s="4" t="str">
        <x:v>/ilhabela/</x:v>
      </x:c>
      <x:c r="AE582" s="4"/>
      <x:c r="AF582" s="16" t="b">
        <x:v>0</x:v>
      </x:c>
    </x:row>
    <x:row r="583" ht="44" customHeight="1">
      <x:c r="A583" s="4" t="n">
        <x:v>4390</x:v>
      </x:c>
      <x:c r="B583" s="4" t="str">
        <x:v>https://blog.skyairline.com/sigue-creciendo-la-flota-de-sky-dos-nuevos-aviones-se-suman-a-sus-filas/</x:v>
      </x:c>
      <x:c r="C583" s="9" t="str">
        <x:v>Sigue creciendo la flota de SKY: dos nuevos aviones se suman a sus filas</x:v>
      </x:c>
      <x:c r="D583" s="17" t="d">
        <x:v>2024-04-25T00:00:00.000Z</x:v>
      </x:c>
      <x:c r="E583" s="17" t="d">
        <x:v>2024-04-25T00:00:00.000Z</x:v>
      </x:c>
      <x:c r="F583" s="4" t="str">
        <x:v>Sin categoría</x:v>
      </x:c>
      <x:c r="G583" s="11" t="n">
        <x:v>304</x:v>
      </x:c>
      <x:c r="H583" s="11" t="n">
        <x:v>200</x:v>
      </x:c>
      <x:c r="I583" s="11" t="n">
        <x:v>1</x:v>
      </x:c>
      <x:c r="J583" s="4" t="str">
        <x:v>https://blog.skyairline.com/sigue-creciendo-la-flota-de-sky-dos-nuevos-aviones-se-suman-a-sus-filas/</x:v>
      </x:c>
      <x:c r="K583" s="16" t="b">
        <x:v>0</x:v>
      </x:c>
      <x:c r="L583" s="11" t="n">
        <x:v>0</x:v>
      </x:c>
      <x:c r="M583" s="11" t="n">
        <x:v>0</x:v>
      </x:c>
      <x:c r="N583" s="4" t="str">
        <x:v>T13</x:v>
      </x:c>
      <x:c r="O583" s="4"/>
      <x:c r="P583" s="11" t="n">
        <x:v>6</x:v>
      </x:c>
      <x:c r="Q583" s="11" t="n">
        <x:v>2</x:v>
      </x:c>
      <x:c r="R583" s="11" t="n">
        <x:f>IF(OR(P583="",Q583=""),"",Q583-P583)</x:f>
        <x:v>-4</x:v>
      </x:c>
      <x:c r="S583" s="13" t="n">
        <x:f>IF(OR(P583="",Q583="",P583=0),"",((Q583/30)/(P583/31))-1)</x:f>
        <x:v>-0.6555555555555556</x:v>
      </x:c>
      <x:c r="T583" s="11" t="n">
        <x:v>637</x:v>
      </x:c>
      <x:c r="U583" s="11" t="n">
        <x:v>428</x:v>
      </x:c>
      <x:c r="V583" s="14" t="n">
        <x:v>0.004672897196261682</x:v>
      </x:c>
      <x:c r="W583" s="12" t="n">
        <x:v>5.191588785046729</x:v>
      </x:c>
      <x:c r="X583" s="11" t="n">
        <x:v>2</x:v>
      </x:c>
      <x:c r="Y583" s="11" t="n">
        <x:v>2</x:v>
      </x:c>
      <x:c r="Z583" s="4" t="str">
        <x:v>https://blog.skyairline.com/sigue-creciendo-la-flota-de-sky-dos-nuevos-aviones-se-suman-a-sus-filas/</x:v>
      </x:c>
      <x:c r="AA583" s="4" t="str">
        <x:v>https://blog.skyairline.com/sigue-creciendo-la-flota-de-sky-dos-nuevos-aviones-se-suman-a-sus-filas/</x:v>
      </x:c>
      <x:c r="AB583" s="4" t="str">
        <x:v>Coincidencia URL</x:v>
      </x:c>
      <x:c r="AC583" s="4" t="str">
        <x:v>Publicado hasta septiembre</x:v>
      </x:c>
      <x:c r="AD583" s="4" t="str">
        <x:v>/sigue-creciendo-la-flota-de-sky-dos-nuevos-aviones-se-suman-a-sus-filas/</x:v>
      </x:c>
      <x:c r="AE583" s="4"/>
      <x:c r="AF583" s="16" t="b">
        <x:v>0</x:v>
      </x:c>
    </x:row>
    <x:row r="584" ht="44" customHeight="1">
      <x:c r="A584" s="4" t="n">
        <x:v>4397</x:v>
      </x:c>
      <x:c r="B584" s="4" t="str">
        <x:v>https://blog.skyairline.com/sigue-creciendo-la-flota-de-sky-dos-nuevos-aviones-se-suman-a-sus-filas-2/</x:v>
      </x:c>
      <x:c r="C584" s="9" t="str">
        <x:v>Sigue creciendo la flota de SKY: dos nuevos aviones se suman a sus filas</x:v>
      </x:c>
      <x:c r="D584" s="17" t="d">
        <x:v>2024-04-26T00:00:00.000Z</x:v>
      </x:c>
      <x:c r="E584" s="17" t="d">
        <x:v>2024-04-26T00:00:00.000Z</x:v>
      </x:c>
      <x:c r="F584" s="4" t="str">
        <x:v>Sin categoría</x:v>
      </x:c>
      <x:c r="G584" s="11" t="n">
        <x:v>304</x:v>
      </x:c>
      <x:c r="H584" s="11" t="n">
        <x:v>200</x:v>
      </x:c>
      <x:c r="I584" s="11" t="n">
        <x:v>1</x:v>
      </x:c>
      <x:c r="J584" s="4" t="str">
        <x:v>https://blog.skyairline.com/sigue-creciendo-la-flota-de-sky-dos-nuevos-aviones-se-suman-a-sus-filas-2/</x:v>
      </x:c>
      <x:c r="K584" s="16" t="b">
        <x:v>0</x:v>
      </x:c>
      <x:c r="L584" s="11" t="n">
        <x:v>0</x:v>
      </x:c>
      <x:c r="M584" s="11" t="n">
        <x:v>0</x:v>
      </x:c>
      <x:c r="N584" s="4" t="str">
        <x:v>T13</x:v>
      </x:c>
      <x:c r="O584" s="4"/>
      <x:c r="P584" s="11" t="n">
        <x:v>2</x:v>
      </x:c>
      <x:c r="Q584" s="11" t="n">
        <x:v>2</x:v>
      </x:c>
      <x:c r="R584" s="11" t="n">
        <x:f>IF(OR(P584="",Q584=""),"",Q584-P584)</x:f>
        <x:v>0</x:v>
      </x:c>
      <x:c r="S584" s="13" t="n">
        <x:f>IF(OR(P584="",Q584="",P584=0),"",((Q584/30)/(P584/31))-1)</x:f>
        <x:v>0.03333333333333344</x:v>
      </x:c>
      <x:c r="T584" s="11" t="n">
        <x:v>352</x:v>
      </x:c>
      <x:c r="U584" s="11" t="n">
        <x:v>469</x:v>
      </x:c>
      <x:c r="V584" s="14" t="n">
        <x:v>0.0042643923240938165</x:v>
      </x:c>
      <x:c r="W584" s="12" t="n">
        <x:v>4.650319829424307</x:v>
      </x:c>
      <x:c r="X584" s="11" t="n">
        <x:v>2</x:v>
      </x:c>
      <x:c r="Y584" s="11" t="n">
        <x:v>2</x:v>
      </x:c>
      <x:c r="Z584" s="4" t="str">
        <x:v>https://blog.skyairline.com/sigue-creciendo-la-flota-de-sky-dos-nuevos-aviones-se-suman-a-sus-filas-2/</x:v>
      </x:c>
      <x:c r="AA584" s="4" t="str">
        <x:v>https://blog.skyairline.com/sigue-creciendo-la-flota-de-sky-dos-nuevos-aviones-se-suman-a-sus-filas-2/</x:v>
      </x:c>
      <x:c r="AB584" s="4" t="str">
        <x:v>Coincidencia URL</x:v>
      </x:c>
      <x:c r="AC584" s="4" t="str">
        <x:v>Publicado hasta septiembre</x:v>
      </x:c>
      <x:c r="AD584" s="4" t="str">
        <x:v>/sigue-creciendo-la-flota-de-sky-dos-nuevos-aviones-se-suman-a-sus-filas-2/</x:v>
      </x:c>
      <x:c r="AE584" s="4"/>
      <x:c r="AF584" s="16" t="b">
        <x:v>0</x:v>
      </x:c>
    </x:row>
    <x:row r="585" ht="44" customHeight="1">
      <x:c r="A585" s="4" t="n">
        <x:v>4670</x:v>
      </x:c>
      <x:c r="B585" s="4" t="str">
        <x:v>https://blog.skyairline.com/buenos-aires-ciudad/</x:v>
      </x:c>
      <x:c r="C585" s="9" t="str">
        <x:v>Escapadas cerca de Buenos Aires que no puedes perderte</x:v>
      </x:c>
      <x:c r="D585" s="17" t="d">
        <x:v>2026-07-01T00:00:00.000Z</x:v>
      </x:c>
      <x:c r="E585" s="17" t="d">
        <x:v>2026-07-01T00:00:00.000Z</x:v>
      </x:c>
      <x:c r="F585" s="4" t="str">
        <x:v>Buenos Aires</x:v>
      </x:c>
      <x:c r="G585" s="11" t="n">
        <x:v>1031</x:v>
      </x:c>
      <x:c r="H585" s="11" t="n">
        <x:v>200</x:v>
      </x:c>
      <x:c r="I585" s="11" t="n">
        <x:v>1</x:v>
      </x:c>
      <x:c r="J585" s="4" t="str">
        <x:v>https://blog.skyairline.com/buenos-aires-ciudad/</x:v>
      </x:c>
      <x:c r="K585" s="16" t="b">
        <x:v>0</x:v>
      </x:c>
      <x:c r="L585" s="11" t="n">
        <x:v>0</x:v>
      </x:c>
      <x:c r="M585" s="11" t="n">
        <x:v>0</x:v>
      </x:c>
      <x:c r="N585" s="4"/>
      <x:c r="O585" s="4"/>
      <x:c r="P585" s="11" t="n">
        <x:v>3</x:v>
      </x:c>
      <x:c r="Q585" s="11" t="n">
        <x:v>2</x:v>
      </x:c>
      <x:c r="R585" s="11" t="n">
        <x:f>IF(OR(P585="",Q585=""),"",Q585-P585)</x:f>
        <x:v>-1</x:v>
      </x:c>
      <x:c r="S585" s="13" t="n">
        <x:f>IF(OR(P585="",Q585="",P585=0),"",((Q585/30)/(P585/31))-1)</x:f>
        <x:v>-0.3111111111111111</x:v>
      </x:c>
      <x:c r="T585" s="11" t="n">
        <x:v>286</x:v>
      </x:c>
      <x:c r="U585" s="11" t="n">
        <x:v>104</x:v>
      </x:c>
      <x:c r="V585" s="14" t="n">
        <x:v>0.019230769230769232</x:v>
      </x:c>
      <x:c r="W585" s="12" t="n">
        <x:v>11.01923076923077</x:v>
      </x:c>
      <x:c r="X585" s="11" t="n">
        <x:v>2</x:v>
      </x:c>
      <x:c r="Y585" s="11" t="n">
        <x:v>2</x:v>
      </x:c>
      <x:c r="Z585" s="4" t="str">
        <x:v>https://blog.skyairline.com/buenos-aires-ciudad/</x:v>
      </x:c>
      <x:c r="AA585" s="4" t="str">
        <x:v>https://blog.skyairline.com/buenos-aires-ciudad/</x:v>
      </x:c>
      <x:c r="AB585" s="4" t="str">
        <x:v>Coincidencia URL</x:v>
      </x:c>
      <x:c r="AC585" s="4" t="str">
        <x:v>Publicado hasta septiembre</x:v>
      </x:c>
      <x:c r="AD585" s="4" t="str">
        <x:v>/buenos-aires-ciudad/</x:v>
      </x:c>
      <x:c r="AE585" s="4"/>
      <x:c r="AF585" s="16" t="b">
        <x:v>0</x:v>
      </x:c>
    </x:row>
    <x:row r="586" ht="44" customHeight="1">
      <x:c r="A586" s="4" t="n">
        <x:v>4817</x:v>
      </x:c>
      <x:c r="B586" s="4" t="str">
        <x:v>https://blog.skyairline.com/restaurantes-pet-friendly/</x:v>
      </x:c>
      <x:c r="C586" s="9" t="str">
        <x:v>5 restaurantes pet friendly en Santiago de Chile</x:v>
      </x:c>
      <x:c r="D586" s="17" t="d">
        <x:v>2024-07-26T00:00:00.000Z</x:v>
      </x:c>
      <x:c r="E586" s="17" t="d">
        <x:v>2024-07-26T00:00:00.000Z</x:v>
      </x:c>
      <x:c r="F586" s="4" t="str">
        <x:v>Destinos</x:v>
      </x:c>
      <x:c r="G586" s="11" t="n">
        <x:v>1066</x:v>
      </x:c>
      <x:c r="H586" s="11" t="n">
        <x:v>200</x:v>
      </x:c>
      <x:c r="I586" s="11" t="n">
        <x:v>1</x:v>
      </x:c>
      <x:c r="J586" s="4" t="str">
        <x:v>https://blog.skyairline.com/restaurantes-pet-friendly/</x:v>
      </x:c>
      <x:c r="K586" s="16" t="b">
        <x:v>0</x:v>
      </x:c>
      <x:c r="L586" s="11" t="n">
        <x:v>0</x:v>
      </x:c>
      <x:c r="M586" s="11" t="n">
        <x:v>2</x:v>
      </x:c>
      <x:c r="N586" s="4"/>
      <x:c r="O586" s="4"/>
      <x:c r="P586" s="11" t="n">
        <x:v>1</x:v>
      </x:c>
      <x:c r="Q586" s="11" t="n">
        <x:v>2</x:v>
      </x:c>
      <x:c r="R586" s="11" t="n">
        <x:f>IF(OR(P586="",Q586=""),"",Q586-P586)</x:f>
        <x:v>1</x:v>
      </x:c>
      <x:c r="S586" s="13" t="n">
        <x:f>IF(OR(P586="",Q586="",P586=0),"",((Q586/30)/(P586/31))-1)</x:f>
        <x:v>1.0666666666666669</x:v>
      </x:c>
      <x:c r="T586" s="11" t="n">
        <x:v>345</x:v>
      </x:c>
      <x:c r="U586" s="11" t="n">
        <x:v>311</x:v>
      </x:c>
      <x:c r="V586" s="14" t="n">
        <x:v>0.006430868167202572</x:v>
      </x:c>
      <x:c r="W586" s="12" t="n">
        <x:v>11.237942122186496</x:v>
      </x:c>
      <x:c r="X586" s="11" t="n">
        <x:v>3</x:v>
      </x:c>
      <x:c r="Y586" s="11" t="n">
        <x:v>4</x:v>
      </x:c>
      <x:c r="Z586" s="4" t="str">
        <x:v>https://blog.skyairline.com/restaurantes-pet-friendly/</x:v>
      </x:c>
      <x:c r="AA586" s="4" t="str">
        <x:v>https://blog.skyairline.com/restaurantes-pet-friendly/</x:v>
      </x:c>
      <x:c r="AB586" s="4" t="str">
        <x:v>Coincidencia URL</x:v>
      </x:c>
      <x:c r="AC586" s="4" t="str">
        <x:v>Publicado hasta septiembre</x:v>
      </x:c>
      <x:c r="AD586" s="4" t="str">
        <x:v>/restaurantes-pet-friendly/</x:v>
      </x:c>
      <x:c r="AE586" s="4"/>
      <x:c r="AF586" s="16" t="b">
        <x:v>0</x:v>
      </x:c>
    </x:row>
    <x:row r="587" ht="44" customHeight="1">
      <x:c r="A587" s="4" t="n">
        <x:v>4854</x:v>
      </x:c>
      <x:c r="B587" s="4" t="str">
        <x:v>https://blog.skyairline.com/sky-incorpora-en-toda-su-flota-una-guia-de-informacion-en-braille-para-pasajeros-con-discapacidad-visual/</x:v>
      </x:c>
      <x:c r="C587" s="9" t="str">
        <x:v>SKY incorpora en toda su flota una guía de información en braille para pasajeros con discapacidad visual</x:v>
      </x:c>
      <x:c r="D587" s="17" t="d">
        <x:v>2024-07-31T00:00:00.000Z</x:v>
      </x:c>
      <x:c r="E587" s="17" t="d">
        <x:v>2024-07-31T00:00:00.000Z</x:v>
      </x:c>
      <x:c r="F587" s="4" t="str">
        <x:v>Compromiso SKY</x:v>
      </x:c>
      <x:c r="G587" s="11" t="n">
        <x:v>509</x:v>
      </x:c>
      <x:c r="H587" s="11" t="n">
        <x:v>200</x:v>
      </x:c>
      <x:c r="I587" s="11" t="n">
        <x:v>1</x:v>
      </x:c>
      <x:c r="J587" s="4" t="str">
        <x:v>https://blog.skyairline.com/sky-incorpora-en-toda-su-flota-una-guia-de-informacion-en-braille-para-pasajeros-con-discapacidad-visual/</x:v>
      </x:c>
      <x:c r="K587" s="16" t="b">
        <x:v>0</x:v>
      </x:c>
      <x:c r="L587" s="11" t="n">
        <x:v>0</x:v>
      </x:c>
      <x:c r="M587" s="11" t="n">
        <x:v>0</x:v>
      </x:c>
      <x:c r="N587" s="4" t="str">
        <x:v>T10</x:v>
      </x:c>
      <x:c r="O587" s="4" t="str">
        <x:v>C05</x:v>
      </x:c>
      <x:c r="P587" s="11" t="n">
        <x:v>1</x:v>
      </x:c>
      <x:c r="Q587" s="11" t="n">
        <x:v>2</x:v>
      </x:c>
      <x:c r="R587" s="11" t="n">
        <x:f>IF(OR(P587="",Q587=""),"",Q587-P587)</x:f>
        <x:v>1</x:v>
      </x:c>
      <x:c r="S587" s="13" t="n">
        <x:f>IF(OR(P587="",Q587="",P587=0),"",((Q587/30)/(P587/31))-1)</x:f>
        <x:v>1.0666666666666669</x:v>
      </x:c>
      <x:c r="T587" s="11" t="n">
        <x:v>200</x:v>
      </x:c>
      <x:c r="U587" s="11" t="n">
        <x:v>133</x:v>
      </x:c>
      <x:c r="V587" s="14" t="n">
        <x:v>0.015037593984962405</x:v>
      </x:c>
      <x:c r="W587" s="12" t="n">
        <x:v>6.022556390977444</x:v>
      </x:c>
      <x:c r="X587" s="11" t="n">
        <x:v>2</x:v>
      </x:c>
      <x:c r="Y587" s="11" t="n">
        <x:v>2</x:v>
      </x:c>
      <x:c r="Z587" s="4" t="str">
        <x:v>https://blog.skyairline.com/sky-incorpora-en-toda-su-flota-una-guia-de-informacion-en-braille-para-pasajeros-con-discapacidad-visual/</x:v>
      </x:c>
      <x:c r="AA587" s="4" t="str">
        <x:v>https://blog.skyairline.com/sky-incorpora-en-toda-su-flota-una-guia-de-informacion-en-braille-para-pasajeros-con-discapacidad-visual/</x:v>
      </x:c>
      <x:c r="AB587" s="4" t="str">
        <x:v>Coincidencia URL</x:v>
      </x:c>
      <x:c r="AC587" s="4" t="str">
        <x:v>Publicado hasta septiembre</x:v>
      </x:c>
      <x:c r="AD587" s="4" t="str">
        <x:v>/sky-incorpora-en-toda-su-flota-una-guia-de-informacion-en-braille-para-pasajeros-con-discapacidad-visual/</x:v>
      </x:c>
      <x:c r="AE587" s="4"/>
      <x:c r="AF587" s="16" t="b">
        <x:v>0</x:v>
      </x:c>
    </x:row>
    <x:row r="588" ht="44" customHeight="1">
      <x:c r="A588" s="4" t="n">
        <x:v>4880</x:v>
      </x:c>
      <x:c r="B588" s="4" t="str">
        <x:v>https://blog.skyairline.com/viajes-cusco/</x:v>
      </x:c>
      <x:c r="C588" s="9" t="str">
        <x:v>¿Planificas un viaje a Cusco? Conoce cuántos días debes quedarte para conocer todo</x:v>
      </x:c>
      <x:c r="D588" s="17" t="d">
        <x:v>2024-08-12T00:00:00.000Z</x:v>
      </x:c>
      <x:c r="E588" s="17" t="d">
        <x:v>2024-08-12T00:00:00.000Z</x:v>
      </x:c>
      <x:c r="F588" s="4" t="str">
        <x:v>Destinos</x:v>
      </x:c>
      <x:c r="G588" s="11" t="n">
        <x:v>1004</x:v>
      </x:c>
      <x:c r="H588" s="11" t="n">
        <x:v>200</x:v>
      </x:c>
      <x:c r="I588" s="11" t="n">
        <x:v>1</x:v>
      </x:c>
      <x:c r="J588" s="4" t="str">
        <x:v>https://blog.skyairline.com/viajes-cusco/</x:v>
      </x:c>
      <x:c r="K588" s="16" t="b">
        <x:v>0</x:v>
      </x:c>
      <x:c r="L588" s="11" t="n">
        <x:v>0</x:v>
      </x:c>
      <x:c r="M588" s="11" t="n">
        <x:v>3</x:v>
      </x:c>
      <x:c r="N588" s="4"/>
      <x:c r="O588" s="4"/>
      <x:c r="P588" s="11" t="n">
        <x:v>2</x:v>
      </x:c>
      <x:c r="Q588" s="11" t="n">
        <x:v>2</x:v>
      </x:c>
      <x:c r="R588" s="11" t="n">
        <x:f>IF(OR(P588="",Q588=""),"",Q588-P588)</x:f>
        <x:v>0</x:v>
      </x:c>
      <x:c r="S588" s="13" t="n">
        <x:f>IF(OR(P588="",Q588="",P588=0),"",((Q588/30)/(P588/31))-1)</x:f>
        <x:v>0.03333333333333344</x:v>
      </x:c>
      <x:c r="T588" s="11" t="n">
        <x:v>514</x:v>
      </x:c>
      <x:c r="U588" s="11" t="n">
        <x:v>397</x:v>
      </x:c>
      <x:c r="V588" s="14" t="n">
        <x:v>0.005037783375314861</x:v>
      </x:c>
      <x:c r="W588" s="12" t="n">
        <x:v>28.04030226700252</x:v>
      </x:c>
      <x:c r="X588" s="11" t="n">
        <x:v>2</x:v>
      </x:c>
      <x:c r="Y588" s="11" t="n">
        <x:v>2</x:v>
      </x:c>
      <x:c r="Z588" s="4" t="str">
        <x:v>https://blog.skyairline.com/viajes-cusco/</x:v>
      </x:c>
      <x:c r="AA588" s="4" t="str">
        <x:v>https://blog.skyairline.com/viajes-cusco/</x:v>
      </x:c>
      <x:c r="AB588" s="4" t="str">
        <x:v>Coincidencia URL</x:v>
      </x:c>
      <x:c r="AC588" s="4" t="str">
        <x:v>Publicado hasta septiembre</x:v>
      </x:c>
      <x:c r="AD588" s="4" t="str">
        <x:v>/viajes-cusco/</x:v>
      </x:c>
      <x:c r="AE588" s="4"/>
      <x:c r="AF588" s="16" t="b">
        <x:v>0</x:v>
      </x:c>
    </x:row>
    <x:row r="589" ht="44" customHeight="1">
      <x:c r="A589" s="4" t="n">
        <x:v>4889</x:v>
      </x:c>
      <x:c r="B589" s="4" t="str">
        <x:v>https://blog.skyairline.com/deporte-extremo-santiago/</x:v>
      </x:c>
      <x:c r="C589" s="9" t="str">
        <x:v>Parapente en Santiago: mejores lugares, precios y aventuras para disfrutar</x:v>
      </x:c>
      <x:c r="D589" s="17" t="d">
        <x:v>2026-10-05T00:00:00.000Z</x:v>
      </x:c>
      <x:c r="E589" s="17" t="d">
        <x:v>2026-09-22T00:00:00.000Z</x:v>
      </x:c>
      <x:c r="F589" s="4" t="str">
        <x:v>Destinos</x:v>
      </x:c>
      <x:c r="G589" s="11" t="n">
        <x:v>1125</x:v>
      </x:c>
      <x:c r="H589" s="11" t="n">
        <x:v>200</x:v>
      </x:c>
      <x:c r="I589" s="11" t="n">
        <x:v>1</x:v>
      </x:c>
      <x:c r="J589" s="4" t="str">
        <x:v>https://blog.skyairline.com/deporte-extremo-santiago/</x:v>
      </x:c>
      <x:c r="K589" s="16" t="b">
        <x:v>0</x:v>
      </x:c>
      <x:c r="L589" s="11" t="n">
        <x:v>0</x:v>
      </x:c>
      <x:c r="M589" s="11" t="n">
        <x:v>0</x:v>
      </x:c>
      <x:c r="N589" s="4"/>
      <x:c r="O589" s="4"/>
      <x:c r="P589" s="11" t="n">
        <x:v>1</x:v>
      </x:c>
      <x:c r="Q589" s="11" t="n">
        <x:v>2</x:v>
      </x:c>
      <x:c r="R589" s="11" t="n">
        <x:f>IF(OR(P589="",Q589=""),"",Q589-P589)</x:f>
        <x:v>1</x:v>
      </x:c>
      <x:c r="S589" s="13" t="n">
        <x:f>IF(OR(P589="",Q589="",P589=0),"",((Q589/30)/(P589/31))-1)</x:f>
        <x:v>1.0666666666666669</x:v>
      </x:c>
      <x:c r="T589" s="11" t="n">
        <x:v>220</x:v>
      </x:c>
      <x:c r="U589" s="11" t="n">
        <x:v>112</x:v>
      </x:c>
      <x:c r="V589" s="14" t="n">
        <x:v>0.017857142857142856</x:v>
      </x:c>
      <x:c r="W589" s="12" t="n">
        <x:v>14.419642857142858</x:v>
      </x:c>
      <x:c r="X589" s="11" t="n">
        <x:v>2</x:v>
      </x:c>
      <x:c r="Y589" s="11" t="n">
        <x:v>3</x:v>
      </x:c>
      <x:c r="Z589" s="4" t="str">
        <x:v>https://blog.skyairline.com/deporte-extremo-santiago/</x:v>
      </x:c>
      <x:c r="AA589" s="4" t="str">
        <x:v>https://blog.skyairline.com/deporte-extremo-santiago/</x:v>
      </x:c>
      <x:c r="AB589" s="4" t="str">
        <x:v>Coincidencia URL</x:v>
      </x:c>
      <x:c r="AC589" s="4" t="str">
        <x:v>Publicado después del mes</x:v>
      </x:c>
      <x:c r="AD589" s="4" t="str">
        <x:v>/deporte-extremo-santiago/</x:v>
      </x:c>
      <x:c r="AE589" s="4"/>
      <x:c r="AF589" s="16" t="b">
        <x:v>0</x:v>
      </x:c>
    </x:row>
    <x:row r="590" ht="44" customHeight="1">
      <x:c r="A590" s="4" t="n">
        <x:v>4939</x:v>
      </x:c>
      <x:c r="B590" s="4" t="str">
        <x:v>https://blog.skyairline.com/sky-comienza-la-venta-de-su-nueva-ruta-directa-santiago-el-calafate/</x:v>
      </x:c>
      <x:c r="C590" s="9" t="str">
        <x:v>SKY comienza la venta de su nueva ruta directa Santiago – El Calafate</x:v>
      </x:c>
      <x:c r="D590" s="17" t="d">
        <x:v>2024-09-03T00:00:00.000Z</x:v>
      </x:c>
      <x:c r="E590" s="17" t="d">
        <x:v>2024-09-03T00:00:00.000Z</x:v>
      </x:c>
      <x:c r="F590" s="4" t="str">
        <x:v>Noticias</x:v>
      </x:c>
      <x:c r="G590" s="11" t="n">
        <x:v>334</x:v>
      </x:c>
      <x:c r="H590" s="11" t="n">
        <x:v>200</x:v>
      </x:c>
      <x:c r="I590" s="11" t="n">
        <x:v>1</x:v>
      </x:c>
      <x:c r="J590" s="4" t="str">
        <x:v>https://blog.skyairline.com/sky-comienza-la-venta-de-su-nueva-ruta-directa-santiago-el-calafate/</x:v>
      </x:c>
      <x:c r="K590" s="16" t="b">
        <x:v>0</x:v>
      </x:c>
      <x:c r="L590" s="11" t="n">
        <x:v>0</x:v>
      </x:c>
      <x:c r="M590" s="11" t="n">
        <x:v>0</x:v>
      </x:c>
      <x:c r="N590" s="4"/>
      <x:c r="O590" s="4"/>
      <x:c r="P590" s="11" t="n">
        <x:v>0</x:v>
      </x:c>
      <x:c r="Q590" s="11" t="n">
        <x:v>2</x:v>
      </x:c>
      <x:c r="R590" s="11" t="str">
        <x:f>IF(OR(P590="",Q590=""),"",Q590-P590)</x:f>
      </x:c>
      <x:c r="S590" s="13" t="str">
        <x:f>IF(OR(P590="",Q590="",P590=0),"",((Q590/30)/(P590/31))-1)</x:f>
      </x:c>
      <x:c r="T590" s="11" t="n">
        <x:v>90</x:v>
      </x:c>
      <x:c r="U590" s="11" t="n">
        <x:v>89</x:v>
      </x:c>
      <x:c r="V590" s="14" t="n">
        <x:v>0.02247191011235955</x:v>
      </x:c>
      <x:c r="W590" s="12" t="n">
        <x:v>7.606741573033708</x:v>
      </x:c>
      <x:c r="X590" s="11" t="n">
        <x:v>1</x:v>
      </x:c>
      <x:c r="Y590" s="11" t="n">
        <x:v>1</x:v>
      </x:c>
      <x:c r="Z590" s="4" t="str">
        <x:v>https://blog.skyairline.com/sky-comienza-la-venta-de-su-nueva-ruta-directa-santiago-el-calafate/</x:v>
      </x:c>
      <x:c r="AA590" s="4" t="str">
        <x:v>https://blog.skyairline.com/sky-comienza-la-venta-de-su-nueva-ruta-directa-santiago-el-calafate/</x:v>
      </x:c>
      <x:c r="AB590" s="4" t="str">
        <x:v>Coincidencia URL</x:v>
      </x:c>
      <x:c r="AC590" s="4" t="str">
        <x:v>Publicado hasta septiembre</x:v>
      </x:c>
      <x:c r="AD590" s="4" t="str">
        <x:v>/sky-comienza-la-venta-de-su-nueva-ruta-directa-santiago-el-calafate/</x:v>
      </x:c>
      <x:c r="AE590" s="4"/>
      <x:c r="AF590" s="16" t="b">
        <x:v>0</x:v>
      </x:c>
    </x:row>
    <x:row r="591" ht="44" customHeight="1">
      <x:c r="A591" s="4" t="n">
        <x:v>4999</x:v>
      </x:c>
      <x:c r="B591" s="4" t="str">
        <x:v>https://blog.skyairline.com/terminal-sur-de-santiago/</x:v>
      </x:c>
      <x:c r="C591" s="9" t="str">
        <x:v>Terminal Sur de Santiago: ¿es mejor tomar el bus o avión para viajar por Chile?</x:v>
      </x:c>
      <x:c r="D591" s="17" t="d">
        <x:v>2024-09-18T00:00:00.000Z</x:v>
      </x:c>
      <x:c r="E591" s="17" t="d">
        <x:v>2024-09-18T00:00:00.000Z</x:v>
      </x:c>
      <x:c r="F591" s="4" t="str">
        <x:v>Planificación de Viaje</x:v>
      </x:c>
      <x:c r="G591" s="11" t="n">
        <x:v>1115</x:v>
      </x:c>
      <x:c r="H591" s="11" t="n">
        <x:v>200</x:v>
      </x:c>
      <x:c r="I591" s="11" t="n">
        <x:v>1</x:v>
      </x:c>
      <x:c r="J591" s="4" t="str">
        <x:v>https://blog.skyairline.com/terminal-sur-de-santiago/</x:v>
      </x:c>
      <x:c r="K591" s="16" t="b">
        <x:v>0</x:v>
      </x:c>
      <x:c r="L591" s="11" t="n">
        <x:v>0</x:v>
      </x:c>
      <x:c r="M591" s="11" t="n">
        <x:v>3</x:v>
      </x:c>
      <x:c r="N591" s="4"/>
      <x:c r="O591" s="4"/>
      <x:c r="P591" s="11" t="n">
        <x:v>2</x:v>
      </x:c>
      <x:c r="Q591" s="11" t="n">
        <x:v>2</x:v>
      </x:c>
      <x:c r="R591" s="11" t="n">
        <x:f>IF(OR(P591="",Q591=""),"",Q591-P591)</x:f>
        <x:v>0</x:v>
      </x:c>
      <x:c r="S591" s="13" t="n">
        <x:f>IF(OR(P591="",Q591="",P591=0),"",((Q591/30)/(P591/31))-1)</x:f>
        <x:v>0.03333333333333344</x:v>
      </x:c>
      <x:c r="T591" s="11" t="n">
        <x:v>3264</x:v>
      </x:c>
      <x:c r="U591" s="11" t="n">
        <x:v>1778</x:v>
      </x:c>
      <x:c r="V591" s="14" t="n">
        <x:v>0.0011248593925759281</x:v>
      </x:c>
      <x:c r="W591" s="12" t="n">
        <x:v>9.564116985376828</x:v>
      </x:c>
      <x:c r="X591" s="11" t="n">
        <x:v>5</x:v>
      </x:c>
      <x:c r="Y591" s="11" t="n">
        <x:v>5</x:v>
      </x:c>
      <x:c r="Z591" s="4" t="str">
        <x:v>https://blog.skyairline.com/terminal-sur-de-santiago/</x:v>
      </x:c>
      <x:c r="AA591" s="4" t="str">
        <x:v>https://blog.skyairline.com/terminal-sur-de-santiago/</x:v>
      </x:c>
      <x:c r="AB591" s="4" t="str">
        <x:v>Coincidencia URL</x:v>
      </x:c>
      <x:c r="AC591" s="4" t="str">
        <x:v>Publicado hasta septiembre</x:v>
      </x:c>
      <x:c r="AD591" s="4" t="str">
        <x:v>/terminal-sur-de-santiago/</x:v>
      </x:c>
      <x:c r="AE591" s="4"/>
      <x:c r="AF591" s="16" t="b">
        <x:v>0</x:v>
      </x:c>
    </x:row>
    <x:row r="592" ht="44" customHeight="1">
      <x:c r="A592" s="4" t="n">
        <x:v>5096</x:v>
      </x:c>
      <x:c r="B592" s="4" t="str">
        <x:v>https://blog.skyairline.com/oasis-de-huacachina/</x:v>
      </x:c>
      <x:c r="C592" s="9" t="str">
        <x:v>Descubre el oasis de Huacachina: uno de los lugares más instagrameables del mundo</x:v>
      </x:c>
      <x:c r="D592" s="17" t="d">
        <x:v>2026-06-30T00:00:00.000Z</x:v>
      </x:c>
      <x:c r="E592" s="17" t="d">
        <x:v>2026-07-01T00:00:00.000Z</x:v>
      </x:c>
      <x:c r="F592" s="4" t="str">
        <x:v>Destinos</x:v>
      </x:c>
      <x:c r="G592" s="11" t="n">
        <x:v>1044</x:v>
      </x:c>
      <x:c r="H592" s="11" t="n">
        <x:v>200</x:v>
      </x:c>
      <x:c r="I592" s="11" t="n">
        <x:v>1</x:v>
      </x:c>
      <x:c r="J592" s="4" t="str">
        <x:v>https://blog.skyairline.com/oasis-de-huacachina/</x:v>
      </x:c>
      <x:c r="K592" s="16" t="b">
        <x:v>0</x:v>
      </x:c>
      <x:c r="L592" s="11" t="n">
        <x:v>0</x:v>
      </x:c>
      <x:c r="M592" s="11" t="n">
        <x:v>0</x:v>
      </x:c>
      <x:c r="N592" s="4"/>
      <x:c r="O592" s="4"/>
      <x:c r="P592" s="11" t="n">
        <x:v>1</x:v>
      </x:c>
      <x:c r="Q592" s="11" t="n">
        <x:v>2</x:v>
      </x:c>
      <x:c r="R592" s="11" t="n">
        <x:f>IF(OR(P592="",Q592=""),"",Q592-P592)</x:f>
        <x:v>1</x:v>
      </x:c>
      <x:c r="S592" s="13" t="n">
        <x:f>IF(OR(P592="",Q592="",P592=0),"",((Q592/30)/(P592/31))-1)</x:f>
        <x:v>1.0666666666666669</x:v>
      </x:c>
      <x:c r="T592" s="11" t="n">
        <x:v>835</x:v>
      </x:c>
      <x:c r="U592" s="11" t="n">
        <x:v>915</x:v>
      </x:c>
      <x:c r="V592" s="14" t="n">
        <x:v>0.002185792349726776</x:v>
      </x:c>
      <x:c r="W592" s="12" t="n">
        <x:v>17.030601092896173</x:v>
      </x:c>
      <x:c r="X592" s="11" t="n">
        <x:v>4</x:v>
      </x:c>
      <x:c r="Y592" s="11" t="n">
        <x:v>4</x:v>
      </x:c>
      <x:c r="Z592" s="4" t="str">
        <x:v>https://blog.skyairline.com/oasis-de-huacachina/</x:v>
      </x:c>
      <x:c r="AA592" s="4" t="str">
        <x:v>https://blog.skyairline.com/oasis-de-huacachina/</x:v>
      </x:c>
      <x:c r="AB592" s="4" t="str">
        <x:v>Coincidencia URL</x:v>
      </x:c>
      <x:c r="AC592" s="4" t="str">
        <x:v>Publicado hasta septiembre</x:v>
      </x:c>
      <x:c r="AD592" s="4" t="str">
        <x:v>/oasis-de-huacachina/</x:v>
      </x:c>
      <x:c r="AE592" s="4"/>
      <x:c r="AF592" s="16" t="b">
        <x:v>0</x:v>
      </x:c>
    </x:row>
    <x:row r="593" ht="44" customHeight="1">
      <x:c r="A593" s="4" t="n">
        <x:v>5131</x:v>
      </x:c>
      <x:c r="B593" s="4" t="str">
        <x:v>https://blog.skyairline.com/capitolio-minas-gerais/</x:v>
      </x:c>
      <x:c r="C593" s="9" t="str">
        <x:v>¿Cómo conocer el Capitolio de Minas Gerais viajando con nosotros?</x:v>
      </x:c>
      <x:c r="D593" s="17" t="d">
        <x:v>2024-10-09T00:00:00.000Z</x:v>
      </x:c>
      <x:c r="E593" s="17" t="d">
        <x:v>2024-10-09T00:00:00.000Z</x:v>
      </x:c>
      <x:c r="F593" s="4" t="str">
        <x:v>Sin categoría</x:v>
      </x:c>
      <x:c r="G593" s="11" t="n">
        <x:v>979</x:v>
      </x:c>
      <x:c r="H593" s="11" t="n">
        <x:v>200</x:v>
      </x:c>
      <x:c r="I593" s="11" t="n">
        <x:v>1</x:v>
      </x:c>
      <x:c r="J593" s="4" t="str">
        <x:v>https://blog.skyairline.com/capitolio-minas-gerais/</x:v>
      </x:c>
      <x:c r="K593" s="16" t="b">
        <x:v>0</x:v>
      </x:c>
      <x:c r="L593" s="11" t="n">
        <x:v>0</x:v>
      </x:c>
      <x:c r="M593" s="11" t="n">
        <x:v>3</x:v>
      </x:c>
      <x:c r="N593" s="4"/>
      <x:c r="O593" s="4"/>
      <x:c r="P593" s="11" t="n">
        <x:v>1</x:v>
      </x:c>
      <x:c r="Q593" s="11" t="n">
        <x:v>2</x:v>
      </x:c>
      <x:c r="R593" s="11" t="n">
        <x:f>IF(OR(P593="",Q593=""),"",Q593-P593)</x:f>
        <x:v>1</x:v>
      </x:c>
      <x:c r="S593" s="13" t="n">
        <x:f>IF(OR(P593="",Q593="",P593=0),"",((Q593/30)/(P593/31))-1)</x:f>
        <x:v>1.0666666666666669</x:v>
      </x:c>
      <x:c r="T593" s="11" t="n">
        <x:v>372</x:v>
      </x:c>
      <x:c r="U593" s="11" t="n">
        <x:v>253</x:v>
      </x:c>
      <x:c r="V593" s="14" t="n">
        <x:v>0.007905138339920948</x:v>
      </x:c>
      <x:c r="W593" s="12" t="n">
        <x:v>10.264822134387352</x:v>
      </x:c>
      <x:c r="X593" s="11" t="n">
        <x:v>2</x:v>
      </x:c>
      <x:c r="Y593" s="11" t="n">
        <x:v>2</x:v>
      </x:c>
      <x:c r="Z593" s="4" t="str">
        <x:v>https://blog.skyairline.com/capitolio-minas-gerais/</x:v>
      </x:c>
      <x:c r="AA593" s="4" t="str">
        <x:v>https://blog.skyairline.com/capitolio-minas-gerais/</x:v>
      </x:c>
      <x:c r="AB593" s="4" t="str">
        <x:v>Coincidencia URL</x:v>
      </x:c>
      <x:c r="AC593" s="4" t="str">
        <x:v>Publicado hasta septiembre</x:v>
      </x:c>
      <x:c r="AD593" s="4" t="str">
        <x:v>/capitolio-minas-gerais/</x:v>
      </x:c>
      <x:c r="AE593" s="4"/>
      <x:c r="AF593" s="16" t="b">
        <x:v>0</x:v>
      </x:c>
    </x:row>
    <x:row r="594" ht="44" customHeight="1">
      <x:c r="A594" s="4" t="n">
        <x:v>5271</x:v>
      </x:c>
      <x:c r="B594" s="4" t="str">
        <x:v>https://blog.skyairline.com/punta-del-este-playas/</x:v>
      </x:c>
      <x:c r="C594" s="9" t="str">
        <x:v>Las mejores playas de Punta del Este: paraísos de sol, surf y relax</x:v>
      </x:c>
      <x:c r="D594" s="17" t="d">
        <x:v>2024-11-04T00:00:00.000Z</x:v>
      </x:c>
      <x:c r="E594" s="17" t="d">
        <x:v>2024-11-04T00:00:00.000Z</x:v>
      </x:c>
      <x:c r="F594" s="4" t="str">
        <x:v>Planificación de Viaje</x:v>
      </x:c>
      <x:c r="G594" s="11" t="n">
        <x:v>1055</x:v>
      </x:c>
      <x:c r="H594" s="11" t="n">
        <x:v>200</x:v>
      </x:c>
      <x:c r="I594" s="11" t="n">
        <x:v>1</x:v>
      </x:c>
      <x:c r="J594" s="4" t="str">
        <x:v>https://blog.skyairline.com/punta-del-este-playas/</x:v>
      </x:c>
      <x:c r="K594" s="16" t="b">
        <x:v>0</x:v>
      </x:c>
      <x:c r="L594" s="11" t="n">
        <x:v>0</x:v>
      </x:c>
      <x:c r="M594" s="11" t="n">
        <x:v>3</x:v>
      </x:c>
      <x:c r="N594" s="4"/>
      <x:c r="O594" s="4"/>
      <x:c r="P594" s="11" t="n">
        <x:v>4</x:v>
      </x:c>
      <x:c r="Q594" s="11" t="n">
        <x:v>2</x:v>
      </x:c>
      <x:c r="R594" s="11" t="n">
        <x:f>IF(OR(P594="",Q594=""),"",Q594-P594)</x:f>
        <x:v>-2</x:v>
      </x:c>
      <x:c r="S594" s="13" t="n">
        <x:f>IF(OR(P594="",Q594="",P594=0),"",((Q594/30)/(P594/31))-1)</x:f>
        <x:v>-0.4833333333333333</x:v>
      </x:c>
      <x:c r="T594" s="11" t="n">
        <x:v>345</x:v>
      </x:c>
      <x:c r="U594" s="11" t="n">
        <x:v>378</x:v>
      </x:c>
      <x:c r="V594" s="14" t="n">
        <x:v>0.005291005291005291</x:v>
      </x:c>
      <x:c r="W594" s="12" t="n">
        <x:v>13.177248677248677</x:v>
      </x:c>
      <x:c r="X594" s="11" t="n">
        <x:v>2</x:v>
      </x:c>
      <x:c r="Y594" s="11" t="n">
        <x:v>2</x:v>
      </x:c>
      <x:c r="Z594" s="4" t="str">
        <x:v>https://blog.skyairline.com/punta-del-este-playas/</x:v>
      </x:c>
      <x:c r="AA594" s="4" t="str">
        <x:v>https://blog.skyairline.com/punta-del-este-playas/</x:v>
      </x:c>
      <x:c r="AB594" s="4" t="str">
        <x:v>Coincidencia URL</x:v>
      </x:c>
      <x:c r="AC594" s="4" t="str">
        <x:v>Publicado hasta septiembre</x:v>
      </x:c>
      <x:c r="AD594" s="4" t="str">
        <x:v>/punta-del-este-playas/</x:v>
      </x:c>
      <x:c r="AE594" s="4"/>
      <x:c r="AF594" s="16" t="b">
        <x:v>0</x:v>
      </x:c>
    </x:row>
    <x:row r="595" ht="44" customHeight="1">
      <x:c r="A595" s="4" t="n">
        <x:v>5507</x:v>
      </x:c>
      <x:c r="B595" s="4" t="str">
        <x:v>https://blog.skyairline.com/aterrizaje-de-emergencia/</x:v>
      </x:c>
      <x:c r="C595" s="9" t="str">
        <x:v>Qué hacer durante un aterrizaje de emergencia: guía para pasajeros</x:v>
      </x:c>
      <x:c r="D595" s="17" t="d">
        <x:v>2024-12-20T00:00:00.000Z</x:v>
      </x:c>
      <x:c r="E595" s="17" t="d">
        <x:v>2024-12-20T00:00:00.000Z</x:v>
      </x:c>
      <x:c r="F595" s="4" t="str">
        <x:v>Planificación de Viaje</x:v>
      </x:c>
      <x:c r="G595" s="11" t="n">
        <x:v>1174</x:v>
      </x:c>
      <x:c r="H595" s="11" t="n">
        <x:v>200</x:v>
      </x:c>
      <x:c r="I595" s="11" t="n">
        <x:v>1</x:v>
      </x:c>
      <x:c r="J595" s="4" t="str">
        <x:v>https://blog.skyairline.com/aterrizaje-de-emergencia/</x:v>
      </x:c>
      <x:c r="K595" s="16" t="b">
        <x:v>0</x:v>
      </x:c>
      <x:c r="L595" s="11" t="n">
        <x:v>0</x:v>
      </x:c>
      <x:c r="M595" s="11" t="n">
        <x:v>3</x:v>
      </x:c>
      <x:c r="N595" s="4"/>
      <x:c r="O595" s="4"/>
      <x:c r="P595" s="11" t="n">
        <x:v>4</x:v>
      </x:c>
      <x:c r="Q595" s="11" t="n">
        <x:v>2</x:v>
      </x:c>
      <x:c r="R595" s="11" t="n">
        <x:f>IF(OR(P595="",Q595=""),"",Q595-P595)</x:f>
        <x:v>-2</x:v>
      </x:c>
      <x:c r="S595" s="13" t="n">
        <x:f>IF(OR(P595="",Q595="",P595=0),"",((Q595/30)/(P595/31))-1)</x:f>
        <x:v>-0.4833333333333333</x:v>
      </x:c>
      <x:c r="T595" s="11" t="n">
        <x:v>451</x:v>
      </x:c>
      <x:c r="U595" s="11" t="n">
        <x:v>430</x:v>
      </x:c>
      <x:c r="V595" s="14" t="n">
        <x:v>0.004651162790697674</x:v>
      </x:c>
      <x:c r="W595" s="12" t="n">
        <x:v>9.888372093023255</x:v>
      </x:c>
      <x:c r="X595" s="11" t="n">
        <x:v>2</x:v>
      </x:c>
      <x:c r="Y595" s="11" t="n">
        <x:v>3</x:v>
      </x:c>
      <x:c r="Z595" s="4" t="str">
        <x:v>https://blog.skyairline.com/aterrizaje-de-emergencia/</x:v>
      </x:c>
      <x:c r="AA595" s="4" t="str">
        <x:v>https://blog.skyairline.com/aterrizaje-de-emergencia/</x:v>
      </x:c>
      <x:c r="AB595" s="4" t="str">
        <x:v>Coincidencia URL</x:v>
      </x:c>
      <x:c r="AC595" s="4" t="str">
        <x:v>Publicado hasta septiembre</x:v>
      </x:c>
      <x:c r="AD595" s="4" t="str">
        <x:v>/aterrizaje-de-emergencia/</x:v>
      </x:c>
      <x:c r="AE595" s="4"/>
      <x:c r="AF595" s="16" t="b">
        <x:v>0</x:v>
      </x:c>
    </x:row>
    <x:row r="596" ht="44" customHeight="1">
      <x:c r="A596" s="4" t="n">
        <x:v>5546</x:v>
      </x:c>
      <x:c r="B596" s="4" t="str">
        <x:v>https://blog.skyairline.com/sky-presenta-nuevas-rutas-nacionales-para-impulsar-la-conectividad-de-peru/</x:v>
      </x:c>
      <x:c r="C596" s="9" t="str">
        <x:v>SKY presenta nuevas rutas nacionales para impulsar la conectividad de Perú</x:v>
      </x:c>
      <x:c r="D596" s="17" t="d">
        <x:v>2024-12-31T00:00:00.000Z</x:v>
      </x:c>
      <x:c r="E596" s="17" t="d">
        <x:v>2024-12-31T00:00:00.000Z</x:v>
      </x:c>
      <x:c r="F596" s="4" t="str">
        <x:v>Sin categoría</x:v>
      </x:c>
      <x:c r="G596" s="11" t="n">
        <x:v>507</x:v>
      </x:c>
      <x:c r="H596" s="11" t="n">
        <x:v>200</x:v>
      </x:c>
      <x:c r="I596" s="11" t="n">
        <x:v>1</x:v>
      </x:c>
      <x:c r="J596" s="4" t="str">
        <x:v>https://blog.skyairline.com/sky-presenta-nuevas-rutas-nacionales-para-impulsar-la-conectividad-de-peru/</x:v>
      </x:c>
      <x:c r="K596" s="16" t="b">
        <x:v>0</x:v>
      </x:c>
      <x:c r="L596" s="11" t="n">
        <x:v>0</x:v>
      </x:c>
      <x:c r="M596" s="11" t="n">
        <x:v>0</x:v>
      </x:c>
      <x:c r="N596" s="4"/>
      <x:c r="O596" s="4"/>
      <x:c r="P596" s="11" t="n">
        <x:v>1</x:v>
      </x:c>
      <x:c r="Q596" s="11" t="n">
        <x:v>2</x:v>
      </x:c>
      <x:c r="R596" s="11" t="n">
        <x:f>IF(OR(P596="",Q596=""),"",Q596-P596)</x:f>
        <x:v>1</x:v>
      </x:c>
      <x:c r="S596" s="13" t="n">
        <x:f>IF(OR(P596="",Q596="",P596=0),"",((Q596/30)/(P596/31))-1)</x:f>
        <x:v>1.0666666666666669</x:v>
      </x:c>
      <x:c r="T596" s="11" t="n">
        <x:v>182</x:v>
      </x:c>
      <x:c r="U596" s="11" t="n">
        <x:v>134</x:v>
      </x:c>
      <x:c r="V596" s="14" t="n">
        <x:v>0.014925373134328358</x:v>
      </x:c>
      <x:c r="W596" s="12" t="n">
        <x:v>6.67910447761194</x:v>
      </x:c>
      <x:c r="X596" s="11" t="n">
        <x:v>3</x:v>
      </x:c>
      <x:c r="Y596" s="11" t="n">
        <x:v>4</x:v>
      </x:c>
      <x:c r="Z596" s="4" t="str">
        <x:v>https://blog.skyairline.com/sky-presenta-nuevas-rutas-nacionales-para-impulsar-la-conectividad-de-peru/</x:v>
      </x:c>
      <x:c r="AA596" s="4" t="str">
        <x:v>https://blog.skyairline.com/sky-presenta-nuevas-rutas-nacionales-para-impulsar-la-conectividad-de-peru/</x:v>
      </x:c>
      <x:c r="AB596" s="4" t="str">
        <x:v>Coincidencia URL</x:v>
      </x:c>
      <x:c r="AC596" s="4" t="str">
        <x:v>Publicado hasta septiembre</x:v>
      </x:c>
      <x:c r="AD596" s="4" t="str">
        <x:v>/sky-presenta-nuevas-rutas-nacionales-para-impulsar-la-conectividad-de-peru/</x:v>
      </x:c>
      <x:c r="AE596" s="4"/>
      <x:c r="AF596" s="16" t="b">
        <x:v>0</x:v>
      </x:c>
    </x:row>
    <x:row r="597" ht="44" customHeight="1">
      <x:c r="A597" s="4" t="n">
        <x:v>5567</x:v>
      </x:c>
      <x:c r="B597" s="4" t="str">
        <x:v>https://blog.skyairline.com/zona-norte-de-chile-principales-regiones-imperdibles/</x:v>
      </x:c>
      <x:c r="C597" s="9" t="str">
        <x:v>Zona norte de Chile: principales regiones imperdibles</x:v>
      </x:c>
      <x:c r="D597" s="17" t="d">
        <x:v>2025-01-28T00:00:00.000Z</x:v>
      </x:c>
      <x:c r="E597" s="17" t="d">
        <x:v>2025-01-28T00:00:00.000Z</x:v>
      </x:c>
      <x:c r="F597" s="4" t="str">
        <x:v>Sin categoría</x:v>
      </x:c>
      <x:c r="G597" s="11" t="n">
        <x:v>1026</x:v>
      </x:c>
      <x:c r="H597" s="11" t="n">
        <x:v>200</x:v>
      </x:c>
      <x:c r="I597" s="11" t="n">
        <x:v>1</x:v>
      </x:c>
      <x:c r="J597" s="4" t="str">
        <x:v>https://blog.skyairline.com/zona-norte-de-chile-principales-regiones-imperdibles/</x:v>
      </x:c>
      <x:c r="K597" s="16" t="b">
        <x:v>0</x:v>
      </x:c>
      <x:c r="L597" s="11" t="n">
        <x:v>0</x:v>
      </x:c>
      <x:c r="M597" s="11" t="n">
        <x:v>3</x:v>
      </x:c>
      <x:c r="N597" s="4"/>
      <x:c r="O597" s="4"/>
      <x:c r="P597" s="11" t="n">
        <x:v>1</x:v>
      </x:c>
      <x:c r="Q597" s="11" t="n">
        <x:v>2</x:v>
      </x:c>
      <x:c r="R597" s="11" t="n">
        <x:f>IF(OR(P597="",Q597=""),"",Q597-P597)</x:f>
        <x:v>1</x:v>
      </x:c>
      <x:c r="S597" s="13" t="n">
        <x:f>IF(OR(P597="",Q597="",P597=0),"",((Q597/30)/(P597/31))-1)</x:f>
        <x:v>1.0666666666666669</x:v>
      </x:c>
      <x:c r="T597" s="11" t="n">
        <x:v>1100</x:v>
      </x:c>
      <x:c r="U597" s="11" t="n">
        <x:v>686</x:v>
      </x:c>
      <x:c r="V597" s="14" t="n">
        <x:v>0.0029154518950437317</x:v>
      </x:c>
      <x:c r="W597" s="12" t="n">
        <x:v>15.615160349854227</x:v>
      </x:c>
      <x:c r="X597" s="11" t="n">
        <x:v>1</x:v>
      </x:c>
      <x:c r="Y597" s="11" t="n">
        <x:v>1</x:v>
      </x:c>
      <x:c r="Z597" s="4" t="str">
        <x:v>https://blog.skyairline.com/zona-norte-de-chile-principales-regiones-imperdibles/</x:v>
      </x:c>
      <x:c r="AA597" s="4" t="str">
        <x:v>https://blog.skyairline.com/zona-norte-de-chile-principales-regiones-imperdibles/
https://blog.skyairline.com/zona-norte-de-chile-principales-regiones-imperdibles</x:v>
      </x:c>
      <x:c r="AB597" s="4" t="str">
        <x:v>Alias slash agregado</x:v>
      </x:c>
      <x:c r="AC597" s="4" t="str">
        <x:v>Publicado hasta septiembre</x:v>
      </x:c>
      <x:c r="AD597" s="4" t="str">
        <x:v>/zona-norte-de-chile-principales-regiones-imperdibles/</x:v>
      </x:c>
      <x:c r="AE597" s="4"/>
      <x:c r="AF597" s="16" t="b">
        <x:v>0</x:v>
      </x:c>
    </x:row>
    <x:row r="598" ht="44" customHeight="1">
      <x:c r="A598" s="4" t="n">
        <x:v>5640</x:v>
      </x:c>
      <x:c r="B598" s="4" t="str">
        <x:v>https://blog.skyairline.com/ciudad-de-llanquihue-historia-y-sitios-imperdibles/</x:v>
      </x:c>
      <x:c r="C598" s="9" t="str">
        <x:v>Ciudad de Llanquihue: historia y sitios imperdibles</x:v>
      </x:c>
      <x:c r="D598" s="17" t="d">
        <x:v>2025-02-18T00:00:00.000Z</x:v>
      </x:c>
      <x:c r="E598" s="17" t="d">
        <x:v>2025-02-18T00:00:00.000Z</x:v>
      </x:c>
      <x:c r="F598" s="4" t="str">
        <x:v>Sin categoría</x:v>
      </x:c>
      <x:c r="G598" s="11" t="n">
        <x:v>988</x:v>
      </x:c>
      <x:c r="H598" s="11" t="n">
        <x:v>200</x:v>
      </x:c>
      <x:c r="I598" s="11" t="n">
        <x:v>1</x:v>
      </x:c>
      <x:c r="J598" s="4" t="str">
        <x:v>https://blog.skyairline.com/ciudad-de-llanquihue-historia-y-sitios-imperdibles/</x:v>
      </x:c>
      <x:c r="K598" s="16" t="b">
        <x:v>0</x:v>
      </x:c>
      <x:c r="L598" s="11" t="n">
        <x:v>0</x:v>
      </x:c>
      <x:c r="M598" s="11" t="n">
        <x:v>3</x:v>
      </x:c>
      <x:c r="N598" s="4"/>
      <x:c r="O598" s="4"/>
      <x:c r="P598" s="11" t="n">
        <x:v>2</x:v>
      </x:c>
      <x:c r="Q598" s="11" t="n">
        <x:v>2</x:v>
      </x:c>
      <x:c r="R598" s="11" t="n">
        <x:f>IF(OR(P598="",Q598=""),"",Q598-P598)</x:f>
        <x:v>0</x:v>
      </x:c>
      <x:c r="S598" s="13" t="n">
        <x:f>IF(OR(P598="",Q598="",P598=0),"",((Q598/30)/(P598/31))-1)</x:f>
        <x:v>0.03333333333333344</x:v>
      </x:c>
      <x:c r="T598" s="11" t="n">
        <x:v>408</x:v>
      </x:c>
      <x:c r="U598" s="11" t="n">
        <x:v>279</x:v>
      </x:c>
      <x:c r="V598" s="14" t="n">
        <x:v>0.007168458781362007</x:v>
      </x:c>
      <x:c r="W598" s="12" t="n">
        <x:v>12.838709677419354</x:v>
      </x:c>
      <x:c r="X598" s="11" t="n">
        <x:v>3</x:v>
      </x:c>
      <x:c r="Y598" s="11" t="n">
        <x:v>3</x:v>
      </x:c>
      <x:c r="Z598" s="4" t="str">
        <x:v>https://blog.skyairline.com/ciudad-de-llanquihue-historia-y-sitios-imperdibles/</x:v>
      </x:c>
      <x:c r="AA598" s="4" t="str">
        <x:v>https://blog.skyairline.com/ciudad-de-llanquihue-historia-y-sitios-imperdibles/</x:v>
      </x:c>
      <x:c r="AB598" s="4" t="str">
        <x:v>Coincidencia URL</x:v>
      </x:c>
      <x:c r="AC598" s="4" t="str">
        <x:v>Publicado hasta septiembre</x:v>
      </x:c>
      <x:c r="AD598" s="4" t="str">
        <x:v>/ciudad-de-llanquihue-historia-y-sitios-imperdibles/</x:v>
      </x:c>
      <x:c r="AE598" s="4"/>
      <x:c r="AF598" s="16" t="b">
        <x:v>0</x:v>
      </x:c>
    </x:row>
    <x:row r="599" ht="44" customHeight="1">
      <x:c r="A599" s="4" t="n">
        <x:v>5644</x:v>
      </x:c>
      <x:c r="B599" s="4" t="str">
        <x:v>https://blog.skyairline.com/bosque-encantado-pucon-que-hacer-y-como-llegar/</x:v>
      </x:c>
      <x:c r="C599" s="9" t="str">
        <x:v>Bosque Encantado Pucón: ¿qué hacer y cómo llegar?</x:v>
      </x:c>
      <x:c r="D599" s="17" t="d">
        <x:v>2025-02-19T00:00:00.000Z</x:v>
      </x:c>
      <x:c r="E599" s="17" t="d">
        <x:v>2025-02-19T00:00:00.000Z</x:v>
      </x:c>
      <x:c r="F599" s="4" t="str">
        <x:v>Sin categoría</x:v>
      </x:c>
      <x:c r="G599" s="11" t="n">
        <x:v>1056</x:v>
      </x:c>
      <x:c r="H599" s="11" t="n">
        <x:v>200</x:v>
      </x:c>
      <x:c r="I599" s="11" t="n">
        <x:v>1</x:v>
      </x:c>
      <x:c r="J599" s="4" t="str">
        <x:v>https://blog.skyairline.com/bosque-encantado-pucon-que-hacer-y-como-llegar/</x:v>
      </x:c>
      <x:c r="K599" s="16" t="b">
        <x:v>0</x:v>
      </x:c>
      <x:c r="L599" s="11" t="n">
        <x:v>0</x:v>
      </x:c>
      <x:c r="M599" s="11" t="n">
        <x:v>3</x:v>
      </x:c>
      <x:c r="N599" s="4"/>
      <x:c r="O599" s="4"/>
      <x:c r="P599" s="11" t="n">
        <x:v>4</x:v>
      </x:c>
      <x:c r="Q599" s="11" t="n">
        <x:v>2</x:v>
      </x:c>
      <x:c r="R599" s="11" t="n">
        <x:f>IF(OR(P599="",Q599=""),"",Q599-P599)</x:f>
        <x:v>-2</x:v>
      </x:c>
      <x:c r="S599" s="13" t="n">
        <x:f>IF(OR(P599="",Q599="",P599=0),"",((Q599/30)/(P599/31))-1)</x:f>
        <x:v>-0.4833333333333333</x:v>
      </x:c>
      <x:c r="T599" s="11" t="n">
        <x:v>1408</x:v>
      </x:c>
      <x:c r="U599" s="11" t="n">
        <x:v>1124</x:v>
      </x:c>
      <x:c r="V599" s="14" t="n">
        <x:v>0.0017793594306049821</x:v>
      </x:c>
      <x:c r="W599" s="12" t="n">
        <x:v>9.833629893238435</x:v>
      </x:c>
      <x:c r="X599" s="11" t="n">
        <x:v>2</x:v>
      </x:c>
      <x:c r="Y599" s="11" t="n">
        <x:v>3</x:v>
      </x:c>
      <x:c r="Z599" s="4" t="str">
        <x:v>https://blog.skyairline.com/bosque-encantado-pucon-que-hacer-y-como-llegar/</x:v>
      </x:c>
      <x:c r="AA599" s="4" t="str">
        <x:v>https://blog.skyairline.com/bosque-encantado-pucon-que-hacer-y-como-llegar/</x:v>
      </x:c>
      <x:c r="AB599" s="4" t="str">
        <x:v>Coincidencia URL</x:v>
      </x:c>
      <x:c r="AC599" s="4" t="str">
        <x:v>Publicado hasta septiembre</x:v>
      </x:c>
      <x:c r="AD599" s="4" t="str">
        <x:v>/bosque-encantado-pucon-que-hacer-y-como-llegar/</x:v>
      </x:c>
      <x:c r="AE599" s="4"/>
      <x:c r="AF599" s="16" t="b">
        <x:v>0</x:v>
      </x:c>
    </x:row>
    <x:row r="600" ht="44" customHeight="1">
      <x:c r="A600" s="4" t="n">
        <x:v>5651</x:v>
      </x:c>
      <x:c r="B600" s="4" t="str">
        <x:v>https://blog.skyairline.com/arica-y-parinacota-cuales-destinos-no-te-puedes-perder-en-esta-region/</x:v>
      </x:c>
      <x:c r="C600" s="9" t="str">
        <x:v>Arica y Parinacota: ¿cuáles destinos no te puedes perder en esta región?</x:v>
      </x:c>
      <x:c r="D600" s="17" t="d">
        <x:v>2025-02-21T00:00:00.000Z</x:v>
      </x:c>
      <x:c r="E600" s="17" t="d">
        <x:v>2025-02-21T00:00:00.000Z</x:v>
      </x:c>
      <x:c r="F600" s="4" t="str">
        <x:v>Sin categoría</x:v>
      </x:c>
      <x:c r="G600" s="11" t="n">
        <x:v>981</x:v>
      </x:c>
      <x:c r="H600" s="11" t="n">
        <x:v>200</x:v>
      </x:c>
      <x:c r="I600" s="11" t="n">
        <x:v>1</x:v>
      </x:c>
      <x:c r="J600" s="4" t="str">
        <x:v>https://blog.skyairline.com/arica-y-parinacota-cuales-destinos-no-te-puedes-perder-en-esta-region/</x:v>
      </x:c>
      <x:c r="K600" s="16" t="b">
        <x:v>0</x:v>
      </x:c>
      <x:c r="L600" s="11" t="n">
        <x:v>0</x:v>
      </x:c>
      <x:c r="M600" s="11" t="n">
        <x:v>3</x:v>
      </x:c>
      <x:c r="N600" s="4"/>
      <x:c r="O600" s="4"/>
      <x:c r="P600" s="11" t="n">
        <x:v>2</x:v>
      </x:c>
      <x:c r="Q600" s="11" t="n">
        <x:v>2</x:v>
      </x:c>
      <x:c r="R600" s="11" t="n">
        <x:f>IF(OR(P600="",Q600=""),"",Q600-P600)</x:f>
        <x:v>0</x:v>
      </x:c>
      <x:c r="S600" s="13" t="n">
        <x:f>IF(OR(P600="",Q600="",P600=0),"",((Q600/30)/(P600/31))-1)</x:f>
        <x:v>0.03333333333333344</x:v>
      </x:c>
      <x:c r="T600" s="11" t="n">
        <x:v>674</x:v>
      </x:c>
      <x:c r="U600" s="11" t="n">
        <x:v>338</x:v>
      </x:c>
      <x:c r="V600" s="14" t="n">
        <x:v>0.005917159763313609</x:v>
      </x:c>
      <x:c r="W600" s="12" t="n">
        <x:v>14.618343195266272</x:v>
      </x:c>
      <x:c r="X600" s="11" t="n">
        <x:v>2</x:v>
      </x:c>
      <x:c r="Y600" s="11" t="n">
        <x:v>3</x:v>
      </x:c>
      <x:c r="Z600" s="4" t="str">
        <x:v>https://blog.skyairline.com/arica-y-parinacota-cuales-destinos-no-te-puedes-perder-en-esta-region/</x:v>
      </x:c>
      <x:c r="AA600" s="4" t="str">
        <x:v>https://blog.skyairline.com/arica-y-parinacota-cuales-destinos-no-te-puedes-perder-en-esta-region/</x:v>
      </x:c>
      <x:c r="AB600" s="4" t="str">
        <x:v>Coincidencia URL</x:v>
      </x:c>
      <x:c r="AC600" s="4" t="str">
        <x:v>Publicado hasta septiembre</x:v>
      </x:c>
      <x:c r="AD600" s="4" t="str">
        <x:v>/arica-y-parinacota-cuales-destinos-no-te-puedes-perder-en-esta-region/</x:v>
      </x:c>
      <x:c r="AE600" s="4"/>
      <x:c r="AF600" s="16" t="b">
        <x:v>0</x:v>
      </x:c>
    </x:row>
    <x:row r="601" ht="44" customHeight="1">
      <x:c r="A601" s="4" t="n">
        <x:v>5839</x:v>
      </x:c>
      <x:c r="B601" s="4" t="str">
        <x:v>https://blog.skyairline.com/camping-valdivia/</x:v>
      </x:c>
      <x:c r="C601" s="9" t="str">
        <x:v>Mejores lugares para hacer camping en Valdivia</x:v>
      </x:c>
      <x:c r="D601" s="17" t="d">
        <x:v>2025-03-26T00:00:00.000Z</x:v>
      </x:c>
      <x:c r="E601" s="17" t="d">
        <x:v>2026-01-19T00:00:00.000Z</x:v>
      </x:c>
      <x:c r="F601" s="4" t="str">
        <x:v>Planificación de Viaje</x:v>
      </x:c>
      <x:c r="G601" s="11" t="n">
        <x:v>1105</x:v>
      </x:c>
      <x:c r="H601" s="11" t="n">
        <x:v>200</x:v>
      </x:c>
      <x:c r="I601" s="11" t="n">
        <x:v>1</x:v>
      </x:c>
      <x:c r="J601" s="4" t="str">
        <x:v>https://blog.skyairline.com/camping-valdivia/</x:v>
      </x:c>
      <x:c r="K601" s="16" t="b">
        <x:v>0</x:v>
      </x:c>
      <x:c r="L601" s="11" t="n">
        <x:v>0</x:v>
      </x:c>
      <x:c r="M601" s="11" t="n">
        <x:v>4</x:v>
      </x:c>
      <x:c r="N601" s="4"/>
      <x:c r="O601" s="4"/>
      <x:c r="P601" s="11" t="n">
        <x:v>3</x:v>
      </x:c>
      <x:c r="Q601" s="11" t="n">
        <x:v>2</x:v>
      </x:c>
      <x:c r="R601" s="11" t="n">
        <x:f>IF(OR(P601="",Q601=""),"",Q601-P601)</x:f>
        <x:v>-1</x:v>
      </x:c>
      <x:c r="S601" s="13" t="n">
        <x:f>IF(OR(P601="",Q601="",P601=0),"",((Q601/30)/(P601/31))-1)</x:f>
        <x:v>-0.3111111111111111</x:v>
      </x:c>
      <x:c r="T601" s="11" t="n">
        <x:v>340</x:v>
      </x:c>
      <x:c r="U601" s="11" t="n">
        <x:v>433</x:v>
      </x:c>
      <x:c r="V601" s="14" t="n">
        <x:v>0.004618937644341801</x:v>
      </x:c>
      <x:c r="W601" s="12" t="n">
        <x:v>10.318706697459584</x:v>
      </x:c>
      <x:c r="X601" s="11" t="n">
        <x:v>2</x:v>
      </x:c>
      <x:c r="Y601" s="11" t="n">
        <x:v>2</x:v>
      </x:c>
      <x:c r="Z601" s="4" t="str">
        <x:v>https://blog.skyairline.com/camping-valdivia/</x:v>
      </x:c>
      <x:c r="AA601" s="4" t="str">
        <x:v>https://blog.skyairline.com/camping-valdivia/</x:v>
      </x:c>
      <x:c r="AB601" s="4" t="str">
        <x:v>Coincidencia URL</x:v>
      </x:c>
      <x:c r="AC601" s="4" t="str">
        <x:v>Publicado hasta septiembre</x:v>
      </x:c>
      <x:c r="AD601" s="4" t="str">
        <x:v>/camping-valdivia/</x:v>
      </x:c>
      <x:c r="AE601" s="4"/>
      <x:c r="AF601" s="16" t="b">
        <x:v>0</x:v>
      </x:c>
    </x:row>
    <x:row r="602" ht="44" customHeight="1">
      <x:c r="A602" s="4" t="n">
        <x:v>6005</x:v>
      </x:c>
      <x:c r="B602" s="4" t="str">
        <x:v>https://blog.skyairline.com/ciudades-del-sur-de-chile-para-conocer-y-recorrer/</x:v>
      </x:c>
      <x:c r="C602" s="9" t="str">
        <x:v>Ciudades del sur de Chile para conocer y recorrer</x:v>
      </x:c>
      <x:c r="D602" s="17" t="d">
        <x:v>2025-05-05T00:00:00.000Z</x:v>
      </x:c>
      <x:c r="E602" s="17" t="d">
        <x:v>2025-05-05T00:00:00.000Z</x:v>
      </x:c>
      <x:c r="F602" s="4" t="str">
        <x:v>Planificación de Viaje</x:v>
      </x:c>
      <x:c r="G602" s="11" t="n">
        <x:v>1028</x:v>
      </x:c>
      <x:c r="H602" s="11" t="n">
        <x:v>200</x:v>
      </x:c>
      <x:c r="I602" s="11" t="n">
        <x:v>1</x:v>
      </x:c>
      <x:c r="J602" s="4" t="str">
        <x:v>https://blog.skyairline.com/ciudades-del-sur-de-chile-para-conocer-y-recorrer/</x:v>
      </x:c>
      <x:c r="K602" s="16" t="b">
        <x:v>0</x:v>
      </x:c>
      <x:c r="L602" s="11" t="n">
        <x:v>0</x:v>
      </x:c>
      <x:c r="M602" s="11" t="n">
        <x:v>0</x:v>
      </x:c>
      <x:c r="N602" s="4"/>
      <x:c r="O602" s="4"/>
      <x:c r="P602" s="11" t="n">
        <x:v>3</x:v>
      </x:c>
      <x:c r="Q602" s="11" t="n">
        <x:v>2</x:v>
      </x:c>
      <x:c r="R602" s="11" t="n">
        <x:f>IF(OR(P602="",Q602=""),"",Q602-P602)</x:f>
        <x:v>-1</x:v>
      </x:c>
      <x:c r="S602" s="13" t="n">
        <x:f>IF(OR(P602="",Q602="",P602=0),"",((Q602/30)/(P602/31))-1)</x:f>
        <x:v>-0.3111111111111111</x:v>
      </x:c>
      <x:c r="T602" s="11" t="n">
        <x:v>827</x:v>
      </x:c>
      <x:c r="U602" s="11" t="n">
        <x:v>573</x:v>
      </x:c>
      <x:c r="V602" s="14" t="n">
        <x:v>0.0034904013961605585</x:v>
      </x:c>
      <x:c r="W602" s="12" t="n">
        <x:v>15.329842931937172</x:v>
      </x:c>
      <x:c r="X602" s="11" t="n">
        <x:v>3</x:v>
      </x:c>
      <x:c r="Y602" s="11" t="n">
        <x:v>3</x:v>
      </x:c>
      <x:c r="Z602" s="4" t="str">
        <x:v>https://blog.skyairline.com/ciudades-del-sur-de-chile-para-conocer-y-recorrer/</x:v>
      </x:c>
      <x:c r="AA602" s="4" t="str">
        <x:v>https://blog.skyairline.com/ciudades-del-sur-de-chile-para-conocer-y-recorrer/</x:v>
      </x:c>
      <x:c r="AB602" s="4" t="str">
        <x:v>Coincidencia URL</x:v>
      </x:c>
      <x:c r="AC602" s="4" t="str">
        <x:v>Publicado hasta septiembre</x:v>
      </x:c>
      <x:c r="AD602" s="4" t="str">
        <x:v>/ciudades-del-sur-de-chile-para-conocer-y-recorrer/</x:v>
      </x:c>
      <x:c r="AE602" s="4"/>
      <x:c r="AF602" s="16" t="b">
        <x:v>0</x:v>
      </x:c>
    </x:row>
    <x:row r="603" ht="44" customHeight="1">
      <x:c r="A603" s="4" t="n">
        <x:v>6015</x:v>
      </x:c>
      <x:c r="B603" s="4" t="str">
        <x:v>https://blog.skyairline.com/clima-en-la-patagonia-como-prepararte-para-tu-viaje/</x:v>
      </x:c>
      <x:c r="C603" s="9" t="str">
        <x:v>Clima en la Patagonia: cómo prepararte para tu viaje</x:v>
      </x:c>
      <x:c r="D603" s="17" t="d">
        <x:v>2025-05-08T00:00:00.000Z</x:v>
      </x:c>
      <x:c r="E603" s="17" t="d">
        <x:v>2025-05-08T00:00:00.000Z</x:v>
      </x:c>
      <x:c r="F603" s="4" t="str">
        <x:v>Planificación de Viaje</x:v>
      </x:c>
      <x:c r="G603" s="11" t="n">
        <x:v>1208</x:v>
      </x:c>
      <x:c r="H603" s="11" t="n">
        <x:v>200</x:v>
      </x:c>
      <x:c r="I603" s="11" t="n">
        <x:v>1</x:v>
      </x:c>
      <x:c r="J603" s="4" t="str">
        <x:v>https://blog.skyairline.com/clima-en-la-patagonia-como-prepararte-para-tu-viaje/</x:v>
      </x:c>
      <x:c r="K603" s="16" t="b">
        <x:v>0</x:v>
      </x:c>
      <x:c r="L603" s="11" t="n">
        <x:v>0</x:v>
      </x:c>
      <x:c r="M603" s="11" t="n">
        <x:v>6</x:v>
      </x:c>
      <x:c r="N603" s="4"/>
      <x:c r="O603" s="4"/>
      <x:c r="P603" s="11" t="n">
        <x:v>5</x:v>
      </x:c>
      <x:c r="Q603" s="11" t="n">
        <x:v>2</x:v>
      </x:c>
      <x:c r="R603" s="11" t="n">
        <x:f>IF(OR(P603="",Q603=""),"",Q603-P603)</x:f>
        <x:v>-3</x:v>
      </x:c>
      <x:c r="S603" s="13" t="n">
        <x:f>IF(OR(P603="",Q603="",P603=0),"",((Q603/30)/(P603/31))-1)</x:f>
        <x:v>-0.5866666666666667</x:v>
      </x:c>
      <x:c r="T603" s="11" t="n">
        <x:v>1445</x:v>
      </x:c>
      <x:c r="U603" s="11" t="n">
        <x:v>874</x:v>
      </x:c>
      <x:c r="V603" s="14" t="n">
        <x:v>0.002288329519450801</x:v>
      </x:c>
      <x:c r="W603" s="12" t="n">
        <x:v>8.187643020594965</x:v>
      </x:c>
      <x:c r="X603" s="11" t="n">
        <x:v>3</x:v>
      </x:c>
      <x:c r="Y603" s="11" t="n">
        <x:v>3</x:v>
      </x:c>
      <x:c r="Z603" s="4" t="str">
        <x:v>https://blog.skyairline.com/clima-en-la-patagonia-como-prepararte-para-tu-viaje/</x:v>
      </x:c>
      <x:c r="AA603" s="4" t="str">
        <x:v>https://blog.skyairline.com/clima-en-la-patagonia-como-prepararte-para-tu-viaje/
https://blog.skyairline.com/clima-en-la-patagonia-como-prepararte-para-tu-viaje</x:v>
      </x:c>
      <x:c r="AB603" s="4" t="str">
        <x:v>Alias slash agregado</x:v>
      </x:c>
      <x:c r="AC603" s="4" t="str">
        <x:v>Publicado hasta septiembre</x:v>
      </x:c>
      <x:c r="AD603" s="4" t="str">
        <x:v>/clima-en-la-patagonia-como-prepararte-para-tu-viaje/</x:v>
      </x:c>
      <x:c r="AE603" s="4"/>
      <x:c r="AF603" s="16" t="b">
        <x:v>0</x:v>
      </x:c>
    </x:row>
    <x:row r="604" ht="44" customHeight="1">
      <x:c r="A604" s="4" t="n">
        <x:v>6025</x:v>
      </x:c>
      <x:c r="B604" s="4" t="str">
        <x:v>https://blog.skyairline.com/fiesta-de-la-tirana-tradicion-historia-y-celebracion/</x:v>
      </x:c>
      <x:c r="C604" s="9" t="str">
        <x:v>Fiesta de La Tirana: tradición, historia y celebración</x:v>
      </x:c>
      <x:c r="D604" s="17" t="d">
        <x:v>2025-05-11T00:00:00.000Z</x:v>
      </x:c>
      <x:c r="E604" s="17" t="d">
        <x:v>2025-05-11T00:00:00.000Z</x:v>
      </x:c>
      <x:c r="F604" s="4" t="str">
        <x:v>Destinos</x:v>
      </x:c>
      <x:c r="G604" s="11" t="n">
        <x:v>1050</x:v>
      </x:c>
      <x:c r="H604" s="11" t="n">
        <x:v>200</x:v>
      </x:c>
      <x:c r="I604" s="11" t="n">
        <x:v>1</x:v>
      </x:c>
      <x:c r="J604" s="4" t="str">
        <x:v>https://blog.skyairline.com/fiesta-de-la-tirana-tradicion-historia-y-celebracion/</x:v>
      </x:c>
      <x:c r="K604" s="16" t="b">
        <x:v>0</x:v>
      </x:c>
      <x:c r="L604" s="11" t="n">
        <x:v>0</x:v>
      </x:c>
      <x:c r="M604" s="11" t="n">
        <x:v>0</x:v>
      </x:c>
      <x:c r="N604" s="4"/>
      <x:c r="O604" s="4"/>
      <x:c r="P604" s="11" t="n">
        <x:v>4</x:v>
      </x:c>
      <x:c r="Q604" s="11" t="n">
        <x:v>2</x:v>
      </x:c>
      <x:c r="R604" s="11" t="n">
        <x:f>IF(OR(P604="",Q604=""),"",Q604-P604)</x:f>
        <x:v>-2</x:v>
      </x:c>
      <x:c r="S604" s="13" t="n">
        <x:f>IF(OR(P604="",Q604="",P604=0),"",((Q604/30)/(P604/31))-1)</x:f>
        <x:v>-0.4833333333333333</x:v>
      </x:c>
      <x:c r="T604" s="11" t="n">
        <x:v>631</x:v>
      </x:c>
      <x:c r="U604" s="11" t="n">
        <x:v>497</x:v>
      </x:c>
      <x:c r="V604" s="14" t="n">
        <x:v>0.004024144869215292</x:v>
      </x:c>
      <x:c r="W604" s="12" t="n">
        <x:v>11.66599597585513</x:v>
      </x:c>
      <x:c r="X604" s="11" t="n">
        <x:v>2</x:v>
      </x:c>
      <x:c r="Y604" s="11" t="n">
        <x:v>3</x:v>
      </x:c>
      <x:c r="Z604" s="4" t="str">
        <x:v>https://blog.skyairline.com/fiesta-de-la-tirana-tradicion-historia-y-celebracion/</x:v>
      </x:c>
      <x:c r="AA604" s="4" t="str">
        <x:v>https://blog.skyairline.com/fiesta-de-la-tirana-tradicion-historia-y-celebracion/</x:v>
      </x:c>
      <x:c r="AB604" s="4" t="str">
        <x:v>Coincidencia URL</x:v>
      </x:c>
      <x:c r="AC604" s="4" t="str">
        <x:v>Publicado hasta septiembre</x:v>
      </x:c>
      <x:c r="AD604" s="4" t="str">
        <x:v>/fiesta-de-la-tirana-tradicion-historia-y-celebracion/</x:v>
      </x:c>
      <x:c r="AE604" s="4"/>
      <x:c r="AF604" s="16" t="b">
        <x:v>0</x:v>
      </x:c>
    </x:row>
    <x:row r="605" ht="44" customHeight="1">
      <x:c r="A605" s="4" t="n">
        <x:v>6169</x:v>
      </x:c>
      <x:c r="B605" s="4" t="str">
        <x:v>https://blog.skyairline.com/mejor-fecha-para-ir-a-torres-del-paine-clima-y-recomendaciones/</x:v>
      </x:c>
      <x:c r="C605" s="9" t="str">
        <x:v>Mejor fecha para ir a Torres del Paine: clima y recomendaciones</x:v>
      </x:c>
      <x:c r="D605" s="17" t="d">
        <x:v>2025-06-10T00:00:00.000Z</x:v>
      </x:c>
      <x:c r="E605" s="17" t="d">
        <x:v>2025-06-10T00:00:00.000Z</x:v>
      </x:c>
      <x:c r="F605" s="4" t="str">
        <x:v>Destinos</x:v>
      </x:c>
      <x:c r="G605" s="11" t="n">
        <x:v>1093</x:v>
      </x:c>
      <x:c r="H605" s="11" t="n">
        <x:v>200</x:v>
      </x:c>
      <x:c r="I605" s="11" t="n">
        <x:v>1</x:v>
      </x:c>
      <x:c r="J605" s="4" t="str">
        <x:v>https://blog.skyairline.com/mejor-fecha-para-ir-a-torres-del-paine-clima-y-recomendaciones/</x:v>
      </x:c>
      <x:c r="K605" s="16" t="b">
        <x:v>0</x:v>
      </x:c>
      <x:c r="L605" s="11" t="n">
        <x:v>0</x:v>
      </x:c>
      <x:c r="M605" s="11" t="n">
        <x:v>0</x:v>
      </x:c>
      <x:c r="N605" s="4"/>
      <x:c r="O605" s="4"/>
      <x:c r="P605" s="11" t="n">
        <x:v>0</x:v>
      </x:c>
      <x:c r="Q605" s="11" t="n">
        <x:v>2</x:v>
      </x:c>
      <x:c r="R605" s="11" t="str">
        <x:f>IF(OR(P605="",Q605=""),"",Q605-P605)</x:f>
      </x:c>
      <x:c r="S605" s="13" t="str">
        <x:f>IF(OR(P605="",Q605="",P605=0),"",((Q605/30)/(P605/31))-1)</x:f>
      </x:c>
      <x:c r="T605" s="11" t="n">
        <x:v>396</x:v>
      </x:c>
      <x:c r="U605" s="11" t="n">
        <x:v>157</x:v>
      </x:c>
      <x:c r="V605" s="14" t="n">
        <x:v>0.012738853503184714</x:v>
      </x:c>
      <x:c r="W605" s="12" t="n">
        <x:v>7.191082802547771</x:v>
      </x:c>
      <x:c r="X605" s="11" t="n">
        <x:v>11</x:v>
      </x:c>
      <x:c r="Y605" s="11" t="n">
        <x:v>11</x:v>
      </x:c>
      <x:c r="Z605" s="4" t="str">
        <x:v>https://blog.skyairline.com/mejor-fecha-para-ir-a-torres-del-paine-clima-y-recomendaciones/</x:v>
      </x:c>
      <x:c r="AA605" s="4" t="str">
        <x:v>https://blog.skyairline.com/mejor-fecha-para-ir-a-torres-del-paine-clima-y-recomendaciones/
https://blog.skyairline.com/mejor-fecha-para-ir-a-torres-del-paine-clima-y-recomendaciones</x:v>
      </x:c>
      <x:c r="AB605" s="4" t="str">
        <x:v>Alias slash agregado</x:v>
      </x:c>
      <x:c r="AC605" s="4" t="str">
        <x:v>Publicado hasta septiembre</x:v>
      </x:c>
      <x:c r="AD605" s="4" t="str">
        <x:v>/mejor-fecha-para-ir-a-torres-del-paine-clima-y-recomendaciones/</x:v>
      </x:c>
      <x:c r="AE605" s="4"/>
      <x:c r="AF605" s="16" t="b">
        <x:v>0</x:v>
      </x:c>
    </x:row>
    <x:row r="606" ht="44" customHeight="1">
      <x:c r="A606" s="4" t="n">
        <x:v>6180</x:v>
      </x:c>
      <x:c r="B606" s="4" t="str">
        <x:v>https://blog.skyairline.com/millennials-lideran-los-cielos-el-grupo-etario-de-26-a-40-anos-es-el-que-mas-viaja-con-sky/</x:v>
      </x:c>
      <x:c r="C606" s="9" t="str">
        <x:v>Millennials lideran los cielos: el grupo etario de 26 a 40 años es el que más viaja con SKY</x:v>
      </x:c>
      <x:c r="D606" s="17" t="d">
        <x:v>2025-06-09T00:00:00.000Z</x:v>
      </x:c>
      <x:c r="E606" s="17" t="d">
        <x:v>2025-06-09T00:00:00.000Z</x:v>
      </x:c>
      <x:c r="F606" s="4" t="str">
        <x:v>Noticias</x:v>
      </x:c>
      <x:c r="G606" s="11" t="n">
        <x:v>505</x:v>
      </x:c>
      <x:c r="H606" s="11" t="n">
        <x:v>200</x:v>
      </x:c>
      <x:c r="I606" s="11" t="n">
        <x:v>1</x:v>
      </x:c>
      <x:c r="J606" s="4" t="str">
        <x:v>https://blog.skyairline.com/millennials-lideran-los-cielos-el-grupo-etario-de-26-a-40-anos-es-el-que-mas-viaja-con-sky/</x:v>
      </x:c>
      <x:c r="K606" s="16" t="b">
        <x:v>0</x:v>
      </x:c>
      <x:c r="L606" s="11" t="n">
        <x:v>0</x:v>
      </x:c>
      <x:c r="M606" s="11" t="n">
        <x:v>0</x:v>
      </x:c>
      <x:c r="N606" s="4"/>
      <x:c r="O606" s="4"/>
      <x:c r="P606" s="11" t="n">
        <x:v>1</x:v>
      </x:c>
      <x:c r="Q606" s="11" t="n">
        <x:v>2</x:v>
      </x:c>
      <x:c r="R606" s="11" t="n">
        <x:f>IF(OR(P606="",Q606=""),"",Q606-P606)</x:f>
        <x:v>1</x:v>
      </x:c>
      <x:c r="S606" s="13" t="n">
        <x:f>IF(OR(P606="",Q606="",P606=0),"",((Q606/30)/(P606/31))-1)</x:f>
        <x:v>1.0666666666666669</x:v>
      </x:c>
      <x:c r="T606" s="11" t="n">
        <x:v>85</x:v>
      </x:c>
      <x:c r="U606" s="11" t="n">
        <x:v>71</x:v>
      </x:c>
      <x:c r="V606" s="14" t="n">
        <x:v>0.028169014084507043</x:v>
      </x:c>
      <x:c r="W606" s="12" t="n">
        <x:v>6.47887323943662</x:v>
      </x:c>
      <x:c r="X606" s="11" t="n">
        <x:v>5</x:v>
      </x:c>
      <x:c r="Y606" s="11" t="n">
        <x:v>9</x:v>
      </x:c>
      <x:c r="Z606" s="4" t="str">
        <x:v>https://blog.skyairline.com/millennials-lideran-los-cielos-el-grupo-etario-de-26-a-40-anos-es-el-que-mas-viaja-con-sky/</x:v>
      </x:c>
      <x:c r="AA606" s="4" t="str">
        <x:v>https://blog.skyairline.com/millennials-lideran-los-cielos-el-grupo-etario-de-26-a-40-anos-es-el-que-mas-viaja-con-sky/</x:v>
      </x:c>
      <x:c r="AB606" s="4" t="str">
        <x:v>Coincidencia URL</x:v>
      </x:c>
      <x:c r="AC606" s="4" t="str">
        <x:v>Publicado hasta septiembre</x:v>
      </x:c>
      <x:c r="AD606" s="4" t="str">
        <x:v>/millennials-lideran-los-cielos-el-grupo-etario-de-26-a-40-anos-es-el-que-mas-viaja-con-sky/</x:v>
      </x:c>
      <x:c r="AE606" s="4"/>
      <x:c r="AF606" s="16" t="b">
        <x:v>0</x:v>
      </x:c>
    </x:row>
    <x:row r="607" ht="44" customHeight="1">
      <x:c r="A607" s="4" t="n">
        <x:v>6255</x:v>
      </x:c>
      <x:c r="B607" s="4" t="str">
        <x:v>https://blog.skyairline.com/playas-al-norte-de-chile/</x:v>
      </x:c>
      <x:c r="C607" s="9" t="str">
        <x:v>Playas al norte de Chile: 7 destinos imperdibles</x:v>
      </x:c>
      <x:c r="D607" s="17" t="d">
        <x:v>2025-06-28T00:00:00.000Z</x:v>
      </x:c>
      <x:c r="E607" s="17" t="d">
        <x:v>2025-06-28T00:00:00.000Z</x:v>
      </x:c>
      <x:c r="F607" s="4" t="str">
        <x:v>Cultura</x:v>
      </x:c>
      <x:c r="G607" s="11" t="n">
        <x:v>1045</x:v>
      </x:c>
      <x:c r="H607" s="11" t="n">
        <x:v>200</x:v>
      </x:c>
      <x:c r="I607" s="11" t="n">
        <x:v>1</x:v>
      </x:c>
      <x:c r="J607" s="4" t="str">
        <x:v>https://blog.skyairline.com/playas-al-norte-de-chile/</x:v>
      </x:c>
      <x:c r="K607" s="16" t="b">
        <x:v>0</x:v>
      </x:c>
      <x:c r="L607" s="11" t="n">
        <x:v>0</x:v>
      </x:c>
      <x:c r="M607" s="11" t="n">
        <x:v>0</x:v>
      </x:c>
      <x:c r="N607" s="4"/>
      <x:c r="O607" s="4"/>
      <x:c r="P607" s="11" t="n">
        <x:v>2</x:v>
      </x:c>
      <x:c r="Q607" s="11" t="n">
        <x:v>2</x:v>
      </x:c>
      <x:c r="R607" s="11" t="n">
        <x:f>IF(OR(P607="",Q607=""),"",Q607-P607)</x:f>
        <x:v>0</x:v>
      </x:c>
      <x:c r="S607" s="13" t="n">
        <x:f>IF(OR(P607="",Q607="",P607=0),"",((Q607/30)/(P607/31))-1)</x:f>
        <x:v>0.03333333333333344</x:v>
      </x:c>
      <x:c r="T607" s="11" t="n">
        <x:v>196</x:v>
      </x:c>
      <x:c r="U607" s="11" t="n">
        <x:v>175</x:v>
      </x:c>
      <x:c r="V607" s="14" t="n">
        <x:v>0.011428571428571429</x:v>
      </x:c>
      <x:c r="W607" s="12" t="n">
        <x:v>31.66857142857143</x:v>
      </x:c>
      <x:c r="X607" s="11" t="n">
        <x:v>5</x:v>
      </x:c>
      <x:c r="Y607" s="11" t="n">
        <x:v>5</x:v>
      </x:c>
      <x:c r="Z607" s="4" t="str">
        <x:v>https://blog.skyairline.com/playas-al-norte-de-chile/</x:v>
      </x:c>
      <x:c r="AA607" s="4" t="str">
        <x:v>https://blog.skyairline.com/playas-al-norte-de-chile/</x:v>
      </x:c>
      <x:c r="AB607" s="4" t="str">
        <x:v>Coincidencia URL</x:v>
      </x:c>
      <x:c r="AC607" s="4" t="str">
        <x:v>Publicado hasta septiembre</x:v>
      </x:c>
      <x:c r="AD607" s="4" t="str">
        <x:v>/playas-al-norte-de-chile/</x:v>
      </x:c>
      <x:c r="AE607" s="4"/>
      <x:c r="AF607" s="16" t="b">
        <x:v>0</x:v>
      </x:c>
    </x:row>
    <x:row r="608" ht="44" customHeight="1">
      <x:c r="A608" s="4" t="n">
        <x:v>6279</x:v>
      </x:c>
      <x:c r="B608" s="4" t="str">
        <x:v>https://blog.skyairline.com/argentina-y-uruguay/</x:v>
      </x:c>
      <x:c r="C608" s="9" t="str">
        <x:v>Argentina y Uruguay: las claves para un recorrido entre estos dos países</x:v>
      </x:c>
      <x:c r="D608" s="17" t="d">
        <x:v>2025-07-05T00:00:00.000Z</x:v>
      </x:c>
      <x:c r="E608" s="17" t="d">
        <x:v>2025-07-05T00:00:00.000Z</x:v>
      </x:c>
      <x:c r="F608" s="4" t="str">
        <x:v>Destinos</x:v>
      </x:c>
      <x:c r="G608" s="11" t="n">
        <x:v>1850</x:v>
      </x:c>
      <x:c r="H608" s="11" t="n">
        <x:v>200</x:v>
      </x:c>
      <x:c r="I608" s="11" t="n">
        <x:v>1</x:v>
      </x:c>
      <x:c r="J608" s="4" t="str">
        <x:v>https://blog.skyairline.com/argentina-y-uruguay/</x:v>
      </x:c>
      <x:c r="K608" s="16" t="b">
        <x:v>0</x:v>
      </x:c>
      <x:c r="L608" s="11" t="n">
        <x:v>0</x:v>
      </x:c>
      <x:c r="M608" s="11" t="n">
        <x:v>0</x:v>
      </x:c>
      <x:c r="N608" s="4"/>
      <x:c r="O608" s="4"/>
      <x:c r="P608" s="11" t="n">
        <x:v>4</x:v>
      </x:c>
      <x:c r="Q608" s="11" t="n">
        <x:v>2</x:v>
      </x:c>
      <x:c r="R608" s="11" t="n">
        <x:f>IF(OR(P608="",Q608=""),"",Q608-P608)</x:f>
        <x:v>-2</x:v>
      </x:c>
      <x:c r="S608" s="13" t="n">
        <x:f>IF(OR(P608="",Q608="",P608=0),"",((Q608/30)/(P608/31))-1)</x:f>
        <x:v>-0.4833333333333333</x:v>
      </x:c>
      <x:c r="T608" s="11" t="n">
        <x:v>642</x:v>
      </x:c>
      <x:c r="U608" s="11" t="n">
        <x:v>320</x:v>
      </x:c>
      <x:c r="V608" s="14" t="n">
        <x:v>0.00625</x:v>
      </x:c>
      <x:c r="W608" s="12" t="n">
        <x:v>8.115625</x:v>
      </x:c>
      <x:c r="X608" s="11" t="n">
        <x:v>4</x:v>
      </x:c>
      <x:c r="Y608" s="11" t="n">
        <x:v>6</x:v>
      </x:c>
      <x:c r="Z608" s="4" t="str">
        <x:v>https://blog.skyairline.com/argentina-y-uruguay/</x:v>
      </x:c>
      <x:c r="AA608" s="4" t="str">
        <x:v>https://blog.skyairline.com/argentina-y-uruguay/</x:v>
      </x:c>
      <x:c r="AB608" s="4" t="str">
        <x:v>Coincidencia URL</x:v>
      </x:c>
      <x:c r="AC608" s="4" t="str">
        <x:v>Publicado hasta septiembre</x:v>
      </x:c>
      <x:c r="AD608" s="4" t="str">
        <x:v>/argentina-y-uruguay/</x:v>
      </x:c>
      <x:c r="AE608" s="4"/>
      <x:c r="AF608" s="16" t="b">
        <x:v>0</x:v>
      </x:c>
    </x:row>
    <x:row r="609" ht="44" customHeight="1">
      <x:c r="A609" s="4" t="n">
        <x:v>6282</x:v>
      </x:c>
      <x:c r="B609" s="4" t="str">
        <x:v>https://blog.skyairline.com/recife/</x:v>
      </x:c>
      <x:c r="C609" s="9" t="str">
        <x:v>Recife, Brasil: un destino maravillo y cerca de Salvador de Bahía</x:v>
      </x:c>
      <x:c r="D609" s="17" t="d">
        <x:v>2025-07-06T00:00:00.000Z</x:v>
      </x:c>
      <x:c r="E609" s="17" t="d">
        <x:v>2025-07-06T00:00:00.000Z</x:v>
      </x:c>
      <x:c r="F609" s="4" t="str">
        <x:v>Destinos</x:v>
      </x:c>
      <x:c r="G609" s="11" t="n">
        <x:v>1411</x:v>
      </x:c>
      <x:c r="H609" s="11" t="n">
        <x:v>200</x:v>
      </x:c>
      <x:c r="I609" s="11" t="n">
        <x:v>1</x:v>
      </x:c>
      <x:c r="J609" s="4" t="str">
        <x:v>https://blog.skyairline.com/recife/</x:v>
      </x:c>
      <x:c r="K609" s="16" t="b">
        <x:v>0</x:v>
      </x:c>
      <x:c r="L609" s="11" t="n">
        <x:v>0</x:v>
      </x:c>
      <x:c r="M609" s="11" t="n">
        <x:v>4</x:v>
      </x:c>
      <x:c r="N609" s="4"/>
      <x:c r="O609" s="4"/>
      <x:c r="P609" s="11" t="n">
        <x:v>2</x:v>
      </x:c>
      <x:c r="Q609" s="11" t="n">
        <x:v>2</x:v>
      </x:c>
      <x:c r="R609" s="11" t="n">
        <x:f>IF(OR(P609="",Q609=""),"",Q609-P609)</x:f>
        <x:v>0</x:v>
      </x:c>
      <x:c r="S609" s="13" t="n">
        <x:f>IF(OR(P609="",Q609="",P609=0),"",((Q609/30)/(P609/31))-1)</x:f>
        <x:v>0.03333333333333344</x:v>
      </x:c>
      <x:c r="T609" s="11" t="n">
        <x:v>309</x:v>
      </x:c>
      <x:c r="U609" s="11" t="n">
        <x:v>356</x:v>
      </x:c>
      <x:c r="V609" s="14" t="n">
        <x:v>0.0056179775280898875</x:v>
      </x:c>
      <x:c r="W609" s="12" t="n">
        <x:v>7.51123595505618</x:v>
      </x:c>
      <x:c r="X609" s="11" t="n">
        <x:v>3</x:v>
      </x:c>
      <x:c r="Y609" s="11" t="n">
        <x:v>5</x:v>
      </x:c>
      <x:c r="Z609" s="4" t="str">
        <x:v>https://blog.skyairline.com/recife/</x:v>
      </x:c>
      <x:c r="AA609" s="4" t="str">
        <x:v>https://blog.skyairline.com/recife/</x:v>
      </x:c>
      <x:c r="AB609" s="4" t="str">
        <x:v>Coincidencia URL</x:v>
      </x:c>
      <x:c r="AC609" s="4" t="str">
        <x:v>Publicado hasta septiembre</x:v>
      </x:c>
      <x:c r="AD609" s="4" t="str">
        <x:v>/recife/</x:v>
      </x:c>
      <x:c r="AE609" s="4"/>
      <x:c r="AF609" s="16" t="b">
        <x:v>0</x:v>
      </x:c>
    </x:row>
    <x:row r="610" ht="44" customHeight="1">
      <x:c r="A610" s="4" t="n">
        <x:v>6343</x:v>
      </x:c>
      <x:c r="B610" s="4" t="str">
        <x:v>https://blog.skyairline.com/glaciar-san-rafael/</x:v>
      </x:c>
      <x:c r="C610" s="9" t="str">
        <x:v>Aventura en el sur: explora el imponente glaciar San Rafael</x:v>
      </x:c>
      <x:c r="D610" s="17" t="d">
        <x:v>2025-07-19T00:00:00.000Z</x:v>
      </x:c>
      <x:c r="E610" s="17" t="d">
        <x:v>2025-07-19T00:00:00.000Z</x:v>
      </x:c>
      <x:c r="F610" s="4" t="str">
        <x:v>Destinos</x:v>
      </x:c>
      <x:c r="G610" s="11" t="n">
        <x:v>1164</x:v>
      </x:c>
      <x:c r="H610" s="11" t="n">
        <x:v>200</x:v>
      </x:c>
      <x:c r="I610" s="11" t="n">
        <x:v>1</x:v>
      </x:c>
      <x:c r="J610" s="4" t="str">
        <x:v>https://blog.skyairline.com/glaciar-san-rafael/</x:v>
      </x:c>
      <x:c r="K610" s="16" t="b">
        <x:v>0</x:v>
      </x:c>
      <x:c r="L610" s="11" t="n">
        <x:v>0</x:v>
      </x:c>
      <x:c r="M610" s="11" t="n">
        <x:v>3</x:v>
      </x:c>
      <x:c r="N610" s="4"/>
      <x:c r="O610" s="4"/>
      <x:c r="P610" s="11" t="n">
        <x:v>0</x:v>
      </x:c>
      <x:c r="Q610" s="11" t="n">
        <x:v>2</x:v>
      </x:c>
      <x:c r="R610" s="11" t="str">
        <x:f>IF(OR(P610="",Q610=""),"",Q610-P610)</x:f>
      </x:c>
      <x:c r="S610" s="13" t="str">
        <x:f>IF(OR(P610="",Q610="",P610=0),"",((Q610/30)/(P610/31))-1)</x:f>
      </x:c>
      <x:c r="T610" s="11" t="n">
        <x:v>231</x:v>
      </x:c>
      <x:c r="U610" s="11" t="n">
        <x:v>134</x:v>
      </x:c>
      <x:c r="V610" s="14" t="n">
        <x:v>0.014925373134328358</x:v>
      </x:c>
      <x:c r="W610" s="12" t="n">
        <x:v>9.895522388059701</x:v>
      </x:c>
      <x:c r="X610" s="11" t="n">
        <x:v>2</x:v>
      </x:c>
      <x:c r="Y610" s="11" t="n">
        <x:v>2</x:v>
      </x:c>
      <x:c r="Z610" s="4" t="str">
        <x:v>https://blog.skyairline.com/glaciar-san-rafael/</x:v>
      </x:c>
      <x:c r="AA610" s="4" t="str">
        <x:v>https://blog.skyairline.com/glaciar-san-rafael/</x:v>
      </x:c>
      <x:c r="AB610" s="4" t="str">
        <x:v>Coincidencia URL</x:v>
      </x:c>
      <x:c r="AC610" s="4" t="str">
        <x:v>Publicado hasta septiembre</x:v>
      </x:c>
      <x:c r="AD610" s="4" t="str">
        <x:v>/glaciar-san-rafael/</x:v>
      </x:c>
      <x:c r="AE610" s="4"/>
      <x:c r="AF610" s="16" t="b">
        <x:v>0</x:v>
      </x:c>
    </x:row>
    <x:row r="611" ht="44" customHeight="1">
      <x:c r="A611" s="4" t="n">
        <x:v>6357</x:v>
      </x:c>
      <x:c r="B611" s="4" t="str">
        <x:v>https://blog.skyairline.com/isla-navarino/</x:v>
      </x:c>
      <x:c r="C611" s="9" t="str">
        <x:v>Explora la naturaleza salvaje de la isla Navarino</x:v>
      </x:c>
      <x:c r="D611" s="17" t="d">
        <x:v>2025-07-23T00:00:00.000Z</x:v>
      </x:c>
      <x:c r="E611" s="17" t="d">
        <x:v>2025-07-23T00:00:00.000Z</x:v>
      </x:c>
      <x:c r="F611" s="4" t="str">
        <x:v>Planificación de Viaje</x:v>
      </x:c>
      <x:c r="G611" s="11" t="n">
        <x:v>1102</x:v>
      </x:c>
      <x:c r="H611" s="11" t="n">
        <x:v>200</x:v>
      </x:c>
      <x:c r="I611" s="11" t="n">
        <x:v>1</x:v>
      </x:c>
      <x:c r="J611" s="4" t="str">
        <x:v>https://blog.skyairline.com/isla-navarino/</x:v>
      </x:c>
      <x:c r="K611" s="16" t="b">
        <x:v>0</x:v>
      </x:c>
      <x:c r="L611" s="11" t="n">
        <x:v>0</x:v>
      </x:c>
      <x:c r="M611" s="11" t="n">
        <x:v>3</x:v>
      </x:c>
      <x:c r="N611" s="4"/>
      <x:c r="O611" s="4"/>
      <x:c r="P611" s="11" t="n">
        <x:v>1</x:v>
      </x:c>
      <x:c r="Q611" s="11" t="n">
        <x:v>2</x:v>
      </x:c>
      <x:c r="R611" s="11" t="n">
        <x:f>IF(OR(P611="",Q611=""),"",Q611-P611)</x:f>
        <x:v>1</x:v>
      </x:c>
      <x:c r="S611" s="13" t="n">
        <x:f>IF(OR(P611="",Q611="",P611=0),"",((Q611/30)/(P611/31))-1)</x:f>
        <x:v>1.0666666666666669</x:v>
      </x:c>
      <x:c r="T611" s="11" t="n">
        <x:v>339</x:v>
      </x:c>
      <x:c r="U611" s="11" t="n">
        <x:v>222</x:v>
      </x:c>
      <x:c r="V611" s="14" t="n">
        <x:v>0.009009009009009009</x:v>
      </x:c>
      <x:c r="W611" s="12" t="n">
        <x:v>9.99099099099099</x:v>
      </x:c>
      <x:c r="X611" s="11" t="n">
        <x:v>2</x:v>
      </x:c>
      <x:c r="Y611" s="11" t="n">
        <x:v>3</x:v>
      </x:c>
      <x:c r="Z611" s="4" t="str">
        <x:v>https://blog.skyairline.com/isla-navarino/</x:v>
      </x:c>
      <x:c r="AA611" s="4" t="str">
        <x:v>https://blog.skyairline.com/isla-navarino/</x:v>
      </x:c>
      <x:c r="AB611" s="4" t="str">
        <x:v>Coincidencia URL</x:v>
      </x:c>
      <x:c r="AC611" s="4" t="str">
        <x:v>Publicado hasta septiembre</x:v>
      </x:c>
      <x:c r="AD611" s="4" t="str">
        <x:v>/isla-navarino/</x:v>
      </x:c>
      <x:c r="AE611" s="4"/>
      <x:c r="AF611" s="16" t="b">
        <x:v>0</x:v>
      </x:c>
    </x:row>
    <x:row r="612" ht="44" customHeight="1">
      <x:c r="A612" s="4" t="n">
        <x:v>6374</x:v>
      </x:c>
      <x:c r="B612" s="4" t="str">
        <x:v>https://blog.skyairline.com/camping-en-villarrica/</x:v>
      </x:c>
      <x:c r="C612" s="9" t="str">
        <x:v>Guía completa para hacer camping en Villarrica</x:v>
      </x:c>
      <x:c r="D612" s="17" t="d">
        <x:v>2025-07-28T00:00:00.000Z</x:v>
      </x:c>
      <x:c r="E612" s="17" t="d">
        <x:v>2025-07-28T00:00:00.000Z</x:v>
      </x:c>
      <x:c r="F612" s="4" t="str">
        <x:v>Destinos</x:v>
      </x:c>
      <x:c r="G612" s="11" t="n">
        <x:v>1222</x:v>
      </x:c>
      <x:c r="H612" s="11" t="n">
        <x:v>200</x:v>
      </x:c>
      <x:c r="I612" s="11" t="n">
        <x:v>1</x:v>
      </x:c>
      <x:c r="J612" s="4" t="str">
        <x:v>https://blog.skyairline.com/camping-en-villarrica/</x:v>
      </x:c>
      <x:c r="K612" s="16" t="b">
        <x:v>0</x:v>
      </x:c>
      <x:c r="L612" s="11" t="n">
        <x:v>0</x:v>
      </x:c>
      <x:c r="M612" s="11" t="n">
        <x:v>3</x:v>
      </x:c>
      <x:c r="N612" s="4"/>
      <x:c r="O612" s="4"/>
      <x:c r="P612" s="11" t="n">
        <x:v>4</x:v>
      </x:c>
      <x:c r="Q612" s="11" t="n">
        <x:v>2</x:v>
      </x:c>
      <x:c r="R612" s="11" t="n">
        <x:f>IF(OR(P612="",Q612=""),"",Q612-P612)</x:f>
        <x:v>-2</x:v>
      </x:c>
      <x:c r="S612" s="13" t="n">
        <x:f>IF(OR(P612="",Q612="",P612=0),"",((Q612/30)/(P612/31))-1)</x:f>
        <x:v>-0.4833333333333333</x:v>
      </x:c>
      <x:c r="T612" s="11" t="n">
        <x:v>304</x:v>
      </x:c>
      <x:c r="U612" s="11" t="n">
        <x:v>365</x:v>
      </x:c>
      <x:c r="V612" s="14" t="n">
        <x:v>0.005479452054794521</x:v>
      </x:c>
      <x:c r="W612" s="12" t="n">
        <x:v>8.145205479452056</x:v>
      </x:c>
      <x:c r="X612" s="11" t="n">
        <x:v>4</x:v>
      </x:c>
      <x:c r="Y612" s="11" t="n">
        <x:v>4</x:v>
      </x:c>
      <x:c r="Z612" s="4" t="str">
        <x:v>https://blog.skyairline.com/camping-en-villarrica/</x:v>
      </x:c>
      <x:c r="AA612" s="4" t="str">
        <x:v>https://blog.skyairline.com/camping-en-villarrica/</x:v>
      </x:c>
      <x:c r="AB612" s="4" t="str">
        <x:v>Coincidencia URL</x:v>
      </x:c>
      <x:c r="AC612" s="4" t="str">
        <x:v>Publicado hasta septiembre</x:v>
      </x:c>
      <x:c r="AD612" s="4" t="str">
        <x:v>/camping-en-villarrica/</x:v>
      </x:c>
      <x:c r="AE612" s="4"/>
      <x:c r="AF612" s="16" t="b">
        <x:v>0</x:v>
      </x:c>
    </x:row>
    <x:row r="613" ht="44" customHeight="1">
      <x:c r="A613" s="4" t="n">
        <x:v>6405</x:v>
      </x:c>
      <x:c r="B613" s="4" t="str">
        <x:v>https://blog.skyairline.com/donde-hacer-rafting/</x:v>
      </x:c>
      <x:c r="C613" s="9" t="str">
        <x:v>¿Dónde hacer rafting en Chile? Mejores ríos y consejos</x:v>
      </x:c>
      <x:c r="D613" s="17" t="d">
        <x:v>2025-08-06T00:00:00.000Z</x:v>
      </x:c>
      <x:c r="E613" s="17" t="d">
        <x:v>2025-08-06T00:00:00.000Z</x:v>
      </x:c>
      <x:c r="F613" s="4" t="str">
        <x:v>Planificación de Viaje</x:v>
      </x:c>
      <x:c r="G613" s="11" t="n">
        <x:v>1084</x:v>
      </x:c>
      <x:c r="H613" s="11" t="n">
        <x:v>200</x:v>
      </x:c>
      <x:c r="I613" s="11" t="n">
        <x:v>1</x:v>
      </x:c>
      <x:c r="J613" s="4" t="str">
        <x:v>https://blog.skyairline.com/donde-hacer-rafting/</x:v>
      </x:c>
      <x:c r="K613" s="16" t="b">
        <x:v>0</x:v>
      </x:c>
      <x:c r="L613" s="11" t="n">
        <x:v>0</x:v>
      </x:c>
      <x:c r="M613" s="11" t="n">
        <x:v>3</x:v>
      </x:c>
      <x:c r="N613" s="4"/>
      <x:c r="O613" s="4"/>
      <x:c r="P613" s="11" t="n">
        <x:v>1</x:v>
      </x:c>
      <x:c r="Q613" s="11" t="n">
        <x:v>2</x:v>
      </x:c>
      <x:c r="R613" s="11" t="n">
        <x:f>IF(OR(P613="",Q613=""),"",Q613-P613)</x:f>
        <x:v>1</x:v>
      </x:c>
      <x:c r="S613" s="13" t="n">
        <x:f>IF(OR(P613="",Q613="",P613=0),"",((Q613/30)/(P613/31))-1)</x:f>
        <x:v>1.0666666666666669</x:v>
      </x:c>
      <x:c r="T613" s="11" t="n">
        <x:v>245</x:v>
      </x:c>
      <x:c r="U613" s="11" t="n">
        <x:v>185</x:v>
      </x:c>
      <x:c r="V613" s="14" t="n">
        <x:v>0.010810810810810811</x:v>
      </x:c>
      <x:c r="W613" s="12" t="n">
        <x:v>13.578378378378378</x:v>
      </x:c>
      <x:c r="X613" s="11" t="n">
        <x:v>2</x:v>
      </x:c>
      <x:c r="Y613" s="11" t="n">
        <x:v>2</x:v>
      </x:c>
      <x:c r="Z613" s="4" t="str">
        <x:v>https://blog.skyairline.com/donde-hacer-rafting/</x:v>
      </x:c>
      <x:c r="AA613" s="4" t="str">
        <x:v>https://blog.skyairline.com/donde-hacer-rafting/</x:v>
      </x:c>
      <x:c r="AB613" s="4" t="str">
        <x:v>Coincidencia URL</x:v>
      </x:c>
      <x:c r="AC613" s="4" t="str">
        <x:v>Publicado hasta septiembre</x:v>
      </x:c>
      <x:c r="AD613" s="4" t="str">
        <x:v>/donde-hacer-rafting/</x:v>
      </x:c>
      <x:c r="AE613" s="4"/>
      <x:c r="AF613" s="16" t="b">
        <x:v>0</x:v>
      </x:c>
    </x:row>
    <x:row r="614" ht="44" customHeight="1">
      <x:c r="A614" s="4" t="n">
        <x:v>6433</x:v>
      </x:c>
      <x:c r="B614" s="4" t="str">
        <x:v>https://blog.skyairline.com/sky-aumentara-vuelos-entre-lima-y-miami/</x:v>
      </x:c>
      <x:c r="C614" s="9" t="str">
        <x:v>SKY aumentará vuelos entre Lima y Miami</x:v>
      </x:c>
      <x:c r="D614" s="17" t="d">
        <x:v>2025-07-18T00:00:00.000Z</x:v>
      </x:c>
      <x:c r="E614" s="17" t="d">
        <x:v>2025-07-18T00:00:00.000Z</x:v>
      </x:c>
      <x:c r="F614" s="4" t="str">
        <x:v>Noticias</x:v>
      </x:c>
      <x:c r="G614" s="11" t="n">
        <x:v>328</x:v>
      </x:c>
      <x:c r="H614" s="11" t="n">
        <x:v>200</x:v>
      </x:c>
      <x:c r="I614" s="11" t="n">
        <x:v>1</x:v>
      </x:c>
      <x:c r="J614" s="4" t="str">
        <x:v>https://blog.skyairline.com/sky-aumentara-vuelos-entre-lima-y-miami/</x:v>
      </x:c>
      <x:c r="K614" s="16" t="b">
        <x:v>0</x:v>
      </x:c>
      <x:c r="L614" s="11" t="n">
        <x:v>0</x:v>
      </x:c>
      <x:c r="M614" s="11" t="n">
        <x:v>0</x:v>
      </x:c>
      <x:c r="N614" s="4"/>
      <x:c r="O614" s="4"/>
      <x:c r="P614" s="11" t="n">
        <x:v>0</x:v>
      </x:c>
      <x:c r="Q614" s="11" t="n">
        <x:v>2</x:v>
      </x:c>
      <x:c r="R614" s="11" t="str">
        <x:f>IF(OR(P614="",Q614=""),"",Q614-P614)</x:f>
      </x:c>
      <x:c r="S614" s="13" t="str">
        <x:f>IF(OR(P614="",Q614="",P614=0),"",((Q614/30)/(P614/31))-1)</x:f>
      </x:c>
      <x:c r="T614" s="11" t="n">
        <x:v>48</x:v>
      </x:c>
      <x:c r="U614" s="11" t="n">
        <x:v>44</x:v>
      </x:c>
      <x:c r="V614" s="14" t="n">
        <x:v>0.045454545454545456</x:v>
      </x:c>
      <x:c r="W614" s="12" t="n">
        <x:v>7.113636363636363</x:v>
      </x:c>
      <x:c r="X614" s="11" t="n">
        <x:v>1</x:v>
      </x:c>
      <x:c r="Y614" s="11" t="n">
        <x:v>1</x:v>
      </x:c>
      <x:c r="Z614" s="4" t="str">
        <x:v>https://blog.skyairline.com/sky-aumentara-vuelos-entre-lima-y-miami/</x:v>
      </x:c>
      <x:c r="AA614" s="4" t="str">
        <x:v>https://blog.skyairline.com/sky-aumentara-vuelos-entre-lima-y-miami/</x:v>
      </x:c>
      <x:c r="AB614" s="4" t="str">
        <x:v>Coincidencia URL</x:v>
      </x:c>
      <x:c r="AC614" s="4" t="str">
        <x:v>Publicado hasta septiembre</x:v>
      </x:c>
      <x:c r="AD614" s="4" t="str">
        <x:v>/sky-aumentara-vuelos-entre-lima-y-miami/</x:v>
      </x:c>
      <x:c r="AE614" s="4"/>
      <x:c r="AF614" s="16" t="b">
        <x:v>0</x:v>
      </x:c>
    </x:row>
    <x:row r="615" ht="44" customHeight="1">
      <x:c r="A615" s="4" t="n">
        <x:v>6478</x:v>
      </x:c>
      <x:c r="B615" s="4" t="str">
        <x:v>https://blog.skyairline.com/peninsula-de-yucatan/</x:v>
      </x:c>
      <x:c r="C615" s="9" t="str">
        <x:v>Explora la Península de Yucatán más allá de sus playas</x:v>
      </x:c>
      <x:c r="D615" s="17" t="d">
        <x:v>2025-08-18T00:00:00.000Z</x:v>
      </x:c>
      <x:c r="E615" s="17" t="d">
        <x:v>2025-08-18T00:00:00.000Z</x:v>
      </x:c>
      <x:c r="F615" s="4" t="str">
        <x:v>Destinos</x:v>
      </x:c>
      <x:c r="G615" s="11" t="n">
        <x:v>1053</x:v>
      </x:c>
      <x:c r="H615" s="11" t="n">
        <x:v>200</x:v>
      </x:c>
      <x:c r="I615" s="11" t="n">
        <x:v>1</x:v>
      </x:c>
      <x:c r="J615" s="4" t="str">
        <x:v>https://blog.skyairline.com/peninsula-de-yucatan/</x:v>
      </x:c>
      <x:c r="K615" s="16" t="b">
        <x:v>0</x:v>
      </x:c>
      <x:c r="L615" s="11" t="n">
        <x:v>0</x:v>
      </x:c>
      <x:c r="M615" s="11" t="n">
        <x:v>3</x:v>
      </x:c>
      <x:c r="N615" s="4"/>
      <x:c r="O615" s="4"/>
      <x:c r="P615" s="11" t="n">
        <x:v>0</x:v>
      </x:c>
      <x:c r="Q615" s="11" t="n">
        <x:v>2</x:v>
      </x:c>
      <x:c r="R615" s="11" t="str">
        <x:f>IF(OR(P615="",Q615=""),"",Q615-P615)</x:f>
      </x:c>
      <x:c r="S615" s="13" t="str">
        <x:f>IF(OR(P615="",Q615="",P615=0),"",((Q615/30)/(P615/31))-1)</x:f>
      </x:c>
      <x:c r="T615" s="11" t="n">
        <x:v>103</x:v>
      </x:c>
      <x:c r="U615" s="11" t="n">
        <x:v>313</x:v>
      </x:c>
      <x:c r="V615" s="14" t="n">
        <x:v>0.006389776357827476</x:v>
      </x:c>
      <x:c r="W615" s="12" t="n">
        <x:v>9.249201277955272</x:v>
      </x:c>
      <x:c r="X615" s="11" t="n">
        <x:v>1</x:v>
      </x:c>
      <x:c r="Y615" s="11" t="n">
        <x:v>1</x:v>
      </x:c>
      <x:c r="Z615" s="4" t="str">
        <x:v>https://blog.skyairline.com/peninsula-de-yucatan/</x:v>
      </x:c>
      <x:c r="AA615" s="4" t="str">
        <x:v>https://blog.skyairline.com/peninsula-de-yucatan/</x:v>
      </x:c>
      <x:c r="AB615" s="4" t="str">
        <x:v>Coincidencia URL</x:v>
      </x:c>
      <x:c r="AC615" s="4" t="str">
        <x:v>Publicado hasta septiembre</x:v>
      </x:c>
      <x:c r="AD615" s="4" t="str">
        <x:v>/peninsula-de-yucatan/</x:v>
      </x:c>
      <x:c r="AE615" s="4"/>
      <x:c r="AF615" s="16" t="b">
        <x:v>0</x:v>
      </x:c>
    </x:row>
    <x:row r="616" ht="44" customHeight="1">
      <x:c r="A616" s="4" t="n">
        <x:v>6532</x:v>
      </x:c>
      <x:c r="B616" s="4" t="str">
        <x:v>https://blog.skyairline.com/rupac/</x:v>
      </x:c>
      <x:c r="C616" s="9" t="str">
        <x:v>Explora las alturas místicas de Rupac en Perú</x:v>
      </x:c>
      <x:c r="D616" s="17" t="d">
        <x:v>2025-09-03T00:00:00.000Z</x:v>
      </x:c>
      <x:c r="E616" s="17" t="d">
        <x:v>2025-09-03T00:00:00.000Z</x:v>
      </x:c>
      <x:c r="F616" s="4" t="str">
        <x:v>Planificación de Viaje</x:v>
      </x:c>
      <x:c r="G616" s="11" t="n">
        <x:v>1167</x:v>
      </x:c>
      <x:c r="H616" s="11" t="n">
        <x:v>200</x:v>
      </x:c>
      <x:c r="I616" s="11" t="n">
        <x:v>1</x:v>
      </x:c>
      <x:c r="J616" s="4" t="str">
        <x:v>https://blog.skyairline.com/rupac/</x:v>
      </x:c>
      <x:c r="K616" s="16" t="b">
        <x:v>0</x:v>
      </x:c>
      <x:c r="L616" s="11" t="n">
        <x:v>0</x:v>
      </x:c>
      <x:c r="M616" s="11" t="n">
        <x:v>3</x:v>
      </x:c>
      <x:c r="N616" s="4"/>
      <x:c r="O616" s="4"/>
      <x:c r="P616" s="11" t="n">
        <x:v>3</x:v>
      </x:c>
      <x:c r="Q616" s="11" t="n">
        <x:v>2</x:v>
      </x:c>
      <x:c r="R616" s="11" t="n">
        <x:f>IF(OR(P616="",Q616=""),"",Q616-P616)</x:f>
        <x:v>-1</x:v>
      </x:c>
      <x:c r="S616" s="13" t="n">
        <x:f>IF(OR(P616="",Q616="",P616=0),"",((Q616/30)/(P616/31))-1)</x:f>
        <x:v>-0.3111111111111111</x:v>
      </x:c>
      <x:c r="T616" s="11" t="n">
        <x:v>1183</x:v>
      </x:c>
      <x:c r="U616" s="11" t="n">
        <x:v>537</x:v>
      </x:c>
      <x:c r="V616" s="14" t="n">
        <x:v>0.0037243947858473</x:v>
      </x:c>
      <x:c r="W616" s="12" t="n">
        <x:v>7.80633147113594</x:v>
      </x:c>
      <x:c r="X616" s="11" t="n">
        <x:v>3</x:v>
      </x:c>
      <x:c r="Y616" s="11" t="n">
        <x:v>3</x:v>
      </x:c>
      <x:c r="Z616" s="4" t="str">
        <x:v>https://blog.skyairline.com/rupac/</x:v>
      </x:c>
      <x:c r="AA616" s="4" t="str">
        <x:v>https://blog.skyairline.com/rupac/</x:v>
      </x:c>
      <x:c r="AB616" s="4" t="str">
        <x:v>Coincidencia URL</x:v>
      </x:c>
      <x:c r="AC616" s="4" t="str">
        <x:v>Publicado hasta septiembre</x:v>
      </x:c>
      <x:c r="AD616" s="4" t="str">
        <x:v>/rupac/</x:v>
      </x:c>
      <x:c r="AE616" s="4"/>
      <x:c r="AF616" s="16" t="b">
        <x:v>0</x:v>
      </x:c>
    </x:row>
    <x:row r="617" ht="44" customHeight="1">
      <x:c r="A617" s="4" t="n">
        <x:v>6538</x:v>
      </x:c>
      <x:c r="B617" s="4" t="str">
        <x:v>https://blog.skyairline.com/laguna-69/</x:v>
      </x:c>
      <x:c r="C617" s="9" t="str">
        <x:v>Cómo llegar a la famosa Laguna 69 en los Andes peruanos</x:v>
      </x:c>
      <x:c r="D617" s="17" t="d">
        <x:v>2025-09-05T00:00:00.000Z</x:v>
      </x:c>
      <x:c r="E617" s="17" t="d">
        <x:v>2025-09-05T00:00:00.000Z</x:v>
      </x:c>
      <x:c r="F617" s="4" t="str">
        <x:v>Destinos</x:v>
      </x:c>
      <x:c r="G617" s="11" t="n">
        <x:v>911</x:v>
      </x:c>
      <x:c r="H617" s="11" t="n">
        <x:v>200</x:v>
      </x:c>
      <x:c r="I617" s="11" t="n">
        <x:v>1</x:v>
      </x:c>
      <x:c r="J617" s="4" t="str">
        <x:v>https://blog.skyairline.com/laguna-69/</x:v>
      </x:c>
      <x:c r="K617" s="16" t="b">
        <x:v>0</x:v>
      </x:c>
      <x:c r="L617" s="11" t="n">
        <x:v>0</x:v>
      </x:c>
      <x:c r="M617" s="11" t="n">
        <x:v>3</x:v>
      </x:c>
      <x:c r="N617" s="4"/>
      <x:c r="O617" s="4"/>
      <x:c r="P617" s="11" t="n">
        <x:v>4</x:v>
      </x:c>
      <x:c r="Q617" s="11" t="n">
        <x:v>2</x:v>
      </x:c>
      <x:c r="R617" s="11" t="n">
        <x:f>IF(OR(P617="",Q617=""),"",Q617-P617)</x:f>
        <x:v>-2</x:v>
      </x:c>
      <x:c r="S617" s="13" t="n">
        <x:f>IF(OR(P617="",Q617="",P617=0),"",((Q617/30)/(P617/31))-1)</x:f>
        <x:v>-0.4833333333333333</x:v>
      </x:c>
      <x:c r="T617" s="11" t="n">
        <x:v>510</x:v>
      </x:c>
      <x:c r="U617" s="11" t="n">
        <x:v>316</x:v>
      </x:c>
      <x:c r="V617" s="14" t="n">
        <x:v>0.006329113924050633</x:v>
      </x:c>
      <x:c r="W617" s="12" t="n">
        <x:v>10.300632911392405</x:v>
      </x:c>
      <x:c r="X617" s="11" t="n">
        <x:v>2</x:v>
      </x:c>
      <x:c r="Y617" s="11" t="n">
        <x:v>4</x:v>
      </x:c>
      <x:c r="Z617" s="4" t="str">
        <x:v>https://blog.skyairline.com/laguna-69/</x:v>
      </x:c>
      <x:c r="AA617" s="4" t="str">
        <x:v>https://blog.skyairline.com/laguna-69/</x:v>
      </x:c>
      <x:c r="AB617" s="4" t="str">
        <x:v>Coincidencia URL</x:v>
      </x:c>
      <x:c r="AC617" s="4" t="str">
        <x:v>Publicado hasta septiembre</x:v>
      </x:c>
      <x:c r="AD617" s="4" t="str">
        <x:v>/laguna-69/</x:v>
      </x:c>
      <x:c r="AE617" s="4"/>
      <x:c r="AF617" s="16" t="b">
        <x:v>0</x:v>
      </x:c>
    </x:row>
    <x:row r="618" ht="44" customHeight="1">
      <x:c r="A618" s="4" t="n">
        <x:v>6566</x:v>
      </x:c>
      <x:c r="B618" s="4" t="str">
        <x:v>https://blog.skyairline.com/cascada-de-las-animas/</x:v>
      </x:c>
      <x:c r="C618" s="9" t="str">
        <x:v>¿Qué hacer en la mágica Cascada de las Ánimas?</x:v>
      </x:c>
      <x:c r="D618" s="17" t="d">
        <x:v>2025-09-14T00:00:00.000Z</x:v>
      </x:c>
      <x:c r="E618" s="17" t="d">
        <x:v>2025-09-14T00:00:00.000Z</x:v>
      </x:c>
      <x:c r="F618" s="4" t="str">
        <x:v>Destinos</x:v>
      </x:c>
      <x:c r="G618" s="11" t="n">
        <x:v>1114</x:v>
      </x:c>
      <x:c r="H618" s="11" t="n">
        <x:v>200</x:v>
      </x:c>
      <x:c r="I618" s="11" t="n">
        <x:v>1</x:v>
      </x:c>
      <x:c r="J618" s="4" t="str">
        <x:v>https://blog.skyairline.com/cascada-de-las-animas/</x:v>
      </x:c>
      <x:c r="K618" s="16" t="b">
        <x:v>0</x:v>
      </x:c>
      <x:c r="L618" s="11" t="n">
        <x:v>0</x:v>
      </x:c>
      <x:c r="M618" s="11" t="n">
        <x:v>3</x:v>
      </x:c>
      <x:c r="N618" s="4"/>
      <x:c r="O618" s="4"/>
      <x:c r="P618" s="11" t="n">
        <x:v>0</x:v>
      </x:c>
      <x:c r="Q618" s="11" t="n">
        <x:v>2</x:v>
      </x:c>
      <x:c r="R618" s="11" t="str">
        <x:f>IF(OR(P618="",Q618=""),"",Q618-P618)</x:f>
      </x:c>
      <x:c r="S618" s="13" t="str">
        <x:f>IF(OR(P618="",Q618="",P618=0),"",((Q618/30)/(P618/31))-1)</x:f>
      </x:c>
      <x:c r="T618" s="11" t="n">
        <x:v>329</x:v>
      </x:c>
      <x:c r="U618" s="11" t="n">
        <x:v>356</x:v>
      </x:c>
      <x:c r="V618" s="14" t="n">
        <x:v>0.0056179775280898875</x:v>
      </x:c>
      <x:c r="W618" s="12" t="n">
        <x:v>11.960674157303371</x:v>
      </x:c>
      <x:c r="X618" s="11" t="n">
        <x:v>2</x:v>
      </x:c>
      <x:c r="Y618" s="11" t="n">
        <x:v>2</x:v>
      </x:c>
      <x:c r="Z618" s="4" t="str">
        <x:v>https://blog.skyairline.com/cascada-de-las-animas/</x:v>
      </x:c>
      <x:c r="AA618" s="4" t="str">
        <x:v>https://blog.skyairline.com/cascada-de-las-animas/</x:v>
      </x:c>
      <x:c r="AB618" s="4" t="str">
        <x:v>Coincidencia URL</x:v>
      </x:c>
      <x:c r="AC618" s="4" t="str">
        <x:v>Publicado hasta septiembre</x:v>
      </x:c>
      <x:c r="AD618" s="4" t="str">
        <x:v>/cascada-de-las-animas/</x:v>
      </x:c>
      <x:c r="AE618" s="4"/>
      <x:c r="AF618" s="16" t="b">
        <x:v>0</x:v>
      </x:c>
    </x:row>
    <x:row r="619" ht="44" customHeight="1">
      <x:c r="A619" s="4" t="n">
        <x:v>6704</x:v>
      </x:c>
      <x:c r="B619" s="4" t="str">
        <x:v>https://blog.skyairline.com/sky-aumenta-la-presencia-de-mujeres-piloto-superando-el-promedio-mundial-2/</x:v>
      </x:c>
      <x:c r="C619" s="9" t="str">
        <x:v>SKY aumenta la presencia de mujeres piloto superando el promedio mundial</x:v>
      </x:c>
      <x:c r="D619" s="17" t="d">
        <x:v>2022-08-01T00:00:00.000Z</x:v>
      </x:c>
      <x:c r="E619" s="17" t="d">
        <x:v>2022-08-01T00:00:00.000Z</x:v>
      </x:c>
      <x:c r="F619" s="4" t="str">
        <x:v>Noticias</x:v>
      </x:c>
      <x:c r="G619" s="11" t="n">
        <x:v>497</x:v>
      </x:c>
      <x:c r="H619" s="11" t="n">
        <x:v>200</x:v>
      </x:c>
      <x:c r="I619" s="11" t="n">
        <x:v>1</x:v>
      </x:c>
      <x:c r="J619" s="4" t="str">
        <x:v>https://blog.skyairline.com/sky-aumenta-la-presencia-de-mujeres-piloto-superando-el-promedio-mundial-2/</x:v>
      </x:c>
      <x:c r="K619" s="16" t="b">
        <x:v>0</x:v>
      </x:c>
      <x:c r="L619" s="11" t="n">
        <x:v>0</x:v>
      </x:c>
      <x:c r="M619" s="11" t="n">
        <x:v>0</x:v>
      </x:c>
      <x:c r="N619" s="4" t="str">
        <x:v>T15</x:v>
      </x:c>
      <x:c r="O619" s="4"/>
      <x:c r="P619" s="11" t="n">
        <x:v>0</x:v>
      </x:c>
      <x:c r="Q619" s="11" t="n">
        <x:v>2</x:v>
      </x:c>
      <x:c r="R619" s="11" t="str">
        <x:f>IF(OR(P619="",Q619=""),"",Q619-P619)</x:f>
      </x:c>
      <x:c r="S619" s="13" t="str">
        <x:f>IF(OR(P619="",Q619="",P619=0),"",((Q619/30)/(P619/31))-1)</x:f>
      </x:c>
      <x:c r="T619" s="11" t="n">
        <x:v>21</x:v>
      </x:c>
      <x:c r="U619" s="11" t="n">
        <x:v>23</x:v>
      </x:c>
      <x:c r="V619" s="14" t="n">
        <x:v>0.08695652173913043</x:v>
      </x:c>
      <x:c r="W619" s="12" t="n">
        <x:v>5.347826086956522</x:v>
      </x:c>
      <x:c r="X619" s="11" t="n">
        <x:v>2</x:v>
      </x:c>
      <x:c r="Y619" s="11" t="n">
        <x:v>3</x:v>
      </x:c>
      <x:c r="Z619" s="4" t="str">
        <x:v>https://blog.skyairline.com/sky-aumenta-la-presencia-de-mujeres-piloto-superando-el-promedio-mundial-2/</x:v>
      </x:c>
      <x:c r="AA619" s="4" t="str">
        <x:v>https://blog.skyairline.com/sky-aumenta-la-presencia-de-mujeres-piloto-superando-el-promedio-mundial-2/
https://blog.skyairline.com/sky-aumenta-la-presencia-de-mujeres-piloto-superando-el-promedio-mundial-2</x:v>
      </x:c>
      <x:c r="AB619" s="4" t="str">
        <x:v>Alias slash agregado</x:v>
      </x:c>
      <x:c r="AC619" s="4" t="str">
        <x:v>Publicado hasta septiembre</x:v>
      </x:c>
      <x:c r="AD619" s="4" t="str">
        <x:v>/sky-aumenta-la-presencia-de-mujeres-piloto-superando-el-promedio-mundial-2/</x:v>
      </x:c>
      <x:c r="AE619" s="4"/>
      <x:c r="AF619" s="16" t="b">
        <x:v>1</x:v>
      </x:c>
    </x:row>
    <x:row r="620" ht="44" customHeight="1">
      <x:c r="A620" s="4" t="n">
        <x:v>6708</x:v>
      </x:c>
      <x:c r="B620" s="4" t="str">
        <x:v>https://blog.skyairline.com/alpamayo/</x:v>
      </x:c>
      <x:c r="C620" s="9" t="str">
        <x:v>Alpamayo: uno de los nevados más bellos del mundo en Perú</x:v>
      </x:c>
      <x:c r="D620" s="17" t="d">
        <x:v>2026-04-22T00:00:00.000Z</x:v>
      </x:c>
      <x:c r="E620" s="17" t="d">
        <x:v>2026-04-16T00:00:00.000Z</x:v>
      </x:c>
      <x:c r="F620" s="4" t="str">
        <x:v>Destinos</x:v>
      </x:c>
      <x:c r="G620" s="11" t="n">
        <x:v>1064</x:v>
      </x:c>
      <x:c r="H620" s="11" t="n">
        <x:v>200</x:v>
      </x:c>
      <x:c r="I620" s="11" t="n">
        <x:v>1</x:v>
      </x:c>
      <x:c r="J620" s="4" t="str">
        <x:v>https://blog.skyairline.com/alpamayo/</x:v>
      </x:c>
      <x:c r="K620" s="16" t="b">
        <x:v>0</x:v>
      </x:c>
      <x:c r="L620" s="11" t="n">
        <x:v>0</x:v>
      </x:c>
      <x:c r="M620" s="11" t="n">
        <x:v>0</x:v>
      </x:c>
      <x:c r="N620" s="4"/>
      <x:c r="O620" s="4"/>
      <x:c r="P620" s="11" t="n">
        <x:v>8</x:v>
      </x:c>
      <x:c r="Q620" s="11" t="n">
        <x:v>2</x:v>
      </x:c>
      <x:c r="R620" s="11" t="n">
        <x:f>IF(OR(P620="",Q620=""),"",Q620-P620)</x:f>
        <x:v>-6</x:v>
      </x:c>
      <x:c r="S620" s="13" t="n">
        <x:f>IF(OR(P620="",Q620="",P620=0),"",((Q620/30)/(P620/31))-1)</x:f>
        <x:v>-0.7416666666666667</x:v>
      </x:c>
      <x:c r="T620" s="11" t="n">
        <x:v>2211</x:v>
      </x:c>
      <x:c r="U620" s="11" t="n">
        <x:v>1095</x:v>
      </x:c>
      <x:c r="V620" s="14" t="n">
        <x:v>0.0018264840182648401</x:v>
      </x:c>
      <x:c r="W620" s="12" t="n">
        <x:v>8.571689497716896</x:v>
      </x:c>
      <x:c r="X620" s="11" t="n">
        <x:v>2</x:v>
      </x:c>
      <x:c r="Y620" s="11" t="n">
        <x:v>2</x:v>
      </x:c>
      <x:c r="Z620" s="4" t="str">
        <x:v>https://blog.skyairline.com/alpamayo/</x:v>
      </x:c>
      <x:c r="AA620" s="4" t="str">
        <x:v>https://blog.skyairline.com/alpamayo/</x:v>
      </x:c>
      <x:c r="AB620" s="4" t="str">
        <x:v>Coincidencia URL</x:v>
      </x:c>
      <x:c r="AC620" s="4" t="str">
        <x:v>Publicado hasta septiembre</x:v>
      </x:c>
      <x:c r="AD620" s="4" t="str">
        <x:v>/alpamayo/</x:v>
      </x:c>
      <x:c r="AE620" s="4"/>
      <x:c r="AF620" s="16" t="b">
        <x:v>0</x:v>
      </x:c>
    </x:row>
    <x:row r="621" ht="44" customHeight="1">
      <x:c r="A621" s="4" t="n">
        <x:v>7103</x:v>
      </x:c>
      <x:c r="B621" s="4" t="str">
        <x:v>https://blog.skyairline.com/sky-airline/</x:v>
      </x:c>
      <x:c r="C621" s="9" t="str">
        <x:v>SKY, la arolínea que te ayuda a realizar tus sueños</x:v>
      </x:c>
      <x:c r="D621" s="17" t="d">
        <x:v>2025-10-26T00:00:00.000Z</x:v>
      </x:c>
      <x:c r="E621" s="17" t="d">
        <x:v>2025-10-24T00:00:00.000Z</x:v>
      </x:c>
      <x:c r="F621" s="4" t="str">
        <x:v>Destinos</x:v>
      </x:c>
      <x:c r="G621" s="11" t="n">
        <x:v>972</x:v>
      </x:c>
      <x:c r="H621" s="11" t="n">
        <x:v>200</x:v>
      </x:c>
      <x:c r="I621" s="11" t="n">
        <x:v>1</x:v>
      </x:c>
      <x:c r="J621" s="4" t="str">
        <x:v>https://blog.skyairline.com/sky-airline/</x:v>
      </x:c>
      <x:c r="K621" s="16" t="b">
        <x:v>0</x:v>
      </x:c>
      <x:c r="L621" s="11" t="n">
        <x:v>0</x:v>
      </x:c>
      <x:c r="M621" s="11" t="n">
        <x:v>10</x:v>
      </x:c>
      <x:c r="N621" s="4"/>
      <x:c r="O621" s="4" t="str">
        <x:v>C01</x:v>
      </x:c>
      <x:c r="P621" s="11" t="n">
        <x:v>0</x:v>
      </x:c>
      <x:c r="Q621" s="11" t="n">
        <x:v>2</x:v>
      </x:c>
      <x:c r="R621" s="11" t="str">
        <x:f>IF(OR(P621="",Q621=""),"",Q621-P621)</x:f>
      </x:c>
      <x:c r="S621" s="13" t="str">
        <x:f>IF(OR(P621="",Q621="",P621=0),"",((Q621/30)/(P621/31))-1)</x:f>
      </x:c>
      <x:c r="T621" s="11" t="n">
        <x:v>140</x:v>
      </x:c>
      <x:c r="U621" s="11" t="n">
        <x:v>99</x:v>
      </x:c>
      <x:c r="V621" s="14" t="n">
        <x:v>0.020202020202020204</x:v>
      </x:c>
      <x:c r="W621" s="12" t="n">
        <x:v>12.141414141414142</x:v>
      </x:c>
      <x:c r="X621" s="11" t="n">
        <x:v>1</x:v>
      </x:c>
      <x:c r="Y621" s="11" t="n">
        <x:v>1</x:v>
      </x:c>
      <x:c r="Z621" s="4" t="str">
        <x:v>https://blog.skyairline.com/sky-airline/</x:v>
      </x:c>
      <x:c r="AA621" s="4" t="str">
        <x:v>https://blog.skyairline.com/sky-airline/</x:v>
      </x:c>
      <x:c r="AB621" s="4" t="str">
        <x:v>Coincidencia URL</x:v>
      </x:c>
      <x:c r="AC621" s="4" t="str">
        <x:v>Publicado hasta septiembre</x:v>
      </x:c>
      <x:c r="AD621" s="4" t="str">
        <x:v>/sky-airline/</x:v>
      </x:c>
      <x:c r="AE621" s="4"/>
      <x:c r="AF621" s="16" t="b">
        <x:v>0</x:v>
      </x:c>
    </x:row>
    <x:row r="622" ht="44" customHeight="1">
      <x:c r="A622" s="4" t="n">
        <x:v>7345</x:v>
      </x:c>
      <x:c r="B622" s="4" t="str">
        <x:v>https://blog.skyairline.com/sky-airline-4/</x:v>
      </x:c>
      <x:c r="C622" s="9" t="str">
        <x:v>SKY: ¿por qué es la mejor opción para tus vacaciones?</x:v>
      </x:c>
      <x:c r="D622" s="17" t="d">
        <x:v>2025-10-28T00:00:00.000Z</x:v>
      </x:c>
      <x:c r="E622" s="17" t="d">
        <x:v>2025-10-27T00:00:00.000Z</x:v>
      </x:c>
      <x:c r="F622" s="4" t="str">
        <x:v>Destinos</x:v>
      </x:c>
      <x:c r="G622" s="11" t="n">
        <x:v>1051</x:v>
      </x:c>
      <x:c r="H622" s="11" t="n">
        <x:v>200</x:v>
      </x:c>
      <x:c r="I622" s="11" t="n">
        <x:v>1</x:v>
      </x:c>
      <x:c r="J622" s="4" t="str">
        <x:v>https://blog.skyairline.com/sky-airline-4/</x:v>
      </x:c>
      <x:c r="K622" s="16" t="b">
        <x:v>0</x:v>
      </x:c>
      <x:c r="L622" s="11" t="n">
        <x:v>0</x:v>
      </x:c>
      <x:c r="M622" s="11" t="n">
        <x:v>3</x:v>
      </x:c>
      <x:c r="N622" s="4"/>
      <x:c r="O622" s="4"/>
      <x:c r="P622" s="11" t="n">
        <x:v>5</x:v>
      </x:c>
      <x:c r="Q622" s="11" t="n">
        <x:v>2</x:v>
      </x:c>
      <x:c r="R622" s="11" t="n">
        <x:f>IF(OR(P622="",Q622=""),"",Q622-P622)</x:f>
        <x:v>-3</x:v>
      </x:c>
      <x:c r="S622" s="13" t="n">
        <x:f>IF(OR(P622="",Q622="",P622=0),"",((Q622/30)/(P622/31))-1)</x:f>
        <x:v>-0.5866666666666667</x:v>
      </x:c>
      <x:c r="T622" s="11" t="n">
        <x:v>1525</x:v>
      </x:c>
      <x:c r="U622" s="11" t="n">
        <x:v>1364</x:v>
      </x:c>
      <x:c r="V622" s="14" t="n">
        <x:v>0.001466275659824047</x:v>
      </x:c>
      <x:c r="W622" s="12" t="n">
        <x:v>7.371700879765396</x:v>
      </x:c>
      <x:c r="X622" s="11" t="n">
        <x:v>4</x:v>
      </x:c>
      <x:c r="Y622" s="11" t="n">
        <x:v>4</x:v>
      </x:c>
      <x:c r="Z622" s="4" t="str">
        <x:v>https://blog.skyairline.com/sky-airline-4/</x:v>
      </x:c>
      <x:c r="AA622" s="4" t="str">
        <x:v>https://blog.skyairline.com/sky-airline-4/</x:v>
      </x:c>
      <x:c r="AB622" s="4" t="str">
        <x:v>Coincidencia URL</x:v>
      </x:c>
      <x:c r="AC622" s="4" t="str">
        <x:v>Publicado hasta septiembre</x:v>
      </x:c>
      <x:c r="AD622" s="4" t="str">
        <x:v>/sky-airline-4/</x:v>
      </x:c>
      <x:c r="AE622" s="4"/>
      <x:c r="AF622" s="16" t="b">
        <x:v>0</x:v>
      </x:c>
    </x:row>
    <x:row r="623" ht="44" customHeight="1">
      <x:c r="A623" s="4" t="n">
        <x:v>7396</x:v>
      </x:c>
      <x:c r="B623" s="4" t="str">
        <x:v>https://blog.skyairline.com/que-hacer-en-mendoza-2/</x:v>
      </x:c>
      <x:c r="C623" s="9" t="str">
        <x:v>¿Qué hacer en Mendoza? Una escapada en pareja</x:v>
      </x:c>
      <x:c r="D623" s="17" t="d">
        <x:v>2025-11-02T00:00:00.000Z</x:v>
      </x:c>
      <x:c r="E623" s="17" t="d">
        <x:v>2025-10-31T00:00:00.000Z</x:v>
      </x:c>
      <x:c r="F623" s="4" t="str">
        <x:v>Uncategorized</x:v>
      </x:c>
      <x:c r="G623" s="11" t="n">
        <x:v>1166</x:v>
      </x:c>
      <x:c r="H623" s="11" t="n">
        <x:v>200</x:v>
      </x:c>
      <x:c r="I623" s="11" t="n">
        <x:v>1</x:v>
      </x:c>
      <x:c r="J623" s="4" t="str">
        <x:v>https://blog.skyairline.com/que-hacer-en-mendoza-2/</x:v>
      </x:c>
      <x:c r="K623" s="16" t="b">
        <x:v>0</x:v>
      </x:c>
      <x:c r="L623" s="11" t="n">
        <x:v>0</x:v>
      </x:c>
      <x:c r="M623" s="11" t="n">
        <x:v>0</x:v>
      </x:c>
      <x:c r="N623" s="4"/>
      <x:c r="O623" s="4"/>
      <x:c r="P623" s="11" t="n">
        <x:v>2</x:v>
      </x:c>
      <x:c r="Q623" s="11" t="n">
        <x:v>2</x:v>
      </x:c>
      <x:c r="R623" s="11" t="n">
        <x:f>IF(OR(P623="",Q623=""),"",Q623-P623)</x:f>
        <x:v>0</x:v>
      </x:c>
      <x:c r="S623" s="13" t="n">
        <x:f>IF(OR(P623="",Q623="",P623=0),"",((Q623/30)/(P623/31))-1)</x:f>
        <x:v>0.03333333333333344</x:v>
      </x:c>
      <x:c r="T623" s="11" t="n">
        <x:v>207</x:v>
      </x:c>
      <x:c r="U623" s="11" t="n">
        <x:v>166</x:v>
      </x:c>
      <x:c r="V623" s="14" t="n">
        <x:v>0.012048192771084338</x:v>
      </x:c>
      <x:c r="W623" s="12" t="n">
        <x:v>10.234939759036145</x:v>
      </x:c>
      <x:c r="X623" s="11" t="n">
        <x:v>2</x:v>
      </x:c>
      <x:c r="Y623" s="11" t="n">
        <x:v>2</x:v>
      </x:c>
      <x:c r="Z623" s="4" t="str">
        <x:v>https://blog.skyairline.com/que-hacer-en-mendoza-2/</x:v>
      </x:c>
      <x:c r="AA623" s="4" t="str">
        <x:v>https://blog.skyairline.com/que-hacer-en-mendoza-2/</x:v>
      </x:c>
      <x:c r="AB623" s="4" t="str">
        <x:v>Coincidencia URL</x:v>
      </x:c>
      <x:c r="AC623" s="4" t="str">
        <x:v>Publicado hasta septiembre</x:v>
      </x:c>
      <x:c r="AD623" s="4" t="str">
        <x:v>/que-hacer-en-mendoza-2/</x:v>
      </x:c>
      <x:c r="AE623" s="4"/>
      <x:c r="AF623" s="16" t="b">
        <x:v>0</x:v>
      </x:c>
    </x:row>
    <x:row r="624" ht="44" customHeight="1">
      <x:c r="A624" s="4" t="n">
        <x:v>7499</x:v>
      </x:c>
      <x:c r="B624" s="4" t="str">
        <x:v>https://blog.skyairline.com/donde-queda-putre/</x:v>
      </x:c>
      <x:c r="C624" s="9" t="str">
        <x:v>¿Dónde queda Putre y qué hacer en este pueblo altiplánico?</x:v>
      </x:c>
      <x:c r="D624" s="17" t="d">
        <x:v>2025-11-07T00:00:00.000Z</x:v>
      </x:c>
      <x:c r="E624" s="17" t="d">
        <x:v>2025-11-03T00:00:00.000Z</x:v>
      </x:c>
      <x:c r="F624" s="4" t="str">
        <x:v>Destinos</x:v>
      </x:c>
      <x:c r="G624" s="11" t="n">
        <x:v>1102</x:v>
      </x:c>
      <x:c r="H624" s="11" t="n">
        <x:v>200</x:v>
      </x:c>
      <x:c r="I624" s="11" t="n">
        <x:v>1</x:v>
      </x:c>
      <x:c r="J624" s="4" t="str">
        <x:v>https://blog.skyairline.com/donde-queda-putre/</x:v>
      </x:c>
      <x:c r="K624" s="16" t="b">
        <x:v>0</x:v>
      </x:c>
      <x:c r="L624" s="11" t="n">
        <x:v>0</x:v>
      </x:c>
      <x:c r="M624" s="11" t="n">
        <x:v>0</x:v>
      </x:c>
      <x:c r="N624" s="4"/>
      <x:c r="O624" s="4"/>
      <x:c r="P624" s="11" t="n">
        <x:v>6</x:v>
      </x:c>
      <x:c r="Q624" s="11" t="n">
        <x:v>2</x:v>
      </x:c>
      <x:c r="R624" s="11" t="n">
        <x:f>IF(OR(P624="",Q624=""),"",Q624-P624)</x:f>
        <x:v>-4</x:v>
      </x:c>
      <x:c r="S624" s="13" t="n">
        <x:f>IF(OR(P624="",Q624="",P624=0),"",((Q624/30)/(P624/31))-1)</x:f>
        <x:v>-0.6555555555555556</x:v>
      </x:c>
      <x:c r="T624" s="11" t="n">
        <x:v>2061</x:v>
      </x:c>
      <x:c r="U624" s="11" t="n">
        <x:v>825</x:v>
      </x:c>
      <x:c r="V624" s="14" t="n">
        <x:v>0.0024242424242424242</x:v>
      </x:c>
      <x:c r="W624" s="12" t="n">
        <x:v>9.903030303030302</x:v>
      </x:c>
      <x:c r="X624" s="11" t="n">
        <x:v>2</x:v>
      </x:c>
      <x:c r="Y624" s="11" t="n">
        <x:v>2</x:v>
      </x:c>
      <x:c r="Z624" s="4" t="str">
        <x:v>https://blog.skyairline.com/donde-queda-putre/</x:v>
      </x:c>
      <x:c r="AA624" s="4" t="str">
        <x:v>https://blog.skyairline.com/donde-queda-putre/</x:v>
      </x:c>
      <x:c r="AB624" s="4" t="str">
        <x:v>Coincidencia URL</x:v>
      </x:c>
      <x:c r="AC624" s="4" t="str">
        <x:v>Publicado hasta septiembre</x:v>
      </x:c>
      <x:c r="AD624" s="4" t="str">
        <x:v>/donde-queda-putre/</x:v>
      </x:c>
      <x:c r="AE624" s="4"/>
      <x:c r="AF624" s="16" t="b">
        <x:v>0</x:v>
      </x:c>
    </x:row>
    <x:row r="625" ht="44" customHeight="1">
      <x:c r="A625" s="4" t="n">
        <x:v>7512</x:v>
      </x:c>
      <x:c r="B625" s="4" t="str">
        <x:v>https://blog.skyairline.com/puerto-maldonado/</x:v>
      </x:c>
      <x:c r="C625" s="9" t="str">
        <x:v>Puerto Maldonado, la puerta de acceso a la Amazonia Peruana, un destino de SKY</x:v>
      </x:c>
      <x:c r="D625" s="17" t="d">
        <x:v>2025-11-08T00:00:00.000Z</x:v>
      </x:c>
      <x:c r="E625" s="17" t="d">
        <x:v>2025-11-07T00:00:00.000Z</x:v>
      </x:c>
      <x:c r="F625" s="4" t="str">
        <x:v>Destinos</x:v>
      </x:c>
      <x:c r="G625" s="11" t="n">
        <x:v>901</x:v>
      </x:c>
      <x:c r="H625" s="11" t="n">
        <x:v>200</x:v>
      </x:c>
      <x:c r="I625" s="11" t="n">
        <x:v>1</x:v>
      </x:c>
      <x:c r="J625" s="4" t="str">
        <x:v>https://blog.skyairline.com/puerto-maldonado/</x:v>
      </x:c>
      <x:c r="K625" s="16" t="b">
        <x:v>0</x:v>
      </x:c>
      <x:c r="L625" s="11" t="n">
        <x:v>0</x:v>
      </x:c>
      <x:c r="M625" s="11" t="n">
        <x:v>3</x:v>
      </x:c>
      <x:c r="N625" s="4"/>
      <x:c r="O625" s="4"/>
      <x:c r="P625" s="11" t="n">
        <x:v>1</x:v>
      </x:c>
      <x:c r="Q625" s="11" t="n">
        <x:v>2</x:v>
      </x:c>
      <x:c r="R625" s="11" t="n">
        <x:f>IF(OR(P625="",Q625=""),"",Q625-P625)</x:f>
        <x:v>1</x:v>
      </x:c>
      <x:c r="S625" s="13" t="n">
        <x:f>IF(OR(P625="",Q625="",P625=0),"",((Q625/30)/(P625/31))-1)</x:f>
        <x:v>1.0666666666666669</x:v>
      </x:c>
      <x:c r="T625" s="11" t="n">
        <x:v>210</x:v>
      </x:c>
      <x:c r="U625" s="11" t="n">
        <x:v>138</x:v>
      </x:c>
      <x:c r="V625" s="14" t="n">
        <x:v>0.014492753623188406</x:v>
      </x:c>
      <x:c r="W625" s="12" t="n">
        <x:v>8.485507246376812</x:v>
      </x:c>
      <x:c r="X625" s="11" t="n">
        <x:v>3</x:v>
      </x:c>
      <x:c r="Y625" s="11" t="n">
        <x:v>4</x:v>
      </x:c>
      <x:c r="Z625" s="4" t="str">
        <x:v>https://blog.skyairline.com/puerto-maldonado/</x:v>
      </x:c>
      <x:c r="AA625" s="4" t="str">
        <x:v>https://blog.skyairline.com/puerto-maldonado/</x:v>
      </x:c>
      <x:c r="AB625" s="4" t="str">
        <x:v>Coincidencia URL</x:v>
      </x:c>
      <x:c r="AC625" s="4" t="str">
        <x:v>Publicado hasta septiembre</x:v>
      </x:c>
      <x:c r="AD625" s="4" t="str">
        <x:v>/puerto-maldonado/</x:v>
      </x:c>
      <x:c r="AE625" s="4"/>
      <x:c r="AF625" s="16" t="b">
        <x:v>0</x:v>
      </x:c>
    </x:row>
    <x:row r="626" ht="44" customHeight="1">
      <x:c r="A626" s="4" t="n">
        <x:v>7585</x:v>
      </x:c>
      <x:c r="B626" s="4" t="str">
        <x:v>https://blog.skyairline.com/valle-nevado/</x:v>
      </x:c>
      <x:c r="C626" s="9" t="str">
        <x:v>Valle Nevado, Chile: destino ideal para amantes del esquí y la nieve</x:v>
      </x:c>
      <x:c r="D626" s="17" t="d">
        <x:v>2025-11-17T00:00:00.000Z</x:v>
      </x:c>
      <x:c r="E626" s="17" t="d">
        <x:v>2025-11-11T00:00:00.000Z</x:v>
      </x:c>
      <x:c r="F626" s="4" t="str">
        <x:v>Destinos</x:v>
      </x:c>
      <x:c r="G626" s="11" t="n">
        <x:v>1088</x:v>
      </x:c>
      <x:c r="H626" s="11" t="n">
        <x:v>200</x:v>
      </x:c>
      <x:c r="I626" s="11" t="n">
        <x:v>1</x:v>
      </x:c>
      <x:c r="J626" s="4" t="str">
        <x:v>https://blog.skyairline.com/valle-nevado/</x:v>
      </x:c>
      <x:c r="K626" s="16" t="b">
        <x:v>0</x:v>
      </x:c>
      <x:c r="L626" s="11" t="n">
        <x:v>0</x:v>
      </x:c>
      <x:c r="M626" s="11" t="n">
        <x:v>4</x:v>
      </x:c>
      <x:c r="N626" s="4"/>
      <x:c r="O626" s="4"/>
      <x:c r="P626" s="11" t="n">
        <x:v>1</x:v>
      </x:c>
      <x:c r="Q626" s="11" t="n">
        <x:v>2</x:v>
      </x:c>
      <x:c r="R626" s="11" t="n">
        <x:f>IF(OR(P626="",Q626=""),"",Q626-P626)</x:f>
        <x:v>1</x:v>
      </x:c>
      <x:c r="S626" s="13" t="n">
        <x:f>IF(OR(P626="",Q626="",P626=0),"",((Q626/30)/(P626/31))-1)</x:f>
        <x:v>1.0666666666666669</x:v>
      </x:c>
      <x:c r="T626" s="11" t="n">
        <x:v>314</x:v>
      </x:c>
      <x:c r="U626" s="11" t="n">
        <x:v>280</x:v>
      </x:c>
      <x:c r="V626" s="14" t="n">
        <x:v>0.007142857142857143</x:v>
      </x:c>
      <x:c r="W626" s="12" t="n">
        <x:v>10.725</x:v>
      </x:c>
      <x:c r="X626" s="11" t="n">
        <x:v>2</x:v>
      </x:c>
      <x:c r="Y626" s="11" t="n">
        <x:v>2</x:v>
      </x:c>
      <x:c r="Z626" s="4" t="str">
        <x:v>https://blog.skyairline.com/valle-nevado/</x:v>
      </x:c>
      <x:c r="AA626" s="4" t="str">
        <x:v>https://blog.skyairline.com/valle-nevado/</x:v>
      </x:c>
      <x:c r="AB626" s="4" t="str">
        <x:v>Coincidencia URL</x:v>
      </x:c>
      <x:c r="AC626" s="4" t="str">
        <x:v>Publicado hasta septiembre</x:v>
      </x:c>
      <x:c r="AD626" s="4" t="str">
        <x:v>/valle-nevado/</x:v>
      </x:c>
      <x:c r="AE626" s="4"/>
      <x:c r="AF626" s="16" t="b">
        <x:v>0</x:v>
      </x:c>
    </x:row>
    <x:row r="627" ht="44" customHeight="1">
      <x:c r="A627" s="4" t="n">
        <x:v>7678</x:v>
      </x:c>
      <x:c r="B627" s="4" t="str">
        <x:v>https://blog.skyairline.com/la-ia-al-servicio-de-la-sostenibilidad/</x:v>
      </x:c>
      <x:c r="C627" s="9" t="str">
        <x:v>La IA al servicio de la sostenibilidad</x:v>
      </x:c>
      <x:c r="D627" s="17" t="d">
        <x:v>2025-11-12T00:00:00.000Z</x:v>
      </x:c>
      <x:c r="E627" s="17" t="d">
        <x:v>2025-11-12T00:00:00.000Z</x:v>
      </x:c>
      <x:c r="F627" s="4" t="str">
        <x:v>Noticias</x:v>
      </x:c>
      <x:c r="G627" s="11" t="n">
        <x:v>200</x:v>
      </x:c>
      <x:c r="H627" s="11" t="n">
        <x:v>200</x:v>
      </x:c>
      <x:c r="I627" s="11" t="n">
        <x:v>1</x:v>
      </x:c>
      <x:c r="J627" s="4" t="str">
        <x:v>https://blog.skyairline.com/la-ia-al-servicio-de-la-sostenibilidad/</x:v>
      </x:c>
      <x:c r="K627" s="16" t="b">
        <x:v>0</x:v>
      </x:c>
      <x:c r="L627" s="11" t="n">
        <x:v>0</x:v>
      </x:c>
      <x:c r="M627" s="11" t="n">
        <x:v>0</x:v>
      </x:c>
      <x:c r="N627" s="4"/>
      <x:c r="O627" s="4"/>
      <x:c r="P627" s="11" t="n">
        <x:v>1</x:v>
      </x:c>
      <x:c r="Q627" s="11" t="n">
        <x:v>2</x:v>
      </x:c>
      <x:c r="R627" s="11" t="n">
        <x:f>IF(OR(P627="",Q627=""),"",Q627-P627)</x:f>
        <x:v>1</x:v>
      </x:c>
      <x:c r="S627" s="13" t="n">
        <x:f>IF(OR(P627="",Q627="",P627=0),"",((Q627/30)/(P627/31))-1)</x:f>
        <x:v>1.0666666666666669</x:v>
      </x:c>
      <x:c r="T627" s="11" t="n">
        <x:v>108</x:v>
      </x:c>
      <x:c r="U627" s="11" t="n">
        <x:v>115</x:v>
      </x:c>
      <x:c r="V627" s="14" t="n">
        <x:v>0.017391304347826087</x:v>
      </x:c>
      <x:c r="W627" s="12" t="n">
        <x:v>6.782608695652174</x:v>
      </x:c>
      <x:c r="X627" s="11" t="n">
        <x:v>2</x:v>
      </x:c>
      <x:c r="Y627" s="11" t="n">
        <x:v>2</x:v>
      </x:c>
      <x:c r="Z627" s="4" t="str">
        <x:v>https://blog.skyairline.com/la-ia-al-servicio-de-la-sostenibilidad/</x:v>
      </x:c>
      <x:c r="AA627" s="4" t="str">
        <x:v>https://blog.skyairline.com/la-ia-al-servicio-de-la-sostenibilidad/</x:v>
      </x:c>
      <x:c r="AB627" s="4" t="str">
        <x:v>Coincidencia URL</x:v>
      </x:c>
      <x:c r="AC627" s="4" t="str">
        <x:v>Publicado hasta septiembre</x:v>
      </x:c>
      <x:c r="AD627" s="4" t="str">
        <x:v>/la-ia-al-servicio-de-la-sostenibilidad/</x:v>
      </x:c>
      <x:c r="AE627" s="4"/>
      <x:c r="AF627" s="16" t="b">
        <x:v>0</x:v>
      </x:c>
    </x:row>
    <x:row r="628" ht="44" customHeight="1">
      <x:c r="A628" s="4" t="n">
        <x:v>7691</x:v>
      </x:c>
      <x:c r="B628" s="4" t="str">
        <x:v>https://blog.skyairline.com/sky-airline-5/</x:v>
      </x:c>
      <x:c r="C628" s="9" t="str">
        <x:v>SKY Airline, aerolínea low cost que conecta Sudamérica</x:v>
      </x:c>
      <x:c r="D628" s="17" t="d">
        <x:v>2025-11-22T00:00:00.000Z</x:v>
      </x:c>
      <x:c r="E628" s="17" t="d">
        <x:v>2025-11-17T00:00:00.000Z</x:v>
      </x:c>
      <x:c r="F628" s="4" t="str">
        <x:v>Compromiso SKY</x:v>
      </x:c>
      <x:c r="G628" s="11" t="n">
        <x:v>960</x:v>
      </x:c>
      <x:c r="H628" s="11" t="n">
        <x:v>200</x:v>
      </x:c>
      <x:c r="I628" s="11" t="n">
        <x:v>1</x:v>
      </x:c>
      <x:c r="J628" s="4" t="str">
        <x:v>https://blog.skyairline.com/sky-airline-5/</x:v>
      </x:c>
      <x:c r="K628" s="16" t="b">
        <x:v>0</x:v>
      </x:c>
      <x:c r="L628" s="11" t="n">
        <x:v>0</x:v>
      </x:c>
      <x:c r="M628" s="11" t="n">
        <x:v>4</x:v>
      </x:c>
      <x:c r="N628" s="4"/>
      <x:c r="O628" s="4"/>
      <x:c r="P628" s="11" t="n">
        <x:v>9</x:v>
      </x:c>
      <x:c r="Q628" s="11" t="n">
        <x:v>2</x:v>
      </x:c>
      <x:c r="R628" s="11" t="n">
        <x:f>IF(OR(P628="",Q628=""),"",Q628-P628)</x:f>
        <x:v>-7</x:v>
      </x:c>
      <x:c r="S628" s="13" t="n">
        <x:f>IF(OR(P628="",Q628="",P628=0),"",((Q628/30)/(P628/31))-1)</x:f>
        <x:v>-0.7703703703703704</x:v>
      </x:c>
      <x:c r="T628" s="11" t="n">
        <x:v>1707</x:v>
      </x:c>
      <x:c r="U628" s="11" t="n">
        <x:v>956</x:v>
      </x:c>
      <x:c r="V628" s="14" t="n">
        <x:v>0.0020920502092050207</x:v>
      </x:c>
      <x:c r="W628" s="12" t="n">
        <x:v>7.428870292887029</x:v>
      </x:c>
      <x:c r="X628" s="11" t="n">
        <x:v>8</x:v>
      </x:c>
      <x:c r="Y628" s="11" t="n">
        <x:v>8</x:v>
      </x:c>
      <x:c r="Z628" s="4" t="str">
        <x:v>https://blog.skyairline.com/sky-airline-5/</x:v>
      </x:c>
      <x:c r="AA628" s="4" t="str">
        <x:v>https://blog.skyairline.com/sky-airline-5/</x:v>
      </x:c>
      <x:c r="AB628" s="4" t="str">
        <x:v>Coincidencia URL</x:v>
      </x:c>
      <x:c r="AC628" s="4" t="str">
        <x:v>Publicado hasta septiembre</x:v>
      </x:c>
      <x:c r="AD628" s="4" t="str">
        <x:v>/sky-airline-5/</x:v>
      </x:c>
      <x:c r="AE628" s="4"/>
      <x:c r="AF628" s="16" t="b">
        <x:v>0</x:v>
      </x:c>
    </x:row>
    <x:row r="629" ht="44" customHeight="1">
      <x:c r="A629" s="4" t="n">
        <x:v>7703</x:v>
      </x:c>
      <x:c r="B629" s="4" t="str">
        <x:v>https://blog.skyairline.com/pasajes-a-mexico-2/</x:v>
      </x:c>
      <x:c r="C629" s="9" t="str">
        <x:v>Pasajes a México con SKY: el caribe te espera</x:v>
      </x:c>
      <x:c r="D629" s="17" t="d">
        <x:v>2025-11-26T00:00:00.000Z</x:v>
      </x:c>
      <x:c r="E629" s="17" t="d">
        <x:v>2025-11-17T00:00:00.000Z</x:v>
      </x:c>
      <x:c r="F629" s="4" t="str">
        <x:v>Uncategorized</x:v>
      </x:c>
      <x:c r="G629" s="11" t="n">
        <x:v>1461</x:v>
      </x:c>
      <x:c r="H629" s="11" t="n">
        <x:v>200</x:v>
      </x:c>
      <x:c r="I629" s="11" t="n">
        <x:v>1</x:v>
      </x:c>
      <x:c r="J629" s="4" t="str">
        <x:v>https://blog.skyairline.com/pasajes-a-mexico-2/</x:v>
      </x:c>
      <x:c r="K629" s="16" t="b">
        <x:v>0</x:v>
      </x:c>
      <x:c r="L629" s="11" t="n">
        <x:v>0</x:v>
      </x:c>
      <x:c r="M629" s="11" t="n">
        <x:v>6</x:v>
      </x:c>
      <x:c r="N629" s="4"/>
      <x:c r="O629" s="4"/>
      <x:c r="P629" s="11" t="n">
        <x:v>2</x:v>
      </x:c>
      <x:c r="Q629" s="11" t="n">
        <x:v>2</x:v>
      </x:c>
      <x:c r="R629" s="11" t="n">
        <x:f>IF(OR(P629="",Q629=""),"",Q629-P629)</x:f>
        <x:v>0</x:v>
      </x:c>
      <x:c r="S629" s="13" t="n">
        <x:f>IF(OR(P629="",Q629="",P629=0),"",((Q629/30)/(P629/31))-1)</x:f>
        <x:v>0.03333333333333344</x:v>
      </x:c>
      <x:c r="T629" s="11" t="n">
        <x:v>172</x:v>
      </x:c>
      <x:c r="U629" s="11" t="n">
        <x:v>287</x:v>
      </x:c>
      <x:c r="V629" s="14" t="n">
        <x:v>0.006968641114982578</x:v>
      </x:c>
      <x:c r="W629" s="12" t="n">
        <x:v>9.10801393728223</x:v>
      </x:c>
      <x:c r="X629" s="11" t="n">
        <x:v>2</x:v>
      </x:c>
      <x:c r="Y629" s="11" t="n">
        <x:v>3</x:v>
      </x:c>
      <x:c r="Z629" s="4" t="str">
        <x:v>https://blog.skyairline.com/pasajes-a-mexico-2/</x:v>
      </x:c>
      <x:c r="AA629" s="4" t="str">
        <x:v>https://blog.skyairline.com/pasajes-a-mexico-2/</x:v>
      </x:c>
      <x:c r="AB629" s="4" t="str">
        <x:v>Coincidencia URL</x:v>
      </x:c>
      <x:c r="AC629" s="4" t="str">
        <x:v>Publicado hasta septiembre</x:v>
      </x:c>
      <x:c r="AD629" s="4" t="str">
        <x:v>/pasajes-a-mexico-2/</x:v>
      </x:c>
      <x:c r="AE629" s="4"/>
      <x:c r="AF629" s="16" t="b">
        <x:v>0</x:v>
      </x:c>
    </x:row>
    <x:row r="630" ht="44" customHeight="1">
      <x:c r="A630" s="4" t="n">
        <x:v>8023</x:v>
      </x:c>
      <x:c r="B630" s="4" t="str">
        <x:v>https://blog.skyairline.com/concepcion-2/</x:v>
      </x:c>
      <x:c r="C630" s="9" t="str">
        <x:v>Vive Concepción y sus alrededores: una guía para descubrir el corazón del Biobío</x:v>
      </x:c>
      <x:c r="D630" s="17" t="d">
        <x:v>2025-12-24T00:00:00.000Z</x:v>
      </x:c>
      <x:c r="E630" s="17" t="d">
        <x:v>2025-12-23T00:00:00.000Z</x:v>
      </x:c>
      <x:c r="F630" s="4" t="str">
        <x:v>Destinos</x:v>
      </x:c>
      <x:c r="G630" s="11" t="n">
        <x:v>1062</x:v>
      </x:c>
      <x:c r="H630" s="11" t="n">
        <x:v>200</x:v>
      </x:c>
      <x:c r="I630" s="11" t="n">
        <x:v>1</x:v>
      </x:c>
      <x:c r="J630" s="4" t="str">
        <x:v>https://blog.skyairline.com/concepcion-2/</x:v>
      </x:c>
      <x:c r="K630" s="16" t="b">
        <x:v>0</x:v>
      </x:c>
      <x:c r="L630" s="11" t="n">
        <x:v>0</x:v>
      </x:c>
      <x:c r="M630" s="11" t="n">
        <x:v>0</x:v>
      </x:c>
      <x:c r="N630" s="4"/>
      <x:c r="O630" s="4"/>
      <x:c r="P630" s="11" t="n">
        <x:v>2</x:v>
      </x:c>
      <x:c r="Q630" s="11" t="n">
        <x:v>2</x:v>
      </x:c>
      <x:c r="R630" s="11" t="n">
        <x:f>IF(OR(P630="",Q630=""),"",Q630-P630)</x:f>
        <x:v>0</x:v>
      </x:c>
      <x:c r="S630" s="13" t="n">
        <x:f>IF(OR(P630="",Q630="",P630=0),"",((Q630/30)/(P630/31))-1)</x:f>
        <x:v>0.03333333333333344</x:v>
      </x:c>
      <x:c r="T630" s="11" t="n">
        <x:v>855</x:v>
      </x:c>
      <x:c r="U630" s="11" t="n">
        <x:v>609</x:v>
      </x:c>
      <x:c r="V630" s="14" t="n">
        <x:v>0.003284072249589491</x:v>
      </x:c>
      <x:c r="W630" s="12" t="n">
        <x:v>8.385878489326764</x:v>
      </x:c>
      <x:c r="X630" s="11" t="n">
        <x:v>2</x:v>
      </x:c>
      <x:c r="Y630" s="11" t="n">
        <x:v>2</x:v>
      </x:c>
      <x:c r="Z630" s="4" t="str">
        <x:v>https://blog.skyairline.com/concepcion-2/</x:v>
      </x:c>
      <x:c r="AA630" s="4" t="str">
        <x:v>https://blog.skyairline.com/concepcion-2/</x:v>
      </x:c>
      <x:c r="AB630" s="4" t="str">
        <x:v>Coincidencia URL</x:v>
      </x:c>
      <x:c r="AC630" s="4" t="str">
        <x:v>Publicado hasta septiembre</x:v>
      </x:c>
      <x:c r="AD630" s="4" t="str">
        <x:v>/concepcion-2/</x:v>
      </x:c>
      <x:c r="AE630" s="4"/>
      <x:c r="AF630" s="16" t="b">
        <x:v>0</x:v>
      </x:c>
    </x:row>
    <x:row r="631" ht="44" customHeight="1">
      <x:c r="A631" s="4" t="n">
        <x:v>8057</x:v>
      </x:c>
      <x:c r="B631" s="4" t="str">
        <x:v>https://blog.skyairline.com/region-de-la-araucania-2/</x:v>
      </x:c>
      <x:c r="C631" s="9" t="str">
        <x:v>Región de La Araucanía: 5 parques nacionales que tienes que visitar al menos una vez</x:v>
      </x:c>
      <x:c r="D631" s="17" t="d">
        <x:v>2025-12-30T00:00:00.000Z</x:v>
      </x:c>
      <x:c r="E631" s="17" t="d">
        <x:v>2025-12-23T00:00:00.000Z</x:v>
      </x:c>
      <x:c r="F631" s="4" t="str">
        <x:v>Planificación de Viaje</x:v>
      </x:c>
      <x:c r="G631" s="11" t="n">
        <x:v>1002</x:v>
      </x:c>
      <x:c r="H631" s="11" t="n">
        <x:v>200</x:v>
      </x:c>
      <x:c r="I631" s="11" t="n">
        <x:v>1</x:v>
      </x:c>
      <x:c r="J631" s="4" t="str">
        <x:v>https://blog.skyairline.com/region-de-la-araucania-2/</x:v>
      </x:c>
      <x:c r="K631" s="16" t="b">
        <x:v>0</x:v>
      </x:c>
      <x:c r="L631" s="11" t="n">
        <x:v>0</x:v>
      </x:c>
      <x:c r="M631" s="11" t="n">
        <x:v>0</x:v>
      </x:c>
      <x:c r="N631" s="4"/>
      <x:c r="O631" s="4"/>
      <x:c r="P631" s="11" t="n">
        <x:v>1</x:v>
      </x:c>
      <x:c r="Q631" s="11" t="n">
        <x:v>2</x:v>
      </x:c>
      <x:c r="R631" s="11" t="n">
        <x:f>IF(OR(P631="",Q631=""),"",Q631-P631)</x:f>
        <x:v>1</x:v>
      </x:c>
      <x:c r="S631" s="13" t="n">
        <x:f>IF(OR(P631="",Q631="",P631=0),"",((Q631/30)/(P631/31))-1)</x:f>
        <x:v>1.0666666666666669</x:v>
      </x:c>
      <x:c r="T631" s="11" t="n">
        <x:v>350</x:v>
      </x:c>
      <x:c r="U631" s="11" t="n">
        <x:v>364</x:v>
      </x:c>
      <x:c r="V631" s="14" t="n">
        <x:v>0.005494505494505495</x:v>
      </x:c>
      <x:c r="W631" s="12" t="n">
        <x:v>9.090659340659341</x:v>
      </x:c>
      <x:c r="X631" s="11" t="n">
        <x:v>3</x:v>
      </x:c>
      <x:c r="Y631" s="11" t="n">
        <x:v>3</x:v>
      </x:c>
      <x:c r="Z631" s="4" t="str">
        <x:v>https://blog.skyairline.com/region-de-la-araucania-2/</x:v>
      </x:c>
      <x:c r="AA631" s="4" t="str">
        <x:v>https://blog.skyairline.com/region-de-la-araucania-2/</x:v>
      </x:c>
      <x:c r="AB631" s="4" t="str">
        <x:v>Coincidencia URL</x:v>
      </x:c>
      <x:c r="AC631" s="4" t="str">
        <x:v>Publicado hasta septiembre</x:v>
      </x:c>
      <x:c r="AD631" s="4" t="str">
        <x:v>/region-de-la-araucania-2/</x:v>
      </x:c>
      <x:c r="AE631" s="4"/>
      <x:c r="AF631" s="16" t="b">
        <x:v>0</x:v>
      </x:c>
    </x:row>
    <x:row r="632" ht="44" customHeight="1">
      <x:c r="A632" s="4" t="n">
        <x:v>8453</x:v>
      </x:c>
      <x:c r="B632" s="4" t="str">
        <x:v>https://blog.skyairline.com/farellones-que-hacer/</x:v>
      </x:c>
      <x:c r="C632" s="9" t="str">
        <x:v>Farellones: conoce todo sobre este centro de esquí cercano a Santiago</x:v>
      </x:c>
      <x:c r="D632" s="17" t="d">
        <x:v>2026-03-10T00:00:00.000Z</x:v>
      </x:c>
      <x:c r="E632" s="17" t="d">
        <x:v>2026-03-10T00:00:00.000Z</x:v>
      </x:c>
      <x:c r="F632" s="4" t="str">
        <x:v>Planificación de Viaje</x:v>
      </x:c>
      <x:c r="G632" s="11" t="n">
        <x:v>1022</x:v>
      </x:c>
      <x:c r="H632" s="11" t="n">
        <x:v>200</x:v>
      </x:c>
      <x:c r="I632" s="11" t="n">
        <x:v>1</x:v>
      </x:c>
      <x:c r="J632" s="4" t="str">
        <x:v>https://blog.skyairline.com/farellones-que-hacer/</x:v>
      </x:c>
      <x:c r="K632" s="16" t="b">
        <x:v>0</x:v>
      </x:c>
      <x:c r="L632" s="11" t="n">
        <x:v>0</x:v>
      </x:c>
      <x:c r="M632" s="11" t="n">
        <x:v>0</x:v>
      </x:c>
      <x:c r="N632" s="4"/>
      <x:c r="O632" s="4"/>
      <x:c r="P632" s="11" t="n">
        <x:v>9</x:v>
      </x:c>
      <x:c r="Q632" s="11" t="n">
        <x:v>2</x:v>
      </x:c>
      <x:c r="R632" s="11" t="n">
        <x:f>IF(OR(P632="",Q632=""),"",Q632-P632)</x:f>
        <x:v>-7</x:v>
      </x:c>
      <x:c r="S632" s="13" t="n">
        <x:f>IF(OR(P632="",Q632="",P632=0),"",((Q632/30)/(P632/31))-1)</x:f>
        <x:v>-0.7703703703703704</x:v>
      </x:c>
      <x:c r="T632" s="11" t="n">
        <x:v>3908</x:v>
      </x:c>
      <x:c r="U632" s="11" t="n">
        <x:v>2360</x:v>
      </x:c>
      <x:c r="V632" s="14" t="n">
        <x:v>0.000847457627118644</x:v>
      </x:c>
      <x:c r="W632" s="12" t="n">
        <x:v>9.046186440677966</x:v>
      </x:c>
      <x:c r="X632" s="11" t="n">
        <x:v>6</x:v>
      </x:c>
      <x:c r="Y632" s="11" t="n">
        <x:v>7</x:v>
      </x:c>
      <x:c r="Z632" s="4" t="str">
        <x:v>https://blog.skyairline.com/farellones-que-hacer/</x:v>
      </x:c>
      <x:c r="AA632" s="4" t="str">
        <x:v>https://blog.skyairline.com/farellones-que-hacer/</x:v>
      </x:c>
      <x:c r="AB632" s="4" t="str">
        <x:v>Coincidencia URL</x:v>
      </x:c>
      <x:c r="AC632" s="4" t="str">
        <x:v>Publicado hasta septiembre</x:v>
      </x:c>
      <x:c r="AD632" s="4" t="str">
        <x:v>/farellones-que-hacer/</x:v>
      </x:c>
      <x:c r="AE632" s="4"/>
      <x:c r="AF632" s="16" t="b">
        <x:v>0</x:v>
      </x:c>
    </x:row>
    <x:row r="633" ht="44" customHeight="1">
      <x:c r="A633" s="4" t="n">
        <x:v>8460</x:v>
      </x:c>
      <x:c r="B633" s="4" t="str">
        <x:v>https://blog.skyairline.com/fiesta-de-la-tirana/</x:v>
      </x:c>
      <x:c r="C633" s="9" t="str">
        <x:v>Fiesta de La Tirana: qué es, cuándo se celebra y cómo vivirla</x:v>
      </x:c>
      <x:c r="D633" s="17" t="d">
        <x:v>2026-03-09T00:00:00.000Z</x:v>
      </x:c>
      <x:c r="E633" s="17" t="d">
        <x:v>2026-03-10T00:00:00.000Z</x:v>
      </x:c>
      <x:c r="F633" s="4" t="str">
        <x:v>Cultura</x:v>
      </x:c>
      <x:c r="G633" s="11" t="n">
        <x:v>992</x:v>
      </x:c>
      <x:c r="H633" s="11" t="n">
        <x:v>200</x:v>
      </x:c>
      <x:c r="I633" s="11" t="n">
        <x:v>2</x:v>
      </x:c>
      <x:c r="J633" s="4" t="str">
        <x:v>https://blog.skyairline.com/fiesta-de-la-tirana/</x:v>
      </x:c>
      <x:c r="K633" s="16" t="b">
        <x:v>0</x:v>
      </x:c>
      <x:c r="L633" s="11" t="n">
        <x:v>0</x:v>
      </x:c>
      <x:c r="M633" s="11" t="n">
        <x:v>0</x:v>
      </x:c>
      <x:c r="N633" s="4"/>
      <x:c r="O633" s="4"/>
      <x:c r="P633" s="11" t="n">
        <x:v>2</x:v>
      </x:c>
      <x:c r="Q633" s="11" t="n">
        <x:v>2</x:v>
      </x:c>
      <x:c r="R633" s="11" t="n">
        <x:f>IF(OR(P633="",Q633=""),"",Q633-P633)</x:f>
        <x:v>0</x:v>
      </x:c>
      <x:c r="S633" s="13" t="n">
        <x:f>IF(OR(P633="",Q633="",P633=0),"",((Q633/30)/(P633/31))-1)</x:f>
        <x:v>0.03333333333333344</x:v>
      </x:c>
      <x:c r="T633" s="11" t="n">
        <x:v>420</x:v>
      </x:c>
      <x:c r="U633" s="11" t="n">
        <x:v>382</x:v>
      </x:c>
      <x:c r="V633" s="14" t="n">
        <x:v>0.005235602094240838</x:v>
      </x:c>
      <x:c r="W633" s="12" t="n">
        <x:v>13.277486910994764</x:v>
      </x:c>
      <x:c r="X633" s="11" t="n">
        <x:v>3</x:v>
      </x:c>
      <x:c r="Y633" s="11" t="n">
        <x:v>6</x:v>
      </x:c>
      <x:c r="Z633" s="4" t="str">
        <x:v>https://blog.skyairline.com/fiesta-de-la-tirana/</x:v>
      </x:c>
      <x:c r="AA633" s="4" t="str">
        <x:v>https://blog.skyairline.com/fiesta-de-la-tirana/
https://blog.skyairline.com/fiesta-de-la-tirana</x:v>
      </x:c>
      <x:c r="AB633" s="4" t="str">
        <x:v>Alias slash agregado</x:v>
      </x:c>
      <x:c r="AC633" s="4" t="str">
        <x:v>Publicado hasta septiembre</x:v>
      </x:c>
      <x:c r="AD633" s="4" t="str">
        <x:v>/fiesta-de-la-tirana/</x:v>
      </x:c>
      <x:c r="AE633" s="4"/>
      <x:c r="AF633" s="16" t="b">
        <x:v>0</x:v>
      </x:c>
    </x:row>
    <x:row r="634" ht="44" customHeight="1">
      <x:c r="A634" s="4" t="n">
        <x:v>8504</x:v>
      </x:c>
      <x:c r="B634" s="4" t="str">
        <x:v>https://blog.skyairline.com/quemchi/</x:v>
      </x:c>
      <x:c r="C634" s="9" t="str">
        <x:v>Quemchi: qué hacer en este rincón auténtico de Chiloé</x:v>
      </x:c>
      <x:c r="D634" s="17" t="d">
        <x:v>2026-03-13T00:00:00.000Z</x:v>
      </x:c>
      <x:c r="E634" s="17" t="d">
        <x:v>2026-03-10T00:00:00.000Z</x:v>
      </x:c>
      <x:c r="F634" s="4" t="str">
        <x:v>Uncategorized</x:v>
      </x:c>
      <x:c r="G634" s="11" t="n">
        <x:v>1004</x:v>
      </x:c>
      <x:c r="H634" s="11" t="n">
        <x:v>200</x:v>
      </x:c>
      <x:c r="I634" s="11" t="n">
        <x:v>1</x:v>
      </x:c>
      <x:c r="J634" s="4" t="str">
        <x:v>https://blog.skyairline.com/quemchi/</x:v>
      </x:c>
      <x:c r="K634" s="16" t="b">
        <x:v>0</x:v>
      </x:c>
      <x:c r="L634" s="11" t="n">
        <x:v>0</x:v>
      </x:c>
      <x:c r="M634" s="11" t="n">
        <x:v>0</x:v>
      </x:c>
      <x:c r="N634" s="4"/>
      <x:c r="O634" s="4"/>
      <x:c r="P634" s="11" t="n">
        <x:v>3</x:v>
      </x:c>
      <x:c r="Q634" s="11" t="n">
        <x:v>2</x:v>
      </x:c>
      <x:c r="R634" s="11" t="n">
        <x:f>IF(OR(P634="",Q634=""),"",Q634-P634)</x:f>
        <x:v>-1</x:v>
      </x:c>
      <x:c r="S634" s="13" t="n">
        <x:f>IF(OR(P634="",Q634="",P634=0),"",((Q634/30)/(P634/31))-1)</x:f>
        <x:v>-0.3111111111111111</x:v>
      </x:c>
      <x:c r="T634" s="11" t="n">
        <x:v>1722</x:v>
      </x:c>
      <x:c r="U634" s="11" t="n">
        <x:v>817</x:v>
      </x:c>
      <x:c r="V634" s="14" t="n">
        <x:v>0.0024479804161566705</x:v>
      </x:c>
      <x:c r="W634" s="12" t="n">
        <x:v>11.35985312117503</x:v>
      </x:c>
      <x:c r="X634" s="11" t="n">
        <x:v>3</x:v>
      </x:c>
      <x:c r="Y634" s="11" t="n">
        <x:v>3</x:v>
      </x:c>
      <x:c r="Z634" s="4" t="str">
        <x:v>https://blog.skyairline.com/quemchi/</x:v>
      </x:c>
      <x:c r="AA634" s="4" t="str">
        <x:v>https://blog.skyairline.com/quemchi/</x:v>
      </x:c>
      <x:c r="AB634" s="4" t="str">
        <x:v>Coincidencia URL</x:v>
      </x:c>
      <x:c r="AC634" s="4" t="str">
        <x:v>Publicado hasta septiembre</x:v>
      </x:c>
      <x:c r="AD634" s="4" t="str">
        <x:v>/quemchi/</x:v>
      </x:c>
      <x:c r="AE634" s="4"/>
      <x:c r="AF634" s="16" t="b">
        <x:v>0</x:v>
      </x:c>
    </x:row>
    <x:row r="635" ht="44" customHeight="1">
      <x:c r="A635" s="4" t="n">
        <x:v>8517</x:v>
      </x:c>
      <x:c r="B635" s="4" t="str">
        <x:v>https://blog.skyairline.com/playas-salvador-bahia-2/</x:v>
      </x:c>
      <x:c r="C635" s="9" t="str">
        <x:v>Playas de Salvador de Bahía: cuáles visitar y cómo elegir según tu estilo de viaje</x:v>
      </x:c>
      <x:c r="D635" s="17" t="d">
        <x:v>2026-03-14T00:00:00.000Z</x:v>
      </x:c>
      <x:c r="E635" s="17" t="d">
        <x:v>2026-03-16T00:00:00.000Z</x:v>
      </x:c>
      <x:c r="F635" s="4" t="str">
        <x:v>Destinos</x:v>
      </x:c>
      <x:c r="G635" s="11" t="n">
        <x:v>1042</x:v>
      </x:c>
      <x:c r="H635" s="11" t="n">
        <x:v>200</x:v>
      </x:c>
      <x:c r="I635" s="11" t="n">
        <x:v>1</x:v>
      </x:c>
      <x:c r="J635" s="4" t="str">
        <x:v>https://blog.skyairline.com/playas-salvador-bahia-2/</x:v>
      </x:c>
      <x:c r="K635" s="16" t="b">
        <x:v>0</x:v>
      </x:c>
      <x:c r="L635" s="11" t="n">
        <x:v>0</x:v>
      </x:c>
      <x:c r="M635" s="11" t="n">
        <x:v>0</x:v>
      </x:c>
      <x:c r="N635" s="4"/>
      <x:c r="O635" s="4"/>
      <x:c r="P635" s="11" t="n">
        <x:v>2</x:v>
      </x:c>
      <x:c r="Q635" s="11" t="n">
        <x:v>2</x:v>
      </x:c>
      <x:c r="R635" s="11" t="n">
        <x:f>IF(OR(P635="",Q635=""),"",Q635-P635)</x:f>
        <x:v>0</x:v>
      </x:c>
      <x:c r="S635" s="13" t="n">
        <x:f>IF(OR(P635="",Q635="",P635=0),"",((Q635/30)/(P635/31))-1)</x:f>
        <x:v>0.03333333333333344</x:v>
      </x:c>
      <x:c r="T635" s="11" t="n">
        <x:v>704</x:v>
      </x:c>
      <x:c r="U635" s="11" t="n">
        <x:v>631</x:v>
      </x:c>
      <x:c r="V635" s="14" t="n">
        <x:v>0.003169572107765452</x:v>
      </x:c>
      <x:c r="W635" s="12" t="n">
        <x:v>10.857369255150555</x:v>
      </x:c>
      <x:c r="X635" s="11" t="n">
        <x:v>4</x:v>
      </x:c>
      <x:c r="Y635" s="11" t="n">
        <x:v>3</x:v>
      </x:c>
      <x:c r="Z635" s="4" t="str">
        <x:v>https://blog.skyairline.com/playas-salvador-bahia-2/</x:v>
      </x:c>
      <x:c r="AA635" s="4" t="str">
        <x:v>https://blog.skyairline.com/playas-salvador-bahia-2/</x:v>
      </x:c>
      <x:c r="AB635" s="4" t="str">
        <x:v>Coincidencia URL</x:v>
      </x:c>
      <x:c r="AC635" s="4" t="str">
        <x:v>Publicado hasta septiembre</x:v>
      </x:c>
      <x:c r="AD635" s="4" t="str">
        <x:v>/playas-salvador-bahia-2/</x:v>
      </x:c>
      <x:c r="AE635" s="4"/>
      <x:c r="AF635" s="16" t="b">
        <x:v>0</x:v>
      </x:c>
    </x:row>
    <x:row r="636" ht="44" customHeight="1">
      <x:c r="A636" s="4" t="n">
        <x:v>8533</x:v>
      </x:c>
      <x:c r="B636" s="4" t="str">
        <x:v>https://blog.skyairline.com/aquario-rio-de-janeiro/</x:v>
      </x:c>
      <x:c r="C636" s="9" t="str">
        <x:v>AquaRio: guía para visitarlo, qué ver y consejos para planificar tu día</x:v>
      </x:c>
      <x:c r="D636" s="17" t="d">
        <x:v>2026-03-19T00:00:00.000Z</x:v>
      </x:c>
      <x:c r="E636" s="17" t="d">
        <x:v>2026-03-16T00:00:00.000Z</x:v>
      </x:c>
      <x:c r="F636" s="4" t="str">
        <x:v>Planificación de Viaje</x:v>
      </x:c>
      <x:c r="G636" s="11" t="n">
        <x:v>991</x:v>
      </x:c>
      <x:c r="H636" s="11" t="n">
        <x:v>200</x:v>
      </x:c>
      <x:c r="I636" s="11" t="n">
        <x:v>1</x:v>
      </x:c>
      <x:c r="J636" s="4" t="str">
        <x:v>https://blog.skyairline.com/aquario-rio-de-janeiro/</x:v>
      </x:c>
      <x:c r="K636" s="16" t="b">
        <x:v>0</x:v>
      </x:c>
      <x:c r="L636" s="11" t="n">
        <x:v>0</x:v>
      </x:c>
      <x:c r="M636" s="11" t="n">
        <x:v>0</x:v>
      </x:c>
      <x:c r="N636" s="4"/>
      <x:c r="O636" s="4"/>
      <x:c r="P636" s="11" t="n">
        <x:v>6</x:v>
      </x:c>
      <x:c r="Q636" s="11" t="n">
        <x:v>2</x:v>
      </x:c>
      <x:c r="R636" s="11" t="n">
        <x:f>IF(OR(P636="",Q636=""),"",Q636-P636)</x:f>
        <x:v>-4</x:v>
      </x:c>
      <x:c r="S636" s="13" t="n">
        <x:f>IF(OR(P636="",Q636="",P636=0),"",((Q636/30)/(P636/31))-1)</x:f>
        <x:v>-0.6555555555555556</x:v>
      </x:c>
      <x:c r="T636" s="11" t="n">
        <x:v>1591</x:v>
      </x:c>
      <x:c r="U636" s="11" t="n">
        <x:v>2748</x:v>
      </x:c>
      <x:c r="V636" s="14" t="n">
        <x:v>0.000727802037845706</x:v>
      </x:c>
      <x:c r="W636" s="12" t="n">
        <x:v>9.33406113537118</x:v>
      </x:c>
      <x:c r="X636" s="11" t="n">
        <x:v>2</x:v>
      </x:c>
      <x:c r="Y636" s="11" t="n">
        <x:v>3</x:v>
      </x:c>
      <x:c r="Z636" s="4" t="str">
        <x:v>https://blog.skyairline.com/aquario-rio-de-janeiro/</x:v>
      </x:c>
      <x:c r="AA636" s="4" t="str">
        <x:v>https://blog.skyairline.com/aquario-rio-de-janeiro/</x:v>
      </x:c>
      <x:c r="AB636" s="4" t="str">
        <x:v>Coincidencia URL</x:v>
      </x:c>
      <x:c r="AC636" s="4" t="str">
        <x:v>Publicado hasta septiembre</x:v>
      </x:c>
      <x:c r="AD636" s="4" t="str">
        <x:v>/aquario-rio-de-janeiro/</x:v>
      </x:c>
      <x:c r="AE636" s="4"/>
      <x:c r="AF636" s="16" t="b">
        <x:v>0</x:v>
      </x:c>
    </x:row>
    <x:row r="637" ht="44" customHeight="1">
      <x:c r="A637" s="4" t="n">
        <x:v>8539</x:v>
      </x:c>
      <x:c r="B637" s="4" t="str">
        <x:v>https://blog.skyairline.com/playas-de-lima-2/</x:v>
      </x:c>
      <x:c r="C637" s="9" t="str">
        <x:v>Playas de Lima: guía para disfrutar la Costa Verde</x:v>
      </x:c>
      <x:c r="D637" s="17" t="d">
        <x:v>2026-03-20T00:00:00.000Z</x:v>
      </x:c>
      <x:c r="E637" s="17" t="d">
        <x:v>2026-03-16T00:00:00.000Z</x:v>
      </x:c>
      <x:c r="F637" s="4" t="str">
        <x:v>Destinos</x:v>
      </x:c>
      <x:c r="G637" s="11" t="n">
        <x:v>1065</x:v>
      </x:c>
      <x:c r="H637" s="11" t="n">
        <x:v>200</x:v>
      </x:c>
      <x:c r="I637" s="11" t="n">
        <x:v>1</x:v>
      </x:c>
      <x:c r="J637" s="4" t="str">
        <x:v>https://blog.skyairline.com/playas-de-lima-2/</x:v>
      </x:c>
      <x:c r="K637" s="16" t="b">
        <x:v>0</x:v>
      </x:c>
      <x:c r="L637" s="11" t="n">
        <x:v>0</x:v>
      </x:c>
      <x:c r="M637" s="11" t="n">
        <x:v>0</x:v>
      </x:c>
      <x:c r="N637" s="4"/>
      <x:c r="O637" s="4"/>
      <x:c r="P637" s="11" t="n">
        <x:v>3</x:v>
      </x:c>
      <x:c r="Q637" s="11" t="n">
        <x:v>2</x:v>
      </x:c>
      <x:c r="R637" s="11" t="n">
        <x:f>IF(OR(P637="",Q637=""),"",Q637-P637)</x:f>
        <x:v>-1</x:v>
      </x:c>
      <x:c r="S637" s="13" t="n">
        <x:f>IF(OR(P637="",Q637="",P637=0),"",((Q637/30)/(P637/31))-1)</x:f>
        <x:v>-0.3111111111111111</x:v>
      </x:c>
      <x:c r="T637" s="11" t="n">
        <x:v>956</x:v>
      </x:c>
      <x:c r="U637" s="11" t="n">
        <x:v>1596</x:v>
      </x:c>
      <x:c r="V637" s="14" t="n">
        <x:v>0.0012531328320802004</x:v>
      </x:c>
      <x:c r="W637" s="12" t="n">
        <x:v>11.364035087719298</x:v>
      </x:c>
      <x:c r="X637" s="11" t="n">
        <x:v>5</x:v>
      </x:c>
      <x:c r="Y637" s="11" t="n">
        <x:v>5</x:v>
      </x:c>
      <x:c r="Z637" s="4" t="str">
        <x:v>https://blog.skyairline.com/playas-de-lima-2/</x:v>
      </x:c>
      <x:c r="AA637" s="4" t="str">
        <x:v>https://blog.skyairline.com/playas-de-lima-2/</x:v>
      </x:c>
      <x:c r="AB637" s="4" t="str">
        <x:v>Coincidencia URL</x:v>
      </x:c>
      <x:c r="AC637" s="4" t="str">
        <x:v>Publicado hasta septiembre</x:v>
      </x:c>
      <x:c r="AD637" s="4" t="str">
        <x:v>/playas-de-lima-2/</x:v>
      </x:c>
      <x:c r="AE637" s="4"/>
      <x:c r="AF637" s="16" t="b">
        <x:v>0</x:v>
      </x:c>
    </x:row>
    <x:row r="638" ht="44" customHeight="1">
      <x:c r="A638" s="4" t="n">
        <x:v>8590</x:v>
      </x:c>
      <x:c r="B638" s="4" t="str">
        <x:v>https://blog.skyairline.com/cabo-frio-2/</x:v>
      </x:c>
      <x:c r="C638" s="9" t="str">
        <x:v>Cabo Frio: mejores playas, qué hacer y cómo armar un itinerario costero</x:v>
      </x:c>
      <x:c r="D638" s="17" t="d">
        <x:v>2026-03-31T00:00:00.000Z</x:v>
      </x:c>
      <x:c r="E638" s="17" t="d">
        <x:v>2026-03-24T00:00:00.000Z</x:v>
      </x:c>
      <x:c r="F638" s="4" t="str">
        <x:v>Destinos</x:v>
      </x:c>
      <x:c r="G638" s="11" t="n">
        <x:v>1093</x:v>
      </x:c>
      <x:c r="H638" s="11" t="n">
        <x:v>200</x:v>
      </x:c>
      <x:c r="I638" s="11" t="n">
        <x:v>1</x:v>
      </x:c>
      <x:c r="J638" s="4" t="str">
        <x:v>https://blog.skyairline.com/cabo-frio-2/</x:v>
      </x:c>
      <x:c r="K638" s="16" t="b">
        <x:v>0</x:v>
      </x:c>
      <x:c r="L638" s="11" t="n">
        <x:v>0</x:v>
      </x:c>
      <x:c r="M638" s="11" t="n">
        <x:v>0</x:v>
      </x:c>
      <x:c r="N638" s="4"/>
      <x:c r="O638" s="4"/>
      <x:c r="P638" s="11" t="n">
        <x:v>0</x:v>
      </x:c>
      <x:c r="Q638" s="11" t="n">
        <x:v>2</x:v>
      </x:c>
      <x:c r="R638" s="11" t="str">
        <x:f>IF(OR(P638="",Q638=""),"",Q638-P638)</x:f>
      </x:c>
      <x:c r="S638" s="13" t="str">
        <x:f>IF(OR(P638="",Q638="",P638=0),"",((Q638/30)/(P638/31))-1)</x:f>
      </x:c>
      <x:c r="T638" s="11" t="n">
        <x:v>371</x:v>
      </x:c>
      <x:c r="U638" s="11" t="n">
        <x:v>258</x:v>
      </x:c>
      <x:c r="V638" s="14" t="n">
        <x:v>0.007751937984496124</x:v>
      </x:c>
      <x:c r="W638" s="12" t="n">
        <x:v>10.972868217054264</x:v>
      </x:c>
      <x:c r="X638" s="11" t="n">
        <x:v>5</x:v>
      </x:c>
      <x:c r="Y638" s="11" t="n">
        <x:v>6</x:v>
      </x:c>
      <x:c r="Z638" s="4" t="str">
        <x:v>https://blog.skyairline.com/cabo-frio-2/</x:v>
      </x:c>
      <x:c r="AA638" s="4" t="str">
        <x:v>https://blog.skyairline.com/cabo-frio-2/</x:v>
      </x:c>
      <x:c r="AB638" s="4" t="str">
        <x:v>Coincidencia URL</x:v>
      </x:c>
      <x:c r="AC638" s="4" t="str">
        <x:v>Publicado hasta septiembre</x:v>
      </x:c>
      <x:c r="AD638" s="4" t="str">
        <x:v>/cabo-frio-2/</x:v>
      </x:c>
      <x:c r="AE638" s="4"/>
      <x:c r="AF638" s="16" t="b">
        <x:v>0</x:v>
      </x:c>
    </x:row>
    <x:row r="639" ht="44" customHeight="1">
      <x:c r="A639" s="4" t="n">
        <x:v>8765</x:v>
      </x:c>
      <x:c r="B639" s="4" t="str">
        <x:v>https://blog.skyairline.com/que-hacer-en-lima/</x:v>
      </x:c>
      <x:c r="C639" s="9" t="str">
        <x:v>Itinerario 2026 sobre qué hacer en Lima en 3 días</x:v>
      </x:c>
      <x:c r="D639" s="17" t="d">
        <x:v>2026-05-24T00:00:00.000Z</x:v>
      </x:c>
      <x:c r="E639" s="17" t="d">
        <x:v>2026-05-20T00:00:00.000Z</x:v>
      </x:c>
      <x:c r="F639" s="4" t="str">
        <x:v>Planificación de Viaje</x:v>
      </x:c>
      <x:c r="G639" s="11" t="n">
        <x:v>1096</x:v>
      </x:c>
      <x:c r="H639" s="11" t="n">
        <x:v>200</x:v>
      </x:c>
      <x:c r="I639" s="11" t="n">
        <x:v>1</x:v>
      </x:c>
      <x:c r="J639" s="4" t="str">
        <x:v>https://blog.skyairline.com/que-hacer-en-lima/</x:v>
      </x:c>
      <x:c r="K639" s="16" t="b">
        <x:v>0</x:v>
      </x:c>
      <x:c r="L639" s="11" t="n">
        <x:v>0</x:v>
      </x:c>
      <x:c r="M639" s="11" t="n">
        <x:v>0</x:v>
      </x:c>
      <x:c r="N639" s="4"/>
      <x:c r="O639" s="4"/>
      <x:c r="P639" s="11" t="n">
        <x:v>2</x:v>
      </x:c>
      <x:c r="Q639" s="11" t="n">
        <x:v>2</x:v>
      </x:c>
      <x:c r="R639" s="11" t="n">
        <x:f>IF(OR(P639="",Q639=""),"",Q639-P639)</x:f>
        <x:v>0</x:v>
      </x:c>
      <x:c r="S639" s="13" t="n">
        <x:f>IF(OR(P639="",Q639="",P639=0),"",((Q639/30)/(P639/31))-1)</x:f>
        <x:v>0.03333333333333344</x:v>
      </x:c>
      <x:c r="T639" s="11" t="n">
        <x:v>838</x:v>
      </x:c>
      <x:c r="U639" s="11" t="n">
        <x:v>187</x:v>
      </x:c>
      <x:c r="V639" s="14" t="n">
        <x:v>0.0106951871657754</x:v>
      </x:c>
      <x:c r="W639" s="12" t="n">
        <x:v>9.283422459893048</x:v>
      </x:c>
      <x:c r="X639" s="11" t="n">
        <x:v>5</x:v>
      </x:c>
      <x:c r="Y639" s="11" t="n">
        <x:v>5</x:v>
      </x:c>
      <x:c r="Z639" s="4" t="str">
        <x:v>https://blog.skyairline.com/que-hacer-en-lima/</x:v>
      </x:c>
      <x:c r="AA639" s="4" t="str">
        <x:v>https://blog.skyairline.com/que-hacer-en-lima/</x:v>
      </x:c>
      <x:c r="AB639" s="4" t="str">
        <x:v>Coincidencia URL</x:v>
      </x:c>
      <x:c r="AC639" s="4" t="str">
        <x:v>Publicado hasta septiembre</x:v>
      </x:c>
      <x:c r="AD639" s="4" t="str">
        <x:v>/que-hacer-en-lima/</x:v>
      </x:c>
      <x:c r="AE639" s="4"/>
      <x:c r="AF639" s="16" t="b">
        <x:v>0</x:v>
      </x:c>
    </x:row>
    <x:row r="640" ht="44" customHeight="1">
      <x:c r="A640" s="4" t="n">
        <x:v>8784</x:v>
      </x:c>
      <x:c r="B640" s="4" t="str">
        <x:v>https://blog.skyairline.com/lagos-del-sur-de-chile/</x:v>
      </x:c>
      <x:c r="C640" s="9" t="str">
        <x:v>Lagos del Sur de Chile: ¿cuántos conoces?</x:v>
      </x:c>
      <x:c r="D640" s="17" t="d">
        <x:v>2026-05-27T00:00:00.000Z</x:v>
      </x:c>
      <x:c r="E640" s="17" t="d">
        <x:v>2026-05-25T00:00:00.000Z</x:v>
      </x:c>
      <x:c r="F640" s="4" t="str">
        <x:v>Destinos</x:v>
      </x:c>
      <x:c r="G640" s="11" t="n">
        <x:v>1136</x:v>
      </x:c>
      <x:c r="H640" s="11" t="n">
        <x:v>200</x:v>
      </x:c>
      <x:c r="I640" s="11" t="n">
        <x:v>1</x:v>
      </x:c>
      <x:c r="J640" s="4" t="str">
        <x:v>https://blog.skyairline.com/lagos-del-sur-de-chile/</x:v>
      </x:c>
      <x:c r="K640" s="16" t="b">
        <x:v>0</x:v>
      </x:c>
      <x:c r="L640" s="11" t="n">
        <x:v>0</x:v>
      </x:c>
      <x:c r="M640" s="11" t="n">
        <x:v>0</x:v>
      </x:c>
      <x:c r="N640" s="4"/>
      <x:c r="O640" s="4"/>
      <x:c r="P640" s="11" t="n">
        <x:v>2</x:v>
      </x:c>
      <x:c r="Q640" s="11" t="n">
        <x:v>2</x:v>
      </x:c>
      <x:c r="R640" s="11" t="n">
        <x:f>IF(OR(P640="",Q640=""),"",Q640-P640)</x:f>
        <x:v>0</x:v>
      </x:c>
      <x:c r="S640" s="13" t="n">
        <x:f>IF(OR(P640="",Q640="",P640=0),"",((Q640/30)/(P640/31))-1)</x:f>
        <x:v>0.03333333333333344</x:v>
      </x:c>
      <x:c r="T640" s="11" t="n">
        <x:v>807</x:v>
      </x:c>
      <x:c r="U640" s="11" t="n">
        <x:v>580</x:v>
      </x:c>
      <x:c r="V640" s="14" t="n">
        <x:v>0.0034482758620689655</x:v>
      </x:c>
      <x:c r="W640" s="12" t="n">
        <x:v>11.774137931034483</x:v>
      </x:c>
      <x:c r="X640" s="11" t="n">
        <x:v>4</x:v>
      </x:c>
      <x:c r="Y640" s="11" t="n">
        <x:v>5</x:v>
      </x:c>
      <x:c r="Z640" s="4" t="str">
        <x:v>https://blog.skyairline.com/lagos-del-sur-de-chile/</x:v>
      </x:c>
      <x:c r="AA640" s="4" t="str">
        <x:v>https://blog.skyairline.com/lagos-del-sur-de-chile/</x:v>
      </x:c>
      <x:c r="AB640" s="4" t="str">
        <x:v>Coincidencia URL</x:v>
      </x:c>
      <x:c r="AC640" s="4" t="str">
        <x:v>Publicado hasta septiembre</x:v>
      </x:c>
      <x:c r="AD640" s="4" t="str">
        <x:v>/lagos-del-sur-de-chile/</x:v>
      </x:c>
      <x:c r="AE640" s="4"/>
      <x:c r="AF640" s="16" t="b">
        <x:v>0</x:v>
      </x:c>
    </x:row>
    <x:row r="641" ht="44" customHeight="1">
      <x:c r="A641" s="4" t="n">
        <x:v>8821</x:v>
      </x:c>
      <x:c r="B641" s="4" t="str">
        <x:v>https://blog.skyairline.com/que-hacer-vina-del-mar/</x:v>
      </x:c>
      <x:c r="C641" s="9" t="str">
        <x:v>¿Qué hacer en Viña del Mar? Itinerario para un fin de semana</x:v>
      </x:c>
      <x:c r="D641" s="17" t="d">
        <x:v>2026-06-03T00:00:00.000Z</x:v>
      </x:c>
      <x:c r="E641" s="17" t="d">
        <x:v>2026-05-27T00:00:00.000Z</x:v>
      </x:c>
      <x:c r="F641" s="4" t="str">
        <x:v>Destinos</x:v>
      </x:c>
      <x:c r="G641" s="11" t="n">
        <x:v>1026</x:v>
      </x:c>
      <x:c r="H641" s="11" t="n">
        <x:v>200</x:v>
      </x:c>
      <x:c r="I641" s="11" t="n">
        <x:v>1</x:v>
      </x:c>
      <x:c r="J641" s="4" t="str">
        <x:v>https://blog.skyairline.com/que-hacer-vina-del-mar/</x:v>
      </x:c>
      <x:c r="K641" s="16" t="b">
        <x:v>0</x:v>
      </x:c>
      <x:c r="L641" s="11" t="n">
        <x:v>0</x:v>
      </x:c>
      <x:c r="M641" s="11" t="n">
        <x:v>0</x:v>
      </x:c>
      <x:c r="N641" s="4"/>
      <x:c r="O641" s="4"/>
      <x:c r="P641" s="11" t="n">
        <x:v>0</x:v>
      </x:c>
      <x:c r="Q641" s="11" t="n">
        <x:v>2</x:v>
      </x:c>
      <x:c r="R641" s="11" t="str">
        <x:f>IF(OR(P641="",Q641=""),"",Q641-P641)</x:f>
      </x:c>
      <x:c r="S641" s="13" t="str">
        <x:f>IF(OR(P641="",Q641="",P641=0),"",((Q641/30)/(P641/31))-1)</x:f>
      </x:c>
      <x:c r="T641" s="11" t="n">
        <x:v>38</x:v>
      </x:c>
      <x:c r="U641" s="11" t="n">
        <x:v>45</x:v>
      </x:c>
      <x:c r="V641" s="14" t="n">
        <x:v>0.044444444444444446</x:v>
      </x:c>
      <x:c r="W641" s="12" t="n">
        <x:v>13.822222222222223</x:v>
      </x:c>
      <x:c r="X641" s="11" t="n">
        <x:v>3</x:v>
      </x:c>
      <x:c r="Y641" s="11" t="n">
        <x:v>3</x:v>
      </x:c>
      <x:c r="Z641" s="4" t="str">
        <x:v>https://blog.skyairline.com/que-hacer-vina-del-mar/</x:v>
      </x:c>
      <x:c r="AA641" s="4" t="str">
        <x:v>https://blog.skyairline.com/que-hacer-vina-del-mar/</x:v>
      </x:c>
      <x:c r="AB641" s="4" t="str">
        <x:v>Coincidencia URL</x:v>
      </x:c>
      <x:c r="AC641" s="4" t="str">
        <x:v>Publicado hasta septiembre</x:v>
      </x:c>
      <x:c r="AD641" s="4" t="str">
        <x:v>/que-hacer-vina-del-mar/</x:v>
      </x:c>
      <x:c r="AE641" s="4"/>
      <x:c r="AF641" s="16" t="b">
        <x:v>0</x:v>
      </x:c>
    </x:row>
    <x:row r="642" ht="44" customHeight="1">
      <x:c r="A642" s="4" t="n">
        <x:v>8927</x:v>
      </x:c>
      <x:c r="B642" s="4" t="str">
        <x:v>https://blog.skyairline.com/cabo-blanco/</x:v>
      </x:c>
      <x:c r="C642" s="9" t="str">
        <x:v>Cabo Blanco, surf y tranquilidad a 160 km de Piura</x:v>
      </x:c>
      <x:c r="D642" s="17" t="d">
        <x:v>2026-06-18T00:00:00.000Z</x:v>
      </x:c>
      <x:c r="E642" s="17" t="d">
        <x:v>2026-06-16T00:00:00.000Z</x:v>
      </x:c>
      <x:c r="F642" s="4" t="str">
        <x:v>Destinos</x:v>
      </x:c>
      <x:c r="G642" s="11" t="n">
        <x:v>1044</x:v>
      </x:c>
      <x:c r="H642" s="11" t="n">
        <x:v>200</x:v>
      </x:c>
      <x:c r="I642" s="11" t="n">
        <x:v>1</x:v>
      </x:c>
      <x:c r="J642" s="4" t="str">
        <x:v>https://blog.skyairline.com/cabo-blanco/</x:v>
      </x:c>
      <x:c r="K642" s="16" t="b">
        <x:v>0</x:v>
      </x:c>
      <x:c r="L642" s="11" t="n">
        <x:v>0</x:v>
      </x:c>
      <x:c r="M642" s="11" t="n">
        <x:v>0</x:v>
      </x:c>
      <x:c r="N642" s="4"/>
      <x:c r="O642" s="4"/>
      <x:c r="P642" s="11" t="n">
        <x:v>2</x:v>
      </x:c>
      <x:c r="Q642" s="11" t="n">
        <x:v>2</x:v>
      </x:c>
      <x:c r="R642" s="11" t="n">
        <x:f>IF(OR(P642="",Q642=""),"",Q642-P642)</x:f>
        <x:v>0</x:v>
      </x:c>
      <x:c r="S642" s="13" t="n">
        <x:f>IF(OR(P642="",Q642="",P642=0),"",((Q642/30)/(P642/31))-1)</x:f>
        <x:v>0.03333333333333344</x:v>
      </x:c>
      <x:c r="T642" s="11" t="n">
        <x:v>1271</x:v>
      </x:c>
      <x:c r="U642" s="11" t="n">
        <x:v>969</x:v>
      </x:c>
      <x:c r="V642" s="14" t="n">
        <x:v>0.0020639834881320948</x:v>
      </x:c>
      <x:c r="W642" s="12" t="n">
        <x:v>10.515995872033024</x:v>
      </x:c>
      <x:c r="X642" s="11" t="n">
        <x:v>3</x:v>
      </x:c>
      <x:c r="Y642" s="11" t="n">
        <x:v>2</x:v>
      </x:c>
      <x:c r="Z642" s="4" t="str">
        <x:v>https://blog.skyairline.com/cabo-blanco/</x:v>
      </x:c>
      <x:c r="AA642" s="4" t="str">
        <x:v>https://blog.skyairline.com/cabo-blanco/</x:v>
      </x:c>
      <x:c r="AB642" s="4" t="str">
        <x:v>Coincidencia URL</x:v>
      </x:c>
      <x:c r="AC642" s="4" t="str">
        <x:v>Publicado hasta septiembre</x:v>
      </x:c>
      <x:c r="AD642" s="4" t="str">
        <x:v>/cabo-blanco/</x:v>
      </x:c>
      <x:c r="AE642" s="4"/>
      <x:c r="AF642" s="16" t="b">
        <x:v>0</x:v>
      </x:c>
    </x:row>
    <x:row r="643" ht="44" customHeight="1">
      <x:c r="A643" s="4" t="n">
        <x:v>8935</x:v>
      </x:c>
      <x:c r="B643" s="4" t="str">
        <x:v>https://blog.skyairline.com/playas-uruguay/</x:v>
      </x:c>
      <x:c r="C643" s="9" t="str">
        <x:v>Playas de Uruguay: Cuáles no puedes dejar de visitar</x:v>
      </x:c>
      <x:c r="D643" s="17" t="d">
        <x:v>2026-06-23T00:00:00.000Z</x:v>
      </x:c>
      <x:c r="E643" s="17" t="d">
        <x:v>2026-06-17T00:00:00.000Z</x:v>
      </x:c>
      <x:c r="F643" s="4" t="str">
        <x:v>Planificación de Viaje</x:v>
      </x:c>
      <x:c r="G643" s="11" t="n">
        <x:v>1073</x:v>
      </x:c>
      <x:c r="H643" s="11" t="n">
        <x:v>200</x:v>
      </x:c>
      <x:c r="I643" s="11" t="n">
        <x:v>1</x:v>
      </x:c>
      <x:c r="J643" s="4" t="str">
        <x:v>https://blog.skyairline.com/playas-uruguay/</x:v>
      </x:c>
      <x:c r="K643" s="16" t="b">
        <x:v>0</x:v>
      </x:c>
      <x:c r="L643" s="11" t="n">
        <x:v>0</x:v>
      </x:c>
      <x:c r="M643" s="11" t="n">
        <x:v>0</x:v>
      </x:c>
      <x:c r="N643" s="4"/>
      <x:c r="O643" s="4"/>
      <x:c r="P643" s="11" t="n">
        <x:v>4</x:v>
      </x:c>
      <x:c r="Q643" s="11" t="n">
        <x:v>2</x:v>
      </x:c>
      <x:c r="R643" s="11" t="n">
        <x:f>IF(OR(P643="",Q643=""),"",Q643-P643)</x:f>
        <x:v>-2</x:v>
      </x:c>
      <x:c r="S643" s="13" t="n">
        <x:f>IF(OR(P643="",Q643="",P643=0),"",((Q643/30)/(P643/31))-1)</x:f>
        <x:v>-0.4833333333333333</x:v>
      </x:c>
      <x:c r="T643" s="11" t="n">
        <x:v>1126</x:v>
      </x:c>
      <x:c r="U643" s="11" t="n">
        <x:v>1121</x:v>
      </x:c>
      <x:c r="V643" s="14" t="n">
        <x:v>0.001784121320249777</x:v>
      </x:c>
      <x:c r="W643" s="12" t="n">
        <x:v>10.674397859054416</x:v>
      </x:c>
      <x:c r="X643" s="11" t="n">
        <x:v>4</x:v>
      </x:c>
      <x:c r="Y643" s="11" t="n">
        <x:v>4</x:v>
      </x:c>
      <x:c r="Z643" s="4" t="str">
        <x:v>https://blog.skyairline.com/playas-uruguay/</x:v>
      </x:c>
      <x:c r="AA643" s="4" t="str">
        <x:v>https://blog.skyairline.com/playas-uruguay/
https://blog.skyairline.com/playas-uruguay</x:v>
      </x:c>
      <x:c r="AB643" s="4" t="str">
        <x:v>Alias slash agregado</x:v>
      </x:c>
      <x:c r="AC643" s="4" t="str">
        <x:v>Publicado hasta septiembre</x:v>
      </x:c>
      <x:c r="AD643" s="4" t="str">
        <x:v>/playas-uruguay/</x:v>
      </x:c>
      <x:c r="AE643" s="4"/>
      <x:c r="AF643" s="16" t="b">
        <x:v>0</x:v>
      </x:c>
    </x:row>
    <x:row r="644" ht="44" customHeight="1">
      <x:c r="A644" s="4" t="n">
        <x:v>8952</x:v>
      </x:c>
      <x:c r="B644" s="4" t="str">
        <x:v>https://blog.skyairline.com/salar-atacama/</x:v>
      </x:c>
      <x:c r="C644" s="9" t="str">
        <x:v>Salar de Atacama: El espejo de sal más grande de Chile</x:v>
      </x:c>
      <x:c r="D644" s="17" t="d">
        <x:v>2026-06-24T00:00:00.000Z</x:v>
      </x:c>
      <x:c r="E644" s="17" t="d">
        <x:v>2026-08-10T00:00:00.000Z</x:v>
      </x:c>
      <x:c r="F644" s="4" t="str">
        <x:v>Destinos</x:v>
      </x:c>
      <x:c r="G644" s="11" t="n">
        <x:v>1003</x:v>
      </x:c>
      <x:c r="H644" s="11" t="n">
        <x:v>200</x:v>
      </x:c>
      <x:c r="I644" s="11" t="n">
        <x:v>1</x:v>
      </x:c>
      <x:c r="J644" s="4" t="str">
        <x:v>https://blog.skyairline.com/salar-atacama/</x:v>
      </x:c>
      <x:c r="K644" s="16" t="b">
        <x:v>0</x:v>
      </x:c>
      <x:c r="L644" s="11" t="n">
        <x:v>0</x:v>
      </x:c>
      <x:c r="M644" s="11" t="n">
        <x:v>0</x:v>
      </x:c>
      <x:c r="N644" s="4"/>
      <x:c r="O644" s="4"/>
      <x:c r="P644" s="11" t="n">
        <x:v>2</x:v>
      </x:c>
      <x:c r="Q644" s="11" t="n">
        <x:v>2</x:v>
      </x:c>
      <x:c r="R644" s="11" t="n">
        <x:f>IF(OR(P644="",Q644=""),"",Q644-P644)</x:f>
        <x:v>0</x:v>
      </x:c>
      <x:c r="S644" s="13" t="n">
        <x:f>IF(OR(P644="",Q644="",P644=0),"",((Q644/30)/(P644/31))-1)</x:f>
        <x:v>0.03333333333333344</x:v>
      </x:c>
      <x:c r="T644" s="11" t="n">
        <x:v>379</x:v>
      </x:c>
      <x:c r="U644" s="11" t="n">
        <x:v>277</x:v>
      </x:c>
      <x:c r="V644" s="14" t="n">
        <x:v>0.007220216606498195</x:v>
      </x:c>
      <x:c r="W644" s="12" t="n">
        <x:v>9.054151624548737</x:v>
      </x:c>
      <x:c r="X644" s="11" t="n">
        <x:v>3</x:v>
      </x:c>
      <x:c r="Y644" s="11" t="n">
        <x:v>2</x:v>
      </x:c>
      <x:c r="Z644" s="4" t="str">
        <x:v>https://blog.skyairline.com/salar-atacama/</x:v>
      </x:c>
      <x:c r="AA644" s="4" t="str">
        <x:v>https://blog.skyairline.com/salar-atacama/</x:v>
      </x:c>
      <x:c r="AB644" s="4" t="str">
        <x:v>Coincidencia URL</x:v>
      </x:c>
      <x:c r="AC644" s="4" t="str">
        <x:v>Publicado hasta septiembre</x:v>
      </x:c>
      <x:c r="AD644" s="4" t="str">
        <x:v>/salar-atacama/</x:v>
      </x:c>
      <x:c r="AE644" s="4"/>
      <x:c r="AF644" s="16" t="b">
        <x:v>0</x:v>
      </x:c>
    </x:row>
    <x:row r="645" ht="44" customHeight="1">
      <x:c r="A645" s="4" t="n">
        <x:v>8983</x:v>
      </x:c>
      <x:c r="B645" s="4" t="str">
        <x:v>https://blog.skyairline.com/bodegas-en-mendoza/</x:v>
      </x:c>
      <x:c r="C645" s="9" t="str">
        <x:v>¿Cuáles son las mejores bodegas en Mendoza?</x:v>
      </x:c>
      <x:c r="D645" s="17" t="d">
        <x:v>2026-07-05T00:00:00.000Z</x:v>
      </x:c>
      <x:c r="E645" s="17" t="d">
        <x:v>2026-07-03T00:00:00.000Z</x:v>
      </x:c>
      <x:c r="F645" s="4" t="str">
        <x:v>Cultura</x:v>
      </x:c>
      <x:c r="G645" s="11" t="n">
        <x:v>1035</x:v>
      </x:c>
      <x:c r="H645" s="11" t="n">
        <x:v>200</x:v>
      </x:c>
      <x:c r="I645" s="11" t="n">
        <x:v>1</x:v>
      </x:c>
      <x:c r="J645" s="4" t="str">
        <x:v>https://blog.skyairline.com/bodegas-en-mendoza/</x:v>
      </x:c>
      <x:c r="K645" s="16" t="b">
        <x:v>0</x:v>
      </x:c>
      <x:c r="L645" s="11" t="n">
        <x:v>0</x:v>
      </x:c>
      <x:c r="M645" s="11" t="n">
        <x:v>0</x:v>
      </x:c>
      <x:c r="N645" s="4"/>
      <x:c r="O645" s="4"/>
      <x:c r="P645" s="11" t="n">
        <x:v>7</x:v>
      </x:c>
      <x:c r="Q645" s="11" t="n">
        <x:v>2</x:v>
      </x:c>
      <x:c r="R645" s="11" t="n">
        <x:f>IF(OR(P645="",Q645=""),"",Q645-P645)</x:f>
        <x:v>-5</x:v>
      </x:c>
      <x:c r="S645" s="13" t="n">
        <x:f>IF(OR(P645="",Q645="",P645=0),"",((Q645/30)/(P645/31))-1)</x:f>
        <x:v>-0.7047619047619047</x:v>
      </x:c>
      <x:c r="T645" s="11" t="n">
        <x:v>375</x:v>
      </x:c>
      <x:c r="U645" s="11" t="n">
        <x:v>365</x:v>
      </x:c>
      <x:c r="V645" s="14" t="n">
        <x:v>0.005479452054794521</x:v>
      </x:c>
      <x:c r="W645" s="12" t="n">
        <x:v>16.487671232876714</x:v>
      </x:c>
      <x:c r="X645" s="11" t="n">
        <x:v>2</x:v>
      </x:c>
      <x:c r="Y645" s="11" t="n">
        <x:v>3</x:v>
      </x:c>
      <x:c r="Z645" s="4" t="str">
        <x:v>https://blog.skyairline.com/bodegas-en-mendoza/</x:v>
      </x:c>
      <x:c r="AA645" s="4" t="str">
        <x:v>https://blog.skyairline.com/bodegas-en-mendoza/</x:v>
      </x:c>
      <x:c r="AB645" s="4" t="str">
        <x:v>Coincidencia URL</x:v>
      </x:c>
      <x:c r="AC645" s="4" t="str">
        <x:v>Publicado hasta septiembre</x:v>
      </x:c>
      <x:c r="AD645" s="4" t="str">
        <x:v>/bodegas-en-mendoza/</x:v>
      </x:c>
      <x:c r="AE645" s="4"/>
      <x:c r="AF645" s="16" t="b">
        <x:v>0</x:v>
      </x:c>
    </x:row>
    <x:row r="646" ht="44" customHeight="1">
      <x:c r="A646" s="4" t="n">
        <x:v>9048</x:v>
      </x:c>
      <x:c r="B646" s="4" t="str">
        <x:v>https://blog.skyairline.com/clima-florianopolis-2/</x:v>
      </x:c>
      <x:c r="C646" s="9" t="str">
        <x:v>Clima Florianópolis: cómo son las estaciones del año en la Isla de la Magia</x:v>
      </x:c>
      <x:c r="D646" s="17" t="d">
        <x:v>2026-07-24T00:00:00.000Z</x:v>
      </x:c>
      <x:c r="E646" s="17" t="d">
        <x:v>2026-07-20T00:00:00.000Z</x:v>
      </x:c>
      <x:c r="F646" s="4" t="str">
        <x:v>Planificación de Viaje</x:v>
      </x:c>
      <x:c r="G646" s="11" t="n">
        <x:v>980</x:v>
      </x:c>
      <x:c r="H646" s="11" t="n">
        <x:v>200</x:v>
      </x:c>
      <x:c r="I646" s="11" t="n">
        <x:v>1</x:v>
      </x:c>
      <x:c r="J646" s="4" t="str">
        <x:v>https://blog.skyairline.com/clima-florianopolis-2/</x:v>
      </x:c>
      <x:c r="K646" s="16" t="b">
        <x:v>0</x:v>
      </x:c>
      <x:c r="L646" s="11" t="n">
        <x:v>0</x:v>
      </x:c>
      <x:c r="M646" s="11" t="n">
        <x:v>0</x:v>
      </x:c>
      <x:c r="N646" s="4"/>
      <x:c r="O646" s="4"/>
      <x:c r="P646" s="11" t="n">
        <x:v>6</x:v>
      </x:c>
      <x:c r="Q646" s="11" t="n">
        <x:v>2</x:v>
      </x:c>
      <x:c r="R646" s="11" t="n">
        <x:f>IF(OR(P646="",Q646=""),"",Q646-P646)</x:f>
        <x:v>-4</x:v>
      </x:c>
      <x:c r="S646" s="13" t="n">
        <x:f>IF(OR(P646="",Q646="",P646=0),"",((Q646/30)/(P646/31))-1)</x:f>
        <x:v>-0.6555555555555556</x:v>
      </x:c>
      <x:c r="T646" s="11" t="n">
        <x:v>671</x:v>
      </x:c>
      <x:c r="U646" s="11" t="n">
        <x:v>592</x:v>
      </x:c>
      <x:c r="V646" s="14" t="n">
        <x:v>0.0033783783783783786</x:v>
      </x:c>
      <x:c r="W646" s="12" t="n">
        <x:v>6.9949324324324325</x:v>
      </x:c>
      <x:c r="X646" s="11" t="n">
        <x:v>5</x:v>
      </x:c>
      <x:c r="Y646" s="11" t="n">
        <x:v>6</x:v>
      </x:c>
      <x:c r="Z646" s="4" t="str">
        <x:v>https://blog.skyairline.com/clima-florianopolis-2/</x:v>
      </x:c>
      <x:c r="AA646" s="4" t="str">
        <x:v>https://blog.skyairline.com/clima-florianopolis-2/</x:v>
      </x:c>
      <x:c r="AB646" s="4" t="str">
        <x:v>Coincidencia URL</x:v>
      </x:c>
      <x:c r="AC646" s="4" t="str">
        <x:v>Publicado hasta septiembre</x:v>
      </x:c>
      <x:c r="AD646" s="4" t="str">
        <x:v>/clima-florianopolis-2/</x:v>
      </x:c>
      <x:c r="AE646" s="4"/>
      <x:c r="AF646" s="16" t="b">
        <x:v>0</x:v>
      </x:c>
    </x:row>
    <x:row r="647" ht="44" customHeight="1">
      <x:c r="A647" s="4" t="n">
        <x:v>9084</x:v>
      </x:c>
      <x:c r="B647" s="4" t="str">
        <x:v>https://blog.skyairline.com/restaurantes-en-sao-paulo/</x:v>
      </x:c>
      <x:c r="C647" s="9" t="str">
        <x:v>Los 10 mejores restaurantes en São Paulo</x:v>
      </x:c>
      <x:c r="D647" s="17" t="d">
        <x:v>2026-08-02T00:00:00.000Z</x:v>
      </x:c>
      <x:c r="E647" s="17" t="d">
        <x:v>2026-07-30T00:00:00.000Z</x:v>
      </x:c>
      <x:c r="F647" s="4" t="str">
        <x:v>Cultura</x:v>
      </x:c>
      <x:c r="G647" s="11" t="n">
        <x:v>1049</x:v>
      </x:c>
      <x:c r="H647" s="11" t="n">
        <x:v>200</x:v>
      </x:c>
      <x:c r="I647" s="11" t="n">
        <x:v>1</x:v>
      </x:c>
      <x:c r="J647" s="4" t="str">
        <x:v>https://blog.skyairline.com/restaurantes-en-sao-paulo/</x:v>
      </x:c>
      <x:c r="K647" s="16" t="b">
        <x:v>0</x:v>
      </x:c>
      <x:c r="L647" s="11" t="n">
        <x:v>0</x:v>
      </x:c>
      <x:c r="M647" s="11" t="n">
        <x:v>0</x:v>
      </x:c>
      <x:c r="N647" s="4"/>
      <x:c r="O647" s="4"/>
      <x:c r="P647" s="11" t="n">
        <x:v>3</x:v>
      </x:c>
      <x:c r="Q647" s="11" t="n">
        <x:v>2</x:v>
      </x:c>
      <x:c r="R647" s="11" t="n">
        <x:f>IF(OR(P647="",Q647=""),"",Q647-P647)</x:f>
        <x:v>-1</x:v>
      </x:c>
      <x:c r="S647" s="13" t="n">
        <x:f>IF(OR(P647="",Q647="",P647=0),"",((Q647/30)/(P647/31))-1)</x:f>
        <x:v>-0.3111111111111111</x:v>
      </x:c>
      <x:c r="T647" s="11" t="n">
        <x:v>295</x:v>
      </x:c>
      <x:c r="U647" s="11" t="n">
        <x:v>243</x:v>
      </x:c>
      <x:c r="V647" s="14" t="n">
        <x:v>0.00823045267489712</x:v>
      </x:c>
      <x:c r="W647" s="12" t="n">
        <x:v>20.991769547325102</x:v>
      </x:c>
      <x:c r="X647" s="11" t="n">
        <x:v>2</x:v>
      </x:c>
      <x:c r="Y647" s="11" t="n">
        <x:v>2</x:v>
      </x:c>
      <x:c r="Z647" s="4" t="str">
        <x:v>https://blog.skyairline.com/restaurantes-en-sao-paulo/</x:v>
      </x:c>
      <x:c r="AA647" s="4" t="str">
        <x:v>https://blog.skyairline.com/restaurantes-en-sao-paulo/</x:v>
      </x:c>
      <x:c r="AB647" s="4" t="str">
        <x:v>Coincidencia URL</x:v>
      </x:c>
      <x:c r="AC647" s="4" t="str">
        <x:v>Publicado hasta septiembre</x:v>
      </x:c>
      <x:c r="AD647" s="4" t="str">
        <x:v>/restaurantes-en-sao-paulo/</x:v>
      </x:c>
      <x:c r="AE647" s="4"/>
      <x:c r="AF647" s="16" t="b">
        <x:v>0</x:v>
      </x:c>
    </x:row>
    <x:row r="648" ht="44" customHeight="1">
      <x:c r="A648" s="4" t="n">
        <x:v>9086</x:v>
      </x:c>
      <x:c r="B648" s="4" t="str">
        <x:v>https://blog.skyairline.com/praia-do-rosa/</x:v>
      </x:c>
      <x:c r="C648" s="9" t="str">
        <x:v>Praia do Rosa: surf, naturaleza y encanto en Santa Catarina</x:v>
      </x:c>
      <x:c r="D648" s="17" t="d">
        <x:v>2026-08-03T00:00:00.000Z</x:v>
      </x:c>
      <x:c r="E648" s="17" t="d">
        <x:v>2026-07-30T00:00:00.000Z</x:v>
      </x:c>
      <x:c r="F648" s="4" t="str">
        <x:v>Destinos</x:v>
      </x:c>
      <x:c r="G648" s="11" t="n">
        <x:v>1098</x:v>
      </x:c>
      <x:c r="H648" s="11" t="n">
        <x:v>200</x:v>
      </x:c>
      <x:c r="I648" s="11" t="n">
        <x:v>1</x:v>
      </x:c>
      <x:c r="J648" s="4" t="str">
        <x:v>https://blog.skyairline.com/praia-do-rosa/</x:v>
      </x:c>
      <x:c r="K648" s="16" t="b">
        <x:v>0</x:v>
      </x:c>
      <x:c r="L648" s="11" t="n">
        <x:v>0</x:v>
      </x:c>
      <x:c r="M648" s="11" t="n">
        <x:v>0</x:v>
      </x:c>
      <x:c r="N648" s="4"/>
      <x:c r="O648" s="4"/>
      <x:c r="P648" s="11" t="n">
        <x:v>4</x:v>
      </x:c>
      <x:c r="Q648" s="11" t="n">
        <x:v>2</x:v>
      </x:c>
      <x:c r="R648" s="11" t="n">
        <x:f>IF(OR(P648="",Q648=""),"",Q648-P648)</x:f>
        <x:v>-2</x:v>
      </x:c>
      <x:c r="S648" s="13" t="n">
        <x:f>IF(OR(P648="",Q648="",P648=0),"",((Q648/30)/(P648/31))-1)</x:f>
        <x:v>-0.4833333333333333</x:v>
      </x:c>
      <x:c r="T648" s="11" t="n">
        <x:v>829</x:v>
      </x:c>
      <x:c r="U648" s="11" t="n">
        <x:v>942</x:v>
      </x:c>
      <x:c r="V648" s="14" t="n">
        <x:v>0.0021231422505307855</x:v>
      </x:c>
      <x:c r="W648" s="12" t="n">
        <x:v>10.251592356687897</x:v>
      </x:c>
      <x:c r="X648" s="11" t="n">
        <x:v>2</x:v>
      </x:c>
      <x:c r="Y648" s="11" t="n">
        <x:v>2</x:v>
      </x:c>
      <x:c r="Z648" s="4" t="str">
        <x:v>https://blog.skyairline.com/praia-do-rosa/</x:v>
      </x:c>
      <x:c r="AA648" s="4" t="str">
        <x:v>https://blog.skyairline.com/praia-do-rosa/</x:v>
      </x:c>
      <x:c r="AB648" s="4" t="str">
        <x:v>Coincidencia URL</x:v>
      </x:c>
      <x:c r="AC648" s="4" t="str">
        <x:v>Publicado hasta septiembre</x:v>
      </x:c>
      <x:c r="AD648" s="4" t="str">
        <x:v>/praia-do-rosa/</x:v>
      </x:c>
      <x:c r="AE648" s="4"/>
      <x:c r="AF648" s="16" t="b">
        <x:v>0</x:v>
      </x:c>
    </x:row>
    <x:row r="649" ht="44" customHeight="1">
      <x:c r="A649" s="4" t="n">
        <x:v>9096</x:v>
      </x:c>
      <x:c r="B649" s="4" t="str">
        <x:v>https://blog.skyairline.com/sky-inicia-vuelos-a-chiclayo-y-apuesta-por-el-norte-peruano/</x:v>
      </x:c>
      <x:c r="C649" s="9" t="str">
        <x:v>SKY inicia vuelos a Chiclayo y apuesta por el norte peruano</x:v>
      </x:c>
      <x:c r="D649" s="17" t="d">
        <x:v>2026-08-05T00:00:00.000Z</x:v>
      </x:c>
      <x:c r="E649" s="17" t="d">
        <x:v>2026-08-05T00:00:00.000Z</x:v>
      </x:c>
      <x:c r="F649" s="4" t="str">
        <x:v>Noticias</x:v>
      </x:c>
      <x:c r="G649" s="11" t="n">
        <x:v>177</x:v>
      </x:c>
      <x:c r="H649" s="11" t="n">
        <x:v>200</x:v>
      </x:c>
      <x:c r="I649" s="11" t="n">
        <x:v>1</x:v>
      </x:c>
      <x:c r="J649" s="4" t="str">
        <x:v>https://blog.skyairline.com/sky-inicia-vuelos-a-chiclayo-y-apuesta-por-el-norte-peruano/</x:v>
      </x:c>
      <x:c r="K649" s="16" t="b">
        <x:v>0</x:v>
      </x:c>
      <x:c r="L649" s="11" t="n">
        <x:v>0</x:v>
      </x:c>
      <x:c r="M649" s="11" t="n">
        <x:v>0</x:v>
      </x:c>
      <x:c r="N649" s="4"/>
      <x:c r="O649" s="4"/>
      <x:c r="P649" s="11" t="n">
        <x:v>7</x:v>
      </x:c>
      <x:c r="Q649" s="11" t="n">
        <x:v>2</x:v>
      </x:c>
      <x:c r="R649" s="11" t="n">
        <x:f>IF(OR(P649="",Q649=""),"",Q649-P649)</x:f>
        <x:v>-5</x:v>
      </x:c>
      <x:c r="S649" s="13" t="n">
        <x:f>IF(OR(P649="",Q649="",P649=0),"",((Q649/30)/(P649/31))-1)</x:f>
        <x:v>-0.7047619047619047</x:v>
      </x:c>
      <x:c r="T649" s="11" t="n">
        <x:v>168</x:v>
      </x:c>
      <x:c r="U649" s="11" t="n">
        <x:v>119</x:v>
      </x:c>
      <x:c r="V649" s="14" t="n">
        <x:v>0.01680672268907563</x:v>
      </x:c>
      <x:c r="W649" s="12" t="n">
        <x:v>4.831932773109243</x:v>
      </x:c>
      <x:c r="X649" s="11" t="n">
        <x:v>4</x:v>
      </x:c>
      <x:c r="Y649" s="11" t="n">
        <x:v>4</x:v>
      </x:c>
      <x:c r="Z649" s="4" t="str">
        <x:v>https://blog.skyairline.com/sky-inicia-vuelos-a-chiclayo-y-apuesta-por-el-norte-peruano/</x:v>
      </x:c>
      <x:c r="AA649" s="4" t="str">
        <x:v>https://blog.skyairline.com/sky-inicia-vuelos-a-chiclayo-y-apuesta-por-el-norte-peruano/
https://blog.skyairline.com/sky-inicia-vuelos-a-chiclayo-y-apuesta-por-el-norte-peruano</x:v>
      </x:c>
      <x:c r="AB649" s="4" t="str">
        <x:v>Alias slash agregado</x:v>
      </x:c>
      <x:c r="AC649" s="4" t="str">
        <x:v>Publicado hasta septiembre</x:v>
      </x:c>
      <x:c r="AD649" s="4" t="str">
        <x:v>/sky-inicia-vuelos-a-chiclayo-y-apuesta-por-el-norte-peruano/</x:v>
      </x:c>
      <x:c r="AE649" s="4"/>
      <x:c r="AF649" s="16" t="b">
        <x:v>0</x:v>
      </x:c>
    </x:row>
    <x:row r="650" ht="44" customHeight="1">
      <x:c r="A650" s="4" t="n">
        <x:v>9154</x:v>
      </x:c>
      <x:c r="B650" s="4" t="str">
        <x:v>https://blog.skyairline.com/rosario-argentina/</x:v>
      </x:c>
      <x:c r="C650" s="9" t="str">
        <x:v>Ideas para un fin de semana en Rosario, Argentina</x:v>
      </x:c>
      <x:c r="D650" s="17" t="d">
        <x:v>2026-08-12T00:00:00.000Z</x:v>
      </x:c>
      <x:c r="E650" s="17" t="d">
        <x:v>2026-08-11T00:00:00.000Z</x:v>
      </x:c>
      <x:c r="F650" s="4" t="str">
        <x:v>Destinos</x:v>
      </x:c>
      <x:c r="G650" s="11" t="n">
        <x:v>1065</x:v>
      </x:c>
      <x:c r="H650" s="11" t="n">
        <x:v>200</x:v>
      </x:c>
      <x:c r="I650" s="11" t="n">
        <x:v>1</x:v>
      </x:c>
      <x:c r="J650" s="4" t="str">
        <x:v>https://blog.skyairline.com/rosario-argentina/</x:v>
      </x:c>
      <x:c r="K650" s="16" t="b">
        <x:v>0</x:v>
      </x:c>
      <x:c r="L650" s="11" t="n">
        <x:v>0</x:v>
      </x:c>
      <x:c r="M650" s="11" t="n">
        <x:v>0</x:v>
      </x:c>
      <x:c r="N650" s="4"/>
      <x:c r="O650" s="4"/>
      <x:c r="P650" s="11" t="n">
        <x:v>0</x:v>
      </x:c>
      <x:c r="Q650" s="11" t="n">
        <x:v>2</x:v>
      </x:c>
      <x:c r="R650" s="11" t="str">
        <x:f>IF(OR(P650="",Q650=""),"",Q650-P650)</x:f>
      </x:c>
      <x:c r="S650" s="13" t="str">
        <x:f>IF(OR(P650="",Q650="",P650=0),"",((Q650/30)/(P650/31))-1)</x:f>
      </x:c>
      <x:c r="T650" s="11" t="n">
        <x:v>21</x:v>
      </x:c>
      <x:c r="U650" s="11" t="n">
        <x:v>16</x:v>
      </x:c>
      <x:c r="V650" s="14" t="n">
        <x:v>0.125</x:v>
      </x:c>
      <x:c r="W650" s="12" t="n">
        <x:v>8.9375</x:v>
      </x:c>
      <x:c r="X650" s="11" t="n">
        <x:v>2</x:v>
      </x:c>
      <x:c r="Y650" s="11" t="n">
        <x:v>2</x:v>
      </x:c>
      <x:c r="Z650" s="4" t="str">
        <x:v>https://blog.skyairline.com/rosario-argentina/</x:v>
      </x:c>
      <x:c r="AA650" s="4" t="str">
        <x:v>https://blog.skyairline.com/rosario-argentina/</x:v>
      </x:c>
      <x:c r="AB650" s="4" t="str">
        <x:v>Coincidencia URL</x:v>
      </x:c>
      <x:c r="AC650" s="4" t="str">
        <x:v>Publicado hasta septiembre</x:v>
      </x:c>
      <x:c r="AD650" s="4" t="str">
        <x:v>/rosario-argentina/</x:v>
      </x:c>
      <x:c r="AE650" s="4"/>
      <x:c r="AF650" s="16" t="b">
        <x:v>0</x:v>
      </x:c>
    </x:row>
    <x:row r="651" ht="44" customHeight="1">
      <x:c r="A651" s="4" t="n">
        <x:v>9188</x:v>
      </x:c>
      <x:c r="B651" s="4" t="str">
        <x:v>https://blog.skyairline.com/corralco/</x:v>
      </x:c>
      <x:c r="C651" s="9" t="str">
        <x:v>Corralco: el centro de esquí con nieve de calidad y temporada larga</x:v>
      </x:c>
      <x:c r="D651" s="17" t="d">
        <x:v>2026-08-30T00:00:00.000Z</x:v>
      </x:c>
      <x:c r="E651" s="17" t="d">
        <x:v>2026-08-31T00:00:00.000Z</x:v>
      </x:c>
      <x:c r="F651" s="4" t="str">
        <x:v>Destinos</x:v>
      </x:c>
      <x:c r="G651" s="11" t="n">
        <x:v>1089</x:v>
      </x:c>
      <x:c r="H651" s="11" t="n">
        <x:v>200</x:v>
      </x:c>
      <x:c r="I651" s="11" t="n">
        <x:v>1</x:v>
      </x:c>
      <x:c r="J651" s="4" t="str">
        <x:v>https://blog.skyairline.com/corralco/</x:v>
      </x:c>
      <x:c r="K651" s="16" t="b">
        <x:v>0</x:v>
      </x:c>
      <x:c r="L651" s="11" t="n">
        <x:v>0</x:v>
      </x:c>
      <x:c r="M651" s="11" t="n">
        <x:v>0</x:v>
      </x:c>
      <x:c r="N651" s="4"/>
      <x:c r="O651" s="4"/>
      <x:c r="P651" s="11" t="n">
        <x:v>0</x:v>
      </x:c>
      <x:c r="Q651" s="11" t="n">
        <x:v>2</x:v>
      </x:c>
      <x:c r="R651" s="11" t="str">
        <x:f>IF(OR(P651="",Q651=""),"",Q651-P651)</x:f>
      </x:c>
      <x:c r="S651" s="13" t="str">
        <x:f>IF(OR(P651="",Q651="",P651=0),"",((Q651/30)/(P651/31))-1)</x:f>
      </x:c>
      <x:c r="T651" s="11" t="n">
        <x:v>88</x:v>
      </x:c>
      <x:c r="U651" s="11" t="n">
        <x:v>1165</x:v>
      </x:c>
      <x:c r="V651" s="14" t="n">
        <x:v>0.0017167381974248926</x:v>
      </x:c>
      <x:c r="W651" s="12" t="n">
        <x:v>10.884978540772533</x:v>
      </x:c>
      <x:c r="X651" s="11" t="n">
        <x:v>11</x:v>
      </x:c>
      <x:c r="Y651" s="11" t="n">
        <x:v>12</x:v>
      </x:c>
      <x:c r="Z651" s="4" t="str">
        <x:v>https://blog.skyairline.com/corralco/</x:v>
      </x:c>
      <x:c r="AA651" s="4" t="str">
        <x:v>https://blog.skyairline.com/corralco/</x:v>
      </x:c>
      <x:c r="AB651" s="4" t="str">
        <x:v>Coincidencia URL</x:v>
      </x:c>
      <x:c r="AC651" s="4" t="str">
        <x:v>Publicado hasta septiembre</x:v>
      </x:c>
      <x:c r="AD651" s="4" t="str">
        <x:v>/corralco/</x:v>
      </x:c>
      <x:c r="AE651" s="4"/>
      <x:c r="AF651" s="16" t="b">
        <x:v>0</x:v>
      </x:c>
    </x:row>
    <x:row r="652" ht="44" customHeight="1">
      <x:c r="A652" s="4" t="n">
        <x:v>9210</x:v>
      </x:c>
      <x:c r="B652" s="4" t="str">
        <x:v>https://blog.skyairline.com/innovacion-y-cercania-con-el-cliente-los-principales-avances-presentados-por-sky/</x:v>
      </x:c>
      <x:c r="C652" s="9" t="str">
        <x:v>Innovación y cercanía con el cliente: los principales avances presentados por SKY</x:v>
      </x:c>
      <x:c r="D652" s="17" t="d">
        <x:v>2026-08-31T00:00:00.000Z</x:v>
      </x:c>
      <x:c r="E652" s="17" t="d">
        <x:v>2026-08-31T00:00:00.000Z</x:v>
      </x:c>
      <x:c r="F652" s="4" t="str">
        <x:v>Noticias</x:v>
      </x:c>
      <x:c r="G652" s="11" t="n">
        <x:v>184</x:v>
      </x:c>
      <x:c r="H652" s="11" t="n">
        <x:v>200</x:v>
      </x:c>
      <x:c r="I652" s="11" t="n">
        <x:v>1</x:v>
      </x:c>
      <x:c r="J652" s="4" t="str">
        <x:v>https://blog.skyairline.com/innovacion-y-cercania-con-el-cliente-los-principales-avances-presentados-por-sky/</x:v>
      </x:c>
      <x:c r="K652" s="16" t="b">
        <x:v>0</x:v>
      </x:c>
      <x:c r="L652" s="11" t="n">
        <x:v>0</x:v>
      </x:c>
      <x:c r="M652" s="11" t="n">
        <x:v>0</x:v>
      </x:c>
      <x:c r="N652" s="4"/>
      <x:c r="O652" s="4"/>
      <x:c r="P652" s="11" t="n">
        <x:v>0</x:v>
      </x:c>
      <x:c r="Q652" s="11" t="n">
        <x:v>2</x:v>
      </x:c>
      <x:c r="R652" s="11" t="str">
        <x:f>IF(OR(P652="",Q652=""),"",Q652-P652)</x:f>
      </x:c>
      <x:c r="S652" s="13" t="str">
        <x:f>IF(OR(P652="",Q652="",P652=0),"",((Q652/30)/(P652/31))-1)</x:f>
      </x:c>
      <x:c r="T652" s="11" t="n">
        <x:v>2</x:v>
      </x:c>
      <x:c r="U652" s="11" t="n">
        <x:v>106</x:v>
      </x:c>
      <x:c r="V652" s="14" t="n">
        <x:v>0.018867924528301886</x:v>
      </x:c>
      <x:c r="W652" s="12" t="n">
        <x:v>4.7075471698113205</x:v>
      </x:c>
      <x:c r="X652" s="11" t="n">
        <x:v>11</x:v>
      </x:c>
      <x:c r="Y652" s="11" t="n">
        <x:v>8</x:v>
      </x:c>
      <x:c r="Z652" s="4" t="str">
        <x:v>https://blog.skyairline.com/innovacion-y-cercania-con-el-cliente-los-principales-avances-presentados-por-sky/</x:v>
      </x:c>
      <x:c r="AA652" s="4" t="str">
        <x:v>https://blog.skyairline.com/innovacion-y-cercania-con-el-cliente-los-principales-avances-presentados-por-sky/</x:v>
      </x:c>
      <x:c r="AB652" s="4" t="str">
        <x:v>Coincidencia URL</x:v>
      </x:c>
      <x:c r="AC652" s="4" t="str">
        <x:v>Publicado hasta septiembre</x:v>
      </x:c>
      <x:c r="AD652" s="4" t="str">
        <x:v>/innovacion-y-cercania-con-el-cliente-los-principales-avances-presentados-por-sky/</x:v>
      </x:c>
      <x:c r="AE652" s="4"/>
      <x:c r="AF652" s="16" t="b">
        <x:v>0</x:v>
      </x:c>
    </x:row>
    <x:row r="653" ht="44" customHeight="1">
      <x:c r="A653" s="4" t="n">
        <x:v>9258</x:v>
      </x:c>
      <x:c r="B653" s="4" t="str">
        <x:v>https://blog.skyairline.com/estadio-nacional-santiago/</x:v>
      </x:c>
      <x:c r="C653" s="9" t="str">
        <x:v>Estadio Nacional de Santiago: eventos del segundo semestre de 2026 que te sorprenderán</x:v>
      </x:c>
      <x:c r="D653" s="17" t="d">
        <x:v>2026-09-10T00:00:00.000Z</x:v>
      </x:c>
      <x:c r="E653" s="17" t="d">
        <x:v>2026-09-08T00:00:00.000Z</x:v>
      </x:c>
      <x:c r="F653" s="4" t="str">
        <x:v>Cultura</x:v>
      </x:c>
      <x:c r="G653" s="11" t="n">
        <x:v>1011</x:v>
      </x:c>
      <x:c r="H653" s="11" t="n">
        <x:v>200</x:v>
      </x:c>
      <x:c r="I653" s="11" t="n">
        <x:v>1</x:v>
      </x:c>
      <x:c r="J653" s="4" t="str">
        <x:v>https://blog.skyairline.com/estadio-nacional-santiago/</x:v>
      </x:c>
      <x:c r="K653" s="16" t="b">
        <x:v>0</x:v>
      </x:c>
      <x:c r="L653" s="11" t="n">
        <x:v>0</x:v>
      </x:c>
      <x:c r="M653" s="11" t="n">
        <x:v>0</x:v>
      </x:c>
      <x:c r="N653" s="4"/>
      <x:c r="O653" s="4"/>
      <x:c r="P653" s="11"/>
      <x:c r="Q653" s="11" t="n">
        <x:v>2</x:v>
      </x:c>
      <x:c r="R653" s="11" t="str">
        <x:f>IF(OR(P653="",Q653=""),"",Q653-P653)</x:f>
      </x:c>
      <x:c r="S653" s="13" t="str">
        <x:f>IF(OR(P653="",Q653="",P653=0),"",((Q653/30)/(P653/31))-1)</x:f>
      </x:c>
      <x:c r="T653" s="11"/>
      <x:c r="U653" s="11" t="n">
        <x:v>497</x:v>
      </x:c>
      <x:c r="V653" s="14" t="n">
        <x:v>0.004024144869215292</x:v>
      </x:c>
      <x:c r="W653" s="12" t="n">
        <x:v>7.796780684104628</x:v>
      </x:c>
      <x:c r="X653" s="11" t="n">
        <x:v>3</x:v>
      </x:c>
      <x:c r="Y653" s="11" t="n">
        <x:v>3</x:v>
      </x:c>
      <x:c r="Z653" s="4"/>
      <x:c r="AA653" s="4" t="str">
        <x:v>https://blog.skyairline.com/estadio-nacional-santiago/</x:v>
      </x:c>
      <x:c r="AB653" s="4" t="str">
        <x:v>Coincidencia URL</x:v>
      </x:c>
      <x:c r="AC653" s="4" t="str">
        <x:v>Publicado hasta septiembre</x:v>
      </x:c>
      <x:c r="AD653" s="4" t="str">
        <x:v>/estadio-nacional-santiago/</x:v>
      </x:c>
      <x:c r="AE653" s="4"/>
      <x:c r="AF653" s="16" t="b">
        <x:v>0</x:v>
      </x:c>
    </x:row>
    <x:row r="654" ht="44" customHeight="1">
      <x:c r="A654" s="4" t="n">
        <x:v>9273</x:v>
      </x:c>
      <x:c r="B654" s="4" t="str">
        <x:v>https://blog.skyairline.com/teatro-del-lago/</x:v>
      </x:c>
      <x:c r="C654" s="9" t="str">
        <x:v>Teatro del Lago en Frutillar: el centro de la cultura en el sur de Chile</x:v>
      </x:c>
      <x:c r="D654" s="17" t="d">
        <x:v>2026-09-12T00:00:00.000Z</x:v>
      </x:c>
      <x:c r="E654" s="17" t="d">
        <x:v>2026-09-09T00:00:00.000Z</x:v>
      </x:c>
      <x:c r="F654" s="4" t="str">
        <x:v>Cultura</x:v>
      </x:c>
      <x:c r="G654" s="11" t="n">
        <x:v>1028</x:v>
      </x:c>
      <x:c r="H654" s="11" t="n">
        <x:v>200</x:v>
      </x:c>
      <x:c r="I654" s="11" t="n">
        <x:v>1</x:v>
      </x:c>
      <x:c r="J654" s="4" t="str">
        <x:v>https://blog.skyairline.com/teatro-del-lago/</x:v>
      </x:c>
      <x:c r="K654" s="16" t="b">
        <x:v>0</x:v>
      </x:c>
      <x:c r="L654" s="11" t="n">
        <x:v>0</x:v>
      </x:c>
      <x:c r="M654" s="11" t="n">
        <x:v>0</x:v>
      </x:c>
      <x:c r="N654" s="4"/>
      <x:c r="O654" s="4"/>
      <x:c r="P654" s="11"/>
      <x:c r="Q654" s="11" t="n">
        <x:v>2</x:v>
      </x:c>
      <x:c r="R654" s="11" t="str">
        <x:f>IF(OR(P654="",Q654=""),"",Q654-P654)</x:f>
      </x:c>
      <x:c r="S654" s="13" t="str">
        <x:f>IF(OR(P654="",Q654="",P654=0),"",((Q654/30)/(P654/31))-1)</x:f>
      </x:c>
      <x:c r="T654" s="11"/>
      <x:c r="U654" s="11" t="n">
        <x:v>225</x:v>
      </x:c>
      <x:c r="V654" s="14" t="n">
        <x:v>0.008888888888888889</x:v>
      </x:c>
      <x:c r="W654" s="12" t="n">
        <x:v>7.173333333333333</x:v>
      </x:c>
      <x:c r="X654" s="11" t="n">
        <x:v>2</x:v>
      </x:c>
      <x:c r="Y654" s="11" t="n">
        <x:v>3</x:v>
      </x:c>
      <x:c r="Z654" s="4"/>
      <x:c r="AA654" s="4" t="str">
        <x:v>https://blog.skyairline.com/teatro-del-lago/</x:v>
      </x:c>
      <x:c r="AB654" s="4" t="str">
        <x:v>Coincidencia URL</x:v>
      </x:c>
      <x:c r="AC654" s="4" t="str">
        <x:v>Publicado hasta septiembre</x:v>
      </x:c>
      <x:c r="AD654" s="4" t="str">
        <x:v>/teatro-del-lago/</x:v>
      </x:c>
      <x:c r="AE654" s="4"/>
      <x:c r="AF654" s="16" t="b">
        <x:v>0</x:v>
      </x:c>
    </x:row>
    <x:row r="655" ht="44" customHeight="1">
      <x:c r="A655" s="4" t="n">
        <x:v>9291</x:v>
      </x:c>
      <x:c r="B655" s="4" t="str">
        <x:v>https://blog.skyairline.com/petropolis/</x:v>
      </x:c>
      <x:c r="C655" s="9" t="str">
        <x:v>Guía turística de Petrópolis: qué ver en esta ciudad imperial de Brasil</x:v>
      </x:c>
      <x:c r="D655" s="17" t="d">
        <x:v>2026-09-16T00:00:00.000Z</x:v>
      </x:c>
      <x:c r="E655" s="17" t="d">
        <x:v>2026-09-09T00:00:00.000Z</x:v>
      </x:c>
      <x:c r="F655" s="4" t="str">
        <x:v>Destinos</x:v>
      </x:c>
      <x:c r="G655" s="11" t="n">
        <x:v>1014</x:v>
      </x:c>
      <x:c r="H655" s="11" t="n">
        <x:v>200</x:v>
      </x:c>
      <x:c r="I655" s="11" t="n">
        <x:v>1</x:v>
      </x:c>
      <x:c r="J655" s="4" t="str">
        <x:v>https://blog.skyairline.com/petropolis/</x:v>
      </x:c>
      <x:c r="K655" s="16" t="b">
        <x:v>0</x:v>
      </x:c>
      <x:c r="L655" s="11" t="n">
        <x:v>0</x:v>
      </x:c>
      <x:c r="M655" s="11" t="n">
        <x:v>0</x:v>
      </x:c>
      <x:c r="N655" s="4"/>
      <x:c r="O655" s="4"/>
      <x:c r="P655" s="11"/>
      <x:c r="Q655" s="11" t="n">
        <x:v>2</x:v>
      </x:c>
      <x:c r="R655" s="11" t="str">
        <x:f>IF(OR(P655="",Q655=""),"",Q655-P655)</x:f>
      </x:c>
      <x:c r="S655" s="13" t="str">
        <x:f>IF(OR(P655="",Q655="",P655=0),"",((Q655/30)/(P655/31))-1)</x:f>
      </x:c>
      <x:c r="T655" s="11"/>
      <x:c r="U655" s="11" t="n">
        <x:v>353</x:v>
      </x:c>
      <x:c r="V655" s="14" t="n">
        <x:v>0.0056657223796034</x:v>
      </x:c>
      <x:c r="W655" s="12" t="n">
        <x:v>10.186968838526912</x:v>
      </x:c>
      <x:c r="X655" s="11" t="n">
        <x:v>3</x:v>
      </x:c>
      <x:c r="Y655" s="11" t="n">
        <x:v>3</x:v>
      </x:c>
      <x:c r="Z655" s="4"/>
      <x:c r="AA655" s="4" t="str">
        <x:v>https://blog.skyairline.com/petropolis/</x:v>
      </x:c>
      <x:c r="AB655" s="4" t="str">
        <x:v>Coincidencia URL</x:v>
      </x:c>
      <x:c r="AC655" s="4" t="str">
        <x:v>Publicado hasta septiembre</x:v>
      </x:c>
      <x:c r="AD655" s="4" t="str">
        <x:v>/petropolis/</x:v>
      </x:c>
      <x:c r="AE655" s="4"/>
      <x:c r="AF655" s="16" t="b">
        <x:v>0</x:v>
      </x:c>
    </x:row>
    <x:row r="656" ht="44" customHeight="1">
      <x:c r="A656" s="4" t="n">
        <x:v>21</x:v>
      </x:c>
      <x:c r="B656" s="4" t="str">
        <x:v>https://blog.skyairline.com/aerolineas-mas-puntuales-del-mundo/</x:v>
      </x:c>
      <x:c r="C656" s="9" t="str">
        <x:v>7 características y servicios de las aerolíneas más puntuales del mundo</x:v>
      </x:c>
      <x:c r="D656" s="17" t="d">
        <x:v>2021-05-14T00:00:00.000Z</x:v>
      </x:c>
      <x:c r="E656" s="17" t="d">
        <x:v>2021-05-14T00:00:00.000Z</x:v>
      </x:c>
      <x:c r="F656" s="4" t="str">
        <x:v>Cultura</x:v>
      </x:c>
      <x:c r="G656" s="11" t="n">
        <x:v>1052</x:v>
      </x:c>
      <x:c r="H656" s="11" t="n">
        <x:v>200</x:v>
      </x:c>
      <x:c r="I656" s="11" t="n">
        <x:v>1</x:v>
      </x:c>
      <x:c r="J656" s="4" t="str">
        <x:v>https://blog.skyairline.com/aerolineas-mas-puntuales-del-mundo/</x:v>
      </x:c>
      <x:c r="K656" s="16" t="b">
        <x:v>0</x:v>
      </x:c>
      <x:c r="L656" s="11" t="n">
        <x:v>0</x:v>
      </x:c>
      <x:c r="M656" s="11" t="n">
        <x:v>0</x:v>
      </x:c>
      <x:c r="N656" s="4"/>
      <x:c r="O656" s="4"/>
      <x:c r="P656" s="11" t="n">
        <x:v>5</x:v>
      </x:c>
      <x:c r="Q656" s="11" t="n">
        <x:v>1</x:v>
      </x:c>
      <x:c r="R656" s="11" t="n">
        <x:f>IF(OR(P656="",Q656=""),"",Q656-P656)</x:f>
        <x:v>-4</x:v>
      </x:c>
      <x:c r="S656" s="13" t="n">
        <x:f>IF(OR(P656="",Q656="",P656=0),"",((Q656/30)/(P656/31))-1)</x:f>
        <x:v>-0.7933333333333333</x:v>
      </x:c>
      <x:c r="T656" s="11" t="n">
        <x:v>173</x:v>
      </x:c>
      <x:c r="U656" s="11" t="n">
        <x:v>185</x:v>
      </x:c>
      <x:c r="V656" s="14" t="n">
        <x:v>0.005405405405405406</x:v>
      </x:c>
      <x:c r="W656" s="12" t="n">
        <x:v>9.432432432432432</x:v>
      </x:c>
      <x:c r="X656" s="11" t="n">
        <x:v>3</x:v>
      </x:c>
      <x:c r="Y656" s="11" t="n">
        <x:v>3</x:v>
      </x:c>
      <x:c r="Z656" s="4" t="str">
        <x:v>https://blog.skyairline.com/aerolineas-mas-puntuales-del-mundo/</x:v>
      </x:c>
      <x:c r="AA656" s="4" t="str">
        <x:v>https://blog.skyairline.com/aerolineas-mas-puntuales-del-mundo/</x:v>
      </x:c>
      <x:c r="AB656" s="4" t="str">
        <x:v>Coincidencia URL</x:v>
      </x:c>
      <x:c r="AC656" s="4" t="str">
        <x:v>Publicado hasta septiembre</x:v>
      </x:c>
      <x:c r="AD656" s="4" t="str">
        <x:v>/aerolineas-mas-puntuales-del-mundo/</x:v>
      </x:c>
      <x:c r="AE656" s="4"/>
      <x:c r="AF656" s="16" t="b">
        <x:v>0</x:v>
      </x:c>
    </x:row>
    <x:row r="657" ht="44" customHeight="1">
      <x:c r="A657" s="4" t="n">
        <x:v>81</x:v>
      </x:c>
      <x:c r="B657" s="4" t="str">
        <x:v>https://blog.skyairline.com/viajar-a-otro-pais/</x:v>
      </x:c>
      <x:c r="C657" s="9" t="str">
        <x:v>Viajar a otro país: ¿Qué esperar de esta experiencia?</x:v>
      </x:c>
      <x:c r="D657" s="17" t="d">
        <x:v>2022-01-29T00:00:00.000Z</x:v>
      </x:c>
      <x:c r="E657" s="17" t="d">
        <x:v>2022-01-29T00:00:00.000Z</x:v>
      </x:c>
      <x:c r="F657" s="4" t="str">
        <x:v>Planificación de Viaje</x:v>
      </x:c>
      <x:c r="G657" s="11" t="n">
        <x:v>2017</x:v>
      </x:c>
      <x:c r="H657" s="11" t="n">
        <x:v>200</x:v>
      </x:c>
      <x:c r="I657" s="11" t="n">
        <x:v>1</x:v>
      </x:c>
      <x:c r="J657" s="4" t="str">
        <x:v>https://blog.skyairline.com/viajar-a-otro-pais/</x:v>
      </x:c>
      <x:c r="K657" s="16" t="b">
        <x:v>0</x:v>
      </x:c>
      <x:c r="L657" s="11" t="n">
        <x:v>0</x:v>
      </x:c>
      <x:c r="M657" s="11" t="n">
        <x:v>4</x:v>
      </x:c>
      <x:c r="N657" s="4"/>
      <x:c r="O657" s="4"/>
      <x:c r="P657" s="11" t="n">
        <x:v>1</x:v>
      </x:c>
      <x:c r="Q657" s="11" t="n">
        <x:v>1</x:v>
      </x:c>
      <x:c r="R657" s="11" t="n">
        <x:f>IF(OR(P657="",Q657=""),"",Q657-P657)</x:f>
        <x:v>0</x:v>
      </x:c>
      <x:c r="S657" s="13" t="n">
        <x:f>IF(OR(P657="",Q657="",P657=0),"",((Q657/30)/(P657/31))-1)</x:f>
        <x:v>0.03333333333333344</x:v>
      </x:c>
      <x:c r="T657" s="11" t="n">
        <x:v>144</x:v>
      </x:c>
      <x:c r="U657" s="11" t="n">
        <x:v>128</x:v>
      </x:c>
      <x:c r="V657" s="14" t="n">
        <x:v>0.0078125</x:v>
      </x:c>
      <x:c r="W657" s="12" t="n">
        <x:v>11.09375</x:v>
      </x:c>
      <x:c r="X657" s="11"/>
      <x:c r="Y657" s="11"/>
      <x:c r="Z657" s="4" t="str">
        <x:v>https://blog.skyairline.com/viajar-a-otro-pais/</x:v>
      </x:c>
      <x:c r="AA657" s="4" t="str">
        <x:v>https://blog.skyairline.com/viajar-a-otro-pais/</x:v>
      </x:c>
      <x:c r="AB657" s="4" t="str">
        <x:v>Coincidencia URL</x:v>
      </x:c>
      <x:c r="AC657" s="4" t="str">
        <x:v>Publicado hasta septiembre</x:v>
      </x:c>
      <x:c r="AD657" s="4"/>
      <x:c r="AE657" s="4"/>
      <x:c r="AF657" s="16" t="b">
        <x:v>0</x:v>
      </x:c>
    </x:row>
    <x:row r="658" ht="44" customHeight="1">
      <x:c r="A658" s="4" t="n">
        <x:v>84</x:v>
      </x:c>
      <x:c r="B658" s="4" t="str">
        <x:v>https://blog.skyairline.com/lugares-para-visitar-en-san-pedro/</x:v>
      </x:c>
      <x:c r="C658" s="9" t="str">
        <x:v>Lugares para visitar en San Pedro que no puedes perderte</x:v>
      </x:c>
      <x:c r="D658" s="17" t="d">
        <x:v>2021-06-24T00:00:00.000Z</x:v>
      </x:c>
      <x:c r="E658" s="17" t="d">
        <x:v>2021-06-24T00:00:00.000Z</x:v>
      </x:c>
      <x:c r="F658" s="4" t="str">
        <x:v>Destinos</x:v>
      </x:c>
      <x:c r="G658" s="11" t="n">
        <x:v>1042</x:v>
      </x:c>
      <x:c r="H658" s="11" t="n">
        <x:v>200</x:v>
      </x:c>
      <x:c r="I658" s="11" t="n">
        <x:v>1</x:v>
      </x:c>
      <x:c r="J658" s="4" t="str">
        <x:v>https://blog.skyairline.com/lugares-para-visitar-en-san-pedro/</x:v>
      </x:c>
      <x:c r="K658" s="16" t="b">
        <x:v>0</x:v>
      </x:c>
      <x:c r="L658" s="11" t="n">
        <x:v>0</x:v>
      </x:c>
      <x:c r="M658" s="11" t="n">
        <x:v>0</x:v>
      </x:c>
      <x:c r="N658" s="4"/>
      <x:c r="O658" s="4"/>
      <x:c r="P658" s="11" t="n">
        <x:v>0</x:v>
      </x:c>
      <x:c r="Q658" s="11" t="n">
        <x:v>1</x:v>
      </x:c>
      <x:c r="R658" s="11" t="str">
        <x:f>IF(OR(P658="",Q658=""),"",Q658-P658)</x:f>
      </x:c>
      <x:c r="S658" s="13" t="str">
        <x:f>IF(OR(P658="",Q658="",P658=0),"",((Q658/30)/(P658/31))-1)</x:f>
      </x:c>
      <x:c r="T658" s="11" t="n">
        <x:v>211</x:v>
      </x:c>
      <x:c r="U658" s="11" t="n">
        <x:v>179</x:v>
      </x:c>
      <x:c r="V658" s="14" t="n">
        <x:v>0.00558659217877095</x:v>
      </x:c>
      <x:c r="W658" s="12" t="n">
        <x:v>21.51396648044693</x:v>
      </x:c>
      <x:c r="X658" s="11" t="n">
        <x:v>2</x:v>
      </x:c>
      <x:c r="Y658" s="11" t="n">
        <x:v>1</x:v>
      </x:c>
      <x:c r="Z658" s="4" t="str">
        <x:v>https://blog.skyairline.com/lugares-para-visitar-en-san-pedro/</x:v>
      </x:c>
      <x:c r="AA658" s="4" t="str">
        <x:v>https://blog.skyairline.com/lugares-para-visitar-en-san-pedro/</x:v>
      </x:c>
      <x:c r="AB658" s="4" t="str">
        <x:v>Coincidencia URL</x:v>
      </x:c>
      <x:c r="AC658" s="4" t="str">
        <x:v>Publicado hasta septiembre</x:v>
      </x:c>
      <x:c r="AD658" s="4" t="str">
        <x:v>/lugares-para-visitar-en-san-pedro/</x:v>
      </x:c>
      <x:c r="AE658" s="4"/>
      <x:c r="AF658" s="16" t="b">
        <x:v>0</x:v>
      </x:c>
    </x:row>
    <x:row r="659" ht="44" customHeight="1">
      <x:c r="A659" s="4" t="n">
        <x:v>119</x:v>
      </x:c>
      <x:c r="B659" s="4" t="str">
        <x:v>https://blog.skyairline.com/hacer-maleta/</x:v>
      </x:c>
      <x:c r="C659" s="9" t="str">
        <x:v>7 tips para hacer la maleta de tu próximo viaje como un verdadero experto</x:v>
      </x:c>
      <x:c r="D659" s="17" t="d">
        <x:v>2021-07-18T00:00:00.000Z</x:v>
      </x:c>
      <x:c r="E659" s="17" t="d">
        <x:v>2021-07-18T00:00:00.000Z</x:v>
      </x:c>
      <x:c r="F659" s="4" t="str">
        <x:v>Planificación de Viaje</x:v>
      </x:c>
      <x:c r="G659" s="11" t="n">
        <x:v>974</x:v>
      </x:c>
      <x:c r="H659" s="11" t="n">
        <x:v>200</x:v>
      </x:c>
      <x:c r="I659" s="11" t="n">
        <x:v>1</x:v>
      </x:c>
      <x:c r="J659" s="4" t="str">
        <x:v>https://blog.skyairline.com/hacer-maleta/</x:v>
      </x:c>
      <x:c r="K659" s="16" t="b">
        <x:v>0</x:v>
      </x:c>
      <x:c r="L659" s="11" t="n">
        <x:v>0</x:v>
      </x:c>
      <x:c r="M659" s="11" t="n">
        <x:v>0</x:v>
      </x:c>
      <x:c r="N659" s="4"/>
      <x:c r="O659" s="4"/>
      <x:c r="P659" s="11" t="n">
        <x:v>0</x:v>
      </x:c>
      <x:c r="Q659" s="11" t="n">
        <x:v>1</x:v>
      </x:c>
      <x:c r="R659" s="11" t="str">
        <x:f>IF(OR(P659="",Q659=""),"",Q659-P659)</x:f>
      </x:c>
      <x:c r="S659" s="13" t="str">
        <x:f>IF(OR(P659="",Q659="",P659=0),"",((Q659/30)/(P659/31))-1)</x:f>
      </x:c>
      <x:c r="T659" s="11" t="n">
        <x:v>530</x:v>
      </x:c>
      <x:c r="U659" s="11" t="n">
        <x:v>473</x:v>
      </x:c>
      <x:c r="V659" s="14" t="n">
        <x:v>0.0021141649048625794</x:v>
      </x:c>
      <x:c r="W659" s="12" t="n">
        <x:v>44.59408033826639</x:v>
      </x:c>
      <x:c r="X659" s="11" t="n">
        <x:v>3</x:v>
      </x:c>
      <x:c r="Y659" s="11" t="n">
        <x:v>2</x:v>
      </x:c>
      <x:c r="Z659" s="4" t="str">
        <x:v>https://blog.skyairline.com/hacer-maleta/</x:v>
      </x:c>
      <x:c r="AA659" s="4" t="str">
        <x:v>https://blog.skyairline.com/hacer-maleta/</x:v>
      </x:c>
      <x:c r="AB659" s="4" t="str">
        <x:v>Coincidencia URL</x:v>
      </x:c>
      <x:c r="AC659" s="4" t="str">
        <x:v>Publicado hasta septiembre</x:v>
      </x:c>
      <x:c r="AD659" s="4" t="str">
        <x:v>/hacer-maleta/</x:v>
      </x:c>
      <x:c r="AE659" s="4"/>
      <x:c r="AF659" s="16" t="b">
        <x:v>0</x:v>
      </x:c>
    </x:row>
    <x:row r="660" ht="44" customHeight="1">
      <x:c r="A660" s="4" t="n">
        <x:v>125</x:v>
      </x:c>
      <x:c r="B660" s="4" t="str">
        <x:v>https://blog.skyairline.com/viajar-a-brasil/</x:v>
      </x:c>
      <x:c r="C660" s="9" t="str">
        <x:v>Viajar a Brasil en 2026: destinos, documentos y consejos para planificar</x:v>
      </x:c>
      <x:c r="D660" s="17" t="d">
        <x:v>2026-03-23T00:00:00.000Z</x:v>
      </x:c>
      <x:c r="E660" s="17" t="d">
        <x:v>2026-03-20T00:00:00.000Z</x:v>
      </x:c>
      <x:c r="F660" s="4" t="str">
        <x:v>Destinos</x:v>
      </x:c>
      <x:c r="G660" s="11" t="n">
        <x:v>1006</x:v>
      </x:c>
      <x:c r="H660" s="11" t="n">
        <x:v>200</x:v>
      </x:c>
      <x:c r="I660" s="11" t="n">
        <x:v>1</x:v>
      </x:c>
      <x:c r="J660" s="4" t="str">
        <x:v>https://blog.skyairline.com/viajar-a-brasil/</x:v>
      </x:c>
      <x:c r="K660" s="16" t="b">
        <x:v>0</x:v>
      </x:c>
      <x:c r="L660" s="11" t="n">
        <x:v>0</x:v>
      </x:c>
      <x:c r="M660" s="11" t="n">
        <x:v>0</x:v>
      </x:c>
      <x:c r="N660" s="4"/>
      <x:c r="O660" s="4"/>
      <x:c r="P660" s="11" t="n">
        <x:v>1</x:v>
      </x:c>
      <x:c r="Q660" s="11" t="n">
        <x:v>1</x:v>
      </x:c>
      <x:c r="R660" s="11" t="n">
        <x:f>IF(OR(P660="",Q660=""),"",Q660-P660)</x:f>
        <x:v>0</x:v>
      </x:c>
      <x:c r="S660" s="13" t="n">
        <x:f>IF(OR(P660="",Q660="",P660=0),"",((Q660/30)/(P660/31))-1)</x:f>
        <x:v>0.03333333333333344</x:v>
      </x:c>
      <x:c r="T660" s="11" t="n">
        <x:v>373</x:v>
      </x:c>
      <x:c r="U660" s="11" t="n">
        <x:v>50</x:v>
      </x:c>
      <x:c r="V660" s="14" t="n">
        <x:v>0.02</x:v>
      </x:c>
      <x:c r="W660" s="12" t="n">
        <x:v>12.02</x:v>
      </x:c>
      <x:c r="X660" s="11" t="n">
        <x:v>1</x:v>
      </x:c>
      <x:c r="Y660" s="11" t="n">
        <x:v>1</x:v>
      </x:c>
      <x:c r="Z660" s="4" t="str">
        <x:v>https://blog.skyairline.com/viajar-a-brasil/</x:v>
      </x:c>
      <x:c r="AA660" s="4" t="str">
        <x:v>https://blog.skyairline.com/viajar-a-brasil/</x:v>
      </x:c>
      <x:c r="AB660" s="4" t="str">
        <x:v>Coincidencia URL</x:v>
      </x:c>
      <x:c r="AC660" s="4" t="str">
        <x:v>Publicado hasta septiembre</x:v>
      </x:c>
      <x:c r="AD660" s="4" t="str">
        <x:v>/viajar-a-brasil/</x:v>
      </x:c>
      <x:c r="AE660" s="4"/>
      <x:c r="AF660" s="16" t="b">
        <x:v>0</x:v>
      </x:c>
    </x:row>
    <x:row r="661" ht="44" customHeight="1">
      <x:c r="A661" s="4" t="n">
        <x:v>462</x:v>
      </x:c>
      <x:c r="B661" s="4" t="str">
        <x:v>https://blog.skyairline.com/contacto-con-la-naturaleza/</x:v>
      </x:c>
      <x:c r="C661" s="9" t="str">
        <x:v>Consejos, beneficios y escapadas a paisajes naturales</x:v>
      </x:c>
      <x:c r="D661" s="17" t="d">
        <x:v>2026-03-02T00:00:00.000Z</x:v>
      </x:c>
      <x:c r="E661" s="17" t="d">
        <x:v>2026-03-02T00:00:00.000Z</x:v>
      </x:c>
      <x:c r="F661" s="4" t="str">
        <x:v>Cultura</x:v>
      </x:c>
      <x:c r="G661" s="11" t="n">
        <x:v>1007</x:v>
      </x:c>
      <x:c r="H661" s="11" t="n">
        <x:v>200</x:v>
      </x:c>
      <x:c r="I661" s="11" t="n">
        <x:v>1</x:v>
      </x:c>
      <x:c r="J661" s="4" t="str">
        <x:v>https://blog.skyairline.com/contacto-con-la-naturaleza/</x:v>
      </x:c>
      <x:c r="K661" s="16" t="b">
        <x:v>0</x:v>
      </x:c>
      <x:c r="L661" s="11" t="n">
        <x:v>0</x:v>
      </x:c>
      <x:c r="M661" s="11" t="n">
        <x:v>0</x:v>
      </x:c>
      <x:c r="N661" s="4"/>
      <x:c r="O661" s="4"/>
      <x:c r="P661" s="11" t="n">
        <x:v>0</x:v>
      </x:c>
      <x:c r="Q661" s="11" t="n">
        <x:v>1</x:v>
      </x:c>
      <x:c r="R661" s="11" t="str">
        <x:f>IF(OR(P661="",Q661=""),"",Q661-P661)</x:f>
      </x:c>
      <x:c r="S661" s="13" t="str">
        <x:f>IF(OR(P661="",Q661="",P661=0),"",((Q661/30)/(P661/31))-1)</x:f>
      </x:c>
      <x:c r="T661" s="11" t="n">
        <x:v>37</x:v>
      </x:c>
      <x:c r="U661" s="11" t="n">
        <x:v>9</x:v>
      </x:c>
      <x:c r="V661" s="14" t="n">
        <x:v>0.1111111111111111</x:v>
      </x:c>
      <x:c r="W661" s="12" t="n">
        <x:v>7.777777777777778</x:v>
      </x:c>
      <x:c r="X661" s="11"/>
      <x:c r="Y661" s="11"/>
      <x:c r="Z661" s="4" t="str">
        <x:v>https://blog.skyairline.com/contacto-con-la-naturaleza/</x:v>
      </x:c>
      <x:c r="AA661" s="4" t="str">
        <x:v>https://blog.skyairline.com/contacto-con-la-naturaleza/</x:v>
      </x:c>
      <x:c r="AB661" s="4" t="str">
        <x:v>Coincidencia URL</x:v>
      </x:c>
      <x:c r="AC661" s="4" t="str">
        <x:v>Publicado hasta septiembre</x:v>
      </x:c>
      <x:c r="AD661" s="4"/>
      <x:c r="AE661" s="4"/>
      <x:c r="AF661" s="16" t="b">
        <x:v>0</x:v>
      </x:c>
    </x:row>
    <x:row r="662" ht="44" customHeight="1">
      <x:c r="A662" s="4" t="n">
        <x:v>618</x:v>
      </x:c>
      <x:c r="B662" s="4" t="str">
        <x:v>https://blog.skyairline.com/actividades-culturales-en-lima/</x:v>
      </x:c>
      <x:c r="C662" s="9" t="str">
        <x:v>5 actividades culturales en Lima que no te puedes perder</x:v>
      </x:c>
      <x:c r="D662" s="17" t="d">
        <x:v>2021-07-30T00:00:00.000Z</x:v>
      </x:c>
      <x:c r="E662" s="17" t="d">
        <x:v>2021-07-30T00:00:00.000Z</x:v>
      </x:c>
      <x:c r="F662" s="4" t="str">
        <x:v>Cultura</x:v>
      </x:c>
      <x:c r="G662" s="11" t="n">
        <x:v>1004</x:v>
      </x:c>
      <x:c r="H662" s="11" t="n">
        <x:v>200</x:v>
      </x:c>
      <x:c r="I662" s="11" t="n">
        <x:v>1</x:v>
      </x:c>
      <x:c r="J662" s="4" t="str">
        <x:v>https://blog.skyairline.com/actividades-culturales-en-lima/</x:v>
      </x:c>
      <x:c r="K662" s="16" t="b">
        <x:v>0</x:v>
      </x:c>
      <x:c r="L662" s="11" t="n">
        <x:v>0</x:v>
      </x:c>
      <x:c r="M662" s="11" t="n">
        <x:v>0</x:v>
      </x:c>
      <x:c r="N662" s="4"/>
      <x:c r="O662" s="4"/>
      <x:c r="P662" s="11" t="n">
        <x:v>0</x:v>
      </x:c>
      <x:c r="Q662" s="11" t="n">
        <x:v>1</x:v>
      </x:c>
      <x:c r="R662" s="11" t="str">
        <x:f>IF(OR(P662="",Q662=""),"",Q662-P662)</x:f>
      </x:c>
      <x:c r="S662" s="13" t="str">
        <x:f>IF(OR(P662="",Q662="",P662=0),"",((Q662/30)/(P662/31))-1)</x:f>
      </x:c>
      <x:c r="T662" s="11" t="n">
        <x:v>131</x:v>
      </x:c>
      <x:c r="U662" s="11" t="n">
        <x:v>141</x:v>
      </x:c>
      <x:c r="V662" s="14" t="n">
        <x:v>0.0070921985815602835</x:v>
      </x:c>
      <x:c r="W662" s="12" t="n">
        <x:v>14.46808510638298</x:v>
      </x:c>
      <x:c r="X662" s="11" t="n">
        <x:v>1</x:v>
      </x:c>
      <x:c r="Y662" s="11" t="n">
        <x:v>1</x:v>
      </x:c>
      <x:c r="Z662" s="4" t="str">
        <x:v>https://blog.skyairline.com/actividades-culturales-en-lima/</x:v>
      </x:c>
      <x:c r="AA662" s="4" t="str">
        <x:v>https://blog.skyairline.com/actividades-culturales-en-lima/</x:v>
      </x:c>
      <x:c r="AB662" s="4" t="str">
        <x:v>Coincidencia URL</x:v>
      </x:c>
      <x:c r="AC662" s="4" t="str">
        <x:v>Publicado hasta septiembre</x:v>
      </x:c>
      <x:c r="AD662" s="4" t="str">
        <x:v>/actividades-culturales-en-lima/</x:v>
      </x:c>
      <x:c r="AE662" s="4"/>
      <x:c r="AF662" s="16" t="b">
        <x:v>0</x:v>
      </x:c>
    </x:row>
    <x:row r="663" ht="44" customHeight="1">
      <x:c r="A663" s="4" t="n">
        <x:v>621</x:v>
      </x:c>
      <x:c r="B663" s="4" t="str">
        <x:v>https://blog.skyairline.com/aplicaciones-para-viajar/</x:v>
      </x:c>
      <x:c r="C663" s="9" t="str">
        <x:v>Estas son las 17 mejores aplicaciones para viajar</x:v>
      </x:c>
      <x:c r="D663" s="17" t="d">
        <x:v>2021-07-31T00:00:00.000Z</x:v>
      </x:c>
      <x:c r="E663" s="17" t="d">
        <x:v>2021-07-31T00:00:00.000Z</x:v>
      </x:c>
      <x:c r="F663" s="4" t="str">
        <x:v>Planificación de Viaje</x:v>
      </x:c>
      <x:c r="G663" s="11" t="n">
        <x:v>1102</x:v>
      </x:c>
      <x:c r="H663" s="11" t="n">
        <x:v>200</x:v>
      </x:c>
      <x:c r="I663" s="11" t="n">
        <x:v>1</x:v>
      </x:c>
      <x:c r="J663" s="4" t="str">
        <x:v>https://blog.skyairline.com/aplicaciones-para-viajar/</x:v>
      </x:c>
      <x:c r="K663" s="16" t="b">
        <x:v>0</x:v>
      </x:c>
      <x:c r="L663" s="11" t="n">
        <x:v>0</x:v>
      </x:c>
      <x:c r="M663" s="11" t="n">
        <x:v>1</x:v>
      </x:c>
      <x:c r="N663" s="4"/>
      <x:c r="O663" s="4"/>
      <x:c r="P663" s="11" t="n">
        <x:v>1</x:v>
      </x:c>
      <x:c r="Q663" s="11" t="n">
        <x:v>1</x:v>
      </x:c>
      <x:c r="R663" s="11" t="n">
        <x:f>IF(OR(P663="",Q663=""),"",Q663-P663)</x:f>
        <x:v>0</x:v>
      </x:c>
      <x:c r="S663" s="13" t="n">
        <x:f>IF(OR(P663="",Q663="",P663=0),"",((Q663/30)/(P663/31))-1)</x:f>
        <x:v>0.03333333333333344</x:v>
      </x:c>
      <x:c r="T663" s="11" t="n">
        <x:v>270</x:v>
      </x:c>
      <x:c r="U663" s="11" t="n">
        <x:v>273</x:v>
      </x:c>
      <x:c r="V663" s="14" t="n">
        <x:v>0.003663003663003663</x:v>
      </x:c>
      <x:c r="W663" s="12" t="n">
        <x:v>26.032967032967033</x:v>
      </x:c>
      <x:c r="X663" s="11" t="n">
        <x:v>6</x:v>
      </x:c>
      <x:c r="Y663" s="11" t="n">
        <x:v>9</x:v>
      </x:c>
      <x:c r="Z663" s="4" t="str">
        <x:v>https://blog.skyairline.com/aplicaciones-para-viajar/</x:v>
      </x:c>
      <x:c r="AA663" s="4" t="str">
        <x:v>https://blog.skyairline.com/aplicaciones-para-viajar/</x:v>
      </x:c>
      <x:c r="AB663" s="4" t="str">
        <x:v>Coincidencia URL</x:v>
      </x:c>
      <x:c r="AC663" s="4" t="str">
        <x:v>Publicado hasta septiembre</x:v>
      </x:c>
      <x:c r="AD663" s="4" t="str">
        <x:v>/aplicaciones-para-viajar/</x:v>
      </x:c>
      <x:c r="AE663" s="4"/>
      <x:c r="AF663" s="16" t="b">
        <x:v>0</x:v>
      </x:c>
    </x:row>
    <x:row r="664" ht="44" customHeight="1">
      <x:c r="A664" s="4" t="n">
        <x:v>651</x:v>
      </x:c>
      <x:c r="B664" s="4" t="str">
        <x:v>https://blog.skyairline.com/diversion-en-familia/</x:v>
      </x:c>
      <x:c r="C664" s="9" t="str">
        <x:v>10 actividades que conviene incluir en el presupuesto familiar para diversión</x:v>
      </x:c>
      <x:c r="D664" s="17" t="d">
        <x:v>2021-08-09T00:00:00.000Z</x:v>
      </x:c>
      <x:c r="E664" s="17" t="d">
        <x:v>2021-08-09T00:00:00.000Z</x:v>
      </x:c>
      <x:c r="F664" s="4" t="str">
        <x:v>Cultura</x:v>
      </x:c>
      <x:c r="G664" s="11" t="n">
        <x:v>980</x:v>
      </x:c>
      <x:c r="H664" s="11" t="n">
        <x:v>200</x:v>
      </x:c>
      <x:c r="I664" s="11" t="n">
        <x:v>1</x:v>
      </x:c>
      <x:c r="J664" s="4" t="str">
        <x:v>https://blog.skyairline.com/diversion-en-familia/</x:v>
      </x:c>
      <x:c r="K664" s="16" t="b">
        <x:v>0</x:v>
      </x:c>
      <x:c r="L664" s="11" t="n">
        <x:v>0</x:v>
      </x:c>
      <x:c r="M664" s="11" t="n">
        <x:v>0</x:v>
      </x:c>
      <x:c r="N664" s="4"/>
      <x:c r="O664" s="4"/>
      <x:c r="P664" s="11" t="n">
        <x:v>0</x:v>
      </x:c>
      <x:c r="Q664" s="11" t="n">
        <x:v>1</x:v>
      </x:c>
      <x:c r="R664" s="11" t="str">
        <x:f>IF(OR(P664="",Q664=""),"",Q664-P664)</x:f>
      </x:c>
      <x:c r="S664" s="13" t="str">
        <x:f>IF(OR(P664="",Q664="",P664=0),"",((Q664/30)/(P664/31))-1)</x:f>
      </x:c>
      <x:c r="T664" s="11" t="n">
        <x:v>225</x:v>
      </x:c>
      <x:c r="U664" s="11" t="n">
        <x:v>150</x:v>
      </x:c>
      <x:c r="V664" s="14" t="n">
        <x:v>0.006666666666666667</x:v>
      </x:c>
      <x:c r="W664" s="12" t="n">
        <x:v>19.706666666666667</x:v>
      </x:c>
      <x:c r="X664" s="11" t="n">
        <x:v>1</x:v>
      </x:c>
      <x:c r="Y664" s="11" t="n">
        <x:v>1</x:v>
      </x:c>
      <x:c r="Z664" s="4" t="str">
        <x:v>https://blog.skyairline.com/diversion-en-familia/</x:v>
      </x:c>
      <x:c r="AA664" s="4" t="str">
        <x:v>https://blog.skyairline.com/diversion-en-familia/</x:v>
      </x:c>
      <x:c r="AB664" s="4" t="str">
        <x:v>Coincidencia URL</x:v>
      </x:c>
      <x:c r="AC664" s="4" t="str">
        <x:v>Publicado hasta septiembre</x:v>
      </x:c>
      <x:c r="AD664" s="4" t="str">
        <x:v>/diversion-en-familia/</x:v>
      </x:c>
      <x:c r="AE664" s="4"/>
      <x:c r="AF664" s="16" t="b">
        <x:v>0</x:v>
      </x:c>
    </x:row>
    <x:row r="665" ht="44" customHeight="1">
      <x:c r="A665" s="4" t="n">
        <x:v>654</x:v>
      </x:c>
      <x:c r="B665" s="4" t="str">
        <x:v>https://blog.skyairline.com/guias-turisticas/</x:v>
      </x:c>
      <x:c r="C665" s="9" t="str">
        <x:v>Guías turísticas: ventajas e inconvenientes que debes tener presente</x:v>
      </x:c>
      <x:c r="D665" s="17" t="d">
        <x:v>2021-08-10T00:00:00.000Z</x:v>
      </x:c>
      <x:c r="E665" s="17" t="d">
        <x:v>2021-08-10T00:00:00.000Z</x:v>
      </x:c>
      <x:c r="F665" s="4" t="str">
        <x:v>Oportunidades</x:v>
      </x:c>
      <x:c r="G665" s="11" t="n">
        <x:v>982</x:v>
      </x:c>
      <x:c r="H665" s="11" t="n">
        <x:v>200</x:v>
      </x:c>
      <x:c r="I665" s="11" t="n">
        <x:v>1</x:v>
      </x:c>
      <x:c r="J665" s="4" t="str">
        <x:v>https://blog.skyairline.com/guias-turisticas/</x:v>
      </x:c>
      <x:c r="K665" s="16" t="b">
        <x:v>0</x:v>
      </x:c>
      <x:c r="L665" s="11" t="n">
        <x:v>0</x:v>
      </x:c>
      <x:c r="M665" s="11" t="n">
        <x:v>3</x:v>
      </x:c>
      <x:c r="N665" s="4"/>
      <x:c r="O665" s="4"/>
      <x:c r="P665" s="11" t="n">
        <x:v>1</x:v>
      </x:c>
      <x:c r="Q665" s="11" t="n">
        <x:v>1</x:v>
      </x:c>
      <x:c r="R665" s="11" t="n">
        <x:f>IF(OR(P665="",Q665=""),"",Q665-P665)</x:f>
        <x:v>0</x:v>
      </x:c>
      <x:c r="S665" s="13" t="n">
        <x:f>IF(OR(P665="",Q665="",P665=0),"",((Q665/30)/(P665/31))-1)</x:f>
        <x:v>0.03333333333333344</x:v>
      </x:c>
      <x:c r="T665" s="11" t="n">
        <x:v>626</x:v>
      </x:c>
      <x:c r="U665" s="11" t="n">
        <x:v>518</x:v>
      </x:c>
      <x:c r="V665" s="14" t="n">
        <x:v>0.0019305019305019305</x:v>
      </x:c>
      <x:c r="W665" s="12" t="n">
        <x:v>8.08880308880309</x:v>
      </x:c>
      <x:c r="X665" s="11" t="n">
        <x:v>3</x:v>
      </x:c>
      <x:c r="Y665" s="11" t="n">
        <x:v>3</x:v>
      </x:c>
      <x:c r="Z665" s="4" t="str">
        <x:v>https://blog.skyairline.com/guias-turisticas/</x:v>
      </x:c>
      <x:c r="AA665" s="4" t="str">
        <x:v>https://blog.skyairline.com/guias-turisticas/</x:v>
      </x:c>
      <x:c r="AB665" s="4" t="str">
        <x:v>Coincidencia URL</x:v>
      </x:c>
      <x:c r="AC665" s="4" t="str">
        <x:v>Publicado hasta septiembre</x:v>
      </x:c>
      <x:c r="AD665" s="4" t="str">
        <x:v>/guias-turisticas/</x:v>
      </x:c>
      <x:c r="AE665" s="4"/>
      <x:c r="AF665" s="16" t="b">
        <x:v>0</x:v>
      </x:c>
    </x:row>
    <x:row r="666" ht="44" customHeight="1">
      <x:c r="A666" s="4" t="n">
        <x:v>661</x:v>
      </x:c>
      <x:c r="B666" s="4" t="str">
        <x:v>https://blog.skyairline.com/viajar-puerto-montt/</x:v>
      </x:c>
      <x:c r="C666" s="9" t="str">
        <x:v>Viajar a Puerto Montt: las mejores cosas que puedes hacer</x:v>
      </x:c>
      <x:c r="D666" s="17" t="d">
        <x:v>2024-10-23T00:00:00.000Z</x:v>
      </x:c>
      <x:c r="E666" s="17" t="d">
        <x:v>2024-10-23T00:00:00.000Z</x:v>
      </x:c>
      <x:c r="F666" s="4" t="str">
        <x:v>Destinos</x:v>
      </x:c>
      <x:c r="G666" s="11" t="n">
        <x:v>2233</x:v>
      </x:c>
      <x:c r="H666" s="11" t="n">
        <x:v>200</x:v>
      </x:c>
      <x:c r="I666" s="11" t="n">
        <x:v>1</x:v>
      </x:c>
      <x:c r="J666" s="4" t="str">
        <x:v>https://blog.skyairline.com/viajar-puerto-montt/</x:v>
      </x:c>
      <x:c r="K666" s="16" t="b">
        <x:v>0</x:v>
      </x:c>
      <x:c r="L666" s="11" t="n">
        <x:v>0</x:v>
      </x:c>
      <x:c r="M666" s="11" t="n">
        <x:v>3</x:v>
      </x:c>
      <x:c r="N666" s="4"/>
      <x:c r="O666" s="4"/>
      <x:c r="P666" s="11" t="n">
        <x:v>1</x:v>
      </x:c>
      <x:c r="Q666" s="11" t="n">
        <x:v>1</x:v>
      </x:c>
      <x:c r="R666" s="11" t="n">
        <x:f>IF(OR(P666="",Q666=""),"",Q666-P666)</x:f>
        <x:v>0</x:v>
      </x:c>
      <x:c r="S666" s="13" t="n">
        <x:f>IF(OR(P666="",Q666="",P666=0),"",((Q666/30)/(P666/31))-1)</x:f>
        <x:v>0.03333333333333344</x:v>
      </x:c>
      <x:c r="T666" s="11" t="n">
        <x:v>365</x:v>
      </x:c>
      <x:c r="U666" s="11" t="n">
        <x:v>253</x:v>
      </x:c>
      <x:c r="V666" s="14" t="n">
        <x:v>0.003952569169960474</x:v>
      </x:c>
      <x:c r="W666" s="12" t="n">
        <x:v>30.324110671936758</x:v>
      </x:c>
      <x:c r="X666" s="11" t="n">
        <x:v>2</x:v>
      </x:c>
      <x:c r="Y666" s="11" t="n">
        <x:v>2</x:v>
      </x:c>
      <x:c r="Z666" s="4" t="str">
        <x:v>https://blog.skyairline.com/viajar-puerto-montt/</x:v>
      </x:c>
      <x:c r="AA666" s="4" t="str">
        <x:v>https://blog.skyairline.com/viajar-puerto-montt/</x:v>
      </x:c>
      <x:c r="AB666" s="4" t="str">
        <x:v>Coincidencia URL</x:v>
      </x:c>
      <x:c r="AC666" s="4" t="str">
        <x:v>Publicado hasta septiembre</x:v>
      </x:c>
      <x:c r="AD666" s="4" t="str">
        <x:v>/viajar-puerto-montt/</x:v>
      </x:c>
      <x:c r="AE666" s="4"/>
      <x:c r="AF666" s="16" t="b">
        <x:v>1</x:v>
      </x:c>
    </x:row>
    <x:row r="667" ht="44" customHeight="1">
      <x:c r="A667" s="4" t="n">
        <x:v>709</x:v>
      </x:c>
      <x:c r="B667" s="4" t="str">
        <x:v>https://blog.skyairline.com/turismo-en-el-sur-de-chile/</x:v>
      </x:c>
      <x:c r="C667" s="9" t="str">
        <x:v>Turismo en el sur de Chile: ¡descubre las mejores opciones!</x:v>
      </x:c>
      <x:c r="D667" s="17" t="d">
        <x:v>2025-09-06T00:00:00.000Z</x:v>
      </x:c>
      <x:c r="E667" s="17" t="d">
        <x:v>2026-01-12T00:00:00.000Z</x:v>
      </x:c>
      <x:c r="F667" s="4" t="str">
        <x:v>Planificación de Viaje</x:v>
      </x:c>
      <x:c r="G667" s="11" t="n">
        <x:v>1204</x:v>
      </x:c>
      <x:c r="H667" s="11" t="n">
        <x:v>200</x:v>
      </x:c>
      <x:c r="I667" s="11" t="n">
        <x:v>1</x:v>
      </x:c>
      <x:c r="J667" s="4" t="str">
        <x:v>https://blog.skyairline.com/turismo-en-el-sur-de-chile/</x:v>
      </x:c>
      <x:c r="K667" s="16" t="b">
        <x:v>0</x:v>
      </x:c>
      <x:c r="L667" s="11" t="n">
        <x:v>0</x:v>
      </x:c>
      <x:c r="M667" s="11" t="n">
        <x:v>0</x:v>
      </x:c>
      <x:c r="N667" s="4"/>
      <x:c r="O667" s="4"/>
      <x:c r="P667" s="11" t="n">
        <x:v>2</x:v>
      </x:c>
      <x:c r="Q667" s="11" t="n">
        <x:v>1</x:v>
      </x:c>
      <x:c r="R667" s="11" t="n">
        <x:f>IF(OR(P667="",Q667=""),"",Q667-P667)</x:f>
        <x:v>-1</x:v>
      </x:c>
      <x:c r="S667" s="13" t="n">
        <x:f>IF(OR(P667="",Q667="",P667=0),"",((Q667/30)/(P667/31))-1)</x:f>
        <x:v>-0.4833333333333333</x:v>
      </x:c>
      <x:c r="T667" s="11" t="n">
        <x:v>881</x:v>
      </x:c>
      <x:c r="U667" s="11" t="n">
        <x:v>526</x:v>
      </x:c>
      <x:c r="V667" s="14" t="n">
        <x:v>0.0019011406844106464</x:v>
      </x:c>
      <x:c r="W667" s="12" t="n">
        <x:v>17.077946768060837</x:v>
      </x:c>
      <x:c r="X667" s="11" t="n">
        <x:v>2</x:v>
      </x:c>
      <x:c r="Y667" s="11" t="n">
        <x:v>2</x:v>
      </x:c>
      <x:c r="Z667" s="4" t="str">
        <x:v>https://blog.skyairline.com/turismo-en-el-sur-de-chile/</x:v>
      </x:c>
      <x:c r="AA667" s="4" t="str">
        <x:v>https://blog.skyairline.com/turismo-en-el-sur-de-chile/</x:v>
      </x:c>
      <x:c r="AB667" s="4" t="str">
        <x:v>Coincidencia URL</x:v>
      </x:c>
      <x:c r="AC667" s="4" t="str">
        <x:v>Publicado hasta septiembre</x:v>
      </x:c>
      <x:c r="AD667" s="4" t="str">
        <x:v>/turismo-en-el-sur-de-chile/</x:v>
      </x:c>
      <x:c r="AE667" s="4"/>
      <x:c r="AF667" s="16" t="b">
        <x:v>0</x:v>
      </x:c>
    </x:row>
    <x:row r="668" ht="44" customHeight="1">
      <x:c r="A668" s="4" t="n">
        <x:v>713</x:v>
      </x:c>
      <x:c r="B668" s="4" t="str">
        <x:v>https://blog.skyairline.com/sky-recibe-maxima-clasificacion-en-seguridad-operacional-y-protocolos-covid/</x:v>
      </x:c>
      <x:c r="C668" s="9" t="str">
        <x:v>SKY recibe máxima clasificación en seguridad operacional y protocolos Covid</x:v>
      </x:c>
      <x:c r="D668" s="17" t="d">
        <x:v>2021-08-19T00:00:00.000Z</x:v>
      </x:c>
      <x:c r="E668" s="17" t="d">
        <x:v>2021-08-19T00:00:00.000Z</x:v>
      </x:c>
      <x:c r="F668" s="4" t="str">
        <x:v>Noticias</x:v>
      </x:c>
      <x:c r="G668" s="11" t="n">
        <x:v>444</x:v>
      </x:c>
      <x:c r="H668" s="11" t="n">
        <x:v>200</x:v>
      </x:c>
      <x:c r="I668" s="11" t="n">
        <x:v>1</x:v>
      </x:c>
      <x:c r="J668" s="4" t="str">
        <x:v>https://blog.skyairline.com/sky-recibe-maxima-clasificacion-en-seguridad-operacional-y-protocolos-covid/</x:v>
      </x:c>
      <x:c r="K668" s="16" t="b">
        <x:v>0</x:v>
      </x:c>
      <x:c r="L668" s="11" t="n">
        <x:v>0</x:v>
      </x:c>
      <x:c r="M668" s="11" t="n">
        <x:v>0</x:v>
      </x:c>
      <x:c r="N668" s="4"/>
      <x:c r="O668" s="4"/>
      <x:c r="P668" s="11" t="n">
        <x:v>0</x:v>
      </x:c>
      <x:c r="Q668" s="11" t="n">
        <x:v>1</x:v>
      </x:c>
      <x:c r="R668" s="11" t="str">
        <x:f>IF(OR(P668="",Q668=""),"",Q668-P668)</x:f>
      </x:c>
      <x:c r="S668" s="13" t="str">
        <x:f>IF(OR(P668="",Q668="",P668=0),"",((Q668/30)/(P668/31))-1)</x:f>
      </x:c>
      <x:c r="T668" s="11" t="n">
        <x:v>55</x:v>
      </x:c>
      <x:c r="U668" s="11" t="n">
        <x:v>51</x:v>
      </x:c>
      <x:c r="V668" s="14" t="n">
        <x:v>0.0196078431372549</x:v>
      </x:c>
      <x:c r="W668" s="12" t="n">
        <x:v>6.411764705882353</x:v>
      </x:c>
      <x:c r="X668" s="11" t="n">
        <x:v>2</x:v>
      </x:c>
      <x:c r="Y668" s="11" t="n">
        <x:v>2</x:v>
      </x:c>
      <x:c r="Z668" s="4" t="str">
        <x:v>https://blog.skyairline.com/sky-recibe-maxima-clasificacion-en-seguridad-operacional-y-protocolos-covid/</x:v>
      </x:c>
      <x:c r="AA668" s="4" t="str">
        <x:v>https://blog.skyairline.com/sky-recibe-maxima-clasificacion-en-seguridad-operacional-y-protocolos-covid/</x:v>
      </x:c>
      <x:c r="AB668" s="4" t="str">
        <x:v>Coincidencia URL</x:v>
      </x:c>
      <x:c r="AC668" s="4" t="str">
        <x:v>Publicado hasta septiembre</x:v>
      </x:c>
      <x:c r="AD668" s="4" t="str">
        <x:v>/sky-recibe-maxima-clasificacion-en-seguridad-operacional-y-protocolos-covid/</x:v>
      </x:c>
      <x:c r="AE668" s="4"/>
      <x:c r="AF668" s="16" t="b">
        <x:v>0</x:v>
      </x:c>
    </x:row>
    <x:row r="669" ht="44" customHeight="1">
      <x:c r="A669" s="4" t="n">
        <x:v>755</x:v>
      </x:c>
      <x:c r="B669" s="4" t="str">
        <x:v>https://blog.skyairline.com/que-hacer-en-arica/</x:v>
      </x:c>
      <x:c r="C669" s="9" t="str">
        <x:v>¿Qué hacer en Arica? ¡Descubre lo que tiene para ti la ciudad de la eterna primavera!</x:v>
      </x:c>
      <x:c r="D669" s="17" t="d">
        <x:v>2025-09-05T00:00:00.000Z</x:v>
      </x:c>
      <x:c r="E669" s="17" t="d">
        <x:v>2026-01-12T00:00:00.000Z</x:v>
      </x:c>
      <x:c r="F669" s="4" t="str">
        <x:v>Destinos</x:v>
      </x:c>
      <x:c r="G669" s="11" t="n">
        <x:v>1072</x:v>
      </x:c>
      <x:c r="H669" s="11" t="n">
        <x:v>200</x:v>
      </x:c>
      <x:c r="I669" s="11" t="n">
        <x:v>1</x:v>
      </x:c>
      <x:c r="J669" s="4" t="str">
        <x:v>https://blog.skyairline.com/que-hacer-en-arica/</x:v>
      </x:c>
      <x:c r="K669" s="16" t="b">
        <x:v>0</x:v>
      </x:c>
      <x:c r="L669" s="11" t="n">
        <x:v>0</x:v>
      </x:c>
      <x:c r="M669" s="11" t="n">
        <x:v>0</x:v>
      </x:c>
      <x:c r="N669" s="4"/>
      <x:c r="O669" s="4"/>
      <x:c r="P669" s="11" t="n">
        <x:v>0</x:v>
      </x:c>
      <x:c r="Q669" s="11" t="n">
        <x:v>1</x:v>
      </x:c>
      <x:c r="R669" s="11" t="str">
        <x:f>IF(OR(P669="",Q669=""),"",Q669-P669)</x:f>
      </x:c>
      <x:c r="S669" s="13" t="str">
        <x:f>IF(OR(P669="",Q669="",P669=0),"",((Q669/30)/(P669/31))-1)</x:f>
      </x:c>
      <x:c r="T669" s="11" t="n">
        <x:v>184</x:v>
      </x:c>
      <x:c r="U669" s="11" t="n">
        <x:v>168</x:v>
      </x:c>
      <x:c r="V669" s="14" t="n">
        <x:v>0.005952380952380952</x:v>
      </x:c>
      <x:c r="W669" s="12" t="n">
        <x:v>24.69047619047619</x:v>
      </x:c>
      <x:c r="X669" s="11" t="n">
        <x:v>1</x:v>
      </x:c>
      <x:c r="Y669" s="11" t="n">
        <x:v>1</x:v>
      </x:c>
      <x:c r="Z669" s="4" t="str">
        <x:v>https://blog.skyairline.com/que-hacer-en-arica/</x:v>
      </x:c>
      <x:c r="AA669" s="4" t="str">
        <x:v>https://blog.skyairline.com/que-hacer-en-arica/</x:v>
      </x:c>
      <x:c r="AB669" s="4" t="str">
        <x:v>Coincidencia URL</x:v>
      </x:c>
      <x:c r="AC669" s="4" t="str">
        <x:v>Publicado hasta septiembre</x:v>
      </x:c>
      <x:c r="AD669" s="4" t="str">
        <x:v>/que-hacer-en-arica/</x:v>
      </x:c>
      <x:c r="AE669" s="4"/>
      <x:c r="AF669" s="16" t="b">
        <x:v>0</x:v>
      </x:c>
    </x:row>
    <x:row r="670" ht="44" customHeight="1">
      <x:c r="A670" s="4" t="n">
        <x:v>782</x:v>
      </x:c>
      <x:c r="B670" s="4" t="str">
        <x:v>https://blog.skyairline.com/amigos/</x:v>
      </x:c>
      <x:c r="C670" s="9" t="str">
        <x:v>Viaja con tus amigos, 4 Destinos ideales</x:v>
      </x:c>
      <x:c r="D670" s="17" t="d">
        <x:v>2025-12-05T00:00:00.000Z</x:v>
      </x:c>
      <x:c r="E670" s="17" t="d">
        <x:v>2025-12-10T00:00:00.000Z</x:v>
      </x:c>
      <x:c r="F670" s="4" t="str">
        <x:v>Destinos</x:v>
      </x:c>
      <x:c r="G670" s="11" t="n">
        <x:v>1040</x:v>
      </x:c>
      <x:c r="H670" s="11" t="n">
        <x:v>200</x:v>
      </x:c>
      <x:c r="I670" s="11" t="n">
        <x:v>1</x:v>
      </x:c>
      <x:c r="J670" s="4" t="str">
        <x:v>https://blog.skyairline.com/amigos/</x:v>
      </x:c>
      <x:c r="K670" s="16" t="b">
        <x:v>0</x:v>
      </x:c>
      <x:c r="L670" s="11" t="n">
        <x:v>0</x:v>
      </x:c>
      <x:c r="M670" s="11" t="n">
        <x:v>2</x:v>
      </x:c>
      <x:c r="N670" s="4"/>
      <x:c r="O670" s="4"/>
      <x:c r="P670" s="11" t="n">
        <x:v>2</x:v>
      </x:c>
      <x:c r="Q670" s="11" t="n">
        <x:v>1</x:v>
      </x:c>
      <x:c r="R670" s="11" t="n">
        <x:f>IF(OR(P670="",Q670=""),"",Q670-P670)</x:f>
        <x:v>-1</x:v>
      </x:c>
      <x:c r="S670" s="13" t="n">
        <x:f>IF(OR(P670="",Q670="",P670=0),"",((Q670/30)/(P670/31))-1)</x:f>
        <x:v>-0.4833333333333333</x:v>
      </x:c>
      <x:c r="T670" s="11" t="n">
        <x:v>223</x:v>
      </x:c>
      <x:c r="U670" s="11" t="n">
        <x:v>123</x:v>
      </x:c>
      <x:c r="V670" s="14" t="n">
        <x:v>0.008130081300813009</x:v>
      </x:c>
      <x:c r="W670" s="12" t="n">
        <x:v>35</x:v>
      </x:c>
      <x:c r="X670" s="11" t="n">
        <x:v>1</x:v>
      </x:c>
      <x:c r="Y670" s="11" t="n">
        <x:v>1</x:v>
      </x:c>
      <x:c r="Z670" s="4" t="str">
        <x:v>https://blog.skyairline.com/amigos/</x:v>
      </x:c>
      <x:c r="AA670" s="4" t="str">
        <x:v>https://blog.skyairline.com/amigos/</x:v>
      </x:c>
      <x:c r="AB670" s="4" t="str">
        <x:v>Coincidencia URL</x:v>
      </x:c>
      <x:c r="AC670" s="4" t="str">
        <x:v>Publicado hasta septiembre</x:v>
      </x:c>
      <x:c r="AD670" s="4" t="str">
        <x:v>/amigos/</x:v>
      </x:c>
      <x:c r="AE670" s="4"/>
      <x:c r="AF670" s="16" t="b">
        <x:v>0</x:v>
      </x:c>
    </x:row>
    <x:row r="671" ht="44" customHeight="1">
      <x:c r="A671" s="4" t="n">
        <x:v>785</x:v>
      </x:c>
      <x:c r="B671" s="4" t="str">
        <x:v>https://blog.skyairline.com/viajar-a-peru/</x:v>
      </x:c>
      <x:c r="C671" s="9" t="str">
        <x:v>Viajar a Perú: Destinos del sur que conviene conocer</x:v>
      </x:c>
      <x:c r="D671" s="17" t="d">
        <x:v>2021-08-30T00:00:00.000Z</x:v>
      </x:c>
      <x:c r="E671" s="17" t="d">
        <x:v>2021-08-30T00:00:00.000Z</x:v>
      </x:c>
      <x:c r="F671" s="4" t="str">
        <x:v>Destinos</x:v>
      </x:c>
      <x:c r="G671" s="11" t="n">
        <x:v>1009</x:v>
      </x:c>
      <x:c r="H671" s="11" t="n">
        <x:v>200</x:v>
      </x:c>
      <x:c r="I671" s="11" t="n">
        <x:v>1</x:v>
      </x:c>
      <x:c r="J671" s="4" t="str">
        <x:v>https://blog.skyairline.com/viajar-a-peru/</x:v>
      </x:c>
      <x:c r="K671" s="16" t="b">
        <x:v>0</x:v>
      </x:c>
      <x:c r="L671" s="11" t="n">
        <x:v>0</x:v>
      </x:c>
      <x:c r="M671" s="11" t="n">
        <x:v>0</x:v>
      </x:c>
      <x:c r="N671" s="4"/>
      <x:c r="O671" s="4"/>
      <x:c r="P671" s="11" t="n">
        <x:v>0</x:v>
      </x:c>
      <x:c r="Q671" s="11" t="n">
        <x:v>1</x:v>
      </x:c>
      <x:c r="R671" s="11" t="str">
        <x:f>IF(OR(P671="",Q671=""),"",Q671-P671)</x:f>
      </x:c>
      <x:c r="S671" s="13" t="str">
        <x:f>IF(OR(P671="",Q671="",P671=0),"",((Q671/30)/(P671/31))-1)</x:f>
      </x:c>
      <x:c r="T671" s="11" t="n">
        <x:v>85</x:v>
      </x:c>
      <x:c r="U671" s="11" t="n">
        <x:v>19</x:v>
      </x:c>
      <x:c r="V671" s="14" t="n">
        <x:v>0.05263157894736842</x:v>
      </x:c>
      <x:c r="W671" s="12" t="n">
        <x:v>32.26315789473684</x:v>
      </x:c>
      <x:c r="X671" s="11" t="n">
        <x:v>2</x:v>
      </x:c>
      <x:c r="Y671" s="11" t="n">
        <x:v>2</x:v>
      </x:c>
      <x:c r="Z671" s="4" t="str">
        <x:v>https://blog.skyairline.com/viajar-a-peru/</x:v>
      </x:c>
      <x:c r="AA671" s="4" t="str">
        <x:v>https://blog.skyairline.com/viajar-a-peru/</x:v>
      </x:c>
      <x:c r="AB671" s="4" t="str">
        <x:v>Coincidencia URL</x:v>
      </x:c>
      <x:c r="AC671" s="4" t="str">
        <x:v>Publicado hasta septiembre</x:v>
      </x:c>
      <x:c r="AD671" s="4" t="str">
        <x:v>/viajar-a-peru/</x:v>
      </x:c>
      <x:c r="AE671" s="4"/>
      <x:c r="AF671" s="16" t="b">
        <x:v>0</x:v>
      </x:c>
    </x:row>
    <x:row r="672" ht="44" customHeight="1">
      <x:c r="A672" s="4" t="n">
        <x:v>788</x:v>
      </x:c>
      <x:c r="B672" s="4" t="str">
        <x:v>https://blog.skyairline.com/trucos-para-ahorrar/</x:v>
      </x:c>
      <x:c r="C672" s="9" t="str">
        <x:v>19 trucos para ahorrar y reunir dinero para tu próximo viaje</x:v>
      </x:c>
      <x:c r="D672" s="17" t="d">
        <x:v>2022-04-11T00:00:00.000Z</x:v>
      </x:c>
      <x:c r="E672" s="17" t="d">
        <x:v>2022-04-11T00:00:00.000Z</x:v>
      </x:c>
      <x:c r="F672" s="4" t="str">
        <x:v>Cultura</x:v>
      </x:c>
      <x:c r="G672" s="11" t="n">
        <x:v>1911</x:v>
      </x:c>
      <x:c r="H672" s="11" t="n">
        <x:v>200</x:v>
      </x:c>
      <x:c r="I672" s="11" t="n">
        <x:v>1</x:v>
      </x:c>
      <x:c r="J672" s="4" t="str">
        <x:v>https://blog.skyairline.com/trucos-para-ahorrar/</x:v>
      </x:c>
      <x:c r="K672" s="16" t="b">
        <x:v>0</x:v>
      </x:c>
      <x:c r="L672" s="11" t="n">
        <x:v>0</x:v>
      </x:c>
      <x:c r="M672" s="11" t="n">
        <x:v>3</x:v>
      </x:c>
      <x:c r="N672" s="4"/>
      <x:c r="O672" s="4"/>
      <x:c r="P672" s="11" t="n">
        <x:v>1</x:v>
      </x:c>
      <x:c r="Q672" s="11" t="n">
        <x:v>1</x:v>
      </x:c>
      <x:c r="R672" s="11" t="n">
        <x:f>IF(OR(P672="",Q672=""),"",Q672-P672)</x:f>
        <x:v>0</x:v>
      </x:c>
      <x:c r="S672" s="13" t="n">
        <x:f>IF(OR(P672="",Q672="",P672=0),"",((Q672/30)/(P672/31))-1)</x:f>
        <x:v>0.03333333333333344</x:v>
      </x:c>
      <x:c r="T672" s="11" t="n">
        <x:v>394</x:v>
      </x:c>
      <x:c r="U672" s="11" t="n">
        <x:v>271</x:v>
      </x:c>
      <x:c r="V672" s="14" t="n">
        <x:v>0.0036900369003690036</x:v>
      </x:c>
      <x:c r="W672" s="12" t="n">
        <x:v>56.4169741697417</x:v>
      </x:c>
      <x:c r="X672" s="11" t="n">
        <x:v>1</x:v>
      </x:c>
      <x:c r="Y672" s="11" t="n">
        <x:v>2</x:v>
      </x:c>
      <x:c r="Z672" s="4" t="str">
        <x:v>https://blog.skyairline.com/trucos-para-ahorrar/</x:v>
      </x:c>
      <x:c r="AA672" s="4" t="str">
        <x:v>https://blog.skyairline.com/trucos-para-ahorrar/</x:v>
      </x:c>
      <x:c r="AB672" s="4" t="str">
        <x:v>Coincidencia URL</x:v>
      </x:c>
      <x:c r="AC672" s="4" t="str">
        <x:v>Publicado hasta septiembre</x:v>
      </x:c>
      <x:c r="AD672" s="4" t="str">
        <x:v>/trucos-para-ahorrar/</x:v>
      </x:c>
      <x:c r="AE672" s="4"/>
      <x:c r="AF672" s="16" t="b">
        <x:v>0</x:v>
      </x:c>
    </x:row>
    <x:row r="673" ht="44" customHeight="1">
      <x:c r="A673" s="4" t="n">
        <x:v>832</x:v>
      </x:c>
      <x:c r="B673" s="4" t="str">
        <x:v>https://blog.skyairline.com/viajar-a-puerto-natales/</x:v>
      </x:c>
      <x:c r="C673" s="9" t="str">
        <x:v>Viajar a Puerto Natales: Los mejores consejos para conocer este destino inolvidable</x:v>
      </x:c>
      <x:c r="D673" s="17" t="d">
        <x:v>2021-09-13T00:00:00.000Z</x:v>
      </x:c>
      <x:c r="E673" s="17" t="d">
        <x:v>2021-09-13T00:00:00.000Z</x:v>
      </x:c>
      <x:c r="F673" s="4" t="str">
        <x:v>Destinos</x:v>
      </x:c>
      <x:c r="G673" s="11" t="n">
        <x:v>2914</x:v>
      </x:c>
      <x:c r="H673" s="11" t="n">
        <x:v>200</x:v>
      </x:c>
      <x:c r="I673" s="11" t="n">
        <x:v>1</x:v>
      </x:c>
      <x:c r="J673" s="4" t="str">
        <x:v>https://blog.skyairline.com/viajar-a-puerto-natales/</x:v>
      </x:c>
      <x:c r="K673" s="16" t="b">
        <x:v>0</x:v>
      </x:c>
      <x:c r="L673" s="11" t="n">
        <x:v>0</x:v>
      </x:c>
      <x:c r="M673" s="11" t="n">
        <x:v>4</x:v>
      </x:c>
      <x:c r="N673" s="4"/>
      <x:c r="O673" s="4"/>
      <x:c r="P673" s="11" t="n">
        <x:v>0</x:v>
      </x:c>
      <x:c r="Q673" s="11" t="n">
        <x:v>1</x:v>
      </x:c>
      <x:c r="R673" s="11" t="str">
        <x:f>IF(OR(P673="",Q673=""),"",Q673-P673)</x:f>
      </x:c>
      <x:c r="S673" s="13" t="str">
        <x:f>IF(OR(P673="",Q673="",P673=0),"",((Q673/30)/(P673/31))-1)</x:f>
      </x:c>
      <x:c r="T673" s="11" t="n">
        <x:v>157</x:v>
      </x:c>
      <x:c r="U673" s="11" t="n">
        <x:v>182</x:v>
      </x:c>
      <x:c r="V673" s="14" t="n">
        <x:v>0.005494505494505495</x:v>
      </x:c>
      <x:c r="W673" s="12" t="n">
        <x:v>21.807692307692307</x:v>
      </x:c>
      <x:c r="X673" s="11" t="n">
        <x:v>1</x:v>
      </x:c>
      <x:c r="Y673" s="11" t="n">
        <x:v>1</x:v>
      </x:c>
      <x:c r="Z673" s="4" t="str">
        <x:v>https://blog.skyairline.com/viajar-a-puerto-natales/</x:v>
      </x:c>
      <x:c r="AA673" s="4" t="str">
        <x:v>https://blog.skyairline.com/viajar-a-puerto-natales/</x:v>
      </x:c>
      <x:c r="AB673" s="4" t="str">
        <x:v>Coincidencia URL</x:v>
      </x:c>
      <x:c r="AC673" s="4" t="str">
        <x:v>Publicado hasta septiembre</x:v>
      </x:c>
      <x:c r="AD673" s="4" t="str">
        <x:v>/viajar-a-puerto-natales/</x:v>
      </x:c>
      <x:c r="AE673" s="4"/>
      <x:c r="AF673" s="16" t="b">
        <x:v>0</x:v>
      </x:c>
    </x:row>
    <x:row r="674" ht="44" customHeight="1">
      <x:c r="A674" s="4" t="n">
        <x:v>835</x:v>
      </x:c>
      <x:c r="B674" s="4" t="str">
        <x:v>https://blog.skyairline.com/volar-en-avion/</x:v>
      </x:c>
      <x:c r="C674" s="9" t="str">
        <x:v>Volar en avión: protocolos que nacieron a partir de la pandemia</x:v>
      </x:c>
      <x:c r="D674" s="17" t="d">
        <x:v>2021-09-19T00:00:00.000Z</x:v>
      </x:c>
      <x:c r="E674" s="17" t="d">
        <x:v>2021-09-19T00:00:00.000Z</x:v>
      </x:c>
      <x:c r="F674" s="4" t="str">
        <x:v>Destinos</x:v>
      </x:c>
      <x:c r="G674" s="11" t="n">
        <x:v>976</x:v>
      </x:c>
      <x:c r="H674" s="11" t="n">
        <x:v>200</x:v>
      </x:c>
      <x:c r="I674" s="11" t="n">
        <x:v>1</x:v>
      </x:c>
      <x:c r="J674" s="4" t="str">
        <x:v>https://blog.skyairline.com/volar-en-avion/</x:v>
      </x:c>
      <x:c r="K674" s="16" t="b">
        <x:v>0</x:v>
      </x:c>
      <x:c r="L674" s="11" t="n">
        <x:v>0</x:v>
      </x:c>
      <x:c r="M674" s="11" t="n">
        <x:v>3</x:v>
      </x:c>
      <x:c r="N674" s="4"/>
      <x:c r="O674" s="4"/>
      <x:c r="P674" s="11" t="n">
        <x:v>1</x:v>
      </x:c>
      <x:c r="Q674" s="11" t="n">
        <x:v>1</x:v>
      </x:c>
      <x:c r="R674" s="11" t="n">
        <x:f>IF(OR(P674="",Q674=""),"",Q674-P674)</x:f>
        <x:v>0</x:v>
      </x:c>
      <x:c r="S674" s="13" t="n">
        <x:f>IF(OR(P674="",Q674="",P674=0),"",((Q674/30)/(P674/31))-1)</x:f>
        <x:v>0.03333333333333344</x:v>
      </x:c>
      <x:c r="T674" s="11" t="n">
        <x:v>373</x:v>
      </x:c>
      <x:c r="U674" s="11" t="n">
        <x:v>196</x:v>
      </x:c>
      <x:c r="V674" s="14" t="n">
        <x:v>0.00510204081632653</x:v>
      </x:c>
      <x:c r="W674" s="12" t="n">
        <x:v>6.755102040816326</x:v>
      </x:c>
      <x:c r="X674" s="11" t="n">
        <x:v>2</x:v>
      </x:c>
      <x:c r="Y674" s="11" t="n">
        <x:v>2</x:v>
      </x:c>
      <x:c r="Z674" s="4" t="str">
        <x:v>https://blog.skyairline.com/volar-en-avion/</x:v>
      </x:c>
      <x:c r="AA674" s="4" t="str">
        <x:v>https://blog.skyairline.com/volar-en-avion/</x:v>
      </x:c>
      <x:c r="AB674" s="4" t="str">
        <x:v>Coincidencia URL</x:v>
      </x:c>
      <x:c r="AC674" s="4" t="str">
        <x:v>Publicado hasta septiembre</x:v>
      </x:c>
      <x:c r="AD674" s="4" t="str">
        <x:v>/volar-en-avion/</x:v>
      </x:c>
      <x:c r="AE674" s="4"/>
      <x:c r="AF674" s="16" t="b">
        <x:v>0</x:v>
      </x:c>
    </x:row>
    <x:row r="675" ht="44" customHeight="1">
      <x:c r="A675" s="4" t="n">
        <x:v>874</x:v>
      </x:c>
      <x:c r="B675" s="4" t="str">
        <x:v>https://blog.skyairline.com/protocolo-de-embarque/</x:v>
      </x:c>
      <x:c r="C675" s="9" t="str">
        <x:v>Protocolo de embarque: ¿Qué esperar en tiempos de Covid-19?</x:v>
      </x:c>
      <x:c r="D675" s="17" t="d">
        <x:v>2021-09-25T00:00:00.000Z</x:v>
      </x:c>
      <x:c r="E675" s="17" t="d">
        <x:v>2021-09-25T00:00:00.000Z</x:v>
      </x:c>
      <x:c r="F675" s="4" t="str">
        <x:v>Planificación de Viaje</x:v>
      </x:c>
      <x:c r="G675" s="11" t="n">
        <x:v>993</x:v>
      </x:c>
      <x:c r="H675" s="11" t="n">
        <x:v>200</x:v>
      </x:c>
      <x:c r="I675" s="11" t="n">
        <x:v>1</x:v>
      </x:c>
      <x:c r="J675" s="4" t="str">
        <x:v>https://blog.skyairline.com/protocolo-de-embarque/</x:v>
      </x:c>
      <x:c r="K675" s="16" t="b">
        <x:v>0</x:v>
      </x:c>
      <x:c r="L675" s="11" t="n">
        <x:v>0</x:v>
      </x:c>
      <x:c r="M675" s="11" t="n">
        <x:v>3</x:v>
      </x:c>
      <x:c r="N675" s="4"/>
      <x:c r="O675" s="4"/>
      <x:c r="P675" s="11" t="n">
        <x:v>0</x:v>
      </x:c>
      <x:c r="Q675" s="11" t="n">
        <x:v>1</x:v>
      </x:c>
      <x:c r="R675" s="11" t="str">
        <x:f>IF(OR(P675="",Q675=""),"",Q675-P675)</x:f>
      </x:c>
      <x:c r="S675" s="13" t="str">
        <x:f>IF(OR(P675="",Q675="",P675=0),"",((Q675/30)/(P675/31))-1)</x:f>
      </x:c>
      <x:c r="T675" s="11" t="n">
        <x:v>103</x:v>
      </x:c>
      <x:c r="U675" s="11" t="n">
        <x:v>99</x:v>
      </x:c>
      <x:c r="V675" s="14" t="n">
        <x:v>0.010101010101010102</x:v>
      </x:c>
      <x:c r="W675" s="12" t="n">
        <x:v>7.232323232323233</x:v>
      </x:c>
      <x:c r="X675" s="11" t="n">
        <x:v>1</x:v>
      </x:c>
      <x:c r="Y675" s="11" t="n">
        <x:v>2</x:v>
      </x:c>
      <x:c r="Z675" s="4" t="str">
        <x:v>https://blog.skyairline.com/protocolo-de-embarque/</x:v>
      </x:c>
      <x:c r="AA675" s="4" t="str">
        <x:v>https://blog.skyairline.com/protocolo-de-embarque/</x:v>
      </x:c>
      <x:c r="AB675" s="4" t="str">
        <x:v>Coincidencia URL</x:v>
      </x:c>
      <x:c r="AC675" s="4" t="str">
        <x:v>Publicado hasta septiembre</x:v>
      </x:c>
      <x:c r="AD675" s="4" t="str">
        <x:v>/protocolo-de-embarque/</x:v>
      </x:c>
      <x:c r="AE675" s="4"/>
      <x:c r="AF675" s="16" t="b">
        <x:v>0</x:v>
      </x:c>
    </x:row>
    <x:row r="676" ht="44" customHeight="1">
      <x:c r="A676" s="4" t="n">
        <x:v>881</x:v>
      </x:c>
      <x:c r="B676" s="4" t="str">
        <x:v>https://blog.skyairline.com/seguridad-para-viajeros/</x:v>
      </x:c>
      <x:c r="C676" s="9" t="str">
        <x:v>Seguridad para viajeros: 9 tips para prevenir riesgos</x:v>
      </x:c>
      <x:c r="D676" s="17" t="d">
        <x:v>2021-09-27T00:00:00.000Z</x:v>
      </x:c>
      <x:c r="E676" s="17" t="d">
        <x:v>2021-09-27T00:00:00.000Z</x:v>
      </x:c>
      <x:c r="F676" s="4" t="str">
        <x:v>Planificación de Viaje</x:v>
      </x:c>
      <x:c r="G676" s="11" t="n">
        <x:v>1035</x:v>
      </x:c>
      <x:c r="H676" s="11" t="n">
        <x:v>200</x:v>
      </x:c>
      <x:c r="I676" s="11" t="n">
        <x:v>1</x:v>
      </x:c>
      <x:c r="J676" s="4" t="str">
        <x:v>https://blog.skyairline.com/seguridad-para-viajeros/</x:v>
      </x:c>
      <x:c r="K676" s="16" t="b">
        <x:v>0</x:v>
      </x:c>
      <x:c r="L676" s="11" t="n">
        <x:v>0</x:v>
      </x:c>
      <x:c r="M676" s="11" t="n">
        <x:v>3</x:v>
      </x:c>
      <x:c r="N676" s="4"/>
      <x:c r="O676" s="4"/>
      <x:c r="P676" s="11" t="n">
        <x:v>0</x:v>
      </x:c>
      <x:c r="Q676" s="11" t="n">
        <x:v>1</x:v>
      </x:c>
      <x:c r="R676" s="11" t="str">
        <x:f>IF(OR(P676="",Q676=""),"",Q676-P676)</x:f>
      </x:c>
      <x:c r="S676" s="13" t="str">
        <x:f>IF(OR(P676="",Q676="",P676=0),"",((Q676/30)/(P676/31))-1)</x:f>
      </x:c>
      <x:c r="T676" s="11" t="n">
        <x:v>95</x:v>
      </x:c>
      <x:c r="U676" s="11" t="n">
        <x:v>145</x:v>
      </x:c>
      <x:c r="V676" s="14" t="n">
        <x:v>0.006896551724137931</x:v>
      </x:c>
      <x:c r="W676" s="12" t="n">
        <x:v>21.351724137931033</x:v>
      </x:c>
      <x:c r="X676" s="11"/>
      <x:c r="Y676" s="11"/>
      <x:c r="Z676" s="4" t="str">
        <x:v>https://blog.skyairline.com/seguridad-para-viajeros/</x:v>
      </x:c>
      <x:c r="AA676" s="4" t="str">
        <x:v>https://blog.skyairline.com/seguridad-para-viajeros/</x:v>
      </x:c>
      <x:c r="AB676" s="4" t="str">
        <x:v>Coincidencia URL</x:v>
      </x:c>
      <x:c r="AC676" s="4" t="str">
        <x:v>Publicado hasta septiembre</x:v>
      </x:c>
      <x:c r="AD676" s="4"/>
      <x:c r="AE676" s="4"/>
      <x:c r="AF676" s="16" t="b">
        <x:v>0</x:v>
      </x:c>
    </x:row>
    <x:row r="677" ht="44" customHeight="1">
      <x:c r="A677" s="4" t="n">
        <x:v>884</x:v>
      </x:c>
      <x:c r="B677" s="4" t="str">
        <x:v>https://blog.skyairline.com/souvenirs/</x:v>
      </x:c>
      <x:c r="C677" s="9" t="str">
        <x:v>Souvenirs: ¿Qué comprar para recordar tus viajes o hacer regalos?</x:v>
      </x:c>
      <x:c r="D677" s="17" t="d">
        <x:v>2021-09-28T00:00:00.000Z</x:v>
      </x:c>
      <x:c r="E677" s="17" t="d">
        <x:v>2021-09-28T00:00:00.000Z</x:v>
      </x:c>
      <x:c r="F677" s="4" t="str">
        <x:v>Planificación de Viaje</x:v>
      </x:c>
      <x:c r="G677" s="11" t="n">
        <x:v>974</x:v>
      </x:c>
      <x:c r="H677" s="11" t="n">
        <x:v>200</x:v>
      </x:c>
      <x:c r="I677" s="11" t="n">
        <x:v>1</x:v>
      </x:c>
      <x:c r="J677" s="4" t="str">
        <x:v>https://blog.skyairline.com/souvenirs/</x:v>
      </x:c>
      <x:c r="K677" s="16" t="b">
        <x:v>0</x:v>
      </x:c>
      <x:c r="L677" s="11" t="n">
        <x:v>0</x:v>
      </x:c>
      <x:c r="M677" s="11" t="n">
        <x:v>3</x:v>
      </x:c>
      <x:c r="N677" s="4"/>
      <x:c r="O677" s="4"/>
      <x:c r="P677" s="11" t="n">
        <x:v>2</x:v>
      </x:c>
      <x:c r="Q677" s="11" t="n">
        <x:v>1</x:v>
      </x:c>
      <x:c r="R677" s="11" t="n">
        <x:f>IF(OR(P677="",Q677=""),"",Q677-P677)</x:f>
        <x:v>-1</x:v>
      </x:c>
      <x:c r="S677" s="13" t="n">
        <x:f>IF(OR(P677="",Q677="",P677=0),"",((Q677/30)/(P677/31))-1)</x:f>
        <x:v>-0.4833333333333333</x:v>
      </x:c>
      <x:c r="T677" s="11" t="n">
        <x:v>287</x:v>
      </x:c>
      <x:c r="U677" s="11" t="n">
        <x:v>205</x:v>
      </x:c>
      <x:c r="V677" s="14" t="n">
        <x:v>0.004878048780487805</x:v>
      </x:c>
      <x:c r="W677" s="12" t="n">
        <x:v>7.1414634146341465</x:v>
      </x:c>
      <x:c r="X677" s="11" t="n">
        <x:v>2</x:v>
      </x:c>
      <x:c r="Y677" s="11" t="n">
        <x:v>3</x:v>
      </x:c>
      <x:c r="Z677" s="4" t="str">
        <x:v>https://blog.skyairline.com/souvenirs/</x:v>
      </x:c>
      <x:c r="AA677" s="4" t="str">
        <x:v>https://blog.skyairline.com/souvenirs/</x:v>
      </x:c>
      <x:c r="AB677" s="4" t="str">
        <x:v>Coincidencia URL</x:v>
      </x:c>
      <x:c r="AC677" s="4" t="str">
        <x:v>Publicado hasta septiembre</x:v>
      </x:c>
      <x:c r="AD677" s="4" t="str">
        <x:v>/souvenirs/</x:v>
      </x:c>
      <x:c r="AE677" s="4"/>
      <x:c r="AF677" s="16" t="b">
        <x:v>0</x:v>
      </x:c>
    </x:row>
    <x:row r="678" ht="44" customHeight="1">
      <x:c r="A678" s="4" t="n">
        <x:v>905</x:v>
      </x:c>
      <x:c r="B678" s="4" t="str">
        <x:v>https://blog.skyairline.com/viajes-multidestino/</x:v>
      </x:c>
      <x:c r="C678" s="9" t="str">
        <x:v>Viajes multidestino: 6 consejos para prepararte antes de tu aventura</x:v>
      </x:c>
      <x:c r="D678" s="17" t="d">
        <x:v>2021-10-06T00:00:00.000Z</x:v>
      </x:c>
      <x:c r="E678" s="17" t="d">
        <x:v>2021-10-06T00:00:00.000Z</x:v>
      </x:c>
      <x:c r="F678" s="4" t="str">
        <x:v>Destinos</x:v>
      </x:c>
      <x:c r="G678" s="11" t="n">
        <x:v>990</x:v>
      </x:c>
      <x:c r="H678" s="11" t="n">
        <x:v>200</x:v>
      </x:c>
      <x:c r="I678" s="11" t="n">
        <x:v>1</x:v>
      </x:c>
      <x:c r="J678" s="4" t="str">
        <x:v>https://blog.skyairline.com/viajes-multidestino/</x:v>
      </x:c>
      <x:c r="K678" s="16" t="b">
        <x:v>0</x:v>
      </x:c>
      <x:c r="L678" s="11" t="n">
        <x:v>0</x:v>
      </x:c>
      <x:c r="M678" s="11" t="n">
        <x:v>3</x:v>
      </x:c>
      <x:c r="N678" s="4"/>
      <x:c r="O678" s="4"/>
      <x:c r="P678" s="11" t="n">
        <x:v>0</x:v>
      </x:c>
      <x:c r="Q678" s="11" t="n">
        <x:v>1</x:v>
      </x:c>
      <x:c r="R678" s="11" t="str">
        <x:f>IF(OR(P678="",Q678=""),"",Q678-P678)</x:f>
      </x:c>
      <x:c r="S678" s="13" t="str">
        <x:f>IF(OR(P678="",Q678="",P678=0),"",((Q678/30)/(P678/31))-1)</x:f>
      </x:c>
      <x:c r="T678" s="11" t="n">
        <x:v>239</x:v>
      </x:c>
      <x:c r="U678" s="11" t="n">
        <x:v>178</x:v>
      </x:c>
      <x:c r="V678" s="14" t="n">
        <x:v>0.0056179775280898875</x:v>
      </x:c>
      <x:c r="W678" s="12" t="n">
        <x:v>7.926966292134831</x:v>
      </x:c>
      <x:c r="X678" s="11" t="n">
        <x:v>1</x:v>
      </x:c>
      <x:c r="Y678" s="11" t="n">
        <x:v>1</x:v>
      </x:c>
      <x:c r="Z678" s="4" t="str">
        <x:v>https://blog.skyairline.com/viajes-multidestino/</x:v>
      </x:c>
      <x:c r="AA678" s="4" t="str">
        <x:v>https://blog.skyairline.com/viajes-multidestino/</x:v>
      </x:c>
      <x:c r="AB678" s="4" t="str">
        <x:v>Coincidencia URL</x:v>
      </x:c>
      <x:c r="AC678" s="4" t="str">
        <x:v>Publicado hasta septiembre</x:v>
      </x:c>
      <x:c r="AD678" s="4" t="str">
        <x:v>/viajes-multidestino/</x:v>
      </x:c>
      <x:c r="AE678" s="4"/>
      <x:c r="AF678" s="16" t="b">
        <x:v>0</x:v>
      </x:c>
    </x:row>
    <x:row r="679" ht="44" customHeight="1">
      <x:c r="A679" s="4" t="n">
        <x:v>911</x:v>
      </x:c>
      <x:c r="B679" s="4" t="str">
        <x:v>https://blog.skyairline.com/que-hacer-en-la-serena/</x:v>
      </x:c>
      <x:c r="C679" s="9" t="str">
        <x:v>¿Qué hacer en La Serena? Disfruta de tus días en la IV región</x:v>
      </x:c>
      <x:c r="D679" s="17" t="d">
        <x:v>2026-04-24T00:00:00.000Z</x:v>
      </x:c>
      <x:c r="E679" s="17" t="d">
        <x:v>2026-04-16T00:00:00.000Z</x:v>
      </x:c>
      <x:c r="F679" s="4" t="str">
        <x:v>Destinos</x:v>
      </x:c>
      <x:c r="G679" s="11" t="n">
        <x:v>1150</x:v>
      </x:c>
      <x:c r="H679" s="11" t="n">
        <x:v>200</x:v>
      </x:c>
      <x:c r="I679" s="11" t="n">
        <x:v>1</x:v>
      </x:c>
      <x:c r="J679" s="4" t="str">
        <x:v>https://blog.skyairline.com/que-hacer-en-la-serena/</x:v>
      </x:c>
      <x:c r="K679" s="16" t="b">
        <x:v>0</x:v>
      </x:c>
      <x:c r="L679" s="11" t="n">
        <x:v>0</x:v>
      </x:c>
      <x:c r="M679" s="11" t="n">
        <x:v>0</x:v>
      </x:c>
      <x:c r="N679" s="4"/>
      <x:c r="O679" s="4"/>
      <x:c r="P679" s="11" t="n">
        <x:v>1</x:v>
      </x:c>
      <x:c r="Q679" s="11" t="n">
        <x:v>1</x:v>
      </x:c>
      <x:c r="R679" s="11" t="n">
        <x:f>IF(OR(P679="",Q679=""),"",Q679-P679)</x:f>
        <x:v>0</x:v>
      </x:c>
      <x:c r="S679" s="13" t="n">
        <x:f>IF(OR(P679="",Q679="",P679=0),"",((Q679/30)/(P679/31))-1)</x:f>
        <x:v>0.03333333333333344</x:v>
      </x:c>
      <x:c r="T679" s="11" t="n">
        <x:v>1871</x:v>
      </x:c>
      <x:c r="U679" s="11" t="n">
        <x:v>1185</x:v>
      </x:c>
      <x:c r="V679" s="14" t="n">
        <x:v>0.0008438818565400844</x:v>
      </x:c>
      <x:c r="W679" s="12" t="n">
        <x:v>12.226160337552743</x:v>
      </x:c>
      <x:c r="X679" s="11" t="n">
        <x:v>1</x:v>
      </x:c>
      <x:c r="Y679" s="11" t="n">
        <x:v>4</x:v>
      </x:c>
      <x:c r="Z679" s="4" t="str">
        <x:v>https://blog.skyairline.com/que-hacer-en-la-serena/</x:v>
      </x:c>
      <x:c r="AA679" s="4" t="str">
        <x:v>https://blog.skyairline.com/que-hacer-en-la-serena/</x:v>
      </x:c>
      <x:c r="AB679" s="4" t="str">
        <x:v>Coincidencia URL</x:v>
      </x:c>
      <x:c r="AC679" s="4" t="str">
        <x:v>Publicado hasta septiembre</x:v>
      </x:c>
      <x:c r="AD679" s="4" t="str">
        <x:v>/que-hacer-en-la-serena/</x:v>
      </x:c>
      <x:c r="AE679" s="4"/>
      <x:c r="AF679" s="16" t="b">
        <x:v>0</x:v>
      </x:c>
    </x:row>
    <x:row r="680" ht="44" customHeight="1">
      <x:c r="A680" s="4" t="n">
        <x:v>921</x:v>
      </x:c>
      <x:c r="B680" s="4" t="str">
        <x:v>https://blog.skyairline.com/punta-cana-2/</x:v>
      </x:c>
      <x:c r="C680" s="9" t="str">
        <x:v>Turismo en Punta Cana: qué hacer, mejores playas y consejos para tu viaje</x:v>
      </x:c>
      <x:c r="D680" s="17" t="d">
        <x:v>2026-01-06T00:00:00.000Z</x:v>
      </x:c>
      <x:c r="E680" s="17" t="d">
        <x:v>2026-01-06T00:00:00.000Z</x:v>
      </x:c>
      <x:c r="F680" s="4" t="str">
        <x:v>Destinos</x:v>
      </x:c>
      <x:c r="G680" s="11" t="n">
        <x:v>1189</x:v>
      </x:c>
      <x:c r="H680" s="11" t="n">
        <x:v>200</x:v>
      </x:c>
      <x:c r="I680" s="11" t="n">
        <x:v>1</x:v>
      </x:c>
      <x:c r="J680" s="4" t="str">
        <x:v>https://blog.skyairline.com/punta-cana-2/</x:v>
      </x:c>
      <x:c r="K680" s="16" t="b">
        <x:v>0</x:v>
      </x:c>
      <x:c r="L680" s="11" t="n">
        <x:v>0</x:v>
      </x:c>
      <x:c r="M680" s="11" t="n">
        <x:v>0</x:v>
      </x:c>
      <x:c r="N680" s="4"/>
      <x:c r="O680" s="4"/>
      <x:c r="P680" s="11" t="n">
        <x:v>3</x:v>
      </x:c>
      <x:c r="Q680" s="11" t="n">
        <x:v>1</x:v>
      </x:c>
      <x:c r="R680" s="11" t="n">
        <x:f>IF(OR(P680="",Q680=""),"",Q680-P680)</x:f>
        <x:v>-2</x:v>
      </x:c>
      <x:c r="S680" s="13" t="n">
        <x:f>IF(OR(P680="",Q680="",P680=0),"",((Q680/30)/(P680/31))-1)</x:f>
        <x:v>-0.6555555555555556</x:v>
      </x:c>
      <x:c r="T680" s="11" t="n">
        <x:v>728</x:v>
      </x:c>
      <x:c r="U680" s="11" t="n">
        <x:v>397</x:v>
      </x:c>
      <x:c r="V680" s="14" t="n">
        <x:v>0.0025188916876574307</x:v>
      </x:c>
      <x:c r="W680" s="12" t="n">
        <x:v>10.269521410579346</x:v>
      </x:c>
      <x:c r="X680" s="11" t="n">
        <x:v>2</x:v>
      </x:c>
      <x:c r="Y680" s="11" t="n">
        <x:v>2</x:v>
      </x:c>
      <x:c r="Z680" s="4" t="str">
        <x:v>https://blog.skyairline.com/punta-cana-2/</x:v>
      </x:c>
      <x:c r="AA680" s="4" t="str">
        <x:v>https://blog.skyairline.com/punta-cana-2/</x:v>
      </x:c>
      <x:c r="AB680" s="4" t="str">
        <x:v>Coincidencia URL</x:v>
      </x:c>
      <x:c r="AC680" s="4" t="str">
        <x:v>Publicado hasta septiembre</x:v>
      </x:c>
      <x:c r="AD680" s="4" t="str">
        <x:v>/punta-cana-2/</x:v>
      </x:c>
      <x:c r="AE680" s="4"/>
      <x:c r="AF680" s="16" t="b">
        <x:v>0</x:v>
      </x:c>
    </x:row>
    <x:row r="681" ht="44" customHeight="1">
      <x:c r="A681" s="4" t="n">
        <x:v>951</x:v>
      </x:c>
      <x:c r="B681" s="4" t="str">
        <x:v>https://blog.skyairline.com/estrellas-de-los-hoteles/</x:v>
      </x:c>
      <x:c r="C681" s="9" t="str">
        <x:v>Estrellas de los hoteles: ¡todo lo que necesitas conocer sobre el tema!</x:v>
      </x:c>
      <x:c r="D681" s="17" t="d">
        <x:v>2021-10-20T00:00:00.000Z</x:v>
      </x:c>
      <x:c r="E681" s="17" t="d">
        <x:v>2021-10-20T00:00:00.000Z</x:v>
      </x:c>
      <x:c r="F681" s="4" t="str">
        <x:v>Planificación de Viaje</x:v>
      </x:c>
      <x:c r="G681" s="11" t="n">
        <x:v>3033</x:v>
      </x:c>
      <x:c r="H681" s="11" t="n">
        <x:v>200</x:v>
      </x:c>
      <x:c r="I681" s="11" t="n">
        <x:v>1</x:v>
      </x:c>
      <x:c r="J681" s="4" t="str">
        <x:v>https://blog.skyairline.com/estrellas-de-los-hoteles/</x:v>
      </x:c>
      <x:c r="K681" s="16" t="b">
        <x:v>0</x:v>
      </x:c>
      <x:c r="L681" s="11" t="n">
        <x:v>0</x:v>
      </x:c>
      <x:c r="M681" s="11" t="n">
        <x:v>3</x:v>
      </x:c>
      <x:c r="N681" s="4"/>
      <x:c r="O681" s="4"/>
      <x:c r="P681" s="11" t="n">
        <x:v>1</x:v>
      </x:c>
      <x:c r="Q681" s="11" t="n">
        <x:v>1</x:v>
      </x:c>
      <x:c r="R681" s="11" t="n">
        <x:f>IF(OR(P681="",Q681=""),"",Q681-P681)</x:f>
        <x:v>0</x:v>
      </x:c>
      <x:c r="S681" s="13" t="n">
        <x:f>IF(OR(P681="",Q681="",P681=0),"",((Q681/30)/(P681/31))-1)</x:f>
        <x:v>0.03333333333333344</x:v>
      </x:c>
      <x:c r="T681" s="11" t="n">
        <x:v>610</x:v>
      </x:c>
      <x:c r="U681" s="11" t="n">
        <x:v>353</x:v>
      </x:c>
      <x:c r="V681" s="14" t="n">
        <x:v>0.0028328611898017</x:v>
      </x:c>
      <x:c r="W681" s="12" t="n">
        <x:v>16.41076487252125</x:v>
      </x:c>
      <x:c r="X681" s="11" t="n">
        <x:v>1</x:v>
      </x:c>
      <x:c r="Y681" s="11" t="n">
        <x:v>1</x:v>
      </x:c>
      <x:c r="Z681" s="4" t="str">
        <x:v>https://blog.skyairline.com/estrellas-de-los-hoteles/</x:v>
      </x:c>
      <x:c r="AA681" s="4" t="str">
        <x:v>https://blog.skyairline.com/estrellas-de-los-hoteles/</x:v>
      </x:c>
      <x:c r="AB681" s="4" t="str">
        <x:v>Coincidencia URL</x:v>
      </x:c>
      <x:c r="AC681" s="4" t="str">
        <x:v>Publicado hasta septiembre</x:v>
      </x:c>
      <x:c r="AD681" s="4" t="str">
        <x:v>/estrellas-de-los-hoteles/</x:v>
      </x:c>
      <x:c r="AE681" s="4"/>
      <x:c r="AF681" s="16" t="b">
        <x:v>0</x:v>
      </x:c>
    </x:row>
    <x:row r="682" ht="44" customHeight="1">
      <x:c r="A682" s="4" t="n">
        <x:v>976</x:v>
      </x:c>
      <x:c r="B682" s="4" t="str">
        <x:v>https://blog.skyairline.com/escalas-largas/</x:v>
      </x:c>
      <x:c r="C682" s="9" t="str">
        <x:v>14 tips imperdibles para afrontar las escalas largas</x:v>
      </x:c>
      <x:c r="D682" s="17" t="d">
        <x:v>2021-10-24T00:00:00.000Z</x:v>
      </x:c>
      <x:c r="E682" s="17" t="d">
        <x:v>2021-10-24T00:00:00.000Z</x:v>
      </x:c>
      <x:c r="F682" s="4" t="str">
        <x:v>Planificación de Viaje</x:v>
      </x:c>
      <x:c r="G682" s="11" t="n">
        <x:v>977</x:v>
      </x:c>
      <x:c r="H682" s="11" t="n">
        <x:v>200</x:v>
      </x:c>
      <x:c r="I682" s="11" t="n">
        <x:v>1</x:v>
      </x:c>
      <x:c r="J682" s="4" t="str">
        <x:v>https://blog.skyairline.com/escalas-largas/</x:v>
      </x:c>
      <x:c r="K682" s="16" t="b">
        <x:v>0</x:v>
      </x:c>
      <x:c r="L682" s="11" t="n">
        <x:v>0</x:v>
      </x:c>
      <x:c r="M682" s="11" t="n">
        <x:v>2</x:v>
      </x:c>
      <x:c r="N682" s="4"/>
      <x:c r="O682" s="4"/>
      <x:c r="P682" s="11" t="n">
        <x:v>1</x:v>
      </x:c>
      <x:c r="Q682" s="11" t="n">
        <x:v>1</x:v>
      </x:c>
      <x:c r="R682" s="11" t="n">
        <x:f>IF(OR(P682="",Q682=""),"",Q682-P682)</x:f>
        <x:v>0</x:v>
      </x:c>
      <x:c r="S682" s="13" t="n">
        <x:f>IF(OR(P682="",Q682="",P682=0),"",((Q682/30)/(P682/31))-1)</x:f>
        <x:v>0.03333333333333344</x:v>
      </x:c>
      <x:c r="T682" s="11" t="n">
        <x:v>256</x:v>
      </x:c>
      <x:c r="U682" s="11" t="n">
        <x:v>218</x:v>
      </x:c>
      <x:c r="V682" s="14" t="n">
        <x:v>0.0045871559633027525</x:v>
      </x:c>
      <x:c r="W682" s="12" t="n">
        <x:v>7.986238532110092</x:v>
      </x:c>
      <x:c r="X682" s="11"/>
      <x:c r="Y682" s="11"/>
      <x:c r="Z682" s="4" t="str">
        <x:v>https://blog.skyairline.com/escalas-largas/</x:v>
      </x:c>
      <x:c r="AA682" s="4" t="str">
        <x:v>https://blog.skyairline.com/escalas-largas/</x:v>
      </x:c>
      <x:c r="AB682" s="4" t="str">
        <x:v>Coincidencia URL</x:v>
      </x:c>
      <x:c r="AC682" s="4" t="str">
        <x:v>Publicado hasta septiembre</x:v>
      </x:c>
      <x:c r="AD682" s="4"/>
      <x:c r="AE682" s="4"/>
      <x:c r="AF682" s="16" t="b">
        <x:v>0</x:v>
      </x:c>
    </x:row>
    <x:row r="683" ht="44" customHeight="1">
      <x:c r="A683" s="4" t="n">
        <x:v>999</x:v>
      </x:c>
      <x:c r="B683" s="4" t="str">
        <x:v>https://blog.skyairline.com/playas-en-peru/</x:v>
      </x:c>
      <x:c r="C683" s="9" t="str">
        <x:v>Playas de Perú: 10 destinos de costa norte y sur para tus próximas vacaciones</x:v>
      </x:c>
      <x:c r="D683" s="17" t="d">
        <x:v>2026-01-06T00:00:00.000Z</x:v>
      </x:c>
      <x:c r="E683" s="17" t="d">
        <x:v>2026-01-06T00:00:00.000Z</x:v>
      </x:c>
      <x:c r="F683" s="4" t="str">
        <x:v>Destinos</x:v>
      </x:c>
      <x:c r="G683" s="11" t="n">
        <x:v>1103</x:v>
      </x:c>
      <x:c r="H683" s="11" t="n">
        <x:v>200</x:v>
      </x:c>
      <x:c r="I683" s="11" t="n">
        <x:v>1</x:v>
      </x:c>
      <x:c r="J683" s="4" t="str">
        <x:v>https://blog.skyairline.com/playas-en-peru/</x:v>
      </x:c>
      <x:c r="K683" s="16" t="b">
        <x:v>0</x:v>
      </x:c>
      <x:c r="L683" s="11" t="n">
        <x:v>0</x:v>
      </x:c>
      <x:c r="M683" s="11" t="n">
        <x:v>0</x:v>
      </x:c>
      <x:c r="N683" s="4"/>
      <x:c r="O683" s="4"/>
      <x:c r="P683" s="11" t="n">
        <x:v>0</x:v>
      </x:c>
      <x:c r="Q683" s="11" t="n">
        <x:v>1</x:v>
      </x:c>
      <x:c r="R683" s="11" t="str">
        <x:f>IF(OR(P683="",Q683=""),"",Q683-P683)</x:f>
      </x:c>
      <x:c r="S683" s="13" t="str">
        <x:f>IF(OR(P683="",Q683="",P683=0),"",((Q683/30)/(P683/31))-1)</x:f>
      </x:c>
      <x:c r="T683" s="11" t="n">
        <x:v>652</x:v>
      </x:c>
      <x:c r="U683" s="11" t="n">
        <x:v>417</x:v>
      </x:c>
      <x:c r="V683" s="14" t="n">
        <x:v>0.002398081534772182</x:v>
      </x:c>
      <x:c r="W683" s="12" t="n">
        <x:v>26.38609112709832</x:v>
      </x:c>
      <x:c r="X683" s="11" t="n">
        <x:v>1</x:v>
      </x:c>
      <x:c r="Y683" s="11" t="n">
        <x:v>2</x:v>
      </x:c>
      <x:c r="Z683" s="4" t="str">
        <x:v>https://blog.skyairline.com/playas-en-peru/</x:v>
      </x:c>
      <x:c r="AA683" s="4" t="str">
        <x:v>https://blog.skyairline.com/playas-en-peru/</x:v>
      </x:c>
      <x:c r="AB683" s="4" t="str">
        <x:v>Coincidencia URL</x:v>
      </x:c>
      <x:c r="AC683" s="4" t="str">
        <x:v>Publicado hasta septiembre</x:v>
      </x:c>
      <x:c r="AD683" s="4" t="str">
        <x:v>/playas-en-peru/</x:v>
      </x:c>
      <x:c r="AE683" s="4"/>
      <x:c r="AF683" s="16" t="b">
        <x:v>0</x:v>
      </x:c>
    </x:row>
    <x:row r="684" ht="44" customHeight="1">
      <x:c r="A684" s="4" t="n">
        <x:v>1038</x:v>
      </x:c>
      <x:c r="B684" s="4" t="str">
        <x:v>https://blog.skyairline.com/eventos-deportivos-en-latinoamerica/</x:v>
      </x:c>
      <x:c r="C684" s="9" t="str">
        <x:v>5 encuentros y eventos deportivos en Latinoamérica que te harán vibrar</x:v>
      </x:c>
      <x:c r="D684" s="17" t="d">
        <x:v>2021-11-08T00:00:00.000Z</x:v>
      </x:c>
      <x:c r="E684" s="17" t="d">
        <x:v>2021-11-08T00:00:00.000Z</x:v>
      </x:c>
      <x:c r="F684" s="4" t="str">
        <x:v>Destinos</x:v>
      </x:c>
      <x:c r="G684" s="11" t="n">
        <x:v>1103</x:v>
      </x:c>
      <x:c r="H684" s="11" t="n">
        <x:v>200</x:v>
      </x:c>
      <x:c r="I684" s="11" t="n">
        <x:v>1</x:v>
      </x:c>
      <x:c r="J684" s="4" t="str">
        <x:v>https://blog.skyairline.com/eventos-deportivos-en-latinoamerica/</x:v>
      </x:c>
      <x:c r="K684" s="16" t="b">
        <x:v>0</x:v>
      </x:c>
      <x:c r="L684" s="11" t="n">
        <x:v>0</x:v>
      </x:c>
      <x:c r="M684" s="11" t="n">
        <x:v>2</x:v>
      </x:c>
      <x:c r="N684" s="4"/>
      <x:c r="O684" s="4"/>
      <x:c r="P684" s="11" t="n">
        <x:v>0</x:v>
      </x:c>
      <x:c r="Q684" s="11" t="n">
        <x:v>1</x:v>
      </x:c>
      <x:c r="R684" s="11" t="str">
        <x:f>IF(OR(P684="",Q684=""),"",Q684-P684)</x:f>
      </x:c>
      <x:c r="S684" s="13" t="str">
        <x:f>IF(OR(P684="",Q684="",P684=0),"",((Q684/30)/(P684/31))-1)</x:f>
      </x:c>
      <x:c r="T684" s="11" t="n">
        <x:v>34</x:v>
      </x:c>
      <x:c r="U684" s="11" t="n">
        <x:v>69</x:v>
      </x:c>
      <x:c r="V684" s="14" t="n">
        <x:v>0.014492753623188406</x:v>
      </x:c>
      <x:c r="W684" s="12" t="n">
        <x:v>9.507246376811594</x:v>
      </x:c>
      <x:c r="X684" s="11" t="n">
        <x:v>1</x:v>
      </x:c>
      <x:c r="Y684" s="11" t="n">
        <x:v>1</x:v>
      </x:c>
      <x:c r="Z684" s="4" t="str">
        <x:v>https://blog.skyairline.com/eventos-deportivos-en-latinoamerica/</x:v>
      </x:c>
      <x:c r="AA684" s="4" t="str">
        <x:v>https://blog.skyairline.com/eventos-deportivos-en-latinoamerica/</x:v>
      </x:c>
      <x:c r="AB684" s="4" t="str">
        <x:v>Coincidencia URL</x:v>
      </x:c>
      <x:c r="AC684" s="4" t="str">
        <x:v>Publicado hasta septiembre</x:v>
      </x:c>
      <x:c r="AD684" s="4" t="str">
        <x:v>/eventos-deportivos-en-latinoamerica/</x:v>
      </x:c>
      <x:c r="AE684" s="4"/>
      <x:c r="AF684" s="16" t="b">
        <x:v>1</x:v>
      </x:c>
    </x:row>
    <x:row r="685" ht="44" customHeight="1">
      <x:c r="A685" s="4" t="n">
        <x:v>1044</x:v>
      </x:c>
      <x:c r="B685" s="4" t="str">
        <x:v>https://blog.skyairline.com/mejores-lugares-para-hacer-esqui/</x:v>
      </x:c>
      <x:c r="C685" s="9" t="str">
        <x:v>Mejores lugares para hacer esquí: 10 opciones en Latam</x:v>
      </x:c>
      <x:c r="D685" s="17" t="d">
        <x:v>2021-11-10T00:00:00.000Z</x:v>
      </x:c>
      <x:c r="E685" s="17" t="d">
        <x:v>2021-11-10T00:00:00.000Z</x:v>
      </x:c>
      <x:c r="F685" s="4" t="str">
        <x:v>Destinos</x:v>
      </x:c>
      <x:c r="G685" s="11" t="n">
        <x:v>1219</x:v>
      </x:c>
      <x:c r="H685" s="11" t="n">
        <x:v>200</x:v>
      </x:c>
      <x:c r="I685" s="11" t="n">
        <x:v>1</x:v>
      </x:c>
      <x:c r="J685" s="4" t="str">
        <x:v>https://blog.skyairline.com/mejores-lugares-para-hacer-esqui/</x:v>
      </x:c>
      <x:c r="K685" s="16" t="b">
        <x:v>0</x:v>
      </x:c>
      <x:c r="L685" s="11" t="n">
        <x:v>0</x:v>
      </x:c>
      <x:c r="M685" s="11" t="n">
        <x:v>1</x:v>
      </x:c>
      <x:c r="N685" s="4"/>
      <x:c r="O685" s="4"/>
      <x:c r="P685" s="11" t="n">
        <x:v>1</x:v>
      </x:c>
      <x:c r="Q685" s="11" t="n">
        <x:v>1</x:v>
      </x:c>
      <x:c r="R685" s="11" t="n">
        <x:f>IF(OR(P685="",Q685=""),"",Q685-P685)</x:f>
        <x:v>0</x:v>
      </x:c>
      <x:c r="S685" s="13" t="n">
        <x:f>IF(OR(P685="",Q685="",P685=0),"",((Q685/30)/(P685/31))-1)</x:f>
        <x:v>0.03333333333333344</x:v>
      </x:c>
      <x:c r="T685" s="11" t="n">
        <x:v>146</x:v>
      </x:c>
      <x:c r="U685" s="11" t="n">
        <x:v>136</x:v>
      </x:c>
      <x:c r="V685" s="14" t="n">
        <x:v>0.007352941176470588</x:v>
      </x:c>
      <x:c r="W685" s="12" t="n">
        <x:v>11.455882352941176</x:v>
      </x:c>
      <x:c r="X685" s="11" t="n">
        <x:v>3</x:v>
      </x:c>
      <x:c r="Y685" s="11" t="n">
        <x:v>3</x:v>
      </x:c>
      <x:c r="Z685" s="4" t="str">
        <x:v>https://blog.skyairline.com/mejores-lugares-para-hacer-esqui/</x:v>
      </x:c>
      <x:c r="AA685" s="4" t="str">
        <x:v>https://blog.skyairline.com/mejores-lugares-para-hacer-esqui/</x:v>
      </x:c>
      <x:c r="AB685" s="4" t="str">
        <x:v>Coincidencia URL</x:v>
      </x:c>
      <x:c r="AC685" s="4" t="str">
        <x:v>Publicado hasta septiembre</x:v>
      </x:c>
      <x:c r="AD685" s="4" t="str">
        <x:v>/mejores-lugares-para-hacer-esqui/</x:v>
      </x:c>
      <x:c r="AE685" s="4"/>
      <x:c r="AF685" s="16" t="b">
        <x:v>0</x:v>
      </x:c>
    </x:row>
    <x:row r="686" ht="44" customHeight="1">
      <x:c r="A686" s="4" t="n">
        <x:v>1057</x:v>
      </x:c>
      <x:c r="B686" s="4" t="str">
        <x:v>https://blog.skyairline.com/lugares-turisticos-en-copiapo/</x:v>
      </x:c>
      <x:c r="C686" s="9" t="str">
        <x:v>Top 5 de lugares turísticos en Copiapó: ¡No puedes perdértelos!</x:v>
      </x:c>
      <x:c r="D686" s="17" t="d">
        <x:v>2021-11-14T00:00:00.000Z</x:v>
      </x:c>
      <x:c r="E686" s="17" t="d">
        <x:v>2021-11-14T00:00:00.000Z</x:v>
      </x:c>
      <x:c r="F686" s="4" t="str">
        <x:v>Destinos</x:v>
      </x:c>
      <x:c r="G686" s="11" t="n">
        <x:v>959</x:v>
      </x:c>
      <x:c r="H686" s="11" t="n">
        <x:v>200</x:v>
      </x:c>
      <x:c r="I686" s="11" t="n">
        <x:v>1</x:v>
      </x:c>
      <x:c r="J686" s="4" t="str">
        <x:v>https://blog.skyairline.com/lugares-turisticos-en-copiapo/</x:v>
      </x:c>
      <x:c r="K686" s="16" t="b">
        <x:v>0</x:v>
      </x:c>
      <x:c r="L686" s="11" t="n">
        <x:v>0</x:v>
      </x:c>
      <x:c r="M686" s="11" t="n">
        <x:v>3</x:v>
      </x:c>
      <x:c r="N686" s="4"/>
      <x:c r="O686" s="4"/>
      <x:c r="P686" s="11" t="n">
        <x:v>0</x:v>
      </x:c>
      <x:c r="Q686" s="11" t="n">
        <x:v>1</x:v>
      </x:c>
      <x:c r="R686" s="11" t="str">
        <x:f>IF(OR(P686="",Q686=""),"",Q686-P686)</x:f>
      </x:c>
      <x:c r="S686" s="13" t="str">
        <x:f>IF(OR(P686="",Q686="",P686=0),"",((Q686/30)/(P686/31))-1)</x:f>
      </x:c>
      <x:c r="T686" s="11" t="n">
        <x:v>123</x:v>
      </x:c>
      <x:c r="U686" s="11" t="n">
        <x:v>91</x:v>
      </x:c>
      <x:c r="V686" s="14" t="n">
        <x:v>0.01098901098901099</x:v>
      </x:c>
      <x:c r="W686" s="12" t="n">
        <x:v>10.637362637362637</x:v>
      </x:c>
      <x:c r="X686" s="11" t="n">
        <x:v>2</x:v>
      </x:c>
      <x:c r="Y686" s="11" t="n">
        <x:v>2</x:v>
      </x:c>
      <x:c r="Z686" s="4" t="str">
        <x:v>https://blog.skyairline.com/lugares-turisticos-en-copiapo/</x:v>
      </x:c>
      <x:c r="AA686" s="4" t="str">
        <x:v>https://blog.skyairline.com/lugares-turisticos-en-copiapo/</x:v>
      </x:c>
      <x:c r="AB686" s="4" t="str">
        <x:v>Coincidencia URL</x:v>
      </x:c>
      <x:c r="AC686" s="4" t="str">
        <x:v>Publicado hasta septiembre</x:v>
      </x:c>
      <x:c r="AD686" s="4" t="str">
        <x:v>/lugares-turisticos-en-copiapo/</x:v>
      </x:c>
      <x:c r="AE686" s="4"/>
      <x:c r="AF686" s="16" t="b">
        <x:v>0</x:v>
      </x:c>
    </x:row>
    <x:row r="687" ht="44" customHeight="1">
      <x:c r="A687" s="4" t="n">
        <x:v>1077</x:v>
      </x:c>
      <x:c r="B687" s="4" t="str">
        <x:v>https://blog.skyairline.com/sabias-que-viajar-es-bueno-para-la-salud/</x:v>
      </x:c>
      <x:c r="C687" s="9" t="str">
        <x:v>¿Sabías que viajar es bueno para la salud? 5 razones científicas de esta afirmación</x:v>
      </x:c>
      <x:c r="D687" s="17" t="d">
        <x:v>2021-11-20T00:00:00.000Z</x:v>
      </x:c>
      <x:c r="E687" s="17" t="d">
        <x:v>2021-11-20T00:00:00.000Z</x:v>
      </x:c>
      <x:c r="F687" s="4" t="str">
        <x:v>Planificación de Viaje</x:v>
      </x:c>
      <x:c r="G687" s="11" t="n">
        <x:v>958</x:v>
      </x:c>
      <x:c r="H687" s="11" t="n">
        <x:v>200</x:v>
      </x:c>
      <x:c r="I687" s="11" t="n">
        <x:v>1</x:v>
      </x:c>
      <x:c r="J687" s="4" t="str">
        <x:v>https://blog.skyairline.com/sabias-que-viajar-es-bueno-para-la-salud/</x:v>
      </x:c>
      <x:c r="K687" s="16" t="b">
        <x:v>0</x:v>
      </x:c>
      <x:c r="L687" s="11" t="n">
        <x:v>0</x:v>
      </x:c>
      <x:c r="M687" s="11" t="n">
        <x:v>2</x:v>
      </x:c>
      <x:c r="N687" s="4"/>
      <x:c r="O687" s="4"/>
      <x:c r="P687" s="11" t="n">
        <x:v>0</x:v>
      </x:c>
      <x:c r="Q687" s="11" t="n">
        <x:v>1</x:v>
      </x:c>
      <x:c r="R687" s="11" t="str">
        <x:f>IF(OR(P687="",Q687=""),"",Q687-P687)</x:f>
      </x:c>
      <x:c r="S687" s="13" t="str">
        <x:f>IF(OR(P687="",Q687="",P687=0),"",((Q687/30)/(P687/31))-1)</x:f>
      </x:c>
      <x:c r="T687" s="11" t="n">
        <x:v>61</x:v>
      </x:c>
      <x:c r="U687" s="11" t="n">
        <x:v>66</x:v>
      </x:c>
      <x:c r="V687" s="14" t="n">
        <x:v>0.015151515151515152</x:v>
      </x:c>
      <x:c r="W687" s="12" t="n">
        <x:v>19.12121212121212</x:v>
      </x:c>
      <x:c r="X687" s="11"/>
      <x:c r="Y687" s="11"/>
      <x:c r="Z687" s="4" t="str">
        <x:v>https://blog.skyairline.com/sabias-que-viajar-es-bueno-para-la-salud/</x:v>
      </x:c>
      <x:c r="AA687" s="4" t="str">
        <x:v>https://blog.skyairline.com/sabias-que-viajar-es-bueno-para-la-salud/</x:v>
      </x:c>
      <x:c r="AB687" s="4" t="str">
        <x:v>Coincidencia URL</x:v>
      </x:c>
      <x:c r="AC687" s="4" t="str">
        <x:v>Publicado hasta septiembre</x:v>
      </x:c>
      <x:c r="AD687" s="4"/>
      <x:c r="AE687" s="4"/>
      <x:c r="AF687" s="16" t="b">
        <x:v>0</x:v>
      </x:c>
    </x:row>
    <x:row r="688" ht="44" customHeight="1">
      <x:c r="A688" s="4" t="n">
        <x:v>1092</x:v>
      </x:c>
      <x:c r="B688" s="4" t="str">
        <x:v>https://blog.skyairline.com/pilotos-de-avion/</x:v>
      </x:c>
      <x:c r="C688" s="9" t="str">
        <x:v>Pilotos de avión: 5 preguntas que siempre quisiste hacerles y sus respuestas</x:v>
      </x:c>
      <x:c r="D688" s="17" t="d">
        <x:v>2021-11-25T00:00:00.000Z</x:v>
      </x:c>
      <x:c r="E688" s="17" t="d">
        <x:v>2021-11-25T00:00:00.000Z</x:v>
      </x:c>
      <x:c r="F688" s="4" t="str">
        <x:v>Planificación de Viaje</x:v>
      </x:c>
      <x:c r="G688" s="11" t="n">
        <x:v>1029</x:v>
      </x:c>
      <x:c r="H688" s="11" t="n">
        <x:v>200</x:v>
      </x:c>
      <x:c r="I688" s="11" t="n">
        <x:v>1</x:v>
      </x:c>
      <x:c r="J688" s="4" t="str">
        <x:v>https://blog.skyairline.com/pilotos-de-avion/</x:v>
      </x:c>
      <x:c r="K688" s="16" t="b">
        <x:v>0</x:v>
      </x:c>
      <x:c r="L688" s="11" t="n">
        <x:v>0</x:v>
      </x:c>
      <x:c r="M688" s="11" t="n">
        <x:v>0</x:v>
      </x:c>
      <x:c r="N688" s="4"/>
      <x:c r="O688" s="4"/>
      <x:c r="P688" s="11" t="n">
        <x:v>1</x:v>
      </x:c>
      <x:c r="Q688" s="11" t="n">
        <x:v>1</x:v>
      </x:c>
      <x:c r="R688" s="11" t="n">
        <x:f>IF(OR(P688="",Q688=""),"",Q688-P688)</x:f>
        <x:v>0</x:v>
      </x:c>
      <x:c r="S688" s="13" t="n">
        <x:f>IF(OR(P688="",Q688="",P688=0),"",((Q688/30)/(P688/31))-1)</x:f>
        <x:v>0.03333333333333344</x:v>
      </x:c>
      <x:c r="T688" s="11" t="n">
        <x:v>115</x:v>
      </x:c>
      <x:c r="U688" s="11" t="n">
        <x:v>96</x:v>
      </x:c>
      <x:c r="V688" s="14" t="n">
        <x:v>0.010416666666666666</x:v>
      </x:c>
      <x:c r="W688" s="12" t="n">
        <x:v>7.760416666666667</x:v>
      </x:c>
      <x:c r="X688" s="11" t="n">
        <x:v>1</x:v>
      </x:c>
      <x:c r="Y688" s="11" t="n">
        <x:v>1</x:v>
      </x:c>
      <x:c r="Z688" s="4" t="str">
        <x:v>https://blog.skyairline.com/pilotos-de-avion/</x:v>
      </x:c>
      <x:c r="AA688" s="4" t="str">
        <x:v>https://blog.skyairline.com/pilotos-de-avion/</x:v>
      </x:c>
      <x:c r="AB688" s="4" t="str">
        <x:v>Coincidencia URL</x:v>
      </x:c>
      <x:c r="AC688" s="4" t="str">
        <x:v>Publicado hasta septiembre</x:v>
      </x:c>
      <x:c r="AD688" s="4" t="str">
        <x:v>/pilotos-de-avion/</x:v>
      </x:c>
      <x:c r="AE688" s="4"/>
      <x:c r="AF688" s="16" t="b">
        <x:v>0</x:v>
      </x:c>
    </x:row>
    <x:row r="689" ht="44" customHeight="1">
      <x:c r="A689" s="4" t="n">
        <x:v>1095</x:v>
      </x:c>
      <x:c r="B689" s="4" t="str">
        <x:v>https://blog.skyairline.com/ahorrar-en-comida/</x:v>
      </x:c>
      <x:c r="C689" s="9" t="str">
        <x:v>Comidas en tu viaje: 7 consejos para ahorrar</x:v>
      </x:c>
      <x:c r="D689" s="17" t="d">
        <x:v>2025-11-24T00:00:00.000Z</x:v>
      </x:c>
      <x:c r="E689" s="17" t="d">
        <x:v>2026-01-12T00:00:00.000Z</x:v>
      </x:c>
      <x:c r="F689" s="4" t="str">
        <x:v>Planificación de Viaje</x:v>
      </x:c>
      <x:c r="G689" s="11" t="n">
        <x:v>1067</x:v>
      </x:c>
      <x:c r="H689" s="11" t="n">
        <x:v>200</x:v>
      </x:c>
      <x:c r="I689" s="11" t="n">
        <x:v>1</x:v>
      </x:c>
      <x:c r="J689" s="4" t="str">
        <x:v>https://blog.skyairline.com/ahorrar-en-comida/</x:v>
      </x:c>
      <x:c r="K689" s="16" t="b">
        <x:v>0</x:v>
      </x:c>
      <x:c r="L689" s="11" t="n">
        <x:v>0</x:v>
      </x:c>
      <x:c r="M689" s="11" t="n">
        <x:v>0</x:v>
      </x:c>
      <x:c r="N689" s="4"/>
      <x:c r="O689" s="4"/>
      <x:c r="P689" s="11" t="n">
        <x:v>0</x:v>
      </x:c>
      <x:c r="Q689" s="11" t="n">
        <x:v>1</x:v>
      </x:c>
      <x:c r="R689" s="11" t="str">
        <x:f>IF(OR(P689="",Q689=""),"",Q689-P689)</x:f>
      </x:c>
      <x:c r="S689" s="13" t="str">
        <x:f>IF(OR(P689="",Q689="",P689=0),"",((Q689/30)/(P689/31))-1)</x:f>
      </x:c>
      <x:c r="T689" s="11" t="n">
        <x:v>160</x:v>
      </x:c>
      <x:c r="U689" s="11" t="n">
        <x:v>112</x:v>
      </x:c>
      <x:c r="V689" s="14" t="n">
        <x:v>0.008928571428571428</x:v>
      </x:c>
      <x:c r="W689" s="12" t="n">
        <x:v>9.232142857142858</x:v>
      </x:c>
      <x:c r="X689" s="11"/>
      <x:c r="Y689" s="11"/>
      <x:c r="Z689" s="4" t="str">
        <x:v>https://blog.skyairline.com/ahorrar-en-comida/</x:v>
      </x:c>
      <x:c r="AA689" s="4" t="str">
        <x:v>https://blog.skyairline.com/ahorrar-en-comida/</x:v>
      </x:c>
      <x:c r="AB689" s="4" t="str">
        <x:v>Coincidencia URL</x:v>
      </x:c>
      <x:c r="AC689" s="4" t="str">
        <x:v>Publicado hasta septiembre</x:v>
      </x:c>
      <x:c r="AD689" s="4"/>
      <x:c r="AE689" s="4"/>
      <x:c r="AF689" s="16" t="b">
        <x:v>0</x:v>
      </x:c>
    </x:row>
    <x:row r="690" ht="44" customHeight="1">
      <x:c r="A690" s="4" t="n">
        <x:v>1104</x:v>
      </x:c>
      <x:c r="B690" s="4" t="str">
        <x:v>https://blog.skyairline.com/recorrer-el-mundo/</x:v>
      </x:c>
      <x:c r="C690" s="9" t="str">
        <x:v>7 motivos para viajar por el mundo</x:v>
      </x:c>
      <x:c r="D690" s="17" t="d">
        <x:v>2026-05-18T00:00:00.000Z</x:v>
      </x:c>
      <x:c r="E690" s="17" t="d">
        <x:v>2026-05-11T00:00:00.000Z</x:v>
      </x:c>
      <x:c r="F690" s="4" t="str">
        <x:v>Planificación de Viaje</x:v>
      </x:c>
      <x:c r="G690" s="11" t="n">
        <x:v>1015</x:v>
      </x:c>
      <x:c r="H690" s="11" t="n">
        <x:v>200</x:v>
      </x:c>
      <x:c r="I690" s="11" t="n">
        <x:v>1</x:v>
      </x:c>
      <x:c r="J690" s="4" t="str">
        <x:v>https://blog.skyairline.com/recorrer-el-mundo/</x:v>
      </x:c>
      <x:c r="K690" s="16" t="b">
        <x:v>0</x:v>
      </x:c>
      <x:c r="L690" s="11" t="n">
        <x:v>0</x:v>
      </x:c>
      <x:c r="M690" s="11" t="n">
        <x:v>0</x:v>
      </x:c>
      <x:c r="N690" s="4"/>
      <x:c r="O690" s="4"/>
      <x:c r="P690" s="11" t="n">
        <x:v>1</x:v>
      </x:c>
      <x:c r="Q690" s="11" t="n">
        <x:v>1</x:v>
      </x:c>
      <x:c r="R690" s="11" t="n">
        <x:f>IF(OR(P690="",Q690=""),"",Q690-P690)</x:f>
        <x:v>0</x:v>
      </x:c>
      <x:c r="S690" s="13" t="n">
        <x:f>IF(OR(P690="",Q690="",P690=0),"",((Q690/30)/(P690/31))-1)</x:f>
        <x:v>0.03333333333333344</x:v>
      </x:c>
      <x:c r="T690" s="11" t="n">
        <x:v>131</x:v>
      </x:c>
      <x:c r="U690" s="11" t="n">
        <x:v>96</x:v>
      </x:c>
      <x:c r="V690" s="14" t="n">
        <x:v>0.010416666666666666</x:v>
      </x:c>
      <x:c r="W690" s="12" t="n">
        <x:v>11.166666666666666</x:v>
      </x:c>
      <x:c r="X690" s="11" t="n">
        <x:v>1</x:v>
      </x:c>
      <x:c r="Y690" s="11" t="n">
        <x:v>1</x:v>
      </x:c>
      <x:c r="Z690" s="4" t="str">
        <x:v>https://blog.skyairline.com/recorrer-el-mundo/</x:v>
      </x:c>
      <x:c r="AA690" s="4" t="str">
        <x:v>https://blog.skyairline.com/recorrer-el-mundo/</x:v>
      </x:c>
      <x:c r="AB690" s="4" t="str">
        <x:v>Coincidencia URL</x:v>
      </x:c>
      <x:c r="AC690" s="4" t="str">
        <x:v>Publicado hasta septiembre</x:v>
      </x:c>
      <x:c r="AD690" s="4" t="str">
        <x:v>/recorrer-el-mundo/</x:v>
      </x:c>
      <x:c r="AE690" s="4"/>
      <x:c r="AF690" s="16" t="b">
        <x:v>0</x:v>
      </x:c>
    </x:row>
    <x:row r="691" ht="44" customHeight="1">
      <x:c r="A691" s="4" t="n">
        <x:v>1110</x:v>
      </x:c>
      <x:c r="B691" s="4" t="str">
        <x:v>https://blog.skyairline.com/cosas-que-hacer-en-cancun/</x:v>
      </x:c>
      <x:c r="C691" s="9" t="str">
        <x:v>9 cosas que hacer en Cancún más allá de las playas</x:v>
      </x:c>
      <x:c r="D691" s="17" t="d">
        <x:v>2021-12-01T00:00:00.000Z</x:v>
      </x:c>
      <x:c r="E691" s="17" t="d">
        <x:v>2021-12-01T00:00:00.000Z</x:v>
      </x:c>
      <x:c r="F691" s="4" t="str">
        <x:v>Destinos</x:v>
      </x:c>
      <x:c r="G691" s="11" t="n">
        <x:v>1112</x:v>
      </x:c>
      <x:c r="H691" s="11" t="n">
        <x:v>200</x:v>
      </x:c>
      <x:c r="I691" s="11" t="n">
        <x:v>1</x:v>
      </x:c>
      <x:c r="J691" s="4" t="str">
        <x:v>https://blog.skyairline.com/cosas-que-hacer-en-cancun/</x:v>
      </x:c>
      <x:c r="K691" s="16" t="b">
        <x:v>0</x:v>
      </x:c>
      <x:c r="L691" s="11" t="n">
        <x:v>0</x:v>
      </x:c>
      <x:c r="M691" s="11" t="n">
        <x:v>4</x:v>
      </x:c>
      <x:c r="N691" s="4"/>
      <x:c r="O691" s="4"/>
      <x:c r="P691" s="11" t="n">
        <x:v>5</x:v>
      </x:c>
      <x:c r="Q691" s="11" t="n">
        <x:v>1</x:v>
      </x:c>
      <x:c r="R691" s="11" t="n">
        <x:f>IF(OR(P691="",Q691=""),"",Q691-P691)</x:f>
        <x:v>-4</x:v>
      </x:c>
      <x:c r="S691" s="13" t="n">
        <x:f>IF(OR(P691="",Q691="",P691=0),"",((Q691/30)/(P691/31))-1)</x:f>
        <x:v>-0.7933333333333333</x:v>
      </x:c>
      <x:c r="T691" s="11" t="n">
        <x:v>383</x:v>
      </x:c>
      <x:c r="U691" s="11" t="n">
        <x:v>210</x:v>
      </x:c>
      <x:c r="V691" s="14" t="n">
        <x:v>0.004761904761904762</x:v>
      </x:c>
      <x:c r="W691" s="12" t="n">
        <x:v>21.32857142857143</x:v>
      </x:c>
      <x:c r="X691" s="11" t="n">
        <x:v>2</x:v>
      </x:c>
      <x:c r="Y691" s="11" t="n">
        <x:v>4</x:v>
      </x:c>
      <x:c r="Z691" s="4" t="str">
        <x:v>https://blog.skyairline.com/cosas-que-hacer-en-cancun/</x:v>
      </x:c>
      <x:c r="AA691" s="4" t="str">
        <x:v>https://blog.skyairline.com/cosas-que-hacer-en-cancun/</x:v>
      </x:c>
      <x:c r="AB691" s="4" t="str">
        <x:v>Coincidencia URL</x:v>
      </x:c>
      <x:c r="AC691" s="4" t="str">
        <x:v>Publicado hasta septiembre</x:v>
      </x:c>
      <x:c r="AD691" s="4" t="str">
        <x:v>/cosas-que-hacer-en-cancun/</x:v>
      </x:c>
      <x:c r="AE691" s="4"/>
      <x:c r="AF691" s="16" t="b">
        <x:v>0</x:v>
      </x:c>
    </x:row>
    <x:row r="692" ht="44" customHeight="1">
      <x:c r="A692" s="4" t="n">
        <x:v>1162</x:v>
      </x:c>
      <x:c r="B692" s="4" t="str">
        <x:v>https://blog.skyairline.com/diciembre-en-chile/</x:v>
      </x:c>
      <x:c r="C692" s="9" t="str">
        <x:v>Diciembre en Chile: ¿Qué ver y conocer?</x:v>
      </x:c>
      <x:c r="D692" s="17" t="d">
        <x:v>2021-12-12T00:00:00.000Z</x:v>
      </x:c>
      <x:c r="E692" s="17" t="d">
        <x:v>2021-12-12T00:00:00.000Z</x:v>
      </x:c>
      <x:c r="F692" s="4" t="str">
        <x:v>Destinos</x:v>
      </x:c>
      <x:c r="G692" s="11" t="n">
        <x:v>1017</x:v>
      </x:c>
      <x:c r="H692" s="11" t="n">
        <x:v>200</x:v>
      </x:c>
      <x:c r="I692" s="11" t="n">
        <x:v>1</x:v>
      </x:c>
      <x:c r="J692" s="4" t="str">
        <x:v>https://blog.skyairline.com/diciembre-en-chile/</x:v>
      </x:c>
      <x:c r="K692" s="16" t="b">
        <x:v>0</x:v>
      </x:c>
      <x:c r="L692" s="11" t="n">
        <x:v>0</x:v>
      </x:c>
      <x:c r="M692" s="11" t="n">
        <x:v>4</x:v>
      </x:c>
      <x:c r="N692" s="4"/>
      <x:c r="O692" s="4"/>
      <x:c r="P692" s="11" t="n">
        <x:v>0</x:v>
      </x:c>
      <x:c r="Q692" s="11" t="n">
        <x:v>1</x:v>
      </x:c>
      <x:c r="R692" s="11" t="str">
        <x:f>IF(OR(P692="",Q692=""),"",Q692-P692)</x:f>
      </x:c>
      <x:c r="S692" s="13" t="str">
        <x:f>IF(OR(P692="",Q692="",P692=0),"",((Q692/30)/(P692/31))-1)</x:f>
      </x:c>
      <x:c r="T692" s="11" t="n">
        <x:v>58</x:v>
      </x:c>
      <x:c r="U692" s="11" t="n">
        <x:v>89</x:v>
      </x:c>
      <x:c r="V692" s="14" t="n">
        <x:v>0.011235955056179775</x:v>
      </x:c>
      <x:c r="W692" s="12" t="n">
        <x:v>8.134831460674157</x:v>
      </x:c>
      <x:c r="X692" s="11" t="n">
        <x:v>2</x:v>
      </x:c>
      <x:c r="Y692" s="11" t="n">
        <x:v>2</x:v>
      </x:c>
      <x:c r="Z692" s="4" t="str">
        <x:v>https://blog.skyairline.com/diciembre-en-chile/</x:v>
      </x:c>
      <x:c r="AA692" s="4" t="str">
        <x:v>https://blog.skyairline.com/diciembre-en-chile/</x:v>
      </x:c>
      <x:c r="AB692" s="4" t="str">
        <x:v>Coincidencia URL</x:v>
      </x:c>
      <x:c r="AC692" s="4" t="str">
        <x:v>Publicado hasta septiembre</x:v>
      </x:c>
      <x:c r="AD692" s="4" t="str">
        <x:v>/diciembre-en-chile/</x:v>
      </x:c>
      <x:c r="AE692" s="4"/>
      <x:c r="AF692" s="16" t="b">
        <x:v>0</x:v>
      </x:c>
    </x:row>
    <x:row r="693" ht="44" customHeight="1">
      <x:c r="A693" s="4" t="n">
        <x:v>1180</x:v>
      </x:c>
      <x:c r="B693" s="4" t="str">
        <x:v>https://blog.skyairline.com/puerto-maldonado-3/</x:v>
      </x:c>
      <x:c r="C693" s="9" t="str">
        <x:v>Viaje a Puerto Maldonado: 6 lugares que te pondrán en contacto con la naturaleza</x:v>
      </x:c>
      <x:c r="D693" s="17" t="d">
        <x:v>2025-12-17T00:00:00.000Z</x:v>
      </x:c>
      <x:c r="E693" s="17" t="d">
        <x:v>2025-12-17T00:00:00.000Z</x:v>
      </x:c>
      <x:c r="F693" s="4" t="str">
        <x:v>Destinos</x:v>
      </x:c>
      <x:c r="G693" s="11" t="n">
        <x:v>1010</x:v>
      </x:c>
      <x:c r="H693" s="11" t="n">
        <x:v>200</x:v>
      </x:c>
      <x:c r="I693" s="11" t="n">
        <x:v>1</x:v>
      </x:c>
      <x:c r="J693" s="4" t="str">
        <x:v>https://blog.skyairline.com/puerto-maldonado-3/</x:v>
      </x:c>
      <x:c r="K693" s="16" t="b">
        <x:v>0</x:v>
      </x:c>
      <x:c r="L693" s="11" t="n">
        <x:v>0</x:v>
      </x:c>
      <x:c r="M693" s="11" t="n">
        <x:v>0</x:v>
      </x:c>
      <x:c r="N693" s="4"/>
      <x:c r="O693" s="4"/>
      <x:c r="P693" s="11" t="n">
        <x:v>1</x:v>
      </x:c>
      <x:c r="Q693" s="11" t="n">
        <x:v>1</x:v>
      </x:c>
      <x:c r="R693" s="11" t="n">
        <x:f>IF(OR(P693="",Q693=""),"",Q693-P693)</x:f>
        <x:v>0</x:v>
      </x:c>
      <x:c r="S693" s="13" t="n">
        <x:f>IF(OR(P693="",Q693="",P693=0),"",((Q693/30)/(P693/31))-1)</x:f>
        <x:v>0.03333333333333344</x:v>
      </x:c>
      <x:c r="T693" s="11" t="n">
        <x:v>780</x:v>
      </x:c>
      <x:c r="U693" s="11" t="n">
        <x:v>536</x:v>
      </x:c>
      <x:c r="V693" s="14" t="n">
        <x:v>0.0018656716417910447</x:v>
      </x:c>
      <x:c r="W693" s="12" t="n">
        <x:v>11.485074626865671</x:v>
      </x:c>
      <x:c r="X693" s="11" t="n">
        <x:v>1</x:v>
      </x:c>
      <x:c r="Y693" s="11" t="n">
        <x:v>2</x:v>
      </x:c>
      <x:c r="Z693" s="4" t="str">
        <x:v>https://blog.skyairline.com/puerto-maldonado-3/</x:v>
      </x:c>
      <x:c r="AA693" s="4" t="str">
        <x:v>https://blog.skyairline.com/puerto-maldonado-3/</x:v>
      </x:c>
      <x:c r="AB693" s="4" t="str">
        <x:v>Coincidencia URL</x:v>
      </x:c>
      <x:c r="AC693" s="4" t="str">
        <x:v>Publicado hasta septiembre</x:v>
      </x:c>
      <x:c r="AD693" s="4" t="str">
        <x:v>/puerto-maldonado-3/</x:v>
      </x:c>
      <x:c r="AE693" s="4"/>
      <x:c r="AF693" s="16" t="b">
        <x:v>0</x:v>
      </x:c>
    </x:row>
    <x:row r="694" ht="44" customHeight="1">
      <x:c r="A694" s="4" t="n">
        <x:v>1202</x:v>
      </x:c>
      <x:c r="B694" s="4" t="str">
        <x:v>https://blog.skyairline.com/atracciones-destacadas-en-osorno/</x:v>
      </x:c>
      <x:c r="C694" s="9" t="str">
        <x:v>Los mejores parques en Osorno para respirar aire puro</x:v>
      </x:c>
      <x:c r="D694" s="17" t="d">
        <x:v>2025-10-04T00:00:00.000Z</x:v>
      </x:c>
      <x:c r="E694" s="17" t="d">
        <x:v>2026-01-12T00:00:00.000Z</x:v>
      </x:c>
      <x:c r="F694" s="4" t="str">
        <x:v>Destinos</x:v>
      </x:c>
      <x:c r="G694" s="11" t="n">
        <x:v>1324</x:v>
      </x:c>
      <x:c r="H694" s="11" t="n">
        <x:v>200</x:v>
      </x:c>
      <x:c r="I694" s="11" t="n">
        <x:v>1</x:v>
      </x:c>
      <x:c r="J694" s="4" t="str">
        <x:v>https://blog.skyairline.com/atracciones-destacadas-en-osorno/</x:v>
      </x:c>
      <x:c r="K694" s="16" t="b">
        <x:v>0</x:v>
      </x:c>
      <x:c r="L694" s="11" t="n">
        <x:v>0</x:v>
      </x:c>
      <x:c r="M694" s="11" t="n">
        <x:v>3</x:v>
      </x:c>
      <x:c r="N694" s="4"/>
      <x:c r="O694" s="4"/>
      <x:c r="P694" s="11" t="n">
        <x:v>0</x:v>
      </x:c>
      <x:c r="Q694" s="11" t="n">
        <x:v>1</x:v>
      </x:c>
      <x:c r="R694" s="11" t="str">
        <x:f>IF(OR(P694="",Q694=""),"",Q694-P694)</x:f>
      </x:c>
      <x:c r="S694" s="13" t="str">
        <x:f>IF(OR(P694="",Q694="",P694=0),"",((Q694/30)/(P694/31))-1)</x:f>
      </x:c>
      <x:c r="T694" s="11" t="n">
        <x:v>271</x:v>
      </x:c>
      <x:c r="U694" s="11" t="n">
        <x:v>131</x:v>
      </x:c>
      <x:c r="V694" s="14" t="n">
        <x:v>0.007633587786259542</x:v>
      </x:c>
      <x:c r="W694" s="12" t="n">
        <x:v>15.419847328244275</x:v>
      </x:c>
      <x:c r="X694" s="11" t="n">
        <x:v>2</x:v>
      </x:c>
      <x:c r="Y694" s="11" t="n">
        <x:v>2</x:v>
      </x:c>
      <x:c r="Z694" s="4" t="str">
        <x:v>https://blog.skyairline.com/atracciones-destacadas-en-osorno/</x:v>
      </x:c>
      <x:c r="AA694" s="4" t="str">
        <x:v>https://blog.skyairline.com/atracciones-destacadas-en-osorno/</x:v>
      </x:c>
      <x:c r="AB694" s="4" t="str">
        <x:v>Coincidencia URL</x:v>
      </x:c>
      <x:c r="AC694" s="4" t="str">
        <x:v>Publicado hasta septiembre</x:v>
      </x:c>
      <x:c r="AD694" s="4" t="str">
        <x:v>/atracciones-destacadas-en-osorno/</x:v>
      </x:c>
      <x:c r="AE694" s="4"/>
      <x:c r="AF694" s="16" t="b">
        <x:v>0</x:v>
      </x:c>
    </x:row>
    <x:row r="695" ht="44" customHeight="1">
      <x:c r="A695" s="4" t="n">
        <x:v>1223</x:v>
      </x:c>
      <x:c r="B695" s="4" t="str">
        <x:v>https://blog.skyairline.com/sky-reactiva-ruta-a-buenos-aires-que-conectara-santiago-con-aeroparque/</x:v>
      </x:c>
      <x:c r="C695" s="9" t="str">
        <x:v>SKY reactiva ruta a Buenos Aires que conectará Santiago con Aeroparque</x:v>
      </x:c>
      <x:c r="D695" s="17" t="d">
        <x:v>2021-12-20T00:00:00.000Z</x:v>
      </x:c>
      <x:c r="E695" s="17" t="d">
        <x:v>2021-12-20T00:00:00.000Z</x:v>
      </x:c>
      <x:c r="F695" s="4" t="str">
        <x:v>Noticias</x:v>
      </x:c>
      <x:c r="G695" s="11" t="n">
        <x:v>375</x:v>
      </x:c>
      <x:c r="H695" s="11" t="n">
        <x:v>200</x:v>
      </x:c>
      <x:c r="I695" s="11" t="n">
        <x:v>1</x:v>
      </x:c>
      <x:c r="J695" s="4" t="str">
        <x:v>https://blog.skyairline.com/sky-reactiva-ruta-a-buenos-aires-que-conectara-santiago-con-aeroparque/</x:v>
      </x:c>
      <x:c r="K695" s="16" t="b">
        <x:v>0</x:v>
      </x:c>
      <x:c r="L695" s="11" t="n">
        <x:v>0</x:v>
      </x:c>
      <x:c r="M695" s="11" t="n">
        <x:v>0</x:v>
      </x:c>
      <x:c r="N695" s="4"/>
      <x:c r="O695" s="4"/>
      <x:c r="P695" s="11" t="n">
        <x:v>1</x:v>
      </x:c>
      <x:c r="Q695" s="11" t="n">
        <x:v>1</x:v>
      </x:c>
      <x:c r="R695" s="11" t="n">
        <x:f>IF(OR(P695="",Q695=""),"",Q695-P695)</x:f>
        <x:v>0</x:v>
      </x:c>
      <x:c r="S695" s="13" t="n">
        <x:f>IF(OR(P695="",Q695="",P695=0),"",((Q695/30)/(P695/31))-1)</x:f>
        <x:v>0.03333333333333344</x:v>
      </x:c>
      <x:c r="T695" s="11" t="n">
        <x:v>324</x:v>
      </x:c>
      <x:c r="U695" s="11" t="n">
        <x:v>321</x:v>
      </x:c>
      <x:c r="V695" s="14" t="n">
        <x:v>0.003115264797507788</x:v>
      </x:c>
      <x:c r="W695" s="12" t="n">
        <x:v>7.161993769470405</x:v>
      </x:c>
      <x:c r="X695" s="11" t="n">
        <x:v>1</x:v>
      </x:c>
      <x:c r="Y695" s="11" t="n">
        <x:v>1</x:v>
      </x:c>
      <x:c r="Z695" s="4" t="str">
        <x:v>https://blog.skyairline.com/sky-reactiva-ruta-a-buenos-aires-que-conectara-santiago-con-aeroparque/</x:v>
      </x:c>
      <x:c r="AA695" s="4" t="str">
        <x:v>https://blog.skyairline.com/sky-reactiva-ruta-a-buenos-aires-que-conectara-santiago-con-aeroparque/</x:v>
      </x:c>
      <x:c r="AB695" s="4" t="str">
        <x:v>Coincidencia URL</x:v>
      </x:c>
      <x:c r="AC695" s="4" t="str">
        <x:v>Publicado hasta septiembre</x:v>
      </x:c>
      <x:c r="AD695" s="4" t="str">
        <x:v>/sky-reactiva-ruta-a-buenos-aires-que-conectara-santiago-con-aeroparque/</x:v>
      </x:c>
      <x:c r="AE695" s="4"/>
      <x:c r="AF695" s="16" t="b">
        <x:v>0</x:v>
      </x:c>
    </x:row>
    <x:row r="696" ht="44" customHeight="1">
      <x:c r="A696" s="4" t="n">
        <x:v>1228</x:v>
      </x:c>
      <x:c r="B696" s="4" t="str">
        <x:v>https://blog.skyairline.com/punta-arenas/</x:v>
      </x:c>
      <x:c r="C696" s="9" t="str">
        <x:v>Punta Arenas: qué hacer en la ciudad más austral de la Patagonia chilena</x:v>
      </x:c>
      <x:c r="D696" s="17" t="d">
        <x:v>2026-01-06T00:00:00.000Z</x:v>
      </x:c>
      <x:c r="E696" s="17" t="d">
        <x:v>2026-01-06T00:00:00.000Z</x:v>
      </x:c>
      <x:c r="F696" s="4" t="str">
        <x:v>Destinos</x:v>
      </x:c>
      <x:c r="G696" s="11" t="n">
        <x:v>1042</x:v>
      </x:c>
      <x:c r="H696" s="11" t="n">
        <x:v>200</x:v>
      </x:c>
      <x:c r="I696" s="11" t="n">
        <x:v>1</x:v>
      </x:c>
      <x:c r="J696" s="4" t="str">
        <x:v>https://blog.skyairline.com/punta-arenas/</x:v>
      </x:c>
      <x:c r="K696" s="16" t="b">
        <x:v>0</x:v>
      </x:c>
      <x:c r="L696" s="11" t="n">
        <x:v>0</x:v>
      </x:c>
      <x:c r="M696" s="11" t="n">
        <x:v>0</x:v>
      </x:c>
      <x:c r="N696" s="4"/>
      <x:c r="O696" s="4"/>
      <x:c r="P696" s="11" t="n">
        <x:v>1</x:v>
      </x:c>
      <x:c r="Q696" s="11" t="n">
        <x:v>1</x:v>
      </x:c>
      <x:c r="R696" s="11" t="n">
        <x:f>IF(OR(P696="",Q696=""),"",Q696-P696)</x:f>
        <x:v>0</x:v>
      </x:c>
      <x:c r="S696" s="13" t="n">
        <x:f>IF(OR(P696="",Q696="",P696=0),"",((Q696/30)/(P696/31))-1)</x:f>
        <x:v>0.03333333333333344</x:v>
      </x:c>
      <x:c r="T696" s="11" t="n">
        <x:v>388</x:v>
      </x:c>
      <x:c r="U696" s="11" t="n">
        <x:v>354</x:v>
      </x:c>
      <x:c r="V696" s="14" t="n">
        <x:v>0.002824858757062147</x:v>
      </x:c>
      <x:c r="W696" s="12" t="n">
        <x:v>23.833333333333332</x:v>
      </x:c>
      <x:c r="X696" s="11" t="n">
        <x:v>1</x:v>
      </x:c>
      <x:c r="Y696" s="11" t="n">
        <x:v>1</x:v>
      </x:c>
      <x:c r="Z696" s="4" t="str">
        <x:v>https://blog.skyairline.com/punta-arenas/</x:v>
      </x:c>
      <x:c r="AA696" s="4" t="str">
        <x:v>https://blog.skyairline.com/punta-arenas/</x:v>
      </x:c>
      <x:c r="AB696" s="4" t="str">
        <x:v>Coincidencia URL</x:v>
      </x:c>
      <x:c r="AC696" s="4" t="str">
        <x:v>Publicado hasta septiembre</x:v>
      </x:c>
      <x:c r="AD696" s="4" t="str">
        <x:v>/punta-arenas/</x:v>
      </x:c>
      <x:c r="AE696" s="4"/>
      <x:c r="AF696" s="16" t="b">
        <x:v>0</x:v>
      </x:c>
    </x:row>
    <x:row r="697" ht="44" customHeight="1">
      <x:c r="A697" s="4" t="n">
        <x:v>1255</x:v>
      </x:c>
      <x:c r="B697" s="4" t="str">
        <x:v>https://blog.skyairline.com/hoteles-de-cuarentena/</x:v>
      </x:c>
      <x:c r="C697" s="9" t="str">
        <x:v>Hoteles de cuarentena: Una medida sanitaria que no es tan obligatoria</x:v>
      </x:c>
      <x:c r="D697" s="17" t="d">
        <x:v>2022-01-05T00:00:00.000Z</x:v>
      </x:c>
      <x:c r="E697" s="17" t="d">
        <x:v>2022-01-05T00:00:00.000Z</x:v>
      </x:c>
      <x:c r="F697" s="4" t="str">
        <x:v>Planificación de Viaje</x:v>
      </x:c>
      <x:c r="G697" s="11" t="n">
        <x:v>1132</x:v>
      </x:c>
      <x:c r="H697" s="11" t="n">
        <x:v>200</x:v>
      </x:c>
      <x:c r="I697" s="11" t="n">
        <x:v>1</x:v>
      </x:c>
      <x:c r="J697" s="4" t="str">
        <x:v>https://blog.skyairline.com/hoteles-de-cuarentena/</x:v>
      </x:c>
      <x:c r="K697" s="16" t="b">
        <x:v>0</x:v>
      </x:c>
      <x:c r="L697" s="11" t="n">
        <x:v>0</x:v>
      </x:c>
      <x:c r="M697" s="11" t="n">
        <x:v>1</x:v>
      </x:c>
      <x:c r="N697" s="4"/>
      <x:c r="O697" s="4"/>
      <x:c r="P697" s="11" t="n">
        <x:v>0</x:v>
      </x:c>
      <x:c r="Q697" s="11" t="n">
        <x:v>1</x:v>
      </x:c>
      <x:c r="R697" s="11" t="str">
        <x:f>IF(OR(P697="",Q697=""),"",Q697-P697)</x:f>
      </x:c>
      <x:c r="S697" s="13" t="str">
        <x:f>IF(OR(P697="",Q697="",P697=0),"",((Q697/30)/(P697/31))-1)</x:f>
      </x:c>
      <x:c r="T697" s="11" t="n">
        <x:v>89</x:v>
      </x:c>
      <x:c r="U697" s="11" t="n">
        <x:v>41</x:v>
      </x:c>
      <x:c r="V697" s="14" t="n">
        <x:v>0.024390243902439025</x:v>
      </x:c>
      <x:c r="W697" s="12" t="n">
        <x:v>7.878048780487805</x:v>
      </x:c>
      <x:c r="X697" s="11" t="n">
        <x:v>1</x:v>
      </x:c>
      <x:c r="Y697" s="11" t="n">
        <x:v>1</x:v>
      </x:c>
      <x:c r="Z697" s="4" t="str">
        <x:v>https://blog.skyairline.com/hoteles-de-cuarentena/</x:v>
      </x:c>
      <x:c r="AA697" s="4" t="str">
        <x:v>https://blog.skyairline.com/hoteles-de-cuarentena/</x:v>
      </x:c>
      <x:c r="AB697" s="4" t="str">
        <x:v>Coincidencia URL</x:v>
      </x:c>
      <x:c r="AC697" s="4" t="str">
        <x:v>Publicado hasta septiembre</x:v>
      </x:c>
      <x:c r="AD697" s="4" t="str">
        <x:v>/hoteles-de-cuarentena/</x:v>
      </x:c>
      <x:c r="AE697" s="4"/>
      <x:c r="AF697" s="16" t="b">
        <x:v>0</x:v>
      </x:c>
    </x:row>
    <x:row r="698" ht="44" customHeight="1">
      <x:c r="A698" s="4" t="n">
        <x:v>1276</x:v>
      </x:c>
      <x:c r="B698" s="4" t="str">
        <x:v>https://blog.skyairline.com/vida-nocturna-en-punta-cana/</x:v>
      </x:c>
      <x:c r="C698" s="9" t="str">
        <x:v>Vida nocturna en Punta Cana: Consejos para pasarla bien</x:v>
      </x:c>
      <x:c r="D698" s="17" t="d">
        <x:v>2024-09-07T00:00:00.000Z</x:v>
      </x:c>
      <x:c r="E698" s="17" t="d">
        <x:v>2024-09-07T00:00:00.000Z</x:v>
      </x:c>
      <x:c r="F698" s="4" t="str">
        <x:v>Destinos</x:v>
      </x:c>
      <x:c r="G698" s="11" t="n">
        <x:v>1068</x:v>
      </x:c>
      <x:c r="H698" s="11" t="n">
        <x:v>200</x:v>
      </x:c>
      <x:c r="I698" s="11" t="n">
        <x:v>1</x:v>
      </x:c>
      <x:c r="J698" s="4" t="str">
        <x:v>https://blog.skyairline.com/vida-nocturna-en-punta-cana/</x:v>
      </x:c>
      <x:c r="K698" s="16" t="b">
        <x:v>0</x:v>
      </x:c>
      <x:c r="L698" s="11" t="n">
        <x:v>0</x:v>
      </x:c>
      <x:c r="M698" s="11" t="n">
        <x:v>7</x:v>
      </x:c>
      <x:c r="N698" s="4"/>
      <x:c r="O698" s="4"/>
      <x:c r="P698" s="11" t="n">
        <x:v>2</x:v>
      </x:c>
      <x:c r="Q698" s="11" t="n">
        <x:v>1</x:v>
      </x:c>
      <x:c r="R698" s="11" t="n">
        <x:f>IF(OR(P698="",Q698=""),"",Q698-P698)</x:f>
        <x:v>-1</x:v>
      </x:c>
      <x:c r="S698" s="13" t="n">
        <x:f>IF(OR(P698="",Q698="",P698=0),"",((Q698/30)/(P698/31))-1)</x:f>
        <x:v>-0.4833333333333333</x:v>
      </x:c>
      <x:c r="T698" s="11" t="n">
        <x:v>183</x:v>
      </x:c>
      <x:c r="U698" s="11" t="n">
        <x:v>124</x:v>
      </x:c>
      <x:c r="V698" s="14" t="n">
        <x:v>0.008064516129032258</x:v>
      </x:c>
      <x:c r="W698" s="12" t="n">
        <x:v>15.637096774193548</x:v>
      </x:c>
      <x:c r="X698" s="11" t="n">
        <x:v>3</x:v>
      </x:c>
      <x:c r="Y698" s="11" t="n">
        <x:v>6</x:v>
      </x:c>
      <x:c r="Z698" s="4" t="str">
        <x:v>https://blog.skyairline.com/vida-nocturna-en-punta-cana/</x:v>
      </x:c>
      <x:c r="AA698" s="4" t="str">
        <x:v>https://blog.skyairline.com/vida-nocturna-en-punta-cana/</x:v>
      </x:c>
      <x:c r="AB698" s="4" t="str">
        <x:v>Coincidencia URL</x:v>
      </x:c>
      <x:c r="AC698" s="4" t="str">
        <x:v>Publicado hasta septiembre</x:v>
      </x:c>
      <x:c r="AD698" s="4" t="str">
        <x:v>/vida-nocturna-en-punta-cana/</x:v>
      </x:c>
      <x:c r="AE698" s="4"/>
      <x:c r="AF698" s="16" t="b">
        <x:v>0</x:v>
      </x:c>
    </x:row>
    <x:row r="699" ht="44" customHeight="1">
      <x:c r="A699" s="4" t="n">
        <x:v>1322</x:v>
      </x:c>
      <x:c r="B699" s="4" t="str">
        <x:v>https://blog.skyairline.com/sky-es-reconocida-por-segundo-ano-consecutivo-por-contar-con-la-flota-mas-nueva-de-sudamerica/</x:v>
      </x:c>
      <x:c r="C699" s="9" t="str">
        <x:v>SKY es reconocida por segundo año consecutivo por contar con la flota más nueva de Sudamérica</x:v>
      </x:c>
      <x:c r="D699" s="17" t="d">
        <x:v>2022-01-18T00:00:00.000Z</x:v>
      </x:c>
      <x:c r="E699" s="17" t="d">
        <x:v>2022-01-18T00:00:00.000Z</x:v>
      </x:c>
      <x:c r="F699" s="4" t="str">
        <x:v>Noticias</x:v>
      </x:c>
      <x:c r="G699" s="11" t="n">
        <x:v>517</x:v>
      </x:c>
      <x:c r="H699" s="11" t="n">
        <x:v>200</x:v>
      </x:c>
      <x:c r="I699" s="11" t="n">
        <x:v>1</x:v>
      </x:c>
      <x:c r="J699" s="4" t="str">
        <x:v>https://blog.skyairline.com/sky-es-reconocida-por-segundo-ano-consecutivo-por-contar-con-la-flota-mas-nueva-de-sudamerica/</x:v>
      </x:c>
      <x:c r="K699" s="16" t="b">
        <x:v>0</x:v>
      </x:c>
      <x:c r="L699" s="11" t="n">
        <x:v>0</x:v>
      </x:c>
      <x:c r="M699" s="11" t="n">
        <x:v>0</x:v>
      </x:c>
      <x:c r="N699" s="4"/>
      <x:c r="O699" s="4"/>
      <x:c r="P699" s="11" t="n">
        <x:v>0</x:v>
      </x:c>
      <x:c r="Q699" s="11" t="n">
        <x:v>1</x:v>
      </x:c>
      <x:c r="R699" s="11" t="str">
        <x:f>IF(OR(P699="",Q699=""),"",Q699-P699)</x:f>
      </x:c>
      <x:c r="S699" s="13" t="str">
        <x:f>IF(OR(P699="",Q699="",P699=0),"",((Q699/30)/(P699/31))-1)</x:f>
      </x:c>
      <x:c r="T699" s="11" t="n">
        <x:v>98</x:v>
      </x:c>
      <x:c r="U699" s="11" t="n">
        <x:v>57</x:v>
      </x:c>
      <x:c r="V699" s="14" t="n">
        <x:v>0.017543859649122806</x:v>
      </x:c>
      <x:c r="W699" s="12" t="n">
        <x:v>6.807017543859649</x:v>
      </x:c>
      <x:c r="X699" s="11" t="n">
        <x:v>1</x:v>
      </x:c>
      <x:c r="Y699" s="11" t="n">
        <x:v>1</x:v>
      </x:c>
      <x:c r="Z699" s="4" t="str">
        <x:v>https://blog.skyairline.com/sky-es-reconocida-por-segundo-ano-consecutivo-por-contar-con-la-flota-mas-nueva-de-sudamerica/</x:v>
      </x:c>
      <x:c r="AA699" s="4" t="str">
        <x:v>https://blog.skyairline.com/sky-es-reconocida-por-segundo-ano-consecutivo-por-contar-con-la-flota-mas-nueva-de-sudamerica/</x:v>
      </x:c>
      <x:c r="AB699" s="4" t="str">
        <x:v>Coincidencia URL</x:v>
      </x:c>
      <x:c r="AC699" s="4" t="str">
        <x:v>Publicado hasta septiembre</x:v>
      </x:c>
      <x:c r="AD699" s="4" t="str">
        <x:v>/sky-es-reconocida-por-segundo-ano-consecutivo-por-contar-con-la-flota-mas-nueva-de-sudamerica/</x:v>
      </x:c>
      <x:c r="AE699" s="4"/>
      <x:c r="AF699" s="16" t="b">
        <x:v>0</x:v>
      </x:c>
    </x:row>
    <x:row r="700" ht="44" customHeight="1">
      <x:c r="A700" s="4" t="n">
        <x:v>1374</x:v>
      </x:c>
      <x:c r="B700" s="4" t="str">
        <x:v>https://blog.skyairline.com/riesgos-de-viajar-en-avion/</x:v>
      </x:c>
      <x:c r="C700" s="9" t="str">
        <x:v>Viajar en avión es seguro: mitos y realidades que debes conocer</x:v>
      </x:c>
      <x:c r="D700" s="17" t="d">
        <x:v>2024-10-28T00:00:00.000Z</x:v>
      </x:c>
      <x:c r="E700" s="17" t="d">
        <x:v>2024-10-28T00:00:00.000Z</x:v>
      </x:c>
      <x:c r="F700" s="4" t="str">
        <x:v>Destinos</x:v>
      </x:c>
      <x:c r="G700" s="11" t="n">
        <x:v>1108</x:v>
      </x:c>
      <x:c r="H700" s="11" t="n">
        <x:v>200</x:v>
      </x:c>
      <x:c r="I700" s="11" t="n">
        <x:v>1</x:v>
      </x:c>
      <x:c r="J700" s="4" t="str">
        <x:v>https://blog.skyairline.com/riesgos-de-viajar-en-avion/</x:v>
      </x:c>
      <x:c r="K700" s="16" t="b">
        <x:v>0</x:v>
      </x:c>
      <x:c r="L700" s="11" t="n">
        <x:v>0</x:v>
      </x:c>
      <x:c r="M700" s="11" t="n">
        <x:v>3</x:v>
      </x:c>
      <x:c r="N700" s="4"/>
      <x:c r="O700" s="4"/>
      <x:c r="P700" s="11" t="n">
        <x:v>1</x:v>
      </x:c>
      <x:c r="Q700" s="11" t="n">
        <x:v>1</x:v>
      </x:c>
      <x:c r="R700" s="11" t="n">
        <x:f>IF(OR(P700="",Q700=""),"",Q700-P700)</x:f>
        <x:v>0</x:v>
      </x:c>
      <x:c r="S700" s="13" t="n">
        <x:f>IF(OR(P700="",Q700="",P700=0),"",((Q700/30)/(P700/31))-1)</x:f>
        <x:v>0.03333333333333344</x:v>
      </x:c>
      <x:c r="T700" s="11" t="n">
        <x:v>440</x:v>
      </x:c>
      <x:c r="U700" s="11" t="n">
        <x:v>225</x:v>
      </x:c>
      <x:c r="V700" s="14" t="n">
        <x:v>0.0044444444444444444</x:v>
      </x:c>
      <x:c r="W700" s="12" t="n">
        <x:v>11.20888888888889</x:v>
      </x:c>
      <x:c r="X700" s="11" t="n">
        <x:v>1</x:v>
      </x:c>
      <x:c r="Y700" s="11" t="n">
        <x:v>1</x:v>
      </x:c>
      <x:c r="Z700" s="4" t="str">
        <x:v>https://blog.skyairline.com/riesgos-de-viajar-en-avion/</x:v>
      </x:c>
      <x:c r="AA700" s="4" t="str">
        <x:v>https://blog.skyairline.com/riesgos-de-viajar-en-avion/</x:v>
      </x:c>
      <x:c r="AB700" s="4" t="str">
        <x:v>Coincidencia URL</x:v>
      </x:c>
      <x:c r="AC700" s="4" t="str">
        <x:v>Publicado hasta septiembre</x:v>
      </x:c>
      <x:c r="AD700" s="4" t="str">
        <x:v>/riesgos-de-viajar-en-avion/</x:v>
      </x:c>
      <x:c r="AE700" s="4"/>
      <x:c r="AF700" s="16" t="b">
        <x:v>0</x:v>
      </x:c>
    </x:row>
    <x:row r="701" ht="44" customHeight="1">
      <x:c r="A701" s="4" t="n">
        <x:v>1429</x:v>
      </x:c>
      <x:c r="B701" s="4" t="str">
        <x:v>https://blog.skyairline.com/tours-turisticos/</x:v>
      </x:c>
      <x:c r="C701" s="9" t="str">
        <x:v>Tours turísticos: Principales ventajas y desventajas</x:v>
      </x:c>
      <x:c r="D701" s="17" t="d">
        <x:v>2022-02-16T00:00:00.000Z</x:v>
      </x:c>
      <x:c r="E701" s="17" t="d">
        <x:v>2022-02-16T00:00:00.000Z</x:v>
      </x:c>
      <x:c r="F701" s="4" t="str">
        <x:v>Planificación de Viaje</x:v>
      </x:c>
      <x:c r="G701" s="11" t="n">
        <x:v>962</x:v>
      </x:c>
      <x:c r="H701" s="11" t="n">
        <x:v>200</x:v>
      </x:c>
      <x:c r="I701" s="11" t="n">
        <x:v>1</x:v>
      </x:c>
      <x:c r="J701" s="4" t="str">
        <x:v>https://blog.skyairline.com/tours-turisticos/</x:v>
      </x:c>
      <x:c r="K701" s="16" t="b">
        <x:v>0</x:v>
      </x:c>
      <x:c r="L701" s="11" t="n">
        <x:v>0</x:v>
      </x:c>
      <x:c r="M701" s="11" t="n">
        <x:v>2</x:v>
      </x:c>
      <x:c r="N701" s="4"/>
      <x:c r="O701" s="4"/>
      <x:c r="P701" s="11" t="n">
        <x:v>2</x:v>
      </x:c>
      <x:c r="Q701" s="11" t="n">
        <x:v>1</x:v>
      </x:c>
      <x:c r="R701" s="11" t="n">
        <x:f>IF(OR(P701="",Q701=""),"",Q701-P701)</x:f>
        <x:v>-1</x:v>
      </x:c>
      <x:c r="S701" s="13" t="n">
        <x:f>IF(OR(P701="",Q701="",P701=0),"",((Q701/30)/(P701/31))-1)</x:f>
        <x:v>-0.4833333333333333</x:v>
      </x:c>
      <x:c r="T701" s="11" t="n">
        <x:v>323</x:v>
      </x:c>
      <x:c r="U701" s="11" t="n">
        <x:v>167</x:v>
      </x:c>
      <x:c r="V701" s="14" t="n">
        <x:v>0.005988023952095809</x:v>
      </x:c>
      <x:c r="W701" s="12" t="n">
        <x:v>14.664670658682635</x:v>
      </x:c>
      <x:c r="X701" s="11" t="n">
        <x:v>1</x:v>
      </x:c>
      <x:c r="Y701" s="11" t="n">
        <x:v>2</x:v>
      </x:c>
      <x:c r="Z701" s="4" t="str">
        <x:v>https://blog.skyairline.com/tours-turisticos/</x:v>
      </x:c>
      <x:c r="AA701" s="4" t="str">
        <x:v>https://blog.skyairline.com/tours-turisticos/</x:v>
      </x:c>
      <x:c r="AB701" s="4" t="str">
        <x:v>Coincidencia URL</x:v>
      </x:c>
      <x:c r="AC701" s="4" t="str">
        <x:v>Publicado hasta septiembre</x:v>
      </x:c>
      <x:c r="AD701" s="4" t="str">
        <x:v>/tours-turisticos/</x:v>
      </x:c>
      <x:c r="AE701" s="4"/>
      <x:c r="AF701" s="16" t="b">
        <x:v>0</x:v>
      </x:c>
    </x:row>
    <x:row r="702" ht="44" customHeight="1">
      <x:c r="A702" s="4" t="n">
        <x:v>1432</x:v>
      </x:c>
      <x:c r="B702" s="4" t="str">
        <x:v>https://blog.skyairline.com/que-es-un-glamping/</x:v>
      </x:c>
      <x:c r="C702" s="9" t="str">
        <x:v>¿Qué es el glamping y qué necesitas para hacerlo?</x:v>
      </x:c>
      <x:c r="D702" s="17" t="d">
        <x:v>2025-09-17T00:00:00.000Z</x:v>
      </x:c>
      <x:c r="E702" s="17" t="d">
        <x:v>2026-01-12T00:00:00.000Z</x:v>
      </x:c>
      <x:c r="F702" s="4" t="str">
        <x:v>Planificación de Viaje</x:v>
      </x:c>
      <x:c r="G702" s="11" t="n">
        <x:v>1041</x:v>
      </x:c>
      <x:c r="H702" s="11" t="n">
        <x:v>200</x:v>
      </x:c>
      <x:c r="I702" s="11" t="n">
        <x:v>1</x:v>
      </x:c>
      <x:c r="J702" s="4" t="str">
        <x:v>https://blog.skyairline.com/que-es-un-glamping/</x:v>
      </x:c>
      <x:c r="K702" s="16" t="b">
        <x:v>0</x:v>
      </x:c>
      <x:c r="L702" s="11" t="n">
        <x:v>0</x:v>
      </x:c>
      <x:c r="M702" s="11" t="n">
        <x:v>0</x:v>
      </x:c>
      <x:c r="N702" s="4"/>
      <x:c r="O702" s="4"/>
      <x:c r="P702" s="11" t="n">
        <x:v>1</x:v>
      </x:c>
      <x:c r="Q702" s="11" t="n">
        <x:v>1</x:v>
      </x:c>
      <x:c r="R702" s="11" t="n">
        <x:f>IF(OR(P702="",Q702=""),"",Q702-P702)</x:f>
        <x:v>0</x:v>
      </x:c>
      <x:c r="S702" s="13" t="n">
        <x:f>IF(OR(P702="",Q702="",P702=0),"",((Q702/30)/(P702/31))-1)</x:f>
        <x:v>0.03333333333333344</x:v>
      </x:c>
      <x:c r="T702" s="11" t="n">
        <x:v>1114</x:v>
      </x:c>
      <x:c r="U702" s="11" t="n">
        <x:v>1319</x:v>
      </x:c>
      <x:c r="V702" s="14" t="n">
        <x:v>0.000758150113722517</x:v>
      </x:c>
      <x:c r="W702" s="12" t="n">
        <x:v>11.591357088703564</x:v>
      </x:c>
      <x:c r="X702" s="11" t="n">
        <x:v>2</x:v>
      </x:c>
      <x:c r="Y702" s="11" t="n">
        <x:v>2</x:v>
      </x:c>
      <x:c r="Z702" s="4" t="str">
        <x:v>https://blog.skyairline.com/que-es-un-glamping/</x:v>
      </x:c>
      <x:c r="AA702" s="4" t="str">
        <x:v>https://blog.skyairline.com/que-es-un-glamping/</x:v>
      </x:c>
      <x:c r="AB702" s="4" t="str">
        <x:v>Coincidencia URL</x:v>
      </x:c>
      <x:c r="AC702" s="4" t="str">
        <x:v>Publicado hasta septiembre</x:v>
      </x:c>
      <x:c r="AD702" s="4" t="str">
        <x:v>/que-es-un-glamping/</x:v>
      </x:c>
      <x:c r="AE702" s="4"/>
      <x:c r="AF702" s="16" t="b">
        <x:v>0</x:v>
      </x:c>
    </x:row>
    <x:row r="703" ht="44" customHeight="1">
      <x:c r="A703" s="4" t="n">
        <x:v>1465</x:v>
      </x:c>
      <x:c r="B703" s="4" t="str">
        <x:v>https://blog.skyairline.com/reservas-de-hotel-por-internet/</x:v>
      </x:c>
      <x:c r="C703" s="9" t="str">
        <x:v>8 buenas prácticas para hacer reservas de hotel por Internet</x:v>
      </x:c>
      <x:c r="D703" s="17" t="d">
        <x:v>2022-02-27T00:00:00.000Z</x:v>
      </x:c>
      <x:c r="E703" s="17" t="d">
        <x:v>2022-02-27T00:00:00.000Z</x:v>
      </x:c>
      <x:c r="F703" s="4" t="str">
        <x:v>Planificación de Viaje</x:v>
      </x:c>
      <x:c r="G703" s="11" t="n">
        <x:v>1020</x:v>
      </x:c>
      <x:c r="H703" s="11" t="n">
        <x:v>200</x:v>
      </x:c>
      <x:c r="I703" s="11" t="n">
        <x:v>1</x:v>
      </x:c>
      <x:c r="J703" s="4" t="str">
        <x:v>https://blog.skyairline.com/reservas-de-hotel-por-internet/</x:v>
      </x:c>
      <x:c r="K703" s="16" t="b">
        <x:v>0</x:v>
      </x:c>
      <x:c r="L703" s="11" t="n">
        <x:v>0</x:v>
      </x:c>
      <x:c r="M703" s="11" t="n">
        <x:v>2</x:v>
      </x:c>
      <x:c r="N703" s="4"/>
      <x:c r="O703" s="4"/>
      <x:c r="P703" s="11" t="n">
        <x:v>0</x:v>
      </x:c>
      <x:c r="Q703" s="11" t="n">
        <x:v>1</x:v>
      </x:c>
      <x:c r="R703" s="11" t="str">
        <x:f>IF(OR(P703="",Q703=""),"",Q703-P703)</x:f>
      </x:c>
      <x:c r="S703" s="13" t="str">
        <x:f>IF(OR(P703="",Q703="",P703=0),"",((Q703/30)/(P703/31))-1)</x:f>
      </x:c>
      <x:c r="T703" s="11" t="n">
        <x:v>110</x:v>
      </x:c>
      <x:c r="U703" s="11" t="n">
        <x:v>57</x:v>
      </x:c>
      <x:c r="V703" s="14" t="n">
        <x:v>0.017543859649122806</x:v>
      </x:c>
      <x:c r="W703" s="12" t="n">
        <x:v>7.4035087719298245</x:v>
      </x:c>
      <x:c r="X703" s="11" t="n">
        <x:v>1</x:v>
      </x:c>
      <x:c r="Y703" s="11" t="n">
        <x:v>1</x:v>
      </x:c>
      <x:c r="Z703" s="4" t="str">
        <x:v>https://blog.skyairline.com/reservas-de-hotel-por-internet/</x:v>
      </x:c>
      <x:c r="AA703" s="4" t="str">
        <x:v>https://blog.skyairline.com/reservas-de-hotel-por-internet/</x:v>
      </x:c>
      <x:c r="AB703" s="4" t="str">
        <x:v>Coincidencia URL</x:v>
      </x:c>
      <x:c r="AC703" s="4" t="str">
        <x:v>Publicado hasta septiembre</x:v>
      </x:c>
      <x:c r="AD703" s="4" t="str">
        <x:v>/reservas-de-hotel-por-internet/</x:v>
      </x:c>
      <x:c r="AE703" s="4"/>
      <x:c r="AF703" s="16" t="b">
        <x:v>0</x:v>
      </x:c>
    </x:row>
    <x:row r="704" ht="44" customHeight="1">
      <x:c r="A704" s="4" t="n">
        <x:v>1482</x:v>
      </x:c>
      <x:c r="B704" s="4" t="str">
        <x:v>https://blog.skyairline.com/viajar-muy-pronto/</x:v>
      </x:c>
      <x:c r="C704" s="9" t="str">
        <x:v>8 señales de que necesitas viajar muy pronto</x:v>
      </x:c>
      <x:c r="D704" s="17" t="d">
        <x:v>2022-03-03T00:00:00.000Z</x:v>
      </x:c>
      <x:c r="E704" s="17" t="d">
        <x:v>2022-03-03T00:00:00.000Z</x:v>
      </x:c>
      <x:c r="F704" s="4" t="str">
        <x:v>Planificación de Viaje</x:v>
      </x:c>
      <x:c r="G704" s="11" t="n">
        <x:v>1008</x:v>
      </x:c>
      <x:c r="H704" s="11" t="n">
        <x:v>200</x:v>
      </x:c>
      <x:c r="I704" s="11" t="n">
        <x:v>1</x:v>
      </x:c>
      <x:c r="J704" s="4" t="str">
        <x:v>https://blog.skyairline.com/viajar-muy-pronto/</x:v>
      </x:c>
      <x:c r="K704" s="16" t="b">
        <x:v>0</x:v>
      </x:c>
      <x:c r="L704" s="11" t="n">
        <x:v>0</x:v>
      </x:c>
      <x:c r="M704" s="11" t="n">
        <x:v>4</x:v>
      </x:c>
      <x:c r="N704" s="4"/>
      <x:c r="O704" s="4"/>
      <x:c r="P704" s="11" t="n">
        <x:v>1</x:v>
      </x:c>
      <x:c r="Q704" s="11" t="n">
        <x:v>1</x:v>
      </x:c>
      <x:c r="R704" s="11" t="n">
        <x:f>IF(OR(P704="",Q704=""),"",Q704-P704)</x:f>
        <x:v>0</x:v>
      </x:c>
      <x:c r="S704" s="13" t="n">
        <x:f>IF(OR(P704="",Q704="",P704=0),"",((Q704/30)/(P704/31))-1)</x:f>
        <x:v>0.03333333333333344</x:v>
      </x:c>
      <x:c r="T704" s="11" t="n">
        <x:v>42</x:v>
      </x:c>
      <x:c r="U704" s="11" t="n">
        <x:v>32</x:v>
      </x:c>
      <x:c r="V704" s="14" t="n">
        <x:v>0.03125</x:v>
      </x:c>
      <x:c r="W704" s="12" t="n">
        <x:v>13.53125</x:v>
      </x:c>
      <x:c r="X704" s="11" t="n">
        <x:v>1</x:v>
      </x:c>
      <x:c r="Y704" s="11" t="n">
        <x:v>3</x:v>
      </x:c>
      <x:c r="Z704" s="4" t="str">
        <x:v>https://blog.skyairline.com/viajar-muy-pronto/</x:v>
      </x:c>
      <x:c r="AA704" s="4" t="str">
        <x:v>https://blog.skyairline.com/viajar-muy-pronto/</x:v>
      </x:c>
      <x:c r="AB704" s="4" t="str">
        <x:v>Coincidencia URL</x:v>
      </x:c>
      <x:c r="AC704" s="4" t="str">
        <x:v>Publicado hasta septiembre</x:v>
      </x:c>
      <x:c r="AD704" s="4" t="str">
        <x:v>/viajar-muy-pronto/</x:v>
      </x:c>
      <x:c r="AE704" s="4"/>
      <x:c r="AF704" s="16" t="b">
        <x:v>0</x:v>
      </x:c>
    </x:row>
    <x:row r="705" ht="44" customHeight="1">
      <x:c r="A705" s="4" t="n">
        <x:v>1546</x:v>
      </x:c>
      <x:c r="B705" s="4" t="str">
        <x:v>https://blog.skyairline.com/vlogs-de-viaje/</x:v>
      </x:c>
      <x:c r="C705" s="9" t="str">
        <x:v>¿Qué equipos y dispositivos necesitas para hacer Blogs de viajes?</x:v>
      </x:c>
      <x:c r="D705" s="17" t="d">
        <x:v>2022-03-11T00:00:00.000Z</x:v>
      </x:c>
      <x:c r="E705" s="17" t="d">
        <x:v>2022-03-11T00:00:00.000Z</x:v>
      </x:c>
      <x:c r="F705" s="4" t="str">
        <x:v>Destinos</x:v>
      </x:c>
      <x:c r="G705" s="11" t="n">
        <x:v>1093</x:v>
      </x:c>
      <x:c r="H705" s="11" t="n">
        <x:v>200</x:v>
      </x:c>
      <x:c r="I705" s="11" t="n">
        <x:v>1</x:v>
      </x:c>
      <x:c r="J705" s="4" t="str">
        <x:v>https://blog.skyairline.com/vlogs-de-viaje/</x:v>
      </x:c>
      <x:c r="K705" s="16" t="b">
        <x:v>0</x:v>
      </x:c>
      <x:c r="L705" s="11" t="n">
        <x:v>0</x:v>
      </x:c>
      <x:c r="M705" s="11" t="n">
        <x:v>4</x:v>
      </x:c>
      <x:c r="N705" s="4"/>
      <x:c r="O705" s="4"/>
      <x:c r="P705" s="11" t="n">
        <x:v>1</x:v>
      </x:c>
      <x:c r="Q705" s="11" t="n">
        <x:v>1</x:v>
      </x:c>
      <x:c r="R705" s="11" t="n">
        <x:f>IF(OR(P705="",Q705=""),"",Q705-P705)</x:f>
        <x:v>0</x:v>
      </x:c>
      <x:c r="S705" s="13" t="n">
        <x:f>IF(OR(P705="",Q705="",P705=0),"",((Q705/30)/(P705/31))-1)</x:f>
        <x:v>0.03333333333333344</x:v>
      </x:c>
      <x:c r="T705" s="11" t="n">
        <x:v>73</x:v>
      </x:c>
      <x:c r="U705" s="11" t="n">
        <x:v>45</x:v>
      </x:c>
      <x:c r="V705" s="14" t="n">
        <x:v>0.022222222222222223</x:v>
      </x:c>
      <x:c r="W705" s="12" t="n">
        <x:v>4.955555555555556</x:v>
      </x:c>
      <x:c r="X705" s="11"/>
      <x:c r="Y705" s="11"/>
      <x:c r="Z705" s="4" t="str">
        <x:v>https://blog.skyairline.com/vlogs-de-viaje/</x:v>
      </x:c>
      <x:c r="AA705" s="4" t="str">
        <x:v>https://blog.skyairline.com/vlogs-de-viaje/</x:v>
      </x:c>
      <x:c r="AB705" s="4" t="str">
        <x:v>Coincidencia URL</x:v>
      </x:c>
      <x:c r="AC705" s="4" t="str">
        <x:v>Publicado hasta septiembre</x:v>
      </x:c>
      <x:c r="AD705" s="4"/>
      <x:c r="AE705" s="4"/>
      <x:c r="AF705" s="16" t="b">
        <x:v>0</x:v>
      </x:c>
    </x:row>
    <x:row r="706" ht="44" customHeight="1">
      <x:c r="A706" s="4" t="n">
        <x:v>1579</x:v>
      </x:c>
      <x:c r="B706" s="4" t="str">
        <x:v>https://blog.skyairline.com/visitar-valparaiso/</x:v>
      </x:c>
      <x:c r="C706" s="9" t="str">
        <x:v>Valparaíso, Chile: Una escapada rápida desde la capital</x:v>
      </x:c>
      <x:c r="D706" s="17" t="d">
        <x:v>2026-05-11T00:00:00.000Z</x:v>
      </x:c>
      <x:c r="E706" s="17" t="d">
        <x:v>2026-05-05T00:00:00.000Z</x:v>
      </x:c>
      <x:c r="F706" s="4" t="str">
        <x:v>Destinos</x:v>
      </x:c>
      <x:c r="G706" s="11" t="n">
        <x:v>1014</x:v>
      </x:c>
      <x:c r="H706" s="11" t="n">
        <x:v>200</x:v>
      </x:c>
      <x:c r="I706" s="11" t="n">
        <x:v>1</x:v>
      </x:c>
      <x:c r="J706" s="4" t="str">
        <x:v>https://blog.skyairline.com/visitar-valparaiso/</x:v>
      </x:c>
      <x:c r="K706" s="16" t="b">
        <x:v>0</x:v>
      </x:c>
      <x:c r="L706" s="11" t="n">
        <x:v>0</x:v>
      </x:c>
      <x:c r="M706" s="11" t="n">
        <x:v>0</x:v>
      </x:c>
      <x:c r="N706" s="4"/>
      <x:c r="O706" s="4"/>
      <x:c r="P706" s="11" t="n">
        <x:v>1</x:v>
      </x:c>
      <x:c r="Q706" s="11" t="n">
        <x:v>1</x:v>
      </x:c>
      <x:c r="R706" s="11" t="n">
        <x:f>IF(OR(P706="",Q706=""),"",Q706-P706)</x:f>
        <x:v>0</x:v>
      </x:c>
      <x:c r="S706" s="13" t="n">
        <x:f>IF(OR(P706="",Q706="",P706=0),"",((Q706/30)/(P706/31))-1)</x:f>
        <x:v>0.03333333333333344</x:v>
      </x:c>
      <x:c r="T706" s="11" t="n">
        <x:v>414</x:v>
      </x:c>
      <x:c r="U706" s="11" t="n">
        <x:v>251</x:v>
      </x:c>
      <x:c r="V706" s="14" t="n">
        <x:v>0.00398406374501992</x:v>
      </x:c>
      <x:c r="W706" s="12" t="n">
        <x:v>21.888446215139442</x:v>
      </x:c>
      <x:c r="X706" s="11" t="n">
        <x:v>5</x:v>
      </x:c>
      <x:c r="Y706" s="11" t="n">
        <x:v>4</x:v>
      </x:c>
      <x:c r="Z706" s="4" t="str">
        <x:v>https://blog.skyairline.com/visitar-valparaiso/</x:v>
      </x:c>
      <x:c r="AA706" s="4" t="str">
        <x:v>https://blog.skyairline.com/visitar-valparaiso/</x:v>
      </x:c>
      <x:c r="AB706" s="4" t="str">
        <x:v>Coincidencia URL</x:v>
      </x:c>
      <x:c r="AC706" s="4" t="str">
        <x:v>Publicado hasta septiembre</x:v>
      </x:c>
      <x:c r="AD706" s="4" t="str">
        <x:v>/visitar-valparaiso/</x:v>
      </x:c>
      <x:c r="AE706" s="4"/>
      <x:c r="AF706" s="16" t="b">
        <x:v>0</x:v>
      </x:c>
    </x:row>
    <x:row r="707" ht="44" customHeight="1">
      <x:c r="A707" s="4" t="n">
        <x:v>1608</x:v>
      </x:c>
      <x:c r="B707" s="4" t="str">
        <x:v>https://blog.skyairline.com/sky-lanza-nueva-ruta-internacional/</x:v>
      </x:c>
      <x:c r="C707" s="9" t="str">
        <x:v>SKY LANZA NUEVA RUTA INTERNACIONAL</x:v>
      </x:c>
      <x:c r="D707" s="17" t="d">
        <x:v>2022-03-16T00:00:00.000Z</x:v>
      </x:c>
      <x:c r="E707" s="17" t="d">
        <x:v>2022-03-16T00:00:00.000Z</x:v>
      </x:c>
      <x:c r="F707" s="4" t="str">
        <x:v>Noticias</x:v>
      </x:c>
      <x:c r="G707" s="11" t="n">
        <x:v>534</x:v>
      </x:c>
      <x:c r="H707" s="11" t="n">
        <x:v>200</x:v>
      </x:c>
      <x:c r="I707" s="11" t="n">
        <x:v>1</x:v>
      </x:c>
      <x:c r="J707" s="4" t="str">
        <x:v>https://blog.skyairline.com/sky-lanza-nueva-ruta-internacional/</x:v>
      </x:c>
      <x:c r="K707" s="16" t="b">
        <x:v>0</x:v>
      </x:c>
      <x:c r="L707" s="11" t="n">
        <x:v>0</x:v>
      </x:c>
      <x:c r="M707" s="11" t="n">
        <x:v>0</x:v>
      </x:c>
      <x:c r="N707" s="4"/>
      <x:c r="O707" s="4"/>
      <x:c r="P707" s="11" t="n">
        <x:v>0</x:v>
      </x:c>
      <x:c r="Q707" s="11" t="n">
        <x:v>1</x:v>
      </x:c>
      <x:c r="R707" s="11" t="str">
        <x:f>IF(OR(P707="",Q707=""),"",Q707-P707)</x:f>
      </x:c>
      <x:c r="S707" s="13" t="str">
        <x:f>IF(OR(P707="",Q707="",P707=0),"",((Q707/30)/(P707/31))-1)</x:f>
      </x:c>
      <x:c r="T707" s="11" t="n">
        <x:v>213</x:v>
      </x:c>
      <x:c r="U707" s="11" t="n">
        <x:v>136</x:v>
      </x:c>
      <x:c r="V707" s="14" t="n">
        <x:v>0.007352941176470588</x:v>
      </x:c>
      <x:c r="W707" s="12" t="n">
        <x:v>6.088235294117647</x:v>
      </x:c>
      <x:c r="X707" s="11" t="n">
        <x:v>1</x:v>
      </x:c>
      <x:c r="Y707" s="11" t="n">
        <x:v>2</x:v>
      </x:c>
      <x:c r="Z707" s="4" t="str">
        <x:v>https://blog.skyairline.com/sky-lanza-nueva-ruta-internacional/</x:v>
      </x:c>
      <x:c r="AA707" s="4" t="str">
        <x:v>https://blog.skyairline.com/sky-lanza-nueva-ruta-internacional/</x:v>
      </x:c>
      <x:c r="AB707" s="4" t="str">
        <x:v>Coincidencia URL</x:v>
      </x:c>
      <x:c r="AC707" s="4" t="str">
        <x:v>Publicado hasta septiembre</x:v>
      </x:c>
      <x:c r="AD707" s="4" t="str">
        <x:v>/sky-lanza-nueva-ruta-internacional/</x:v>
      </x:c>
      <x:c r="AE707" s="4"/>
      <x:c r="AF707" s="16" t="b">
        <x:v>0</x:v>
      </x:c>
    </x:row>
    <x:row r="708" ht="44" customHeight="1">
      <x:c r="A708" s="4" t="n">
        <x:v>1614</x:v>
      </x:c>
      <x:c r="B708" s="4" t="str">
        <x:v>https://blog.skyairline.com/prepararse-para-el-cyber-day/</x:v>
      </x:c>
      <x:c r="C708" s="9" t="str">
        <x:v>¿Cómo prepararte para comprar pasajes en el próximo Cyber Day?</x:v>
      </x:c>
      <x:c r="D708" s="17" t="d">
        <x:v>2022-03-21T00:00:00.000Z</x:v>
      </x:c>
      <x:c r="E708" s="17" t="d">
        <x:v>2022-03-21T00:00:00.000Z</x:v>
      </x:c>
      <x:c r="F708" s="4" t="str">
        <x:v>Noticias</x:v>
      </x:c>
      <x:c r="G708" s="11" t="n">
        <x:v>1033</x:v>
      </x:c>
      <x:c r="H708" s="11" t="n">
        <x:v>200</x:v>
      </x:c>
      <x:c r="I708" s="11" t="n">
        <x:v>1</x:v>
      </x:c>
      <x:c r="J708" s="4" t="str">
        <x:v>https://blog.skyairline.com/prepararse-para-el-cyber-day/</x:v>
      </x:c>
      <x:c r="K708" s="16" t="b">
        <x:v>0</x:v>
      </x:c>
      <x:c r="L708" s="11" t="n">
        <x:v>0</x:v>
      </x:c>
      <x:c r="M708" s="11" t="n">
        <x:v>4</x:v>
      </x:c>
      <x:c r="N708" s="4"/>
      <x:c r="O708" s="4"/>
      <x:c r="P708" s="11" t="n">
        <x:v>0</x:v>
      </x:c>
      <x:c r="Q708" s="11" t="n">
        <x:v>1</x:v>
      </x:c>
      <x:c r="R708" s="11" t="str">
        <x:f>IF(OR(P708="",Q708=""),"",Q708-P708)</x:f>
      </x:c>
      <x:c r="S708" s="13" t="str">
        <x:f>IF(OR(P708="",Q708="",P708=0),"",((Q708/30)/(P708/31))-1)</x:f>
      </x:c>
      <x:c r="T708" s="11" t="n">
        <x:v>47</x:v>
      </x:c>
      <x:c r="U708" s="11" t="n">
        <x:v>437</x:v>
      </x:c>
      <x:c r="V708" s="14" t="n">
        <x:v>0.002288329519450801</x:v>
      </x:c>
      <x:c r="W708" s="12" t="n">
        <x:v>9.837528604118994</x:v>
      </x:c>
      <x:c r="X708" s="11" t="n">
        <x:v>1</x:v>
      </x:c>
      <x:c r="Y708" s="11" t="n">
        <x:v>1</x:v>
      </x:c>
      <x:c r="Z708" s="4" t="str">
        <x:v>https://blog.skyairline.com/prepararse-para-el-cyber-day/</x:v>
      </x:c>
      <x:c r="AA708" s="4" t="str">
        <x:v>https://blog.skyairline.com/prepararse-para-el-cyber-day/</x:v>
      </x:c>
      <x:c r="AB708" s="4" t="str">
        <x:v>Coincidencia URL</x:v>
      </x:c>
      <x:c r="AC708" s="4" t="str">
        <x:v>Publicado hasta septiembre</x:v>
      </x:c>
      <x:c r="AD708" s="4" t="str">
        <x:v>/prepararse-para-el-cyber-day/</x:v>
      </x:c>
      <x:c r="AE708" s="4"/>
      <x:c r="AF708" s="16" t="b">
        <x:v>0</x:v>
      </x:c>
    </x:row>
    <x:row r="709" ht="44" customHeight="1">
      <x:c r="A709" s="4" t="n">
        <x:v>1636</x:v>
      </x:c>
      <x:c r="B709" s="4" t="str">
        <x:v>https://blog.skyairline.com/dormir-bien-durante-un-viaje/</x:v>
      </x:c>
      <x:c r="C709" s="9" t="str">
        <x:v>¿Cómo dormir bien durante un viaje?</x:v>
      </x:c>
      <x:c r="D709" s="17" t="d">
        <x:v>2022-04-01T00:00:00.000Z</x:v>
      </x:c>
      <x:c r="E709" s="17" t="d">
        <x:v>2022-04-01T00:00:00.000Z</x:v>
      </x:c>
      <x:c r="F709" s="4" t="str">
        <x:v>Planificación de Viaje</x:v>
      </x:c>
      <x:c r="G709" s="11" t="n">
        <x:v>1085</x:v>
      </x:c>
      <x:c r="H709" s="11" t="n">
        <x:v>200</x:v>
      </x:c>
      <x:c r="I709" s="11" t="n">
        <x:v>1</x:v>
      </x:c>
      <x:c r="J709" s="4" t="str">
        <x:v>https://blog.skyairline.com/dormir-bien-durante-un-viaje/</x:v>
      </x:c>
      <x:c r="K709" s="16" t="b">
        <x:v>0</x:v>
      </x:c>
      <x:c r="L709" s="11" t="n">
        <x:v>0</x:v>
      </x:c>
      <x:c r="M709" s="11" t="n">
        <x:v>5</x:v>
      </x:c>
      <x:c r="N709" s="4"/>
      <x:c r="O709" s="4"/>
      <x:c r="P709" s="11" t="n">
        <x:v>0</x:v>
      </x:c>
      <x:c r="Q709" s="11" t="n">
        <x:v>1</x:v>
      </x:c>
      <x:c r="R709" s="11" t="str">
        <x:f>IF(OR(P709="",Q709=""),"",Q709-P709)</x:f>
      </x:c>
      <x:c r="S709" s="13" t="str">
        <x:f>IF(OR(P709="",Q709="",P709=0),"",((Q709/30)/(P709/31))-1)</x:f>
      </x:c>
      <x:c r="T709" s="11" t="n">
        <x:v>17</x:v>
      </x:c>
      <x:c r="U709" s="11" t="n">
        <x:v>14</x:v>
      </x:c>
      <x:c r="V709" s="14" t="n">
        <x:v>0.07142857142857142</x:v>
      </x:c>
      <x:c r="W709" s="12" t="n">
        <x:v>8.071428571428571</x:v>
      </x:c>
      <x:c r="X709" s="11" t="n">
        <x:v>2</x:v>
      </x:c>
      <x:c r="Y709" s="11" t="n">
        <x:v>2</x:v>
      </x:c>
      <x:c r="Z709" s="4" t="str">
        <x:v>https://blog.skyairline.com/dormir-bien-durante-un-viaje/</x:v>
      </x:c>
      <x:c r="AA709" s="4" t="str">
        <x:v>https://blog.skyairline.com/dormir-bien-durante-un-viaje/</x:v>
      </x:c>
      <x:c r="AB709" s="4" t="str">
        <x:v>Coincidencia URL</x:v>
      </x:c>
      <x:c r="AC709" s="4" t="str">
        <x:v>Publicado hasta septiembre</x:v>
      </x:c>
      <x:c r="AD709" s="4" t="str">
        <x:v>/dormir-bien-durante-un-viaje/</x:v>
      </x:c>
      <x:c r="AE709" s="4"/>
      <x:c r="AF709" s="16" t="b">
        <x:v>0</x:v>
      </x:c>
    </x:row>
    <x:row r="710" ht="44" customHeight="1">
      <x:c r="A710" s="4" t="n">
        <x:v>1690</x:v>
      </x:c>
      <x:c r="B710" s="4" t="str">
        <x:v>https://blog.skyairline.com/seguridad-para-viajar-en-avion/</x:v>
      </x:c>
      <x:c r="C710" s="9" t="str">
        <x:v>13 importantes consejos de seguridad para viajar en avión</x:v>
      </x:c>
      <x:c r="D710" s="17" t="d">
        <x:v>2022-04-13T00:00:00.000Z</x:v>
      </x:c>
      <x:c r="E710" s="17" t="d">
        <x:v>2022-04-13T00:00:00.000Z</x:v>
      </x:c>
      <x:c r="F710" s="4" t="str">
        <x:v>Planificación de Viaje</x:v>
      </x:c>
      <x:c r="G710" s="11" t="n">
        <x:v>1914</x:v>
      </x:c>
      <x:c r="H710" s="11" t="n">
        <x:v>200</x:v>
      </x:c>
      <x:c r="I710" s="11" t="n">
        <x:v>1</x:v>
      </x:c>
      <x:c r="J710" s="4" t="str">
        <x:v>https://blog.skyairline.com/seguridad-para-viajar-en-avion/</x:v>
      </x:c>
      <x:c r="K710" s="16" t="b">
        <x:v>0</x:v>
      </x:c>
      <x:c r="L710" s="11" t="n">
        <x:v>0</x:v>
      </x:c>
      <x:c r="M710" s="11" t="n">
        <x:v>4</x:v>
      </x:c>
      <x:c r="N710" s="4"/>
      <x:c r="O710" s="4"/>
      <x:c r="P710" s="11" t="n">
        <x:v>2</x:v>
      </x:c>
      <x:c r="Q710" s="11" t="n">
        <x:v>1</x:v>
      </x:c>
      <x:c r="R710" s="11" t="n">
        <x:f>IF(OR(P710="",Q710=""),"",Q710-P710)</x:f>
        <x:v>-1</x:v>
      </x:c>
      <x:c r="S710" s="13" t="n">
        <x:f>IF(OR(P710="",Q710="",P710=0),"",((Q710/30)/(P710/31))-1)</x:f>
        <x:v>-0.4833333333333333</x:v>
      </x:c>
      <x:c r="T710" s="11" t="n">
        <x:v>514</x:v>
      </x:c>
      <x:c r="U710" s="11" t="n">
        <x:v>195</x:v>
      </x:c>
      <x:c r="V710" s="14" t="n">
        <x:v>0.005128205128205128</x:v>
      </x:c>
      <x:c r="W710" s="12" t="n">
        <x:v>43.95384615384615</x:v>
      </x:c>
      <x:c r="X710" s="11" t="n">
        <x:v>21</x:v>
      </x:c>
      <x:c r="Y710" s="11" t="n">
        <x:v>24</x:v>
      </x:c>
      <x:c r="Z710" s="4" t="str">
        <x:v>https://blog.skyairline.com/seguridad-para-viajar-en-avion/</x:v>
      </x:c>
      <x:c r="AA710" s="4" t="str">
        <x:v>https://blog.skyairline.com/seguridad-para-viajar-en-avion/</x:v>
      </x:c>
      <x:c r="AB710" s="4" t="str">
        <x:v>Coincidencia URL</x:v>
      </x:c>
      <x:c r="AC710" s="4" t="str">
        <x:v>Publicado hasta septiembre</x:v>
      </x:c>
      <x:c r="AD710" s="4" t="str">
        <x:v>/seguridad-para-viajar-en-avion/</x:v>
      </x:c>
      <x:c r="AE710" s="4"/>
      <x:c r="AF710" s="16" t="b">
        <x:v>0</x:v>
      </x:c>
    </x:row>
    <x:row r="711" ht="44" customHeight="1">
      <x:c r="A711" s="4" t="n">
        <x:v>1719</x:v>
      </x:c>
      <x:c r="B711" s="4" t="str">
        <x:v>https://blog.skyairline.com/bucket-list/</x:v>
      </x:c>
      <x:c r="C711" s="9" t="str">
        <x:v>Descubre cómo armar tu propia &amp;#8216;Bucket List’</x:v>
      </x:c>
      <x:c r="D711" s="17" t="d">
        <x:v>2022-04-19T00:00:00.000Z</x:v>
      </x:c>
      <x:c r="E711" s="17" t="d">
        <x:v>2022-04-19T00:00:00.000Z</x:v>
      </x:c>
      <x:c r="F711" s="4" t="str">
        <x:v>Planificación de Viaje</x:v>
      </x:c>
      <x:c r="G711" s="11" t="n">
        <x:v>1075</x:v>
      </x:c>
      <x:c r="H711" s="11" t="n">
        <x:v>200</x:v>
      </x:c>
      <x:c r="I711" s="11" t="n">
        <x:v>1</x:v>
      </x:c>
      <x:c r="J711" s="4" t="str">
        <x:v>https://blog.skyairline.com/bucket-list/</x:v>
      </x:c>
      <x:c r="K711" s="16" t="b">
        <x:v>0</x:v>
      </x:c>
      <x:c r="L711" s="11" t="n">
        <x:v>0</x:v>
      </x:c>
      <x:c r="M711" s="11" t="n">
        <x:v>9</x:v>
      </x:c>
      <x:c r="N711" s="4"/>
      <x:c r="O711" s="4"/>
      <x:c r="P711" s="11" t="n">
        <x:v>0</x:v>
      </x:c>
      <x:c r="Q711" s="11" t="n">
        <x:v>1</x:v>
      </x:c>
      <x:c r="R711" s="11" t="str">
        <x:f>IF(OR(P711="",Q711=""),"",Q711-P711)</x:f>
      </x:c>
      <x:c r="S711" s="13" t="str">
        <x:f>IF(OR(P711="",Q711="",P711=0),"",((Q711/30)/(P711/31))-1)</x:f>
      </x:c>
      <x:c r="T711" s="11" t="n">
        <x:v>16</x:v>
      </x:c>
      <x:c r="U711" s="11" t="n">
        <x:v>20</x:v>
      </x:c>
      <x:c r="V711" s="14" t="n">
        <x:v>0.05</x:v>
      </x:c>
      <x:c r="W711" s="12" t="n">
        <x:v>30.05</x:v>
      </x:c>
      <x:c r="X711" s="11" t="n">
        <x:v>1</x:v>
      </x:c>
      <x:c r="Y711" s="11" t="n">
        <x:v>1</x:v>
      </x:c>
      <x:c r="Z711" s="4" t="str">
        <x:v>https://blog.skyairline.com/bucket-list/</x:v>
      </x:c>
      <x:c r="AA711" s="4" t="str">
        <x:v>https://blog.skyairline.com/bucket-list/</x:v>
      </x:c>
      <x:c r="AB711" s="4" t="str">
        <x:v>Coincidencia URL</x:v>
      </x:c>
      <x:c r="AC711" s="4" t="str">
        <x:v>Publicado hasta septiembre</x:v>
      </x:c>
      <x:c r="AD711" s="4" t="str">
        <x:v>/bucket-list/</x:v>
      </x:c>
      <x:c r="AE711" s="4"/>
      <x:c r="AF711" s="16" t="b">
        <x:v>0</x:v>
      </x:c>
    </x:row>
    <x:row r="712" ht="44" customHeight="1">
      <x:c r="A712" s="4" t="n">
        <x:v>1742</x:v>
      </x:c>
      <x:c r="B712" s="4" t="str">
        <x:v>https://blog.skyairline.com/principales-volcanes-de-chile/</x:v>
      </x:c>
      <x:c r="C712" s="9" t="str">
        <x:v>¡Conoce los principales volcanes de Chile!</x:v>
      </x:c>
      <x:c r="D712" s="17" t="d">
        <x:v>2024-10-21T00:00:00.000Z</x:v>
      </x:c>
      <x:c r="E712" s="17" t="d">
        <x:v>2024-10-21T00:00:00.000Z</x:v>
      </x:c>
      <x:c r="F712" s="4" t="str">
        <x:v>Destinos</x:v>
      </x:c>
      <x:c r="G712" s="11" t="n">
        <x:v>1919</x:v>
      </x:c>
      <x:c r="H712" s="11" t="n">
        <x:v>200</x:v>
      </x:c>
      <x:c r="I712" s="11" t="n">
        <x:v>1</x:v>
      </x:c>
      <x:c r="J712" s="4" t="str">
        <x:v>https://blog.skyairline.com/principales-volcanes-de-chile/</x:v>
      </x:c>
      <x:c r="K712" s="16" t="b">
        <x:v>0</x:v>
      </x:c>
      <x:c r="L712" s="11" t="n">
        <x:v>0</x:v>
      </x:c>
      <x:c r="M712" s="11" t="n">
        <x:v>3</x:v>
      </x:c>
      <x:c r="N712" s="4"/>
      <x:c r="O712" s="4"/>
      <x:c r="P712" s="11" t="n">
        <x:v>2</x:v>
      </x:c>
      <x:c r="Q712" s="11" t="n">
        <x:v>1</x:v>
      </x:c>
      <x:c r="R712" s="11" t="n">
        <x:f>IF(OR(P712="",Q712=""),"",Q712-P712)</x:f>
        <x:v>-1</x:v>
      </x:c>
      <x:c r="S712" s="13" t="n">
        <x:f>IF(OR(P712="",Q712="",P712=0),"",((Q712/30)/(P712/31))-1)</x:f>
        <x:v>-0.4833333333333333</x:v>
      </x:c>
      <x:c r="T712" s="11" t="n">
        <x:v>1072</x:v>
      </x:c>
      <x:c r="U712" s="11" t="n">
        <x:v>291</x:v>
      </x:c>
      <x:c r="V712" s="14" t="n">
        <x:v>0.003436426116838488</x:v>
      </x:c>
      <x:c r="W712" s="12" t="n">
        <x:v>21.189003436426116</x:v>
      </x:c>
      <x:c r="X712" s="11" t="n">
        <x:v>1</x:v>
      </x:c>
      <x:c r="Y712" s="11" t="n">
        <x:v>1</x:v>
      </x:c>
      <x:c r="Z712" s="4" t="str">
        <x:v>https://blog.skyairline.com/principales-volcanes-de-chile/</x:v>
      </x:c>
      <x:c r="AA712" s="4" t="str">
        <x:v>https://blog.skyairline.com/principales-volcanes-de-chile/</x:v>
      </x:c>
      <x:c r="AB712" s="4" t="str">
        <x:v>Coincidencia URL</x:v>
      </x:c>
      <x:c r="AC712" s="4" t="str">
        <x:v>Publicado hasta septiembre</x:v>
      </x:c>
      <x:c r="AD712" s="4" t="str">
        <x:v>/principales-volcanes-de-chile/</x:v>
      </x:c>
      <x:c r="AE712" s="4"/>
      <x:c r="AF712" s="16" t="b">
        <x:v>0</x:v>
      </x:c>
    </x:row>
    <x:row r="713" ht="44" customHeight="1">
      <x:c r="A713" s="4" t="n">
        <x:v>1776</x:v>
      </x:c>
      <x:c r="B713" s="4" t="str">
        <x:v>https://blog.skyairline.com/eje-cafetero/</x:v>
      </x:c>
      <x:c r="C713" s="9" t="str">
        <x:v>4 cosas que debes hacer si visitas el Eje Cafetero</x:v>
      </x:c>
      <x:c r="D713" s="17" t="d">
        <x:v>2022-05-04T00:00:00.000Z</x:v>
      </x:c>
      <x:c r="E713" s="17" t="d">
        <x:v>2022-05-04T00:00:00.000Z</x:v>
      </x:c>
      <x:c r="F713" s="4" t="str">
        <x:v>Destinos</x:v>
      </x:c>
      <x:c r="G713" s="11" t="n">
        <x:v>996</x:v>
      </x:c>
      <x:c r="H713" s="11" t="n">
        <x:v>200</x:v>
      </x:c>
      <x:c r="I713" s="11" t="n">
        <x:v>1</x:v>
      </x:c>
      <x:c r="J713" s="4" t="str">
        <x:v>https://blog.skyairline.com/eje-cafetero/</x:v>
      </x:c>
      <x:c r="K713" s="16" t="b">
        <x:v>0</x:v>
      </x:c>
      <x:c r="L713" s="11" t="n">
        <x:v>0</x:v>
      </x:c>
      <x:c r="M713" s="11" t="n">
        <x:v>3</x:v>
      </x:c>
      <x:c r="N713" s="4"/>
      <x:c r="O713" s="4"/>
      <x:c r="P713" s="11" t="n">
        <x:v>0</x:v>
      </x:c>
      <x:c r="Q713" s="11" t="n">
        <x:v>1</x:v>
      </x:c>
      <x:c r="R713" s="11" t="str">
        <x:f>IF(OR(P713="",Q713=""),"",Q713-P713)</x:f>
      </x:c>
      <x:c r="S713" s="13" t="str">
        <x:f>IF(OR(P713="",Q713="",P713=0),"",((Q713/30)/(P713/31))-1)</x:f>
      </x:c>
      <x:c r="T713" s="11" t="n">
        <x:v>77</x:v>
      </x:c>
      <x:c r="U713" s="11" t="n">
        <x:v>101</x:v>
      </x:c>
      <x:c r="V713" s="14" t="n">
        <x:v>0.009900990099009901</x:v>
      </x:c>
      <x:c r="W713" s="12" t="n">
        <x:v>45.9009900990099</x:v>
      </x:c>
      <x:c r="X713" s="11" t="n">
        <x:v>1</x:v>
      </x:c>
      <x:c r="Y713" s="11" t="n">
        <x:v>1</x:v>
      </x:c>
      <x:c r="Z713" s="4" t="str">
        <x:v>https://blog.skyairline.com/eje-cafetero/</x:v>
      </x:c>
      <x:c r="AA713" s="4" t="str">
        <x:v>https://blog.skyairline.com/eje-cafetero/</x:v>
      </x:c>
      <x:c r="AB713" s="4" t="str">
        <x:v>Coincidencia URL</x:v>
      </x:c>
      <x:c r="AC713" s="4" t="str">
        <x:v>Publicado hasta septiembre</x:v>
      </x:c>
      <x:c r="AD713" s="4" t="str">
        <x:v>/eje-cafetero/</x:v>
      </x:c>
      <x:c r="AE713" s="4"/>
      <x:c r="AF713" s="16" t="b">
        <x:v>0</x:v>
      </x:c>
    </x:row>
    <x:row r="714" ht="44" customHeight="1">
      <x:c r="A714" s="4" t="n">
        <x:v>1820</x:v>
      </x:c>
      <x:c r="B714" s="4" t="str">
        <x:v>https://blog.skyairline.com/hoteles-mas-famosos-de-chile/</x:v>
      </x:c>
      <x:c r="C714" s="9" t="str">
        <x:v>Hoteles icónicos en Chile: cómo elegir dónde alojarte según el tipo de viaje</x:v>
      </x:c>
      <x:c r="D714" s="17" t="d">
        <x:v>2026-04-18T00:00:00.000Z</x:v>
      </x:c>
      <x:c r="E714" s="17" t="d">
        <x:v>2026-04-14T00:00:00.000Z</x:v>
      </x:c>
      <x:c r="F714" s="4" t="str">
        <x:v>Destinos</x:v>
      </x:c>
      <x:c r="G714" s="11" t="n">
        <x:v>1054</x:v>
      </x:c>
      <x:c r="H714" s="11" t="n">
        <x:v>200</x:v>
      </x:c>
      <x:c r="I714" s="11" t="n">
        <x:v>1</x:v>
      </x:c>
      <x:c r="J714" s="4" t="str">
        <x:v>https://blog.skyairline.com/hoteles-mas-famosos-de-chile/</x:v>
      </x:c>
      <x:c r="K714" s="16" t="b">
        <x:v>0</x:v>
      </x:c>
      <x:c r="L714" s="11" t="n">
        <x:v>0</x:v>
      </x:c>
      <x:c r="M714" s="11" t="n">
        <x:v>0</x:v>
      </x:c>
      <x:c r="N714" s="4"/>
      <x:c r="O714" s="4"/>
      <x:c r="P714" s="11" t="n">
        <x:v>0</x:v>
      </x:c>
      <x:c r="Q714" s="11" t="n">
        <x:v>1</x:v>
      </x:c>
      <x:c r="R714" s="11" t="str">
        <x:f>IF(OR(P714="",Q714=""),"",Q714-P714)</x:f>
      </x:c>
      <x:c r="S714" s="13" t="str">
        <x:f>IF(OR(P714="",Q714="",P714=0),"",((Q714/30)/(P714/31))-1)</x:f>
      </x:c>
      <x:c r="T714" s="11" t="n">
        <x:v>165</x:v>
      </x:c>
      <x:c r="U714" s="11" t="n">
        <x:v>130</x:v>
      </x:c>
      <x:c r="V714" s="14" t="n">
        <x:v>0.007692307692307693</x:v>
      </x:c>
      <x:c r="W714" s="12" t="n">
        <x:v>14.338461538461539</x:v>
      </x:c>
      <x:c r="X714" s="11" t="n">
        <x:v>1</x:v>
      </x:c>
      <x:c r="Y714" s="11" t="n">
        <x:v>1</x:v>
      </x:c>
      <x:c r="Z714" s="4" t="str">
        <x:v>https://blog.skyairline.com/hoteles-mas-famosos-de-chile/</x:v>
      </x:c>
      <x:c r="AA714" s="4" t="str">
        <x:v>https://blog.skyairline.com/hoteles-mas-famosos-de-chile/</x:v>
      </x:c>
      <x:c r="AB714" s="4" t="str">
        <x:v>Coincidencia URL</x:v>
      </x:c>
      <x:c r="AC714" s="4" t="str">
        <x:v>Publicado hasta septiembre</x:v>
      </x:c>
      <x:c r="AD714" s="4" t="str">
        <x:v>/hoteles-mas-famosos-de-chile/</x:v>
      </x:c>
      <x:c r="AE714" s="4"/>
      <x:c r="AF714" s="16" t="b">
        <x:v>0</x:v>
      </x:c>
    </x:row>
    <x:row r="715" ht="44" customHeight="1">
      <x:c r="A715" s="4" t="n">
        <x:v>1824</x:v>
      </x:c>
      <x:c r="B715" s="4" t="str">
        <x:v>https://blog.skyairline.com/mejores-museos-en-mendoza/</x:v>
      </x:c>
      <x:c r="C715" s="9" t="str">
        <x:v>¡Echa un vistazo a los 7 mejores museos en Mendoza!</x:v>
      </x:c>
      <x:c r="D715" s="17" t="d">
        <x:v>2022-05-15T00:00:00.000Z</x:v>
      </x:c>
      <x:c r="E715" s="17" t="d">
        <x:v>2022-05-15T00:00:00.000Z</x:v>
      </x:c>
      <x:c r="F715" s="4" t="str">
        <x:v>Cultura</x:v>
      </x:c>
      <x:c r="G715" s="11" t="n">
        <x:v>1026</x:v>
      </x:c>
      <x:c r="H715" s="11" t="n">
        <x:v>200</x:v>
      </x:c>
      <x:c r="I715" s="11" t="n">
        <x:v>1</x:v>
      </x:c>
      <x:c r="J715" s="4" t="str">
        <x:v>https://blog.skyairline.com/mejores-museos-en-mendoza/</x:v>
      </x:c>
      <x:c r="K715" s="16" t="b">
        <x:v>0</x:v>
      </x:c>
      <x:c r="L715" s="11" t="n">
        <x:v>0</x:v>
      </x:c>
      <x:c r="M715" s="11" t="n">
        <x:v>4</x:v>
      </x:c>
      <x:c r="N715" s="4"/>
      <x:c r="O715" s="4"/>
      <x:c r="P715" s="11" t="n">
        <x:v>1</x:v>
      </x:c>
      <x:c r="Q715" s="11" t="n">
        <x:v>1</x:v>
      </x:c>
      <x:c r="R715" s="11" t="n">
        <x:f>IF(OR(P715="",Q715=""),"",Q715-P715)</x:f>
        <x:v>0</x:v>
      </x:c>
      <x:c r="S715" s="13" t="n">
        <x:f>IF(OR(P715="",Q715="",P715=0),"",((Q715/30)/(P715/31))-1)</x:f>
        <x:v>0.03333333333333344</x:v>
      </x:c>
      <x:c r="T715" s="11" t="n">
        <x:v>279</x:v>
      </x:c>
      <x:c r="U715" s="11" t="n">
        <x:v>269</x:v>
      </x:c>
      <x:c r="V715" s="14" t="n">
        <x:v>0.0037174721189591076</x:v>
      </x:c>
      <x:c r="W715" s="12" t="n">
        <x:v>18.0817843866171</x:v>
      </x:c>
      <x:c r="X715" s="11" t="n">
        <x:v>1</x:v>
      </x:c>
      <x:c r="Y715" s="11" t="n">
        <x:v>1</x:v>
      </x:c>
      <x:c r="Z715" s="4" t="str">
        <x:v>https://blog.skyairline.com/mejores-museos-en-mendoza/</x:v>
      </x:c>
      <x:c r="AA715" s="4" t="str">
        <x:v>https://blog.skyairline.com/mejores-museos-en-mendoza/</x:v>
      </x:c>
      <x:c r="AB715" s="4" t="str">
        <x:v>Coincidencia URL</x:v>
      </x:c>
      <x:c r="AC715" s="4" t="str">
        <x:v>Publicado hasta septiembre</x:v>
      </x:c>
      <x:c r="AD715" s="4" t="str">
        <x:v>/mejores-museos-en-mendoza/</x:v>
      </x:c>
      <x:c r="AE715" s="4"/>
      <x:c r="AF715" s="16" t="b">
        <x:v>0</x:v>
      </x:c>
    </x:row>
    <x:row r="716" ht="44" customHeight="1">
      <x:c r="A716" s="4" t="n">
        <x:v>1826</x:v>
      </x:c>
      <x:c r="B716" s="4" t="str">
        <x:v>https://blog.skyairline.com/ocean-drive/</x:v>
      </x:c>
      <x:c r="C716" s="9" t="str">
        <x:v>Recorrido por Ocean Drive: ¡conoce la calle más famosa de Miami!</x:v>
      </x:c>
      <x:c r="D716" s="17" t="d">
        <x:v>2022-05-16T00:00:00.000Z</x:v>
      </x:c>
      <x:c r="E716" s="17" t="d">
        <x:v>2022-05-16T00:00:00.000Z</x:v>
      </x:c>
      <x:c r="F716" s="4" t="str">
        <x:v>Destinos</x:v>
      </x:c>
      <x:c r="G716" s="11" t="n">
        <x:v>1021</x:v>
      </x:c>
      <x:c r="H716" s="11" t="n">
        <x:v>200</x:v>
      </x:c>
      <x:c r="I716" s="11" t="n">
        <x:v>1</x:v>
      </x:c>
      <x:c r="J716" s="4" t="str">
        <x:v>https://blog.skyairline.com/ocean-drive/</x:v>
      </x:c>
      <x:c r="K716" s="16" t="b">
        <x:v>0</x:v>
      </x:c>
      <x:c r="L716" s="11" t="n">
        <x:v>0</x:v>
      </x:c>
      <x:c r="M716" s="11" t="n">
        <x:v>4</x:v>
      </x:c>
      <x:c r="N716" s="4"/>
      <x:c r="O716" s="4"/>
      <x:c r="P716" s="11" t="n">
        <x:v>1</x:v>
      </x:c>
      <x:c r="Q716" s="11" t="n">
        <x:v>1</x:v>
      </x:c>
      <x:c r="R716" s="11" t="n">
        <x:f>IF(OR(P716="",Q716=""),"",Q716-P716)</x:f>
        <x:v>0</x:v>
      </x:c>
      <x:c r="S716" s="13" t="n">
        <x:f>IF(OR(P716="",Q716="",P716=0),"",((Q716/30)/(P716/31))-1)</x:f>
        <x:v>0.03333333333333344</x:v>
      </x:c>
      <x:c r="T716" s="11" t="n">
        <x:v>819</x:v>
      </x:c>
      <x:c r="U716" s="11" t="n">
        <x:v>453</x:v>
      </x:c>
      <x:c r="V716" s="14" t="n">
        <x:v>0.002207505518763797</x:v>
      </x:c>
      <x:c r="W716" s="12" t="n">
        <x:v>11.136865342163356</x:v>
      </x:c>
      <x:c r="X716" s="11" t="n">
        <x:v>4</x:v>
      </x:c>
      <x:c r="Y716" s="11" t="n">
        <x:v>7</x:v>
      </x:c>
      <x:c r="Z716" s="4" t="str">
        <x:v>https://blog.skyairline.com/ocean-drive/</x:v>
      </x:c>
      <x:c r="AA716" s="4" t="str">
        <x:v>https://blog.skyairline.com/ocean-drive/</x:v>
      </x:c>
      <x:c r="AB716" s="4" t="str">
        <x:v>Coincidencia URL</x:v>
      </x:c>
      <x:c r="AC716" s="4" t="str">
        <x:v>Publicado hasta septiembre</x:v>
      </x:c>
      <x:c r="AD716" s="4" t="str">
        <x:v>/ocean-drive/</x:v>
      </x:c>
      <x:c r="AE716" s="4"/>
      <x:c r="AF716" s="16" t="b">
        <x:v>0</x:v>
      </x:c>
    </x:row>
    <x:row r="717" ht="44" customHeight="1">
      <x:c r="A717" s="4" t="n">
        <x:v>1850</x:v>
      </x:c>
      <x:c r="B717" s="4" t="str">
        <x:v>https://blog.skyairline.com/viajar-en-auto/</x:v>
      </x:c>
      <x:c r="C717" s="9" t="str">
        <x:v>¿Realmente es más barato viajar en auto de Chile a Argentina?</x:v>
      </x:c>
      <x:c r="D717" s="17" t="d">
        <x:v>2022-05-21T00:00:00.000Z</x:v>
      </x:c>
      <x:c r="E717" s="17" t="d">
        <x:v>2022-05-21T00:00:00.000Z</x:v>
      </x:c>
      <x:c r="F717" s="4" t="str">
        <x:v>Destinos</x:v>
      </x:c>
      <x:c r="G717" s="11" t="n">
        <x:v>962</x:v>
      </x:c>
      <x:c r="H717" s="11" t="n">
        <x:v>200</x:v>
      </x:c>
      <x:c r="I717" s="11" t="n">
        <x:v>1</x:v>
      </x:c>
      <x:c r="J717" s="4" t="str">
        <x:v>https://blog.skyairline.com/viajar-en-auto/</x:v>
      </x:c>
      <x:c r="K717" s="16" t="b">
        <x:v>0</x:v>
      </x:c>
      <x:c r="L717" s="11" t="n">
        <x:v>0</x:v>
      </x:c>
      <x:c r="M717" s="11" t="n">
        <x:v>0</x:v>
      </x:c>
      <x:c r="N717" s="4"/>
      <x:c r="O717" s="4"/>
      <x:c r="P717" s="11" t="n">
        <x:v>8</x:v>
      </x:c>
      <x:c r="Q717" s="11" t="n">
        <x:v>1</x:v>
      </x:c>
      <x:c r="R717" s="11" t="n">
        <x:f>IF(OR(P717="",Q717=""),"",Q717-P717)</x:f>
        <x:v>-7</x:v>
      </x:c>
      <x:c r="S717" s="13" t="n">
        <x:f>IF(OR(P717="",Q717="",P717=0),"",((Q717/30)/(P717/31))-1)</x:f>
        <x:v>-0.8708333333333333</x:v>
      </x:c>
      <x:c r="T717" s="11" t="n">
        <x:v>1675</x:v>
      </x:c>
      <x:c r="U717" s="11" t="n">
        <x:v>1225</x:v>
      </x:c>
      <x:c r="V717" s="14" t="n">
        <x:v>0.0008163265306122449</x:v>
      </x:c>
      <x:c r="W717" s="12" t="n">
        <x:v>7.8040816326530615</x:v>
      </x:c>
      <x:c r="X717" s="11" t="n">
        <x:v>1</x:v>
      </x:c>
      <x:c r="Y717" s="11" t="n">
        <x:v>2</x:v>
      </x:c>
      <x:c r="Z717" s="4" t="str">
        <x:v>https://blog.skyairline.com/viajar-en-auto/</x:v>
      </x:c>
      <x:c r="AA717" s="4" t="str">
        <x:v>https://blog.skyairline.com/viajar-en-auto/</x:v>
      </x:c>
      <x:c r="AB717" s="4" t="str">
        <x:v>Coincidencia URL</x:v>
      </x:c>
      <x:c r="AC717" s="4" t="str">
        <x:v>Publicado hasta septiembre</x:v>
      </x:c>
      <x:c r="AD717" s="4" t="str">
        <x:v>/viajar-en-auto/</x:v>
      </x:c>
      <x:c r="AE717" s="4"/>
      <x:c r="AF717" s="16" t="b">
        <x:v>0</x:v>
      </x:c>
    </x:row>
    <x:row r="718" ht="44" customHeight="1">
      <x:c r="A718" s="4" t="n">
        <x:v>1860</x:v>
      </x:c>
      <x:c r="B718" s="4" t="str">
        <x:v>https://blog.skyairline.com/turismo-deportivo/</x:v>
      </x:c>
      <x:c r="C718" s="9" t="str">
        <x:v>¿Conoces el turismo deportivo? Una gran opción para viajar</x:v>
      </x:c>
      <x:c r="D718" s="17" t="d">
        <x:v>2022-05-25T00:00:00.000Z</x:v>
      </x:c>
      <x:c r="E718" s="17" t="d">
        <x:v>2022-05-25T00:00:00.000Z</x:v>
      </x:c>
      <x:c r="F718" s="4" t="str">
        <x:v>Cultura</x:v>
      </x:c>
      <x:c r="G718" s="11" t="n">
        <x:v>1003</x:v>
      </x:c>
      <x:c r="H718" s="11" t="n">
        <x:v>200</x:v>
      </x:c>
      <x:c r="I718" s="11" t="n">
        <x:v>1</x:v>
      </x:c>
      <x:c r="J718" s="4" t="str">
        <x:v>https://blog.skyairline.com/turismo-deportivo/</x:v>
      </x:c>
      <x:c r="K718" s="16" t="b">
        <x:v>0</x:v>
      </x:c>
      <x:c r="L718" s="11" t="n">
        <x:v>0</x:v>
      </x:c>
      <x:c r="M718" s="11" t="n">
        <x:v>4</x:v>
      </x:c>
      <x:c r="N718" s="4"/>
      <x:c r="O718" s="4"/>
      <x:c r="P718" s="11" t="n">
        <x:v>0</x:v>
      </x:c>
      <x:c r="Q718" s="11" t="n">
        <x:v>1</x:v>
      </x:c>
      <x:c r="R718" s="11" t="str">
        <x:f>IF(OR(P718="",Q718=""),"",Q718-P718)</x:f>
      </x:c>
      <x:c r="S718" s="13" t="str">
        <x:f>IF(OR(P718="",Q718="",P718=0),"",((Q718/30)/(P718/31))-1)</x:f>
      </x:c>
      <x:c r="T718" s="11" t="n">
        <x:v>260</x:v>
      </x:c>
      <x:c r="U718" s="11" t="n">
        <x:v>174</x:v>
      </x:c>
      <x:c r="V718" s="14" t="n">
        <x:v>0.005747126436781609</x:v>
      </x:c>
      <x:c r="W718" s="12" t="n">
        <x:v>41.827586206896555</x:v>
      </x:c>
      <x:c r="X718" s="11" t="n">
        <x:v>2</x:v>
      </x:c>
      <x:c r="Y718" s="11" t="n">
        <x:v>2</x:v>
      </x:c>
      <x:c r="Z718" s="4" t="str">
        <x:v>https://blog.skyairline.com/turismo-deportivo/</x:v>
      </x:c>
      <x:c r="AA718" s="4" t="str">
        <x:v>https://blog.skyairline.com/turismo-deportivo/</x:v>
      </x:c>
      <x:c r="AB718" s="4" t="str">
        <x:v>Coincidencia URL</x:v>
      </x:c>
      <x:c r="AC718" s="4" t="str">
        <x:v>Publicado hasta septiembre</x:v>
      </x:c>
      <x:c r="AD718" s="4" t="str">
        <x:v>/turismo-deportivo/</x:v>
      </x:c>
      <x:c r="AE718" s="4"/>
      <x:c r="AF718" s="16" t="b">
        <x:v>0</x:v>
      </x:c>
    </x:row>
    <x:row r="719" ht="44" customHeight="1">
      <x:c r="A719" s="4" t="n">
        <x:v>1868</x:v>
      </x:c>
      <x:c r="B719" s="4" t="str">
        <x:v>https://blog.skyairline.com/festivales-musicales/</x:v>
      </x:c>
      <x:c r="C719" s="9" t="str">
        <x:v>Festivales Musicales: Una gran oportunidad para viajar</x:v>
      </x:c>
      <x:c r="D719" s="17" t="d">
        <x:v>2022-05-27T00:00:00.000Z</x:v>
      </x:c>
      <x:c r="E719" s="17" t="d">
        <x:v>2022-05-27T00:00:00.000Z</x:v>
      </x:c>
      <x:c r="F719" s="4" t="str">
        <x:v>Cultura</x:v>
      </x:c>
      <x:c r="G719" s="11" t="n">
        <x:v>980</x:v>
      </x:c>
      <x:c r="H719" s="11" t="n">
        <x:v>200</x:v>
      </x:c>
      <x:c r="I719" s="11" t="n">
        <x:v>1</x:v>
      </x:c>
      <x:c r="J719" s="4" t="str">
        <x:v>https://blog.skyairline.com/festivales-musicales/</x:v>
      </x:c>
      <x:c r="K719" s="16" t="b">
        <x:v>0</x:v>
      </x:c>
      <x:c r="L719" s="11" t="n">
        <x:v>0</x:v>
      </x:c>
      <x:c r="M719" s="11" t="n">
        <x:v>4</x:v>
      </x:c>
      <x:c r="N719" s="4"/>
      <x:c r="O719" s="4"/>
      <x:c r="P719" s="11" t="n">
        <x:v>1</x:v>
      </x:c>
      <x:c r="Q719" s="11" t="n">
        <x:v>1</x:v>
      </x:c>
      <x:c r="R719" s="11" t="n">
        <x:f>IF(OR(P719="",Q719=""),"",Q719-P719)</x:f>
        <x:v>0</x:v>
      </x:c>
      <x:c r="S719" s="13" t="n">
        <x:f>IF(OR(P719="",Q719="",P719=0),"",((Q719/30)/(P719/31))-1)</x:f>
        <x:v>0.03333333333333344</x:v>
      </x:c>
      <x:c r="T719" s="11" t="n">
        <x:v>64</x:v>
      </x:c>
      <x:c r="U719" s="11" t="n">
        <x:v>61</x:v>
      </x:c>
      <x:c r="V719" s="14" t="n">
        <x:v>0.01639344262295082</x:v>
      </x:c>
      <x:c r="W719" s="12" t="n">
        <x:v>12.459016393442623</x:v>
      </x:c>
      <x:c r="X719" s="11" t="n">
        <x:v>1</x:v>
      </x:c>
      <x:c r="Y719" s="11" t="n">
        <x:v>4</x:v>
      </x:c>
      <x:c r="Z719" s="4" t="str">
        <x:v>https://blog.skyairline.com/festivales-musicales/</x:v>
      </x:c>
      <x:c r="AA719" s="4" t="str">
        <x:v>https://blog.skyairline.com/festivales-musicales/</x:v>
      </x:c>
      <x:c r="AB719" s="4" t="str">
        <x:v>Coincidencia URL</x:v>
      </x:c>
      <x:c r="AC719" s="4" t="str">
        <x:v>Publicado hasta septiembre</x:v>
      </x:c>
      <x:c r="AD719" s="4" t="str">
        <x:v>/festivales-musicales/</x:v>
      </x:c>
      <x:c r="AE719" s="4"/>
      <x:c r="AF719" s="16" t="b">
        <x:v>0</x:v>
      </x:c>
    </x:row>
    <x:row r="720" ht="44" customHeight="1">
      <x:c r="A720" s="4" t="n">
        <x:v>1916</x:v>
      </x:c>
      <x:c r="B720" s="4" t="str">
        <x:v>https://blog.skyairline.com/blogger-de-viajes/</x:v>
      </x:c>
      <x:c r="C720" s="9" t="str">
        <x:v>¿Es posible convertirse en un blogger de viajes?</x:v>
      </x:c>
      <x:c r="D720" s="17" t="d">
        <x:v>2022-05-08T00:00:00.000Z</x:v>
      </x:c>
      <x:c r="E720" s="17" t="d">
        <x:v>2022-05-08T00:00:00.000Z</x:v>
      </x:c>
      <x:c r="F720" s="4" t="str">
        <x:v>Planificación de Viaje</x:v>
      </x:c>
      <x:c r="G720" s="11" t="n">
        <x:v>1093</x:v>
      </x:c>
      <x:c r="H720" s="11" t="n">
        <x:v>200</x:v>
      </x:c>
      <x:c r="I720" s="11" t="n">
        <x:v>1</x:v>
      </x:c>
      <x:c r="J720" s="4" t="str">
        <x:v>https://blog.skyairline.com/blogger-de-viajes/</x:v>
      </x:c>
      <x:c r="K720" s="16" t="b">
        <x:v>0</x:v>
      </x:c>
      <x:c r="L720" s="11" t="n">
        <x:v>0</x:v>
      </x:c>
      <x:c r="M720" s="11" t="n">
        <x:v>7</x:v>
      </x:c>
      <x:c r="N720" s="4"/>
      <x:c r="O720" s="4"/>
      <x:c r="P720" s="11" t="n">
        <x:v>0</x:v>
      </x:c>
      <x:c r="Q720" s="11" t="n">
        <x:v>1</x:v>
      </x:c>
      <x:c r="R720" s="11" t="str">
        <x:f>IF(OR(P720="",Q720=""),"",Q720-P720)</x:f>
      </x:c>
      <x:c r="S720" s="13" t="str">
        <x:f>IF(OR(P720="",Q720="",P720=0),"",((Q720/30)/(P720/31))-1)</x:f>
      </x:c>
      <x:c r="T720" s="11" t="n">
        <x:v>207</x:v>
      </x:c>
      <x:c r="U720" s="11" t="n">
        <x:v>114</x:v>
      </x:c>
      <x:c r="V720" s="14" t="n">
        <x:v>0.008771929824561403</x:v>
      </x:c>
      <x:c r="W720" s="12" t="n">
        <x:v>56.45614035087719</x:v>
      </x:c>
      <x:c r="X720" s="11" t="n">
        <x:v>1</x:v>
      </x:c>
      <x:c r="Y720" s="11" t="n">
        <x:v>1</x:v>
      </x:c>
      <x:c r="Z720" s="4" t="str">
        <x:v>https://blog.skyairline.com/blogger-de-viajes/</x:v>
      </x:c>
      <x:c r="AA720" s="4" t="str">
        <x:v>https://blog.skyairline.com/blogger-de-viajes/</x:v>
      </x:c>
      <x:c r="AB720" s="4" t="str">
        <x:v>Coincidencia URL</x:v>
      </x:c>
      <x:c r="AC720" s="4" t="str">
        <x:v>Publicado hasta septiembre</x:v>
      </x:c>
      <x:c r="AD720" s="4" t="str">
        <x:v>/blogger-de-viajes/</x:v>
      </x:c>
      <x:c r="AE720" s="4"/>
      <x:c r="AF720" s="16" t="b">
        <x:v>0</x:v>
      </x:c>
    </x:row>
    <x:row r="721" ht="44" customHeight="1">
      <x:c r="A721" s="4" t="n">
        <x:v>1974</x:v>
      </x:c>
      <x:c r="B721" s="4" t="str">
        <x:v>https://blog.skyairline.com/el-doral/</x:v>
      </x:c>
      <x:c r="C721" s="9" t="str">
        <x:v>El Doral Miami: calidad de vida, compras y gastronomía</x:v>
      </x:c>
      <x:c r="D721" s="17" t="d">
        <x:v>2026-06-25T00:00:00.000Z</x:v>
      </x:c>
      <x:c r="E721" s="17" t="d">
        <x:v>2026-06-23T00:00:00.000Z</x:v>
      </x:c>
      <x:c r="F721" s="4" t="str">
        <x:v>Destinos</x:v>
      </x:c>
      <x:c r="G721" s="11" t="n">
        <x:v>1116</x:v>
      </x:c>
      <x:c r="H721" s="11" t="n">
        <x:v>200</x:v>
      </x:c>
      <x:c r="I721" s="11" t="n">
        <x:v>1</x:v>
      </x:c>
      <x:c r="J721" s="4" t="str">
        <x:v>https://blog.skyairline.com/el-doral/</x:v>
      </x:c>
      <x:c r="K721" s="16" t="b">
        <x:v>0</x:v>
      </x:c>
      <x:c r="L721" s="11" t="n">
        <x:v>0</x:v>
      </x:c>
      <x:c r="M721" s="11" t="n">
        <x:v>0</x:v>
      </x:c>
      <x:c r="N721" s="4"/>
      <x:c r="O721" s="4"/>
      <x:c r="P721" s="11" t="n">
        <x:v>5</x:v>
      </x:c>
      <x:c r="Q721" s="11" t="n">
        <x:v>1</x:v>
      </x:c>
      <x:c r="R721" s="11" t="n">
        <x:f>IF(OR(P721="",Q721=""),"",Q721-P721)</x:f>
        <x:v>-4</x:v>
      </x:c>
      <x:c r="S721" s="13" t="n">
        <x:f>IF(OR(P721="",Q721="",P721=0),"",((Q721/30)/(P721/31))-1)</x:f>
        <x:v>-0.7933333333333333</x:v>
      </x:c>
      <x:c r="T721" s="11" t="n">
        <x:v>2827</x:v>
      </x:c>
      <x:c r="U721" s="11" t="n">
        <x:v>1881</x:v>
      </x:c>
      <x:c r="V721" s="14" t="n">
        <x:v>0.000531632110579479</x:v>
      </x:c>
      <x:c r="W721" s="12" t="n">
        <x:v>9.852206273258904</x:v>
      </x:c>
      <x:c r="X721" s="11" t="n">
        <x:v>4</x:v>
      </x:c>
      <x:c r="Y721" s="11" t="n">
        <x:v>4</x:v>
      </x:c>
      <x:c r="Z721" s="4" t="str">
        <x:v>https://blog.skyairline.com/el-doral/</x:v>
      </x:c>
      <x:c r="AA721" s="4" t="str">
        <x:v>https://blog.skyairline.com/el-doral/</x:v>
      </x:c>
      <x:c r="AB721" s="4" t="str">
        <x:v>Coincidencia URL</x:v>
      </x:c>
      <x:c r="AC721" s="4" t="str">
        <x:v>Publicado hasta septiembre</x:v>
      </x:c>
      <x:c r="AD721" s="4" t="str">
        <x:v>/el-doral/</x:v>
      </x:c>
      <x:c r="AE721" s="4"/>
      <x:c r="AF721" s="16" t="b">
        <x:v>0</x:v>
      </x:c>
    </x:row>
    <x:row r="722" ht="44" customHeight="1">
      <x:c r="A722" s="4" t="n">
        <x:v>2101</x:v>
      </x:c>
      <x:c r="B722" s="4" t="str">
        <x:v>https://blog.skyairline.com/sky-lanza-nuevas-tecnologias-de-autoatencion-en-aeropuerto-de-santiago/</x:v>
      </x:c>
      <x:c r="C722" s="9" t="str">
        <x:v>SKY lanza nuevas tecnologías de autoatención en aeropuerto de Santiago</x:v>
      </x:c>
      <x:c r="D722" s="17" t="d">
        <x:v>2022-07-06T00:00:00.000Z</x:v>
      </x:c>
      <x:c r="E722" s="17" t="d">
        <x:v>2022-07-06T00:00:00.000Z</x:v>
      </x:c>
      <x:c r="F722" s="4" t="str">
        <x:v>Noticias</x:v>
      </x:c>
      <x:c r="G722" s="11" t="n">
        <x:v>412</x:v>
      </x:c>
      <x:c r="H722" s="11" t="n">
        <x:v>200</x:v>
      </x:c>
      <x:c r="I722" s="11" t="n">
        <x:v>1</x:v>
      </x:c>
      <x:c r="J722" s="4" t="str">
        <x:v>https://blog.skyairline.com/sky-lanza-nuevas-tecnologias-de-autoatencion-en-aeropuerto-de-santiago/</x:v>
      </x:c>
      <x:c r="K722" s="16" t="b">
        <x:v>0</x:v>
      </x:c>
      <x:c r="L722" s="11" t="n">
        <x:v>0</x:v>
      </x:c>
      <x:c r="M722" s="11" t="n">
        <x:v>0</x:v>
      </x:c>
      <x:c r="N722" s="4"/>
      <x:c r="O722" s="4"/>
      <x:c r="P722" s="11" t="n">
        <x:v>6</x:v>
      </x:c>
      <x:c r="Q722" s="11" t="n">
        <x:v>1</x:v>
      </x:c>
      <x:c r="R722" s="11" t="n">
        <x:f>IF(OR(P722="",Q722=""),"",Q722-P722)</x:f>
        <x:v>-5</x:v>
      </x:c>
      <x:c r="S722" s="13" t="n">
        <x:f>IF(OR(P722="",Q722="",P722=0),"",((Q722/30)/(P722/31))-1)</x:f>
        <x:v>-0.8277777777777777</x:v>
      </x:c>
      <x:c r="T722" s="11" t="n">
        <x:v>532</x:v>
      </x:c>
      <x:c r="U722" s="11" t="n">
        <x:v>471</x:v>
      </x:c>
      <x:c r="V722" s="14" t="n">
        <x:v>0.0021231422505307855</x:v>
      </x:c>
      <x:c r="W722" s="12" t="n">
        <x:v>6.921443736730361</x:v>
      </x:c>
      <x:c r="X722" s="11" t="n">
        <x:v>2</x:v>
      </x:c>
      <x:c r="Y722" s="11" t="n">
        <x:v>6</x:v>
      </x:c>
      <x:c r="Z722" s="4" t="str">
        <x:v>https://blog.skyairline.com/sky-lanza-nuevas-tecnologias-de-autoatencion-en-aeropuerto-de-santiago/</x:v>
      </x:c>
      <x:c r="AA722" s="4" t="str">
        <x:v>https://blog.skyairline.com/sky-lanza-nuevas-tecnologias-de-autoatencion-en-aeropuerto-de-santiago/</x:v>
      </x:c>
      <x:c r="AB722" s="4" t="str">
        <x:v>Coincidencia URL</x:v>
      </x:c>
      <x:c r="AC722" s="4" t="str">
        <x:v>Publicado hasta septiembre</x:v>
      </x:c>
      <x:c r="AD722" s="4" t="str">
        <x:v>/sky-lanza-nuevas-tecnologias-de-autoatencion-en-aeropuerto-de-santiago/</x:v>
      </x:c>
      <x:c r="AE722" s="4"/>
      <x:c r="AF722" s="16" t="b">
        <x:v>0</x:v>
      </x:c>
    </x:row>
    <x:row r="723" ht="44" customHeight="1">
      <x:c r="A723" s="4" t="n">
        <x:v>2116</x:v>
      </x:c>
      <x:c r="B723" s="4" t="str">
        <x:v>https://blog.skyairline.com/celebraciones-de-otros-paises/</x:v>
      </x:c>
      <x:c r="C723" s="9" t="str">
        <x:v>8 celebraciones de otros países que pueden llevarte a tu próximo destino turístico</x:v>
      </x:c>
      <x:c r="D723" s="17" t="d">
        <x:v>2022-07-26T00:00:00.000Z</x:v>
      </x:c>
      <x:c r="E723" s="17" t="d">
        <x:v>2022-07-26T00:00:00.000Z</x:v>
      </x:c>
      <x:c r="F723" s="4" t="str">
        <x:v>Planificación de Viaje</x:v>
      </x:c>
      <x:c r="G723" s="11" t="n">
        <x:v>1138</x:v>
      </x:c>
      <x:c r="H723" s="11" t="n">
        <x:v>200</x:v>
      </x:c>
      <x:c r="I723" s="11" t="n">
        <x:v>1</x:v>
      </x:c>
      <x:c r="J723" s="4" t="str">
        <x:v>https://blog.skyairline.com/celebraciones-de-otros-paises/</x:v>
      </x:c>
      <x:c r="K723" s="16" t="b">
        <x:v>0</x:v>
      </x:c>
      <x:c r="L723" s="11" t="n">
        <x:v>0</x:v>
      </x:c>
      <x:c r="M723" s="11" t="n">
        <x:v>3</x:v>
      </x:c>
      <x:c r="N723" s="4"/>
      <x:c r="O723" s="4"/>
      <x:c r="P723" s="11" t="n">
        <x:v>1</x:v>
      </x:c>
      <x:c r="Q723" s="11" t="n">
        <x:v>1</x:v>
      </x:c>
      <x:c r="R723" s="11" t="n">
        <x:f>IF(OR(P723="",Q723=""),"",Q723-P723)</x:f>
        <x:v>0</x:v>
      </x:c>
      <x:c r="S723" s="13" t="n">
        <x:f>IF(OR(P723="",Q723="",P723=0),"",((Q723/30)/(P723/31))-1)</x:f>
        <x:v>0.03333333333333344</x:v>
      </x:c>
      <x:c r="T723" s="11" t="n">
        <x:v>321</x:v>
      </x:c>
      <x:c r="U723" s="11" t="n">
        <x:v>349</x:v>
      </x:c>
      <x:c r="V723" s="14" t="n">
        <x:v>0.0028653295128939827</x:v>
      </x:c>
      <x:c r="W723" s="12" t="n">
        <x:v>11.613180515759312</x:v>
      </x:c>
      <x:c r="X723" s="11"/>
      <x:c r="Y723" s="11"/>
      <x:c r="Z723" s="4" t="str">
        <x:v>https://blog.skyairline.com/celebraciones-de-otros-paises/</x:v>
      </x:c>
      <x:c r="AA723" s="4" t="str">
        <x:v>https://blog.skyairline.com/celebraciones-de-otros-paises/</x:v>
      </x:c>
      <x:c r="AB723" s="4" t="str">
        <x:v>Coincidencia URL</x:v>
      </x:c>
      <x:c r="AC723" s="4" t="str">
        <x:v>Publicado hasta septiembre</x:v>
      </x:c>
      <x:c r="AD723" s="4"/>
      <x:c r="AE723" s="4"/>
      <x:c r="AF723" s="16" t="b">
        <x:v>0</x:v>
      </x:c>
    </x:row>
    <x:row r="724" ht="44" customHeight="1">
      <x:c r="A724" s="4" t="n">
        <x:v>2135</x:v>
      </x:c>
      <x:c r="B724" s="4" t="str">
        <x:v>https://blog.skyairline.com/morro-de-sao-paulo/</x:v>
      </x:c>
      <x:c r="C724" s="9" t="str">
        <x:v>Todo lo que debes conocer sobre el Morro de São Paulo</x:v>
      </x:c>
      <x:c r="D724" s="17" t="d">
        <x:v>2022-08-07T00:00:00.000Z</x:v>
      </x:c>
      <x:c r="E724" s="17" t="d">
        <x:v>2022-08-07T00:00:00.000Z</x:v>
      </x:c>
      <x:c r="F724" s="4" t="str">
        <x:v>Destinos</x:v>
      </x:c>
      <x:c r="G724" s="11" t="n">
        <x:v>1070</x:v>
      </x:c>
      <x:c r="H724" s="11" t="n">
        <x:v>200</x:v>
      </x:c>
      <x:c r="I724" s="11" t="n">
        <x:v>1</x:v>
      </x:c>
      <x:c r="J724" s="4" t="str">
        <x:v>https://blog.skyairline.com/morro-de-sao-paulo/</x:v>
      </x:c>
      <x:c r="K724" s="16" t="b">
        <x:v>0</x:v>
      </x:c>
      <x:c r="L724" s="11" t="n">
        <x:v>0</x:v>
      </x:c>
      <x:c r="M724" s="11" t="n">
        <x:v>4</x:v>
      </x:c>
      <x:c r="N724" s="4"/>
      <x:c r="O724" s="4"/>
      <x:c r="P724" s="11" t="n">
        <x:v>3</x:v>
      </x:c>
      <x:c r="Q724" s="11" t="n">
        <x:v>1</x:v>
      </x:c>
      <x:c r="R724" s="11" t="n">
        <x:f>IF(OR(P724="",Q724=""),"",Q724-P724)</x:f>
        <x:v>-2</x:v>
      </x:c>
      <x:c r="S724" s="13" t="n">
        <x:f>IF(OR(P724="",Q724="",P724=0),"",((Q724/30)/(P724/31))-1)</x:f>
        <x:v>-0.6555555555555556</x:v>
      </x:c>
      <x:c r="T724" s="11" t="n">
        <x:v>380</x:v>
      </x:c>
      <x:c r="U724" s="11" t="n">
        <x:v>223</x:v>
      </x:c>
      <x:c r="V724" s="14" t="n">
        <x:v>0.004484304932735426</x:v>
      </x:c>
      <x:c r="W724" s="12" t="n">
        <x:v>13.704035874439462</x:v>
      </x:c>
      <x:c r="X724" s="11" t="n">
        <x:v>2</x:v>
      </x:c>
      <x:c r="Y724" s="11" t="n">
        <x:v>2</x:v>
      </x:c>
      <x:c r="Z724" s="4" t="str">
        <x:v>https://blog.skyairline.com/morro-de-sao-paulo/</x:v>
      </x:c>
      <x:c r="AA724" s="4" t="str">
        <x:v>https://blog.skyairline.com/morro-de-sao-paulo/</x:v>
      </x:c>
      <x:c r="AB724" s="4" t="str">
        <x:v>Coincidencia URL</x:v>
      </x:c>
      <x:c r="AC724" s="4" t="str">
        <x:v>Publicado hasta septiembre</x:v>
      </x:c>
      <x:c r="AD724" s="4" t="str">
        <x:v>/morro-de-sao-paulo/</x:v>
      </x:c>
      <x:c r="AE724" s="4"/>
      <x:c r="AF724" s="16" t="b">
        <x:v>0</x:v>
      </x:c>
    </x:row>
    <x:row r="725" ht="44" customHeight="1">
      <x:c r="A725" s="4" t="n">
        <x:v>2165</x:v>
      </x:c>
      <x:c r="B725" s="4" t="str">
        <x:v>https://blog.skyairline.com/curiosidades-de-chile/</x:v>
      </x:c>
      <x:c r="C725" s="9" t="str">
        <x:v>10 curiosidades de Chile que tal vez no conozcas bien</x:v>
      </x:c>
      <x:c r="D725" s="17" t="d">
        <x:v>2022-08-08T00:00:00.000Z</x:v>
      </x:c>
      <x:c r="E725" s="17" t="d">
        <x:v>2022-08-08T00:00:00.000Z</x:v>
      </x:c>
      <x:c r="F725" s="4" t="str">
        <x:v>Destinos</x:v>
      </x:c>
      <x:c r="G725" s="11" t="n">
        <x:v>1027</x:v>
      </x:c>
      <x:c r="H725" s="11" t="n">
        <x:v>200</x:v>
      </x:c>
      <x:c r="I725" s="11" t="n">
        <x:v>1</x:v>
      </x:c>
      <x:c r="J725" s="4" t="str">
        <x:v>https://blog.skyairline.com/curiosidades-de-chile/</x:v>
      </x:c>
      <x:c r="K725" s="16" t="b">
        <x:v>0</x:v>
      </x:c>
      <x:c r="L725" s="11" t="n">
        <x:v>0</x:v>
      </x:c>
      <x:c r="M725" s="11" t="n">
        <x:v>5</x:v>
      </x:c>
      <x:c r="N725" s="4"/>
      <x:c r="O725" s="4"/>
      <x:c r="P725" s="11" t="n">
        <x:v>1</x:v>
      </x:c>
      <x:c r="Q725" s="11" t="n">
        <x:v>1</x:v>
      </x:c>
      <x:c r="R725" s="11" t="n">
        <x:f>IF(OR(P725="",Q725=""),"",Q725-P725)</x:f>
        <x:v>0</x:v>
      </x:c>
      <x:c r="S725" s="13" t="n">
        <x:f>IF(OR(P725="",Q725="",P725=0),"",((Q725/30)/(P725/31))-1)</x:f>
        <x:v>0.03333333333333344</x:v>
      </x:c>
      <x:c r="T725" s="11" t="n">
        <x:v>269</x:v>
      </x:c>
      <x:c r="U725" s="11" t="n">
        <x:v>131</x:v>
      </x:c>
      <x:c r="V725" s="14" t="n">
        <x:v>0.007633587786259542</x:v>
      </x:c>
      <x:c r="W725" s="12" t="n">
        <x:v>23.282442748091604</x:v>
      </x:c>
      <x:c r="X725" s="11" t="n">
        <x:v>2</x:v>
      </x:c>
      <x:c r="Y725" s="11" t="n">
        <x:v>1</x:v>
      </x:c>
      <x:c r="Z725" s="4" t="str">
        <x:v>https://blog.skyairline.com/curiosidades-de-chile/</x:v>
      </x:c>
      <x:c r="AA725" s="4" t="str">
        <x:v>https://blog.skyairline.com/curiosidades-de-chile/</x:v>
      </x:c>
      <x:c r="AB725" s="4" t="str">
        <x:v>Coincidencia URL</x:v>
      </x:c>
      <x:c r="AC725" s="4" t="str">
        <x:v>Publicado hasta septiembre</x:v>
      </x:c>
      <x:c r="AD725" s="4" t="str">
        <x:v>/curiosidades-de-chile/</x:v>
      </x:c>
      <x:c r="AE725" s="4"/>
      <x:c r="AF725" s="16" t="b">
        <x:v>0</x:v>
      </x:c>
    </x:row>
    <x:row r="726" ht="44" customHeight="1">
      <x:c r="A726" s="4" t="n">
        <x:v>2367</x:v>
      </x:c>
      <x:c r="B726" s="4" t="str">
        <x:v>https://blog.skyairline.com/sustentabilidad-y-sostenibilidad/</x:v>
      </x:c>
      <x:c r="C726" s="9" t="str">
        <x:v>Sustentabilidad y sostenibilidad: ¿Cómo encara la industria de la aviación este nuevo reto?</x:v>
      </x:c>
      <x:c r="D726" s="17" t="d">
        <x:v>2022-10-08T00:00:00.000Z</x:v>
      </x:c>
      <x:c r="E726" s="17" t="d">
        <x:v>2022-10-08T00:00:00.000Z</x:v>
      </x:c>
      <x:c r="F726" s="4" t="str">
        <x:v>Compromiso SKY</x:v>
      </x:c>
      <x:c r="G726" s="11" t="n">
        <x:v>997</x:v>
      </x:c>
      <x:c r="H726" s="11" t="n">
        <x:v>200</x:v>
      </x:c>
      <x:c r="I726" s="11" t="n">
        <x:v>1</x:v>
      </x:c>
      <x:c r="J726" s="4" t="str">
        <x:v>https://blog.skyairline.com/sustentabilidad-y-sostenibilidad/</x:v>
      </x:c>
      <x:c r="K726" s="16" t="b">
        <x:v>0</x:v>
      </x:c>
      <x:c r="L726" s="11" t="n">
        <x:v>0</x:v>
      </x:c>
      <x:c r="M726" s="11" t="n">
        <x:v>4</x:v>
      </x:c>
      <x:c r="N726" s="4"/>
      <x:c r="O726" s="4"/>
      <x:c r="P726" s="11" t="n">
        <x:v>0</x:v>
      </x:c>
      <x:c r="Q726" s="11" t="n">
        <x:v>1</x:v>
      </x:c>
      <x:c r="R726" s="11" t="str">
        <x:f>IF(OR(P726="",Q726=""),"",Q726-P726)</x:f>
      </x:c>
      <x:c r="S726" s="13" t="str">
        <x:f>IF(OR(P726="",Q726="",P726=0),"",((Q726/30)/(P726/31))-1)</x:f>
      </x:c>
      <x:c r="T726" s="11" t="n">
        <x:v>115</x:v>
      </x:c>
      <x:c r="U726" s="11" t="n">
        <x:v>109</x:v>
      </x:c>
      <x:c r="V726" s="14" t="n">
        <x:v>0.009174311926605505</x:v>
      </x:c>
      <x:c r="W726" s="12" t="n">
        <x:v>6.697247706422019</x:v>
      </x:c>
      <x:c r="X726" s="11" t="n">
        <x:v>1</x:v>
      </x:c>
      <x:c r="Y726" s="11" t="n">
        <x:v>1</x:v>
      </x:c>
      <x:c r="Z726" s="4" t="str">
        <x:v>https://blog.skyairline.com/sustentabilidad-y-sostenibilidad/</x:v>
      </x:c>
      <x:c r="AA726" s="4" t="str">
        <x:v>https://blog.skyairline.com/sustentabilidad-y-sostenibilidad/</x:v>
      </x:c>
      <x:c r="AB726" s="4" t="str">
        <x:v>Coincidencia URL</x:v>
      </x:c>
      <x:c r="AC726" s="4" t="str">
        <x:v>Publicado hasta septiembre</x:v>
      </x:c>
      <x:c r="AD726" s="4" t="str">
        <x:v>/sustentabilidad-y-sostenibilidad/</x:v>
      </x:c>
      <x:c r="AE726" s="4"/>
      <x:c r="AF726" s="16" t="b">
        <x:v>0</x:v>
      </x:c>
    </x:row>
    <x:row r="727" ht="44" customHeight="1">
      <x:c r="A727" s="4" t="n">
        <x:v>2379</x:v>
      </x:c>
      <x:c r="B727" s="4" t="str">
        <x:v>https://blog.skyairline.com/emision-de-c02/</x:v>
      </x:c>
      <x:c r="C727" s="9" t="str">
        <x:v>¿Cómo las aerolíneas neutralizarán la emisión de CO2 en sus vuelos?</x:v>
      </x:c>
      <x:c r="D727" s="17" t="d">
        <x:v>2022-10-12T00:00:00.000Z</x:v>
      </x:c>
      <x:c r="E727" s="17" t="d">
        <x:v>2022-10-12T00:00:00.000Z</x:v>
      </x:c>
      <x:c r="F727" s="4" t="str">
        <x:v>Cultura</x:v>
      </x:c>
      <x:c r="G727" s="11" t="n">
        <x:v>1004</x:v>
      </x:c>
      <x:c r="H727" s="11" t="n">
        <x:v>200</x:v>
      </x:c>
      <x:c r="I727" s="11" t="n">
        <x:v>1</x:v>
      </x:c>
      <x:c r="J727" s="4" t="str">
        <x:v>https://blog.skyairline.com/emision-de-c02/</x:v>
      </x:c>
      <x:c r="K727" s="16" t="b">
        <x:v>0</x:v>
      </x:c>
      <x:c r="L727" s="11" t="n">
        <x:v>0</x:v>
      </x:c>
      <x:c r="M727" s="11" t="n">
        <x:v>0</x:v>
      </x:c>
      <x:c r="N727" s="4"/>
      <x:c r="O727" s="4"/>
      <x:c r="P727" s="11" t="n">
        <x:v>3</x:v>
      </x:c>
      <x:c r="Q727" s="11" t="n">
        <x:v>1</x:v>
      </x:c>
      <x:c r="R727" s="11" t="n">
        <x:f>IF(OR(P727="",Q727=""),"",Q727-P727)</x:f>
        <x:v>-2</x:v>
      </x:c>
      <x:c r="S727" s="13" t="n">
        <x:f>IF(OR(P727="",Q727="",P727=0),"",((Q727/30)/(P727/31))-1)</x:f>
        <x:v>-0.6555555555555556</x:v>
      </x:c>
      <x:c r="T727" s="11" t="n">
        <x:v>37</x:v>
      </x:c>
      <x:c r="U727" s="11" t="n">
        <x:v>49</x:v>
      </x:c>
      <x:c r="V727" s="14" t="n">
        <x:v>0.02040816326530612</x:v>
      </x:c>
      <x:c r="W727" s="12" t="n">
        <x:v>7.6938775510204085</x:v>
      </x:c>
      <x:c r="X727" s="11" t="n">
        <x:v>1</x:v>
      </x:c>
      <x:c r="Y727" s="11" t="n">
        <x:v>1</x:v>
      </x:c>
      <x:c r="Z727" s="4" t="str">
        <x:v>https://blog.skyairline.com/emision-de-c02/</x:v>
      </x:c>
      <x:c r="AA727" s="4" t="str">
        <x:v>https://blog.skyairline.com/emision-de-c02/</x:v>
      </x:c>
      <x:c r="AB727" s="4" t="str">
        <x:v>Coincidencia URL</x:v>
      </x:c>
      <x:c r="AC727" s="4" t="str">
        <x:v>Publicado hasta septiembre</x:v>
      </x:c>
      <x:c r="AD727" s="4" t="str">
        <x:v>/emision-de-c02/</x:v>
      </x:c>
      <x:c r="AE727" s="4"/>
      <x:c r="AF727" s="16" t="b">
        <x:v>0</x:v>
      </x:c>
    </x:row>
    <x:row r="728" ht="44" customHeight="1">
      <x:c r="A728" s="4" t="n">
        <x:v>2382</x:v>
      </x:c>
      <x:c r="B728" s="4" t="str">
        <x:v>https://blog.skyairline.com/cosas-que-llevar-a-la-playa/</x:v>
      </x:c>
      <x:c r="C728" s="9" t="str">
        <x:v>8 cosas que llevar a la playa: ¡Que no te falte nada!</x:v>
      </x:c>
      <x:c r="D728" s="17" t="d">
        <x:v>2022-10-13T00:00:00.000Z</x:v>
      </x:c>
      <x:c r="E728" s="17" t="d">
        <x:v>2022-10-13T00:00:00.000Z</x:v>
      </x:c>
      <x:c r="F728" s="4" t="str">
        <x:v>Planificación de Viaje</x:v>
      </x:c>
      <x:c r="G728" s="11" t="n">
        <x:v>1060</x:v>
      </x:c>
      <x:c r="H728" s="11" t="n">
        <x:v>200</x:v>
      </x:c>
      <x:c r="I728" s="11" t="n">
        <x:v>1</x:v>
      </x:c>
      <x:c r="J728" s="4" t="str">
        <x:v>https://blog.skyairline.com/cosas-que-llevar-a-la-playa/</x:v>
      </x:c>
      <x:c r="K728" s="16" t="b">
        <x:v>0</x:v>
      </x:c>
      <x:c r="L728" s="11" t="n">
        <x:v>0</x:v>
      </x:c>
      <x:c r="M728" s="11" t="n">
        <x:v>3</x:v>
      </x:c>
      <x:c r="N728" s="4"/>
      <x:c r="O728" s="4"/>
      <x:c r="P728" s="11" t="n">
        <x:v>6</x:v>
      </x:c>
      <x:c r="Q728" s="11" t="n">
        <x:v>1</x:v>
      </x:c>
      <x:c r="R728" s="11" t="n">
        <x:f>IF(OR(P728="",Q728=""),"",Q728-P728)</x:f>
        <x:v>-5</x:v>
      </x:c>
      <x:c r="S728" s="13" t="n">
        <x:f>IF(OR(P728="",Q728="",P728=0),"",((Q728/30)/(P728/31))-1)</x:f>
        <x:v>-0.8277777777777777</x:v>
      </x:c>
      <x:c r="T728" s="11" t="n">
        <x:v>744</x:v>
      </x:c>
      <x:c r="U728" s="11" t="n">
        <x:v>341</x:v>
      </x:c>
      <x:c r="V728" s="14" t="n">
        <x:v>0.002932551319648094</x:v>
      </x:c>
      <x:c r="W728" s="12" t="n">
        <x:v>17.777126099706745</x:v>
      </x:c>
      <x:c r="X728" s="11" t="n">
        <x:v>1</x:v>
      </x:c>
      <x:c r="Y728" s="11" t="n">
        <x:v>1</x:v>
      </x:c>
      <x:c r="Z728" s="4" t="str">
        <x:v>https://blog.skyairline.com/cosas-que-llevar-a-la-playa/</x:v>
      </x:c>
      <x:c r="AA728" s="4" t="str">
        <x:v>https://blog.skyairline.com/cosas-que-llevar-a-la-playa/</x:v>
      </x:c>
      <x:c r="AB728" s="4" t="str">
        <x:v>Coincidencia URL</x:v>
      </x:c>
      <x:c r="AC728" s="4" t="str">
        <x:v>Publicado hasta septiembre</x:v>
      </x:c>
      <x:c r="AD728" s="4" t="str">
        <x:v>/cosas-que-llevar-a-la-playa/</x:v>
      </x:c>
      <x:c r="AE728" s="4"/>
      <x:c r="AF728" s="16" t="b">
        <x:v>0</x:v>
      </x:c>
    </x:row>
    <x:row r="729" ht="44" customHeight="1">
      <x:c r="A729" s="4" t="n">
        <x:v>2408</x:v>
      </x:c>
      <x:c r="B729" s="4" t="str">
        <x:v>https://blog.skyairline.com/islas-de-colombia/</x:v>
      </x:c>
      <x:c r="C729" s="9" t="str">
        <x:v>Islas de Colombia: ¡Este es nuestro top 10 de las más famosas y hermosas!</x:v>
      </x:c>
      <x:c r="D729" s="17" t="d">
        <x:v>2022-10-21T00:00:00.000Z</x:v>
      </x:c>
      <x:c r="E729" s="17" t="d">
        <x:v>2022-10-21T00:00:00.000Z</x:v>
      </x:c>
      <x:c r="F729" s="4" t="str">
        <x:v>Destinos</x:v>
      </x:c>
      <x:c r="G729" s="11" t="n">
        <x:v>1270</x:v>
      </x:c>
      <x:c r="H729" s="11" t="n">
        <x:v>200</x:v>
      </x:c>
      <x:c r="I729" s="11" t="n">
        <x:v>1</x:v>
      </x:c>
      <x:c r="J729" s="4" t="str">
        <x:v>https://blog.skyairline.com/islas-de-colombia/</x:v>
      </x:c>
      <x:c r="K729" s="16" t="b">
        <x:v>0</x:v>
      </x:c>
      <x:c r="L729" s="11" t="n">
        <x:v>0</x:v>
      </x:c>
      <x:c r="M729" s="11" t="n">
        <x:v>5</x:v>
      </x:c>
      <x:c r="N729" s="4"/>
      <x:c r="O729" s="4"/>
      <x:c r="P729" s="11" t="n">
        <x:v>1</x:v>
      </x:c>
      <x:c r="Q729" s="11" t="n">
        <x:v>1</x:v>
      </x:c>
      <x:c r="R729" s="11" t="n">
        <x:f>IF(OR(P729="",Q729=""),"",Q729-P729)</x:f>
        <x:v>0</x:v>
      </x:c>
      <x:c r="S729" s="13" t="n">
        <x:f>IF(OR(P729="",Q729="",P729=0),"",((Q729/30)/(P729/31))-1)</x:f>
        <x:v>0.03333333333333344</x:v>
      </x:c>
      <x:c r="T729" s="11" t="n">
        <x:v>543</x:v>
      </x:c>
      <x:c r="U729" s="11" t="n">
        <x:v>607</x:v>
      </x:c>
      <x:c r="V729" s="14" t="n">
        <x:v>0.0016474464579901153</x:v>
      </x:c>
      <x:c r="W729" s="12" t="n">
        <x:v>14.357495881383855</x:v>
      </x:c>
      <x:c r="X729" s="11" t="n">
        <x:v>1</x:v>
      </x:c>
      <x:c r="Y729" s="11" t="n">
        <x:v>1</x:v>
      </x:c>
      <x:c r="Z729" s="4" t="str">
        <x:v>https://blog.skyairline.com/islas-de-colombia/</x:v>
      </x:c>
      <x:c r="AA729" s="4" t="str">
        <x:v>https://blog.skyairline.com/islas-de-colombia/</x:v>
      </x:c>
      <x:c r="AB729" s="4" t="str">
        <x:v>Coincidencia URL</x:v>
      </x:c>
      <x:c r="AC729" s="4" t="str">
        <x:v>Publicado hasta septiembre</x:v>
      </x:c>
      <x:c r="AD729" s="4" t="str">
        <x:v>/islas-de-colombia/</x:v>
      </x:c>
      <x:c r="AE729" s="4"/>
      <x:c r="AF729" s="16" t="b">
        <x:v>0</x:v>
      </x:c>
    </x:row>
    <x:row r="730" ht="44" customHeight="1">
      <x:c r="A730" s="4" t="n">
        <x:v>2421</x:v>
      </x:c>
      <x:c r="B730" s="4" t="str">
        <x:v>https://blog.skyairline.com/paraisos-escondidos-en-colombia/</x:v>
      </x:c>
      <x:c r="C730" s="9" t="str">
        <x:v>¡5 paraísos escondidos en Colombia que encontrar es todo un placer!</x:v>
      </x:c>
      <x:c r="D730" s="17" t="d">
        <x:v>2022-10-23T00:00:00.000Z</x:v>
      </x:c>
      <x:c r="E730" s="17" t="d">
        <x:v>2022-10-23T00:00:00.000Z</x:v>
      </x:c>
      <x:c r="F730" s="4" t="str">
        <x:v>Destinos</x:v>
      </x:c>
      <x:c r="G730" s="11" t="n">
        <x:v>1134</x:v>
      </x:c>
      <x:c r="H730" s="11" t="n">
        <x:v>200</x:v>
      </x:c>
      <x:c r="I730" s="11" t="n">
        <x:v>1</x:v>
      </x:c>
      <x:c r="J730" s="4" t="str">
        <x:v>https://blog.skyairline.com/paraisos-escondidos-en-colombia/</x:v>
      </x:c>
      <x:c r="K730" s="16" t="b">
        <x:v>0</x:v>
      </x:c>
      <x:c r="L730" s="11" t="n">
        <x:v>0</x:v>
      </x:c>
      <x:c r="M730" s="11" t="n">
        <x:v>3</x:v>
      </x:c>
      <x:c r="N730" s="4"/>
      <x:c r="O730" s="4"/>
      <x:c r="P730" s="11" t="n">
        <x:v>0</x:v>
      </x:c>
      <x:c r="Q730" s="11" t="n">
        <x:v>1</x:v>
      </x:c>
      <x:c r="R730" s="11" t="str">
        <x:f>IF(OR(P730="",Q730=""),"",Q730-P730)</x:f>
      </x:c>
      <x:c r="S730" s="13" t="str">
        <x:f>IF(OR(P730="",Q730="",P730=0),"",((Q730/30)/(P730/31))-1)</x:f>
      </x:c>
      <x:c r="T730" s="11" t="n">
        <x:v>32</x:v>
      </x:c>
      <x:c r="U730" s="11" t="n">
        <x:v>15</x:v>
      </x:c>
      <x:c r="V730" s="14" t="n">
        <x:v>0.06666666666666667</x:v>
      </x:c>
      <x:c r="W730" s="12" t="n">
        <x:v>28.866666666666667</x:v>
      </x:c>
      <x:c r="X730" s="11" t="n">
        <x:v>1</x:v>
      </x:c>
      <x:c r="Y730" s="11" t="n">
        <x:v>1</x:v>
      </x:c>
      <x:c r="Z730" s="4" t="str">
        <x:v>https://blog.skyairline.com/paraisos-escondidos-en-colombia/</x:v>
      </x:c>
      <x:c r="AA730" s="4" t="str">
        <x:v>https://blog.skyairline.com/paraisos-escondidos-en-colombia/</x:v>
      </x:c>
      <x:c r="AB730" s="4" t="str">
        <x:v>Coincidencia URL</x:v>
      </x:c>
      <x:c r="AC730" s="4" t="str">
        <x:v>Publicado hasta septiembre</x:v>
      </x:c>
      <x:c r="AD730" s="4" t="str">
        <x:v>/paraisos-escondidos-en-colombia/</x:v>
      </x:c>
      <x:c r="AE730" s="4"/>
      <x:c r="AF730" s="16" t="b">
        <x:v>0</x:v>
      </x:c>
    </x:row>
    <x:row r="731" ht="44" customHeight="1">
      <x:c r="A731" s="4" t="n">
        <x:v>2424</x:v>
      </x:c>
      <x:c r="B731" s="4" t="str">
        <x:v>https://blog.skyairline.com/destinos-de-playa-para-navidad/</x:v>
      </x:c>
      <x:c r="C731" s="9" t="str">
        <x:v>8 mejores destinos si quieres pasar Navidad en la playa</x:v>
      </x:c>
      <x:c r="D731" s="17" t="d">
        <x:v>2022-10-24T00:00:00.000Z</x:v>
      </x:c>
      <x:c r="E731" s="17" t="d">
        <x:v>2022-10-24T00:00:00.000Z</x:v>
      </x:c>
      <x:c r="F731" s="4" t="str">
        <x:v>Destinos</x:v>
      </x:c>
      <x:c r="G731" s="11" t="n">
        <x:v>1035</x:v>
      </x:c>
      <x:c r="H731" s="11" t="n">
        <x:v>200</x:v>
      </x:c>
      <x:c r="I731" s="11" t="n">
        <x:v>1</x:v>
      </x:c>
      <x:c r="J731" s="4" t="str">
        <x:v>https://blog.skyairline.com/destinos-de-playa-para-navidad/</x:v>
      </x:c>
      <x:c r="K731" s="16" t="b">
        <x:v>0</x:v>
      </x:c>
      <x:c r="L731" s="11" t="n">
        <x:v>0</x:v>
      </x:c>
      <x:c r="M731" s="11" t="n">
        <x:v>3</x:v>
      </x:c>
      <x:c r="N731" s="4"/>
      <x:c r="O731" s="4"/>
      <x:c r="P731" s="11" t="n">
        <x:v>1</x:v>
      </x:c>
      <x:c r="Q731" s="11" t="n">
        <x:v>1</x:v>
      </x:c>
      <x:c r="R731" s="11" t="n">
        <x:f>IF(OR(P731="",Q731=""),"",Q731-P731)</x:f>
        <x:v>0</x:v>
      </x:c>
      <x:c r="S731" s="13" t="n">
        <x:f>IF(OR(P731="",Q731="",P731=0),"",((Q731/30)/(P731/31))-1)</x:f>
        <x:v>0.03333333333333344</x:v>
      </x:c>
      <x:c r="T731" s="11" t="n">
        <x:v>151</x:v>
      </x:c>
      <x:c r="U731" s="11" t="n">
        <x:v>214</x:v>
      </x:c>
      <x:c r="V731" s="14" t="n">
        <x:v>0.004672897196261682</x:v>
      </x:c>
      <x:c r="W731" s="12" t="n">
        <x:v>12.757009345794392</x:v>
      </x:c>
      <x:c r="X731" s="11" t="n">
        <x:v>1</x:v>
      </x:c>
      <x:c r="Y731" s="11" t="n">
        <x:v>1</x:v>
      </x:c>
      <x:c r="Z731" s="4" t="str">
        <x:v>https://blog.skyairline.com/destinos-de-playa-para-navidad/</x:v>
      </x:c>
      <x:c r="AA731" s="4" t="str">
        <x:v>https://blog.skyairline.com/destinos-de-playa-para-navidad/</x:v>
      </x:c>
      <x:c r="AB731" s="4" t="str">
        <x:v>Coincidencia URL</x:v>
      </x:c>
      <x:c r="AC731" s="4" t="str">
        <x:v>Publicado hasta septiembre</x:v>
      </x:c>
      <x:c r="AD731" s="4" t="str">
        <x:v>/destinos-de-playa-para-navidad/</x:v>
      </x:c>
      <x:c r="AE731" s="4"/>
      <x:c r="AF731" s="16" t="b">
        <x:v>0</x:v>
      </x:c>
    </x:row>
    <x:row r="732" ht="44" customHeight="1">
      <x:c r="A732" s="4" t="n">
        <x:v>2481</x:v>
      </x:c>
      <x:c r="B732" s="4" t="str">
        <x:v>https://blog.skyairline.com/restaurantes-en-lima/</x:v>
      </x:c>
      <x:c r="C732" s="9" t="str">
        <x:v>Dónde comer en Perú: guía de restaurantes en Lima</x:v>
      </x:c>
      <x:c r="D732" s="17" t="d">
        <x:v>2026-03-11T00:00:00.000Z</x:v>
      </x:c>
      <x:c r="E732" s="17" t="d">
        <x:v>2026-03-10T00:00:00.000Z</x:v>
      </x:c>
      <x:c r="F732" s="4" t="str">
        <x:v>Cultura</x:v>
      </x:c>
      <x:c r="G732" s="11" t="n">
        <x:v>1165</x:v>
      </x:c>
      <x:c r="H732" s="11" t="n">
        <x:v>200</x:v>
      </x:c>
      <x:c r="I732" s="11" t="n">
        <x:v>1</x:v>
      </x:c>
      <x:c r="J732" s="4" t="str">
        <x:v>https://blog.skyairline.com/restaurantes-en-lima/</x:v>
      </x:c>
      <x:c r="K732" s="16" t="b">
        <x:v>0</x:v>
      </x:c>
      <x:c r="L732" s="11" t="n">
        <x:v>0</x:v>
      </x:c>
      <x:c r="M732" s="11" t="n">
        <x:v>0</x:v>
      </x:c>
      <x:c r="N732" s="4"/>
      <x:c r="O732" s="4"/>
      <x:c r="P732" s="11" t="n">
        <x:v>4</x:v>
      </x:c>
      <x:c r="Q732" s="11" t="n">
        <x:v>1</x:v>
      </x:c>
      <x:c r="R732" s="11" t="n">
        <x:f>IF(OR(P732="",Q732=""),"",Q732-P732)</x:f>
        <x:v>-3</x:v>
      </x:c>
      <x:c r="S732" s="13" t="n">
        <x:f>IF(OR(P732="",Q732="",P732=0),"",((Q732/30)/(P732/31))-1)</x:f>
        <x:v>-0.7416666666666667</x:v>
      </x:c>
      <x:c r="T732" s="11" t="n">
        <x:v>1126</x:v>
      </x:c>
      <x:c r="U732" s="11" t="n">
        <x:v>1122</x:v>
      </x:c>
      <x:c r="V732" s="14" t="n">
        <x:v>0.00089126559714795</x:v>
      </x:c>
      <x:c r="W732" s="12" t="n">
        <x:v>23.236185383244205</x:v>
      </x:c>
      <x:c r="X732" s="11" t="n">
        <x:v>4</x:v>
      </x:c>
      <x:c r="Y732" s="11" t="n">
        <x:v>6</x:v>
      </x:c>
      <x:c r="Z732" s="4" t="str">
        <x:v>https://blog.skyairline.com/restaurantes-en-lima/</x:v>
      </x:c>
      <x:c r="AA732" s="4" t="str">
        <x:v>https://blog.skyairline.com/restaurantes-en-lima/</x:v>
      </x:c>
      <x:c r="AB732" s="4" t="str">
        <x:v>Coincidencia URL</x:v>
      </x:c>
      <x:c r="AC732" s="4" t="str">
        <x:v>Publicado hasta septiembre</x:v>
      </x:c>
      <x:c r="AD732" s="4" t="str">
        <x:v>/restaurantes-en-lima/</x:v>
      </x:c>
      <x:c r="AE732" s="4"/>
      <x:c r="AF732" s="16" t="b">
        <x:v>0</x:v>
      </x:c>
    </x:row>
    <x:row r="733" ht="44" customHeight="1">
      <x:c r="A733" s="4" t="n">
        <x:v>2490</x:v>
      </x:c>
      <x:c r="B733" s="4" t="str">
        <x:v>https://blog.skyairline.com/ano-nuevo-en-vina-del-mar/</x:v>
      </x:c>
      <x:c r="C733" s="9" t="str">
        <x:v>¿Qué hacer en año nuevo en Viña del Mar?</x:v>
      </x:c>
      <x:c r="D733" s="17" t="d">
        <x:v>2022-11-20T00:00:00.000Z</x:v>
      </x:c>
      <x:c r="E733" s="17" t="d">
        <x:v>2022-11-20T00:00:00.000Z</x:v>
      </x:c>
      <x:c r="F733" s="4" t="str">
        <x:v>Destinos</x:v>
      </x:c>
      <x:c r="G733" s="11" t="n">
        <x:v>1071</x:v>
      </x:c>
      <x:c r="H733" s="11" t="n">
        <x:v>200</x:v>
      </x:c>
      <x:c r="I733" s="11" t="n">
        <x:v>1</x:v>
      </x:c>
      <x:c r="J733" s="4" t="str">
        <x:v>https://blog.skyairline.com/ano-nuevo-en-vina-del-mar/</x:v>
      </x:c>
      <x:c r="K733" s="16" t="b">
        <x:v>0</x:v>
      </x:c>
      <x:c r="L733" s="11" t="n">
        <x:v>0</x:v>
      </x:c>
      <x:c r="M733" s="11" t="n">
        <x:v>4</x:v>
      </x:c>
      <x:c r="N733" s="4"/>
      <x:c r="O733" s="4"/>
      <x:c r="P733" s="11" t="n">
        <x:v>0</x:v>
      </x:c>
      <x:c r="Q733" s="11" t="n">
        <x:v>1</x:v>
      </x:c>
      <x:c r="R733" s="11" t="str">
        <x:f>IF(OR(P733="",Q733=""),"",Q733-P733)</x:f>
      </x:c>
      <x:c r="S733" s="13" t="str">
        <x:f>IF(OR(P733="",Q733="",P733=0),"",((Q733/30)/(P733/31))-1)</x:f>
      </x:c>
      <x:c r="T733" s="11" t="n">
        <x:v>60</x:v>
      </x:c>
      <x:c r="U733" s="11" t="n">
        <x:v>78</x:v>
      </x:c>
      <x:c r="V733" s="14" t="n">
        <x:v>0.01282051282051282</x:v>
      </x:c>
      <x:c r="W733" s="12" t="n">
        <x:v>12.987179487179487</x:v>
      </x:c>
      <x:c r="X733" s="11" t="n">
        <x:v>1</x:v>
      </x:c>
      <x:c r="Y733" s="11" t="n">
        <x:v>1</x:v>
      </x:c>
      <x:c r="Z733" s="4" t="str">
        <x:v>https://blog.skyairline.com/ano-nuevo-en-vina-del-mar/</x:v>
      </x:c>
      <x:c r="AA733" s="4" t="str">
        <x:v>https://blog.skyairline.com/ano-nuevo-en-vina-del-mar/</x:v>
      </x:c>
      <x:c r="AB733" s="4" t="str">
        <x:v>Coincidencia URL</x:v>
      </x:c>
      <x:c r="AC733" s="4" t="str">
        <x:v>Publicado hasta septiembre</x:v>
      </x:c>
      <x:c r="AD733" s="4" t="str">
        <x:v>/ano-nuevo-en-vina-del-mar/</x:v>
      </x:c>
      <x:c r="AE733" s="4"/>
      <x:c r="AF733" s="16" t="b">
        <x:v>0</x:v>
      </x:c>
    </x:row>
    <x:row r="734" ht="44" customHeight="1">
      <x:c r="A734" s="4" t="n">
        <x:v>2496</x:v>
      </x:c>
      <x:c r="B734" s="4" t="str">
        <x:v>https://blog.skyairline.com/ano-viejo/</x:v>
      </x:c>
      <x:c r="C734" s="9" t="str">
        <x:v>Principales tradiciones de «Año Viejo» en Buenos Aires que puedes disfrutar</x:v>
      </x:c>
      <x:c r="D734" s="17" t="d">
        <x:v>2022-11-22T00:00:00.000Z</x:v>
      </x:c>
      <x:c r="E734" s="17" t="d">
        <x:v>2022-11-22T00:00:00.000Z</x:v>
      </x:c>
      <x:c r="F734" s="4" t="str">
        <x:v>Cultura</x:v>
      </x:c>
      <x:c r="G734" s="11" t="n">
        <x:v>1089</x:v>
      </x:c>
      <x:c r="H734" s="11" t="n">
        <x:v>200</x:v>
      </x:c>
      <x:c r="I734" s="11" t="n">
        <x:v>1</x:v>
      </x:c>
      <x:c r="J734" s="4" t="str">
        <x:v>https://blog.skyairline.com/ano-viejo/</x:v>
      </x:c>
      <x:c r="K734" s="16" t="b">
        <x:v>0</x:v>
      </x:c>
      <x:c r="L734" s="11" t="n">
        <x:v>0</x:v>
      </x:c>
      <x:c r="M734" s="11" t="n">
        <x:v>3</x:v>
      </x:c>
      <x:c r="N734" s="4"/>
      <x:c r="O734" s="4"/>
      <x:c r="P734" s="11" t="n">
        <x:v>0</x:v>
      </x:c>
      <x:c r="Q734" s="11" t="n">
        <x:v>1</x:v>
      </x:c>
      <x:c r="R734" s="11" t="str">
        <x:f>IF(OR(P734="",Q734=""),"",Q734-P734)</x:f>
      </x:c>
      <x:c r="S734" s="13" t="str">
        <x:f>IF(OR(P734="",Q734="",P734=0),"",((Q734/30)/(P734/31))-1)</x:f>
      </x:c>
      <x:c r="T734" s="11" t="n">
        <x:v>30</x:v>
      </x:c>
      <x:c r="U734" s="11" t="n">
        <x:v>22</x:v>
      </x:c>
      <x:c r="V734" s="14" t="n">
        <x:v>0.045454545454545456</x:v>
      </x:c>
      <x:c r="W734" s="12" t="n">
        <x:v>14.5</x:v>
      </x:c>
      <x:c r="X734" s="11" t="n">
        <x:v>1</x:v>
      </x:c>
      <x:c r="Y734" s="11" t="n">
        <x:v>1</x:v>
      </x:c>
      <x:c r="Z734" s="4" t="str">
        <x:v>https://blog.skyairline.com/ano-viejo/</x:v>
      </x:c>
      <x:c r="AA734" s="4" t="str">
        <x:v>https://blog.skyairline.com/ano-viejo/</x:v>
      </x:c>
      <x:c r="AB734" s="4" t="str">
        <x:v>Coincidencia URL</x:v>
      </x:c>
      <x:c r="AC734" s="4" t="str">
        <x:v>Publicado hasta septiembre</x:v>
      </x:c>
      <x:c r="AD734" s="4" t="str">
        <x:v>/ano-viejo/</x:v>
      </x:c>
      <x:c r="AE734" s="4"/>
      <x:c r="AF734" s="16" t="b">
        <x:v>0</x:v>
      </x:c>
    </x:row>
    <x:row r="735" ht="44" customHeight="1">
      <x:c r="A735" s="4" t="n">
        <x:v>2505</x:v>
      </x:c>
      <x:c r="B735" s="4" t="str">
        <x:v>https://blog.skyairline.com/mejores-playas-de-florianopolis/</x:v>
      </x:c>
      <x:c r="C735" s="9" t="str">
        <x:v>Las mejores playas de Florianópolis para disfrutar este verano</x:v>
      </x:c>
      <x:c r="D735" s="17" t="d">
        <x:v>2024-11-23T00:00:00.000Z</x:v>
      </x:c>
      <x:c r="E735" s="17" t="d">
        <x:v>2024-11-23T00:00:00.000Z</x:v>
      </x:c>
      <x:c r="F735" s="4" t="str">
        <x:v>Destinos, Florianópolis</x:v>
      </x:c>
      <x:c r="G735" s="11" t="n">
        <x:v>2239</x:v>
      </x:c>
      <x:c r="H735" s="11" t="n">
        <x:v>200</x:v>
      </x:c>
      <x:c r="I735" s="11" t="n">
        <x:v>1</x:v>
      </x:c>
      <x:c r="J735" s="4" t="str">
        <x:v>https://blog.skyairline.com/mejores-playas-de-florianopolis/</x:v>
      </x:c>
      <x:c r="K735" s="16" t="b">
        <x:v>0</x:v>
      </x:c>
      <x:c r="L735" s="11" t="n">
        <x:v>0</x:v>
      </x:c>
      <x:c r="M735" s="11" t="n">
        <x:v>3</x:v>
      </x:c>
      <x:c r="N735" s="4"/>
      <x:c r="O735" s="4"/>
      <x:c r="P735" s="11" t="n">
        <x:v>2</x:v>
      </x:c>
      <x:c r="Q735" s="11" t="n">
        <x:v>1</x:v>
      </x:c>
      <x:c r="R735" s="11" t="n">
        <x:f>IF(OR(P735="",Q735=""),"",Q735-P735)</x:f>
        <x:v>-1</x:v>
      </x:c>
      <x:c r="S735" s="13" t="n">
        <x:f>IF(OR(P735="",Q735="",P735=0),"",((Q735/30)/(P735/31))-1)</x:f>
        <x:v>-0.4833333333333333</x:v>
      </x:c>
      <x:c r="T735" s="11" t="n">
        <x:v>348</x:v>
      </x:c>
      <x:c r="U735" s="11" t="n">
        <x:v>228</x:v>
      </x:c>
      <x:c r="V735" s="14" t="n">
        <x:v>0.0043859649122807015</x:v>
      </x:c>
      <x:c r="W735" s="12" t="n">
        <x:v>16.074561403508774</x:v>
      </x:c>
      <x:c r="X735" s="11" t="n">
        <x:v>9</x:v>
      </x:c>
      <x:c r="Y735" s="11" t="n">
        <x:v>9</x:v>
      </x:c>
      <x:c r="Z735" s="4" t="str">
        <x:v>https://blog.skyairline.com/mejores-playas-de-florianopolis/</x:v>
      </x:c>
      <x:c r="AA735" s="4" t="str">
        <x:v>https://blog.skyairline.com/mejores-playas-de-florianopolis/</x:v>
      </x:c>
      <x:c r="AB735" s="4" t="str">
        <x:v>Coincidencia URL</x:v>
      </x:c>
      <x:c r="AC735" s="4" t="str">
        <x:v>Publicado hasta septiembre</x:v>
      </x:c>
      <x:c r="AD735" s="4" t="str">
        <x:v>/mejores-playas-de-florianopolis/</x:v>
      </x:c>
      <x:c r="AE735" s="4"/>
      <x:c r="AF735" s="16" t="b">
        <x:v>1</x:v>
      </x:c>
    </x:row>
    <x:row r="736" ht="44" customHeight="1">
      <x:c r="A736" s="4" t="n">
        <x:v>2516</x:v>
      </x:c>
      <x:c r="B736" s="4" t="str">
        <x:v>https://blog.skyairline.com/sky-ofrece-pasajes-para-volar-desde-los-11-990-en-rutas-nacionales-y-desde-los-usd-40-en-vuelos-internacionales-por-tramo-en-el-marco-de-black-sky/</x:v>
      </x:c>
      <x:c r="C736" s="9" t="str">
        <x:v>SKY ofrece pasajes para volar desde los $11.990 en rutas nacionales y desde los USD 40 en vuelos internacionales por tramo, en el marco de Black SKY</x:v>
      </x:c>
      <x:c r="D736" s="17" t="d">
        <x:v>2022-11-23T00:00:00.000Z</x:v>
      </x:c>
      <x:c r="E736" s="17" t="d">
        <x:v>2022-11-23T00:00:00.000Z</x:v>
      </x:c>
      <x:c r="F736" s="4" t="str">
        <x:v>Noticias</x:v>
      </x:c>
      <x:c r="G736" s="11" t="n">
        <x:v>525</x:v>
      </x:c>
      <x:c r="H736" s="11" t="n">
        <x:v>200</x:v>
      </x:c>
      <x:c r="I736" s="11" t="n">
        <x:v>1</x:v>
      </x:c>
      <x:c r="J736" s="4" t="str">
        <x:v>https://blog.skyairline.com/sky-ofrece-pasajes-para-volar-desde-los-11-990-en-rutas-nacionales-y-desde-los-usd-40-en-vuelos-internacionales-por-tramo-en-el-marco-de-black-sky/</x:v>
      </x:c>
      <x:c r="K736" s="16" t="b">
        <x:v>0</x:v>
      </x:c>
      <x:c r="L736" s="11" t="n">
        <x:v>0</x:v>
      </x:c>
      <x:c r="M736" s="11" t="n">
        <x:v>0</x:v>
      </x:c>
      <x:c r="N736" s="4"/>
      <x:c r="O736" s="4"/>
      <x:c r="P736" s="11" t="n">
        <x:v>0</x:v>
      </x:c>
      <x:c r="Q736" s="11" t="n">
        <x:v>1</x:v>
      </x:c>
      <x:c r="R736" s="11" t="str">
        <x:f>IF(OR(P736="",Q736=""),"",Q736-P736)</x:f>
      </x:c>
      <x:c r="S736" s="13" t="str">
        <x:f>IF(OR(P736="",Q736="",P736=0),"",((Q736/30)/(P736/31))-1)</x:f>
      </x:c>
      <x:c r="T736" s="11" t="n">
        <x:v>33</x:v>
      </x:c>
      <x:c r="U736" s="11" t="n">
        <x:v>108</x:v>
      </x:c>
      <x:c r="V736" s="14" t="n">
        <x:v>0.009259259259259259</x:v>
      </x:c>
      <x:c r="W736" s="12" t="n">
        <x:v>10.37037037037037</x:v>
      </x:c>
      <x:c r="X736" s="11"/>
      <x:c r="Y736" s="11"/>
      <x:c r="Z736" s="4" t="str">
        <x:v>https://blog.skyairline.com/sky-ofrece-pasajes-para-volar-desde-los-11-990-en-rutas-nacionales-y-desde-los-usd-40-en-vuelos-internacionales-por-tramo-en-el-marco-de-black-sky/</x:v>
      </x:c>
      <x:c r="AA736" s="4" t="str">
        <x:v>https://blog.skyairline.com/sky-ofrece-pasajes-para-volar-desde-los-11-990-en-rutas-nacionales-y-desde-los-usd-40-en-vuelos-internacionales-por-tramo-en-el-marco-de-black-sky/</x:v>
      </x:c>
      <x:c r="AB736" s="4" t="str">
        <x:v>Coincidencia URL</x:v>
      </x:c>
      <x:c r="AC736" s="4" t="str">
        <x:v>Publicado hasta septiembre</x:v>
      </x:c>
      <x:c r="AD736" s="4"/>
      <x:c r="AE736" s="4"/>
      <x:c r="AF736" s="16" t="b">
        <x:v>0</x:v>
      </x:c>
    </x:row>
    <x:row r="737" ht="44" customHeight="1">
      <x:c r="A737" s="4" t="n">
        <x:v>2530</x:v>
      </x:c>
      <x:c r="B737" s="4" t="str">
        <x:v>https://blog.skyairline.com/costanera-puerto-natales/</x:v>
      </x:c>
      <x:c r="C737" s="9" t="str">
        <x:v>Costanera Puerto Natales: ¡No dejes de visitar este paseo sinigual!</x:v>
      </x:c>
      <x:c r="D737" s="17" t="d">
        <x:v>2022-11-29T00:00:00.000Z</x:v>
      </x:c>
      <x:c r="E737" s="17" t="d">
        <x:v>2022-11-29T00:00:00.000Z</x:v>
      </x:c>
      <x:c r="F737" s="4" t="str">
        <x:v>Destinos</x:v>
      </x:c>
      <x:c r="G737" s="11" t="n">
        <x:v>1003</x:v>
      </x:c>
      <x:c r="H737" s="11" t="n">
        <x:v>200</x:v>
      </x:c>
      <x:c r="I737" s="11" t="n">
        <x:v>1</x:v>
      </x:c>
      <x:c r="J737" s="4" t="str">
        <x:v>https://blog.skyairline.com/costanera-puerto-natales/</x:v>
      </x:c>
      <x:c r="K737" s="16" t="b">
        <x:v>0</x:v>
      </x:c>
      <x:c r="L737" s="11" t="n">
        <x:v>0</x:v>
      </x:c>
      <x:c r="M737" s="11" t="n">
        <x:v>0</x:v>
      </x:c>
      <x:c r="N737" s="4"/>
      <x:c r="O737" s="4"/>
      <x:c r="P737" s="11" t="n">
        <x:v>2</x:v>
      </x:c>
      <x:c r="Q737" s="11" t="n">
        <x:v>1</x:v>
      </x:c>
      <x:c r="R737" s="11" t="n">
        <x:f>IF(OR(P737="",Q737=""),"",Q737-P737)</x:f>
        <x:v>-1</x:v>
      </x:c>
      <x:c r="S737" s="13" t="n">
        <x:f>IF(OR(P737="",Q737="",P737=0),"",((Q737/30)/(P737/31))-1)</x:f>
        <x:v>-0.4833333333333333</x:v>
      </x:c>
      <x:c r="T737" s="11" t="n">
        <x:v>98</x:v>
      </x:c>
      <x:c r="U737" s="11" t="n">
        <x:v>80</x:v>
      </x:c>
      <x:c r="V737" s="14" t="n">
        <x:v>0.0125</x:v>
      </x:c>
      <x:c r="W737" s="12" t="n">
        <x:v>13.05</x:v>
      </x:c>
      <x:c r="X737" s="11"/>
      <x:c r="Y737" s="11"/>
      <x:c r="Z737" s="4" t="str">
        <x:v>https://blog.skyairline.com/costanera-puerto-natales/</x:v>
      </x:c>
      <x:c r="AA737" s="4" t="str">
        <x:v>https://blog.skyairline.com/costanera-puerto-natales/</x:v>
      </x:c>
      <x:c r="AB737" s="4" t="str">
        <x:v>Coincidencia URL</x:v>
      </x:c>
      <x:c r="AC737" s="4" t="str">
        <x:v>Publicado hasta septiembre</x:v>
      </x:c>
      <x:c r="AD737" s="4"/>
      <x:c r="AE737" s="4"/>
      <x:c r="AF737" s="16" t="b">
        <x:v>0</x:v>
      </x:c>
    </x:row>
    <x:row r="738" ht="44" customHeight="1">
      <x:c r="A738" s="4" t="n">
        <x:v>2561</x:v>
      </x:c>
      <x:c r="B738" s="4" t="str">
        <x:v>https://blog.skyairline.com/ano-nuevo-en-chile/</x:v>
      </x:c>
      <x:c r="C738" s="9" t="str">
        <x:v>Los mejores lugares para pasar Año Nuevo en Chile</x:v>
      </x:c>
      <x:c r="D738" s="17" t="d">
        <x:v>2024-12-10T00:00:00.000Z</x:v>
      </x:c>
      <x:c r="E738" s="17" t="d">
        <x:v>2024-12-10T00:00:00.000Z</x:v>
      </x:c>
      <x:c r="F738" s="4" t="str">
        <x:v>Cultura</x:v>
      </x:c>
      <x:c r="G738" s="11" t="n">
        <x:v>1112</x:v>
      </x:c>
      <x:c r="H738" s="11" t="n">
        <x:v>200</x:v>
      </x:c>
      <x:c r="I738" s="11" t="n">
        <x:v>1</x:v>
      </x:c>
      <x:c r="J738" s="4" t="str">
        <x:v>https://blog.skyairline.com/ano-nuevo-en-chile/</x:v>
      </x:c>
      <x:c r="K738" s="16" t="b">
        <x:v>0</x:v>
      </x:c>
      <x:c r="L738" s="11" t="n">
        <x:v>0</x:v>
      </x:c>
      <x:c r="M738" s="11" t="n">
        <x:v>3</x:v>
      </x:c>
      <x:c r="N738" s="4"/>
      <x:c r="O738" s="4"/>
      <x:c r="P738" s="11" t="n">
        <x:v>2</x:v>
      </x:c>
      <x:c r="Q738" s="11" t="n">
        <x:v>1</x:v>
      </x:c>
      <x:c r="R738" s="11" t="n">
        <x:f>IF(OR(P738="",Q738=""),"",Q738-P738)</x:f>
        <x:v>-1</x:v>
      </x:c>
      <x:c r="S738" s="13" t="n">
        <x:f>IF(OR(P738="",Q738="",P738=0),"",((Q738/30)/(P738/31))-1)</x:f>
        <x:v>-0.4833333333333333</x:v>
      </x:c>
      <x:c r="T738" s="11" t="n">
        <x:v>144</x:v>
      </x:c>
      <x:c r="U738" s="11" t="n">
        <x:v>114</x:v>
      </x:c>
      <x:c r="V738" s="14" t="n">
        <x:v>0.008771929824561403</x:v>
      </x:c>
      <x:c r="W738" s="12" t="n">
        <x:v>31.93859649122807</x:v>
      </x:c>
      <x:c r="X738" s="11" t="n">
        <x:v>4</x:v>
      </x:c>
      <x:c r="Y738" s="11" t="n">
        <x:v>5</x:v>
      </x:c>
      <x:c r="Z738" s="4" t="str">
        <x:v>https://blog.skyairline.com/ano-nuevo-en-chile/</x:v>
      </x:c>
      <x:c r="AA738" s="4" t="str">
        <x:v>https://blog.skyairline.com/ano-nuevo-en-chile/</x:v>
      </x:c>
      <x:c r="AB738" s="4" t="str">
        <x:v>Coincidencia URL</x:v>
      </x:c>
      <x:c r="AC738" s="4" t="str">
        <x:v>Publicado hasta septiembre</x:v>
      </x:c>
      <x:c r="AD738" s="4" t="str">
        <x:v>/ano-nuevo-en-chile/</x:v>
      </x:c>
      <x:c r="AE738" s="4"/>
      <x:c r="AF738" s="16" t="b">
        <x:v>0</x:v>
      </x:c>
    </x:row>
    <x:row r="739" ht="44" customHeight="1">
      <x:c r="A739" s="4" t="n">
        <x:v>2573</x:v>
      </x:c>
      <x:c r="B739" s="4" t="str">
        <x:v>https://blog.skyairline.com/visa-de-turista/</x:v>
      </x:c>
      <x:c r="C739" s="9" t="str">
        <x:v>¿Necesitas una visa de turista para viajar por Latinoamérica? Descubre los requisitos por país</x:v>
      </x:c>
      <x:c r="D739" s="17" t="d">
        <x:v>2022-12-13T00:00:00.000Z</x:v>
      </x:c>
      <x:c r="E739" s="17" t="d">
        <x:v>2022-12-13T00:00:00.000Z</x:v>
      </x:c>
      <x:c r="F739" s="4" t="str">
        <x:v>Planificación de Viaje</x:v>
      </x:c>
      <x:c r="G739" s="11" t="n">
        <x:v>1021</x:v>
      </x:c>
      <x:c r="H739" s="11" t="n">
        <x:v>200</x:v>
      </x:c>
      <x:c r="I739" s="11" t="n">
        <x:v>1</x:v>
      </x:c>
      <x:c r="J739" s="4" t="str">
        <x:v>https://blog.skyairline.com/visa-de-turista/</x:v>
      </x:c>
      <x:c r="K739" s="16" t="b">
        <x:v>0</x:v>
      </x:c>
      <x:c r="L739" s="11" t="n">
        <x:v>0</x:v>
      </x:c>
      <x:c r="M739" s="11" t="n">
        <x:v>3</x:v>
      </x:c>
      <x:c r="N739" s="4"/>
      <x:c r="O739" s="4"/>
      <x:c r="P739" s="11" t="n">
        <x:v>1</x:v>
      </x:c>
      <x:c r="Q739" s="11" t="n">
        <x:v>1</x:v>
      </x:c>
      <x:c r="R739" s="11" t="n">
        <x:f>IF(OR(P739="",Q739=""),"",Q739-P739)</x:f>
        <x:v>0</x:v>
      </x:c>
      <x:c r="S739" s="13" t="n">
        <x:f>IF(OR(P739="",Q739="",P739=0),"",((Q739/30)/(P739/31))-1)</x:f>
        <x:v>0.03333333333333344</x:v>
      </x:c>
      <x:c r="T739" s="11" t="n">
        <x:v>476</x:v>
      </x:c>
      <x:c r="U739" s="11" t="n">
        <x:v>313</x:v>
      </x:c>
      <x:c r="V739" s="14" t="n">
        <x:v>0.003194888178913738</x:v>
      </x:c>
      <x:c r="W739" s="12" t="n">
        <x:v>7.7507987220447285</x:v>
      </x:c>
      <x:c r="X739" s="11" t="n">
        <x:v>1</x:v>
      </x:c>
      <x:c r="Y739" s="11" t="n">
        <x:v>1</x:v>
      </x:c>
      <x:c r="Z739" s="4" t="str">
        <x:v>https://blog.skyairline.com/visa-de-turista/</x:v>
      </x:c>
      <x:c r="AA739" s="4" t="str">
        <x:v>https://blog.skyairline.com/visa-de-turista/</x:v>
      </x:c>
      <x:c r="AB739" s="4" t="str">
        <x:v>Coincidencia URL</x:v>
      </x:c>
      <x:c r="AC739" s="4" t="str">
        <x:v>Publicado hasta septiembre</x:v>
      </x:c>
      <x:c r="AD739" s="4" t="str">
        <x:v>/visa-de-turista/</x:v>
      </x:c>
      <x:c r="AE739" s="4"/>
      <x:c r="AF739" s="16" t="b">
        <x:v>1</x:v>
      </x:c>
    </x:row>
    <x:row r="740" ht="44" customHeight="1">
      <x:c r="A740" s="4" t="n">
        <x:v>2602</x:v>
      </x:c>
      <x:c r="B740" s="4" t="str">
        <x:v>https://blog.skyairline.com/bariloche-en-auto/</x:v>
      </x:c>
      <x:c r="C740" s="9" t="str">
        <x:v>Bariloche en auto: conoce los mejores lugares</x:v>
      </x:c>
      <x:c r="D740" s="17" t="d">
        <x:v>2022-12-23T00:00:00.000Z</x:v>
      </x:c>
      <x:c r="E740" s="17" t="d">
        <x:v>2022-12-23T00:00:00.000Z</x:v>
      </x:c>
      <x:c r="F740" s="4" t="str">
        <x:v>Bariloche, Destinos</x:v>
      </x:c>
      <x:c r="G740" s="11" t="n">
        <x:v>1061</x:v>
      </x:c>
      <x:c r="H740" s="11" t="n">
        <x:v>200</x:v>
      </x:c>
      <x:c r="I740" s="11" t="n">
        <x:v>1</x:v>
      </x:c>
      <x:c r="J740" s="4" t="str">
        <x:v>https://blog.skyairline.com/bariloche-en-auto/</x:v>
      </x:c>
      <x:c r="K740" s="16" t="b">
        <x:v>0</x:v>
      </x:c>
      <x:c r="L740" s="11" t="n">
        <x:v>0</x:v>
      </x:c>
      <x:c r="M740" s="11" t="n">
        <x:v>3</x:v>
      </x:c>
      <x:c r="N740" s="4"/>
      <x:c r="O740" s="4"/>
      <x:c r="P740" s="11" t="n">
        <x:v>0</x:v>
      </x:c>
      <x:c r="Q740" s="11" t="n">
        <x:v>1</x:v>
      </x:c>
      <x:c r="R740" s="11" t="str">
        <x:f>IF(OR(P740="",Q740=""),"",Q740-P740)</x:f>
      </x:c>
      <x:c r="S740" s="13" t="str">
        <x:f>IF(OR(P740="",Q740="",P740=0),"",((Q740/30)/(P740/31))-1)</x:f>
      </x:c>
      <x:c r="T740" s="11" t="n">
        <x:v>102</x:v>
      </x:c>
      <x:c r="U740" s="11" t="n">
        <x:v>39</x:v>
      </x:c>
      <x:c r="V740" s="14" t="n">
        <x:v>0.02564102564102564</x:v>
      </x:c>
      <x:c r="W740" s="12" t="n">
        <x:v>13.179487179487179</x:v>
      </x:c>
      <x:c r="X740" s="11" t="n">
        <x:v>1</x:v>
      </x:c>
      <x:c r="Y740" s="11" t="n">
        <x:v>1</x:v>
      </x:c>
      <x:c r="Z740" s="4" t="str">
        <x:v>https://blog.skyairline.com/bariloche-en-auto/</x:v>
      </x:c>
      <x:c r="AA740" s="4" t="str">
        <x:v>https://blog.skyairline.com/bariloche-en-auto/</x:v>
      </x:c>
      <x:c r="AB740" s="4" t="str">
        <x:v>Coincidencia URL</x:v>
      </x:c>
      <x:c r="AC740" s="4" t="str">
        <x:v>Publicado hasta septiembre</x:v>
      </x:c>
      <x:c r="AD740" s="4" t="str">
        <x:v>/bariloche-en-auto/</x:v>
      </x:c>
      <x:c r="AE740" s="4"/>
      <x:c r="AF740" s="16" t="b">
        <x:v>1</x:v>
      </x:c>
    </x:row>
    <x:row r="741" ht="44" customHeight="1">
      <x:c r="A741" s="4" t="n">
        <x:v>2611</x:v>
      </x:c>
      <x:c r="B741" s="4" t="str">
        <x:v>https://blog.skyairline.com/miami-design-district/</x:v>
      </x:c>
      <x:c r="C741" s="9" t="str">
        <x:v>Design District Miami: lujo, arte y moda en un mismo lugar</x:v>
      </x:c>
      <x:c r="D741" s="17" t="d">
        <x:v>2026-08-24T00:00:00.000Z</x:v>
      </x:c>
      <x:c r="E741" s="17" t="d">
        <x:v>2026-08-21T00:00:00.000Z</x:v>
      </x:c>
      <x:c r="F741" s="4" t="str">
        <x:v>Destinos</x:v>
      </x:c>
      <x:c r="G741" s="11" t="n">
        <x:v>1111</x:v>
      </x:c>
      <x:c r="H741" s="11" t="n">
        <x:v>200</x:v>
      </x:c>
      <x:c r="I741" s="11" t="n">
        <x:v>1</x:v>
      </x:c>
      <x:c r="J741" s="4" t="str">
        <x:v>https://blog.skyairline.com/miami-design-district/</x:v>
      </x:c>
      <x:c r="K741" s="16" t="b">
        <x:v>0</x:v>
      </x:c>
      <x:c r="L741" s="11" t="n">
        <x:v>0</x:v>
      </x:c>
      <x:c r="M741" s="11" t="n">
        <x:v>0</x:v>
      </x:c>
      <x:c r="N741" s="4"/>
      <x:c r="O741" s="4"/>
      <x:c r="P741" s="11" t="n">
        <x:v>0</x:v>
      </x:c>
      <x:c r="Q741" s="11" t="n">
        <x:v>1</x:v>
      </x:c>
      <x:c r="R741" s="11" t="str">
        <x:f>IF(OR(P741="",Q741=""),"",Q741-P741)</x:f>
      </x:c>
      <x:c r="S741" s="13" t="str">
        <x:f>IF(OR(P741="",Q741="",P741=0),"",((Q741/30)/(P741/31))-1)</x:f>
      </x:c>
      <x:c r="T741" s="11" t="n">
        <x:v>170</x:v>
      </x:c>
      <x:c r="U741" s="11" t="n">
        <x:v>552</x:v>
      </x:c>
      <x:c r="V741" s="14" t="n">
        <x:v>0.0018115942028985507</x:v>
      </x:c>
      <x:c r="W741" s="12" t="n">
        <x:v>10.777173913043478</x:v>
      </x:c>
      <x:c r="X741" s="11" t="n">
        <x:v>2</x:v>
      </x:c>
      <x:c r="Y741" s="11" t="n">
        <x:v>3</x:v>
      </x:c>
      <x:c r="Z741" s="4" t="str">
        <x:v>https://blog.skyairline.com/miami-design-district/</x:v>
      </x:c>
      <x:c r="AA741" s="4" t="str">
        <x:v>https://blog.skyairline.com/miami-design-district/</x:v>
      </x:c>
      <x:c r="AB741" s="4" t="str">
        <x:v>Coincidencia URL</x:v>
      </x:c>
      <x:c r="AC741" s="4" t="str">
        <x:v>Publicado hasta septiembre</x:v>
      </x:c>
      <x:c r="AD741" s="4" t="str">
        <x:v>/miami-design-district/</x:v>
      </x:c>
      <x:c r="AE741" s="4"/>
      <x:c r="AF741" s="16" t="b">
        <x:v>0</x:v>
      </x:c>
    </x:row>
    <x:row r="742" ht="44" customHeight="1">
      <x:c r="A742" s="4" t="n">
        <x:v>2617</x:v>
      </x:c>
      <x:c r="B742" s="4" t="str">
        <x:v>https://blog.skyairline.com/turismo-en-bariloche/</x:v>
      </x:c>
      <x:c r="C742" s="9" t="str">
        <x:v>San Carlos de Bariloche, 5 paseos para hacer en familia</x:v>
      </x:c>
      <x:c r="D742" s="17" t="d">
        <x:v>2026-05-04T00:00:00.000Z</x:v>
      </x:c>
      <x:c r="E742" s="17" t="d">
        <x:v>2026-04-30T00:00:00.000Z</x:v>
      </x:c>
      <x:c r="F742" s="4" t="str">
        <x:v>Bariloche, Destinos</x:v>
      </x:c>
      <x:c r="G742" s="11" t="n">
        <x:v>1043</x:v>
      </x:c>
      <x:c r="H742" s="11" t="n">
        <x:v>200</x:v>
      </x:c>
      <x:c r="I742" s="11" t="n">
        <x:v>1</x:v>
      </x:c>
      <x:c r="J742" s="4" t="str">
        <x:v>https://blog.skyairline.com/turismo-en-bariloche/</x:v>
      </x:c>
      <x:c r="K742" s="16" t="b">
        <x:v>0</x:v>
      </x:c>
      <x:c r="L742" s="11" t="n">
        <x:v>0</x:v>
      </x:c>
      <x:c r="M742" s="11" t="n">
        <x:v>0</x:v>
      </x:c>
      <x:c r="N742" s="4"/>
      <x:c r="O742" s="4"/>
      <x:c r="P742" s="11" t="n">
        <x:v>3</x:v>
      </x:c>
      <x:c r="Q742" s="11" t="n">
        <x:v>1</x:v>
      </x:c>
      <x:c r="R742" s="11" t="n">
        <x:f>IF(OR(P742="",Q742=""),"",Q742-P742)</x:f>
        <x:v>-2</x:v>
      </x:c>
      <x:c r="S742" s="13" t="n">
        <x:f>IF(OR(P742="",Q742="",P742=0),"",((Q742/30)/(P742/31))-1)</x:f>
        <x:v>-0.6555555555555556</x:v>
      </x:c>
      <x:c r="T742" s="11" t="n">
        <x:v>2050</x:v>
      </x:c>
      <x:c r="U742" s="11" t="n">
        <x:v>816</x:v>
      </x:c>
      <x:c r="V742" s="14" t="n">
        <x:v>0.0012254901960784314</x:v>
      </x:c>
      <x:c r="W742" s="12" t="n">
        <x:v>23.420343137254903</x:v>
      </x:c>
      <x:c r="X742" s="11" t="n">
        <x:v>2</x:v>
      </x:c>
      <x:c r="Y742" s="11" t="n">
        <x:v>4</x:v>
      </x:c>
      <x:c r="Z742" s="4" t="str">
        <x:v>https://blog.skyairline.com/turismo-en-bariloche/</x:v>
      </x:c>
      <x:c r="AA742" s="4" t="str">
        <x:v>https://blog.skyairline.com/turismo-en-bariloche/</x:v>
      </x:c>
      <x:c r="AB742" s="4" t="str">
        <x:v>Coincidencia URL</x:v>
      </x:c>
      <x:c r="AC742" s="4" t="str">
        <x:v>Publicado hasta septiembre</x:v>
      </x:c>
      <x:c r="AD742" s="4" t="str">
        <x:v>/turismo-en-bariloche/</x:v>
      </x:c>
      <x:c r="AE742" s="4"/>
      <x:c r="AF742" s="16" t="b">
        <x:v>0</x:v>
      </x:c>
    </x:row>
    <x:row r="743" ht="44" customHeight="1">
      <x:c r="A743" s="4" t="n">
        <x:v>2623</x:v>
      </x:c>
      <x:c r="B743" s="4" t="str">
        <x:v>https://blog.skyairline.com/lugares-turisticos-en-valdivia/</x:v>
      </x:c>
      <x:c r="C743" s="9" t="str">
        <x:v>Valdivia : ¡Lugares Turísticos que no vas a querer perderte en Chile!</x:v>
      </x:c>
      <x:c r="D743" s="17" t="d">
        <x:v>2023-01-03T00:00:00.000Z</x:v>
      </x:c>
      <x:c r="E743" s="17" t="d">
        <x:v>2023-01-03T00:00:00.000Z</x:v>
      </x:c>
      <x:c r="F743" s="4" t="str">
        <x:v>Destinos</x:v>
      </x:c>
      <x:c r="G743" s="11" t="n">
        <x:v>3017</x:v>
      </x:c>
      <x:c r="H743" s="11" t="n">
        <x:v>200</x:v>
      </x:c>
      <x:c r="I743" s="11" t="n">
        <x:v>1</x:v>
      </x:c>
      <x:c r="J743" s="4" t="str">
        <x:v>https://blog.skyairline.com/lugares-turisticos-en-valdivia/</x:v>
      </x:c>
      <x:c r="K743" s="16" t="b">
        <x:v>0</x:v>
      </x:c>
      <x:c r="L743" s="11" t="n">
        <x:v>0</x:v>
      </x:c>
      <x:c r="M743" s="11" t="n">
        <x:v>2</x:v>
      </x:c>
      <x:c r="N743" s="4"/>
      <x:c r="O743" s="4"/>
      <x:c r="P743" s="11" t="n">
        <x:v>0</x:v>
      </x:c>
      <x:c r="Q743" s="11" t="n">
        <x:v>1</x:v>
      </x:c>
      <x:c r="R743" s="11" t="str">
        <x:f>IF(OR(P743="",Q743=""),"",Q743-P743)</x:f>
      </x:c>
      <x:c r="S743" s="13" t="str">
        <x:f>IF(OR(P743="",Q743="",P743=0),"",((Q743/30)/(P743/31))-1)</x:f>
      </x:c>
      <x:c r="T743" s="11" t="n">
        <x:v>444</x:v>
      </x:c>
      <x:c r="U743" s="11" t="n">
        <x:v>412</x:v>
      </x:c>
      <x:c r="V743" s="14" t="n">
        <x:v>0.0024271844660194173</x:v>
      </x:c>
      <x:c r="W743" s="12" t="n">
        <x:v>17.45145631067961</x:v>
      </x:c>
      <x:c r="X743" s="11" t="n">
        <x:v>1</x:v>
      </x:c>
      <x:c r="Y743" s="11" t="n">
        <x:v>1</x:v>
      </x:c>
      <x:c r="Z743" s="4" t="str">
        <x:v>https://blog.skyairline.com/lugares-turisticos-en-valdivia/</x:v>
      </x:c>
      <x:c r="AA743" s="4" t="str">
        <x:v>https://blog.skyairline.com/lugares-turisticos-en-valdivia/</x:v>
      </x:c>
      <x:c r="AB743" s="4" t="str">
        <x:v>Coincidencia URL</x:v>
      </x:c>
      <x:c r="AC743" s="4" t="str">
        <x:v>Publicado hasta septiembre</x:v>
      </x:c>
      <x:c r="AD743" s="4" t="str">
        <x:v>/lugares-turisticos-en-valdivia/</x:v>
      </x:c>
      <x:c r="AE743" s="4"/>
      <x:c r="AF743" s="16" t="b">
        <x:v>0</x:v>
      </x:c>
    </x:row>
    <x:row r="744" ht="44" customHeight="1">
      <x:c r="A744" s="4" t="n">
        <x:v>2633</x:v>
      </x:c>
      <x:c r="B744" s="4" t="str">
        <x:v>https://blog.skyairline.com/sky-realiza-operaciones-de-la-primera-ruta-directa-a-bariloche/</x:v>
      </x:c>
      <x:c r="C744" s="9" t="str">
        <x:v>SKY realiza operaciones de la primera ruta directa a Bariloche</x:v>
      </x:c>
      <x:c r="D744" s="17" t="d">
        <x:v>2022-12-23T00:00:00.000Z</x:v>
      </x:c>
      <x:c r="E744" s="17" t="d">
        <x:v>2022-12-23T00:00:00.000Z</x:v>
      </x:c>
      <x:c r="F744" s="4" t="str">
        <x:v>Noticias</x:v>
      </x:c>
      <x:c r="G744" s="11" t="n">
        <x:v>598</x:v>
      </x:c>
      <x:c r="H744" s="11" t="n">
        <x:v>200</x:v>
      </x:c>
      <x:c r="I744" s="11" t="n">
        <x:v>1</x:v>
      </x:c>
      <x:c r="J744" s="4" t="str">
        <x:v>https://blog.skyairline.com/sky-realiza-operaciones-de-la-primera-ruta-directa-a-bariloche/</x:v>
      </x:c>
      <x:c r="K744" s="16" t="b">
        <x:v>0</x:v>
      </x:c>
      <x:c r="L744" s="11" t="n">
        <x:v>0</x:v>
      </x:c>
      <x:c r="M744" s="11" t="n">
        <x:v>0</x:v>
      </x:c>
      <x:c r="N744" s="4"/>
      <x:c r="O744" s="4"/>
      <x:c r="P744" s="11" t="n">
        <x:v>0</x:v>
      </x:c>
      <x:c r="Q744" s="11" t="n">
        <x:v>1</x:v>
      </x:c>
      <x:c r="R744" s="11" t="str">
        <x:f>IF(OR(P744="",Q744=""),"",Q744-P744)</x:f>
      </x:c>
      <x:c r="S744" s="13" t="str">
        <x:f>IF(OR(P744="",Q744="",P744=0),"",((Q744/30)/(P744/31))-1)</x:f>
      </x:c>
      <x:c r="T744" s="11" t="n">
        <x:v>30</x:v>
      </x:c>
      <x:c r="U744" s="11" t="n">
        <x:v>34</x:v>
      </x:c>
      <x:c r="V744" s="14" t="n">
        <x:v>0.029411764705882353</x:v>
      </x:c>
      <x:c r="W744" s="12" t="n">
        <x:v>6.676470588235294</x:v>
      </x:c>
      <x:c r="X744" s="11"/>
      <x:c r="Y744" s="11"/>
      <x:c r="Z744" s="4" t="str">
        <x:v>https://blog.skyairline.com/sky-realiza-operaciones-de-la-primera-ruta-directa-a-bariloche/</x:v>
      </x:c>
      <x:c r="AA744" s="4" t="str">
        <x:v>https://blog.skyairline.com/sky-realiza-operaciones-de-la-primera-ruta-directa-a-bariloche/</x:v>
      </x:c>
      <x:c r="AB744" s="4" t="str">
        <x:v>Coincidencia URL</x:v>
      </x:c>
      <x:c r="AC744" s="4" t="str">
        <x:v>Publicado hasta septiembre</x:v>
      </x:c>
      <x:c r="AD744" s="4"/>
      <x:c r="AE744" s="4"/>
      <x:c r="AF744" s="16" t="b">
        <x:v>0</x:v>
      </x:c>
    </x:row>
    <x:row r="745" ht="44" customHeight="1">
      <x:c r="A745" s="4" t="n">
        <x:v>2686</x:v>
      </x:c>
      <x:c r="B745" s="4" t="str">
        <x:v>https://blog.skyairline.com/plaza-mayor-de-lima/</x:v>
      </x:c>
      <x:c r="C745" s="9" t="str">
        <x:v>Plaza Mayor de Lima: Conoce la historia de este hermoso e icónico lugar</x:v>
      </x:c>
      <x:c r="D745" s="17" t="d">
        <x:v>2023-02-06T00:00:00.000Z</x:v>
      </x:c>
      <x:c r="E745" s="17" t="d">
        <x:v>2023-02-06T00:00:00.000Z</x:v>
      </x:c>
      <x:c r="F745" s="4" t="str">
        <x:v>Destinos</x:v>
      </x:c>
      <x:c r="G745" s="11" t="n">
        <x:v>989</x:v>
      </x:c>
      <x:c r="H745" s="11" t="n">
        <x:v>200</x:v>
      </x:c>
      <x:c r="I745" s="11" t="n">
        <x:v>1</x:v>
      </x:c>
      <x:c r="J745" s="4" t="str">
        <x:v>https://blog.skyairline.com/plaza-mayor-de-lima/</x:v>
      </x:c>
      <x:c r="K745" s="16" t="b">
        <x:v>0</x:v>
      </x:c>
      <x:c r="L745" s="11" t="n">
        <x:v>0</x:v>
      </x:c>
      <x:c r="M745" s="11" t="n">
        <x:v>4</x:v>
      </x:c>
      <x:c r="N745" s="4"/>
      <x:c r="O745" s="4"/>
      <x:c r="P745" s="11" t="n">
        <x:v>2</x:v>
      </x:c>
      <x:c r="Q745" s="11" t="n">
        <x:v>1</x:v>
      </x:c>
      <x:c r="R745" s="11" t="n">
        <x:f>IF(OR(P745="",Q745=""),"",Q745-P745)</x:f>
        <x:v>-1</x:v>
      </x:c>
      <x:c r="S745" s="13" t="n">
        <x:f>IF(OR(P745="",Q745="",P745=0),"",((Q745/30)/(P745/31))-1)</x:f>
        <x:v>-0.4833333333333333</x:v>
      </x:c>
      <x:c r="T745" s="11" t="n">
        <x:v>634</x:v>
      </x:c>
      <x:c r="U745" s="11" t="n">
        <x:v>471</x:v>
      </x:c>
      <x:c r="V745" s="14" t="n">
        <x:v>0.0021231422505307855</x:v>
      </x:c>
      <x:c r="W745" s="12" t="n">
        <x:v>14.72823779193206</x:v>
      </x:c>
      <x:c r="X745" s="11" t="n">
        <x:v>1</x:v>
      </x:c>
      <x:c r="Y745" s="11" t="n">
        <x:v>1</x:v>
      </x:c>
      <x:c r="Z745" s="4" t="str">
        <x:v>https://blog.skyairline.com/plaza-mayor-de-lima/</x:v>
      </x:c>
      <x:c r="AA745" s="4" t="str">
        <x:v>https://blog.skyairline.com/plaza-mayor-de-lima/</x:v>
      </x:c>
      <x:c r="AB745" s="4" t="str">
        <x:v>Coincidencia URL</x:v>
      </x:c>
      <x:c r="AC745" s="4" t="str">
        <x:v>Publicado hasta septiembre</x:v>
      </x:c>
      <x:c r="AD745" s="4" t="str">
        <x:v>/plaza-mayor-de-lima/</x:v>
      </x:c>
      <x:c r="AE745" s="4"/>
      <x:c r="AF745" s="16" t="b">
        <x:v>0</x:v>
      </x:c>
    </x:row>
    <x:row r="746" ht="44" customHeight="1">
      <x:c r="A746" s="4" t="n">
        <x:v>2688</x:v>
      </x:c>
      <x:c r="B746" s="4" t="str">
        <x:v>https://blog.skyairline.com/transporte-publico-al-viajar/</x:v>
      </x:c>
      <x:c r="C746" s="9" t="str">
        <x:v>Usar el transporte público al viajar: Ventajas y Desventajas</x:v>
      </x:c>
      <x:c r="D746" s="17" t="d">
        <x:v>2023-02-07T00:00:00.000Z</x:v>
      </x:c>
      <x:c r="E746" s="17" t="d">
        <x:v>2023-02-07T00:00:00.000Z</x:v>
      </x:c>
      <x:c r="F746" s="4" t="str">
        <x:v>Planificación de Viaje</x:v>
      </x:c>
      <x:c r="G746" s="11" t="n">
        <x:v>1047</x:v>
      </x:c>
      <x:c r="H746" s="11" t="n">
        <x:v>200</x:v>
      </x:c>
      <x:c r="I746" s="11" t="n">
        <x:v>1</x:v>
      </x:c>
      <x:c r="J746" s="4" t="str">
        <x:v>https://blog.skyairline.com/transporte-publico-al-viajar/</x:v>
      </x:c>
      <x:c r="K746" s="16" t="b">
        <x:v>0</x:v>
      </x:c>
      <x:c r="L746" s="11" t="n">
        <x:v>0</x:v>
      </x:c>
      <x:c r="M746" s="11" t="n">
        <x:v>3</x:v>
      </x:c>
      <x:c r="N746" s="4"/>
      <x:c r="O746" s="4"/>
      <x:c r="P746" s="11" t="n">
        <x:v>1</x:v>
      </x:c>
      <x:c r="Q746" s="11" t="n">
        <x:v>1</x:v>
      </x:c>
      <x:c r="R746" s="11" t="n">
        <x:f>IF(OR(P746="",Q746=""),"",Q746-P746)</x:f>
        <x:v>0</x:v>
      </x:c>
      <x:c r="S746" s="13" t="n">
        <x:f>IF(OR(P746="",Q746="",P746=0),"",((Q746/30)/(P746/31))-1)</x:f>
        <x:v>0.03333333333333344</x:v>
      </x:c>
      <x:c r="T746" s="11" t="n">
        <x:v>369</x:v>
      </x:c>
      <x:c r="U746" s="11" t="n">
        <x:v>308</x:v>
      </x:c>
      <x:c r="V746" s="14" t="n">
        <x:v>0.003246753246753247</x:v>
      </x:c>
      <x:c r="W746" s="12" t="n">
        <x:v>8.068181818181818</x:v>
      </x:c>
      <x:c r="X746" s="11" t="n">
        <x:v>1</x:v>
      </x:c>
      <x:c r="Y746" s="11" t="n">
        <x:v>1</x:v>
      </x:c>
      <x:c r="Z746" s="4" t="str">
        <x:v>https://blog.skyairline.com/transporte-publico-al-viajar/</x:v>
      </x:c>
      <x:c r="AA746" s="4" t="str">
        <x:v>https://blog.skyairline.com/transporte-publico-al-viajar/</x:v>
      </x:c>
      <x:c r="AB746" s="4" t="str">
        <x:v>Coincidencia URL</x:v>
      </x:c>
      <x:c r="AC746" s="4" t="str">
        <x:v>Publicado hasta septiembre</x:v>
      </x:c>
      <x:c r="AD746" s="4" t="str">
        <x:v>/transporte-publico-al-viajar/</x:v>
      </x:c>
      <x:c r="AE746" s="4"/>
      <x:c r="AF746" s="16" t="b">
        <x:v>0</x:v>
      </x:c>
    </x:row>
    <x:row r="747" ht="44" customHeight="1">
      <x:c r="A747" s="4" t="n">
        <x:v>2700</x:v>
      </x:c>
      <x:c r="B747" s="4" t="str">
        <x:v>https://blog.skyairline.com/playas-de-cancun/</x:v>
      </x:c>
      <x:c r="C747" s="9" t="str">
        <x:v>Playas en Cancún: ¡hay opciones para todos!</x:v>
      </x:c>
      <x:c r="D747" s="17" t="d">
        <x:v>2024-11-27T00:00:00.000Z</x:v>
      </x:c>
      <x:c r="E747" s="17" t="d">
        <x:v>2024-11-27T00:00:00.000Z</x:v>
      </x:c>
      <x:c r="F747" s="4" t="str">
        <x:v>Cancún, Destinos</x:v>
      </x:c>
      <x:c r="G747" s="11" t="n">
        <x:v>2166</x:v>
      </x:c>
      <x:c r="H747" s="11" t="n">
        <x:v>200</x:v>
      </x:c>
      <x:c r="I747" s="11" t="n">
        <x:v>1</x:v>
      </x:c>
      <x:c r="J747" s="4" t="str">
        <x:v>https://blog.skyairline.com/playas-de-cancun/</x:v>
      </x:c>
      <x:c r="K747" s="16" t="b">
        <x:v>0</x:v>
      </x:c>
      <x:c r="L747" s="11" t="n">
        <x:v>0</x:v>
      </x:c>
      <x:c r="M747" s="11" t="n">
        <x:v>3</x:v>
      </x:c>
      <x:c r="N747" s="4"/>
      <x:c r="O747" s="4"/>
      <x:c r="P747" s="11" t="n">
        <x:v>0</x:v>
      </x:c>
      <x:c r="Q747" s="11" t="n">
        <x:v>1</x:v>
      </x:c>
      <x:c r="R747" s="11" t="str">
        <x:f>IF(OR(P747="",Q747=""),"",Q747-P747)</x:f>
      </x:c>
      <x:c r="S747" s="13" t="str">
        <x:f>IF(OR(P747="",Q747="",P747=0),"",((Q747/30)/(P747/31))-1)</x:f>
      </x:c>
      <x:c r="T747" s="11" t="n">
        <x:v>589</x:v>
      </x:c>
      <x:c r="U747" s="11" t="n">
        <x:v>332</x:v>
      </x:c>
      <x:c r="V747" s="14" t="n">
        <x:v>0.0030120481927710845</x:v>
      </x:c>
      <x:c r="W747" s="12" t="n">
        <x:v>25.680722891566266</x:v>
      </x:c>
      <x:c r="X747" s="11" t="n">
        <x:v>2</x:v>
      </x:c>
      <x:c r="Y747" s="11" t="n">
        <x:v>3</x:v>
      </x:c>
      <x:c r="Z747" s="4" t="str">
        <x:v>https://blog.skyairline.com/playas-de-cancun/</x:v>
      </x:c>
      <x:c r="AA747" s="4" t="str">
        <x:v>https://blog.skyairline.com/playas-de-cancun/</x:v>
      </x:c>
      <x:c r="AB747" s="4" t="str">
        <x:v>Coincidencia URL</x:v>
      </x:c>
      <x:c r="AC747" s="4" t="str">
        <x:v>Publicado hasta septiembre</x:v>
      </x:c>
      <x:c r="AD747" s="4" t="str">
        <x:v>/playas-de-cancun/</x:v>
      </x:c>
      <x:c r="AE747" s="4"/>
      <x:c r="AF747" s="16" t="b">
        <x:v>1</x:v>
      </x:c>
    </x:row>
    <x:row r="748" ht="44" customHeight="1">
      <x:c r="A748" s="4" t="n">
        <x:v>2716</x:v>
      </x:c>
      <x:c r="B748" s="4" t="str">
        <x:v>https://blog.skyairline.com/key-biscayne/</x:v>
      </x:c>
      <x:c r="C748" s="9" t="str">
        <x:v>Key Biscayne: ¿qué hacer y ver en esta zona de Miami?</x:v>
      </x:c>
      <x:c r="D748" s="17" t="d">
        <x:v>2023-03-03T00:00:00.000Z</x:v>
      </x:c>
      <x:c r="E748" s="17" t="d">
        <x:v>2023-03-03T00:00:00.000Z</x:v>
      </x:c>
      <x:c r="F748" s="4" t="str">
        <x:v>Planificación de Viaje</x:v>
      </x:c>
      <x:c r="G748" s="11" t="n">
        <x:v>1017</x:v>
      </x:c>
      <x:c r="H748" s="11" t="n">
        <x:v>200</x:v>
      </x:c>
      <x:c r="I748" s="11" t="n">
        <x:v>1</x:v>
      </x:c>
      <x:c r="J748" s="4" t="str">
        <x:v>https://blog.skyairline.com/key-biscayne/</x:v>
      </x:c>
      <x:c r="K748" s="16" t="b">
        <x:v>0</x:v>
      </x:c>
      <x:c r="L748" s="11" t="n">
        <x:v>0</x:v>
      </x:c>
      <x:c r="M748" s="11" t="n">
        <x:v>2</x:v>
      </x:c>
      <x:c r="N748" s="4"/>
      <x:c r="O748" s="4"/>
      <x:c r="P748" s="11" t="n">
        <x:v>2</x:v>
      </x:c>
      <x:c r="Q748" s="11" t="n">
        <x:v>1</x:v>
      </x:c>
      <x:c r="R748" s="11" t="n">
        <x:f>IF(OR(P748="",Q748=""),"",Q748-P748)</x:f>
        <x:v>-1</x:v>
      </x:c>
      <x:c r="S748" s="13" t="n">
        <x:f>IF(OR(P748="",Q748="",P748=0),"",((Q748/30)/(P748/31))-1)</x:f>
        <x:v>-0.4833333333333333</x:v>
      </x:c>
      <x:c r="T748" s="11" t="n">
        <x:v>939</x:v>
      </x:c>
      <x:c r="U748" s="11" t="n">
        <x:v>465</x:v>
      </x:c>
      <x:c r="V748" s="14" t="n">
        <x:v>0.002150537634408602</x:v>
      </x:c>
      <x:c r="W748" s="12" t="n">
        <x:v>13.572043010752688</x:v>
      </x:c>
      <x:c r="X748" s="11" t="n">
        <x:v>2</x:v>
      </x:c>
      <x:c r="Y748" s="11" t="n">
        <x:v>2</x:v>
      </x:c>
      <x:c r="Z748" s="4" t="str">
        <x:v>https://blog.skyairline.com/key-biscayne/</x:v>
      </x:c>
      <x:c r="AA748" s="4" t="str">
        <x:v>https://blog.skyairline.com/key-biscayne/</x:v>
      </x:c>
      <x:c r="AB748" s="4" t="str">
        <x:v>Coincidencia URL</x:v>
      </x:c>
      <x:c r="AC748" s="4" t="str">
        <x:v>Publicado hasta septiembre</x:v>
      </x:c>
      <x:c r="AD748" s="4" t="str">
        <x:v>/key-biscayne/</x:v>
      </x:c>
      <x:c r="AE748" s="4"/>
      <x:c r="AF748" s="16" t="b">
        <x:v>0</x:v>
      </x:c>
    </x:row>
    <x:row r="749" ht="44" customHeight="1">
      <x:c r="A749" s="4" t="n">
        <x:v>2753</x:v>
      </x:c>
      <x:c r="B749" s="4" t="str">
        <x:v>https://blog.skyairline.com/vacacionar-economico/</x:v>
      </x:c>
      <x:c r="C749" s="9" t="str">
        <x:v>5 tips para tener vacaciones baratas en Argentina</x:v>
      </x:c>
      <x:c r="D749" s="17" t="d">
        <x:v>2026-04-28T00:00:00.000Z</x:v>
      </x:c>
      <x:c r="E749" s="17" t="d">
        <x:v>2026-04-28T00:00:00.000Z</x:v>
      </x:c>
      <x:c r="F749" s="4" t="str">
        <x:v>Buenos Aires, Planificación de Viaje</x:v>
      </x:c>
      <x:c r="G749" s="11" t="n">
        <x:v>1089</x:v>
      </x:c>
      <x:c r="H749" s="11" t="n">
        <x:v>200</x:v>
      </x:c>
      <x:c r="I749" s="11" t="n">
        <x:v>1</x:v>
      </x:c>
      <x:c r="J749" s="4" t="str">
        <x:v>https://blog.skyairline.com/vacacionar-economico/</x:v>
      </x:c>
      <x:c r="K749" s="16" t="b">
        <x:v>0</x:v>
      </x:c>
      <x:c r="L749" s="11" t="n">
        <x:v>0</x:v>
      </x:c>
      <x:c r="M749" s="11" t="n">
        <x:v>0</x:v>
      </x:c>
      <x:c r="N749" s="4"/>
      <x:c r="O749" s="4"/>
      <x:c r="P749" s="11" t="n">
        <x:v>1</x:v>
      </x:c>
      <x:c r="Q749" s="11" t="n">
        <x:v>1</x:v>
      </x:c>
      <x:c r="R749" s="11" t="n">
        <x:f>IF(OR(P749="",Q749=""),"",Q749-P749)</x:f>
        <x:v>0</x:v>
      </x:c>
      <x:c r="S749" s="13" t="n">
        <x:f>IF(OR(P749="",Q749="",P749=0),"",((Q749/30)/(P749/31))-1)</x:f>
        <x:v>0.03333333333333344</x:v>
      </x:c>
      <x:c r="T749" s="11" t="n">
        <x:v>153</x:v>
      </x:c>
      <x:c r="U749" s="11" t="n">
        <x:v>157</x:v>
      </x:c>
      <x:c r="V749" s="14" t="n">
        <x:v>0.006369426751592357</x:v>
      </x:c>
      <x:c r="W749" s="12" t="n">
        <x:v>12.51592356687898</x:v>
      </x:c>
      <x:c r="X749" s="11" t="n">
        <x:v>2</x:v>
      </x:c>
      <x:c r="Y749" s="11" t="n">
        <x:v>2</x:v>
      </x:c>
      <x:c r="Z749" s="4" t="str">
        <x:v>https://blog.skyairline.com/vacacionar-economico/</x:v>
      </x:c>
      <x:c r="AA749" s="4" t="str">
        <x:v>https://blog.skyairline.com/vacacionar-economico/</x:v>
      </x:c>
      <x:c r="AB749" s="4" t="str">
        <x:v>Coincidencia URL</x:v>
      </x:c>
      <x:c r="AC749" s="4" t="str">
        <x:v>Publicado hasta septiembre</x:v>
      </x:c>
      <x:c r="AD749" s="4" t="str">
        <x:v>/vacacionar-economico/</x:v>
      </x:c>
      <x:c r="AE749" s="4"/>
      <x:c r="AF749" s="16" t="b">
        <x:v>0</x:v>
      </x:c>
    </x:row>
    <x:row r="750" ht="44" customHeight="1">
      <x:c r="A750" s="4" t="n">
        <x:v>2818</x:v>
      </x:c>
      <x:c r="B750" s="4" t="str">
        <x:v>https://blog.skyairline.com/que-hacer-en-jauja/</x:v>
      </x:c>
      <x:c r="C750" s="9" t="str">
        <x:v>¿Qué puedes hacer en la ciudad peruana de Jauja?</x:v>
      </x:c>
      <x:c r="D750" s="17" t="d">
        <x:v>2023-04-10T00:00:00.000Z</x:v>
      </x:c>
      <x:c r="E750" s="17" t="d">
        <x:v>2023-04-10T00:00:00.000Z</x:v>
      </x:c>
      <x:c r="F750" s="4" t="str">
        <x:v>Destinos</x:v>
      </x:c>
      <x:c r="G750" s="11" t="n">
        <x:v>1031</x:v>
      </x:c>
      <x:c r="H750" s="11" t="n">
        <x:v>200</x:v>
      </x:c>
      <x:c r="I750" s="11" t="n">
        <x:v>1</x:v>
      </x:c>
      <x:c r="J750" s="4" t="str">
        <x:v>https://blog.skyairline.com/que-hacer-en-jauja/</x:v>
      </x:c>
      <x:c r="K750" s="16" t="b">
        <x:v>0</x:v>
      </x:c>
      <x:c r="L750" s="11" t="n">
        <x:v>0</x:v>
      </x:c>
      <x:c r="M750" s="11" t="n">
        <x:v>7</x:v>
      </x:c>
      <x:c r="N750" s="4"/>
      <x:c r="O750" s="4"/>
      <x:c r="P750" s="11" t="n">
        <x:v>1</x:v>
      </x:c>
      <x:c r="Q750" s="11" t="n">
        <x:v>1</x:v>
      </x:c>
      <x:c r="R750" s="11" t="n">
        <x:f>IF(OR(P750="",Q750=""),"",Q750-P750)</x:f>
        <x:v>0</x:v>
      </x:c>
      <x:c r="S750" s="13" t="n">
        <x:f>IF(OR(P750="",Q750="",P750=0),"",((Q750/30)/(P750/31))-1)</x:f>
        <x:v>0.03333333333333344</x:v>
      </x:c>
      <x:c r="T750" s="11" t="n">
        <x:v>896</x:v>
      </x:c>
      <x:c r="U750" s="11" t="n">
        <x:v>597</x:v>
      </x:c>
      <x:c r="V750" s="14" t="n">
        <x:v>0.0016750418760469012</x:v>
      </x:c>
      <x:c r="W750" s="12" t="n">
        <x:v>11.256281407035177</x:v>
      </x:c>
      <x:c r="X750" s="11" t="n">
        <x:v>3</x:v>
      </x:c>
      <x:c r="Y750" s="11" t="n">
        <x:v>7</x:v>
      </x:c>
      <x:c r="Z750" s="4" t="str">
        <x:v>https://blog.skyairline.com/que-hacer-en-jauja/</x:v>
      </x:c>
      <x:c r="AA750" s="4" t="str">
        <x:v>https://blog.skyairline.com/que-hacer-en-jauja/</x:v>
      </x:c>
      <x:c r="AB750" s="4" t="str">
        <x:v>Coincidencia URL</x:v>
      </x:c>
      <x:c r="AC750" s="4" t="str">
        <x:v>Publicado hasta septiembre</x:v>
      </x:c>
      <x:c r="AD750" s="4" t="str">
        <x:v>/que-hacer-en-jauja/</x:v>
      </x:c>
      <x:c r="AE750" s="4"/>
      <x:c r="AF750" s="16" t="b">
        <x:v>0</x:v>
      </x:c>
    </x:row>
    <x:row r="751" ht="44" customHeight="1">
      <x:c r="A751" s="4" t="n">
        <x:v>2825</x:v>
      </x:c>
      <x:c r="B751" s="4" t="str">
        <x:v>https://blog.skyairline.com/caminhos-de-porto-alegre/</x:v>
      </x:c>
      <x:c r="C751" s="9" t="str">
        <x:v>Caminhos Rurais en Porto Alegre, conoce el lado rural de la ciudad</x:v>
      </x:c>
      <x:c r="D751" s="17" t="d">
        <x:v>2023-04-13T00:00:00.000Z</x:v>
      </x:c>
      <x:c r="E751" s="17" t="d">
        <x:v>2023-04-13T00:00:00.000Z</x:v>
      </x:c>
      <x:c r="F751" s="4" t="str">
        <x:v>Destinos</x:v>
      </x:c>
      <x:c r="G751" s="11" t="n">
        <x:v>1000</x:v>
      </x:c>
      <x:c r="H751" s="11" t="n">
        <x:v>200</x:v>
      </x:c>
      <x:c r="I751" s="11" t="n">
        <x:v>1</x:v>
      </x:c>
      <x:c r="J751" s="4" t="str">
        <x:v>https://blog.skyairline.com/caminhos-de-porto-alegre/</x:v>
      </x:c>
      <x:c r="K751" s="16" t="b">
        <x:v>0</x:v>
      </x:c>
      <x:c r="L751" s="11" t="n">
        <x:v>0</x:v>
      </x:c>
      <x:c r="M751" s="11" t="n">
        <x:v>3</x:v>
      </x:c>
      <x:c r="N751" s="4"/>
      <x:c r="O751" s="4"/>
      <x:c r="P751" s="11" t="n">
        <x:v>2</x:v>
      </x:c>
      <x:c r="Q751" s="11" t="n">
        <x:v>1</x:v>
      </x:c>
      <x:c r="R751" s="11" t="n">
        <x:f>IF(OR(P751="",Q751=""),"",Q751-P751)</x:f>
        <x:v>-1</x:v>
      </x:c>
      <x:c r="S751" s="13" t="n">
        <x:f>IF(OR(P751="",Q751="",P751=0),"",((Q751/30)/(P751/31))-1)</x:f>
        <x:v>-0.4833333333333333</x:v>
      </x:c>
      <x:c r="T751" s="11" t="n">
        <x:v>43</x:v>
      </x:c>
      <x:c r="U751" s="11" t="n">
        <x:v>18</x:v>
      </x:c>
      <x:c r="V751" s="14" t="n">
        <x:v>0.05555555555555555</x:v>
      </x:c>
      <x:c r="W751" s="12" t="n">
        <x:v>10.555555555555555</x:v>
      </x:c>
      <x:c r="X751" s="11" t="n">
        <x:v>1</x:v>
      </x:c>
      <x:c r="Y751" s="11" t="n">
        <x:v>1</x:v>
      </x:c>
      <x:c r="Z751" s="4" t="str">
        <x:v>https://blog.skyairline.com/caminhos-de-porto-alegre/</x:v>
      </x:c>
      <x:c r="AA751" s="4" t="str">
        <x:v>https://blog.skyairline.com/caminhos-de-porto-alegre/</x:v>
      </x:c>
      <x:c r="AB751" s="4" t="str">
        <x:v>Coincidencia URL</x:v>
      </x:c>
      <x:c r="AC751" s="4" t="str">
        <x:v>Publicado hasta septiembre</x:v>
      </x:c>
      <x:c r="AD751" s="4" t="str">
        <x:v>/caminhos-de-porto-alegre/</x:v>
      </x:c>
      <x:c r="AE751" s="4"/>
      <x:c r="AF751" s="16" t="b">
        <x:v>0</x:v>
      </x:c>
    </x:row>
    <x:row r="752" ht="44" customHeight="1">
      <x:c r="A752" s="4" t="n">
        <x:v>2885</x:v>
      </x:c>
      <x:c r="B752" s="4" t="str">
        <x:v>https://blog.skyairline.com/centros-comerciales-en-porto-alegre/</x:v>
      </x:c>
      <x:c r="C752" s="9" t="str">
        <x:v>Centros comerciales en Porto Alegre: conoce los más famosos</x:v>
      </x:c>
      <x:c r="D752" s="17" t="d">
        <x:v>2023-05-02T00:00:00.000Z</x:v>
      </x:c>
      <x:c r="E752" s="17" t="d">
        <x:v>2023-05-02T00:00:00.000Z</x:v>
      </x:c>
      <x:c r="F752" s="4" t="str">
        <x:v>Destinos</x:v>
      </x:c>
      <x:c r="G752" s="11" t="n">
        <x:v>1195</x:v>
      </x:c>
      <x:c r="H752" s="11" t="n">
        <x:v>200</x:v>
      </x:c>
      <x:c r="I752" s="11" t="n">
        <x:v>1</x:v>
      </x:c>
      <x:c r="J752" s="4" t="str">
        <x:v>https://blog.skyairline.com/centros-comerciales-en-porto-alegre/</x:v>
      </x:c>
      <x:c r="K752" s="16" t="b">
        <x:v>0</x:v>
      </x:c>
      <x:c r="L752" s="11" t="n">
        <x:v>0</x:v>
      </x:c>
      <x:c r="M752" s="11" t="n">
        <x:v>3</x:v>
      </x:c>
      <x:c r="N752" s="4"/>
      <x:c r="O752" s="4"/>
      <x:c r="P752" s="11" t="n">
        <x:v>1</x:v>
      </x:c>
      <x:c r="Q752" s="11" t="n">
        <x:v>1</x:v>
      </x:c>
      <x:c r="R752" s="11" t="n">
        <x:f>IF(OR(P752="",Q752=""),"",Q752-P752)</x:f>
        <x:v>0</x:v>
      </x:c>
      <x:c r="S752" s="13" t="n">
        <x:f>IF(OR(P752="",Q752="",P752=0),"",((Q752/30)/(P752/31))-1)</x:f>
        <x:v>0.03333333333333344</x:v>
      </x:c>
      <x:c r="T752" s="11" t="n">
        <x:v>502</x:v>
      </x:c>
      <x:c r="U752" s="11" t="n">
        <x:v>517</x:v>
      </x:c>
      <x:c r="V752" s="14" t="n">
        <x:v>0.0019342359767891683</x:v>
      </x:c>
      <x:c r="W752" s="12" t="n">
        <x:v>9.729206963249517</x:v>
      </x:c>
      <x:c r="X752" s="11"/>
      <x:c r="Y752" s="11"/>
      <x:c r="Z752" s="4" t="str">
        <x:v>https://blog.skyairline.com/centros-comerciales-en-porto-alegre/</x:v>
      </x:c>
      <x:c r="AA752" s="4" t="str">
        <x:v>https://blog.skyairline.com/centros-comerciales-en-porto-alegre/</x:v>
      </x:c>
      <x:c r="AB752" s="4" t="str">
        <x:v>Coincidencia URL</x:v>
      </x:c>
      <x:c r="AC752" s="4" t="str">
        <x:v>Publicado hasta septiembre</x:v>
      </x:c>
      <x:c r="AD752" s="4"/>
      <x:c r="AE752" s="4"/>
      <x:c r="AF752" s="16" t="b">
        <x:v>0</x:v>
      </x:c>
    </x:row>
    <x:row r="753" ht="44" customHeight="1">
      <x:c r="A753" s="4" t="n">
        <x:v>2907</x:v>
      </x:c>
      <x:c r="B753" s="4" t="str">
        <x:v>https://blog.skyairline.com/monumentos-historicos-de-jauja/</x:v>
      </x:c>
      <x:c r="C753" s="9" t="str">
        <x:v>Viaje a Jauja: lugares históricos de la primera capital de Perú que debes conocer</x:v>
      </x:c>
      <x:c r="D753" s="17" t="d">
        <x:v>2026-05-20T00:00:00.000Z</x:v>
      </x:c>
      <x:c r="E753" s="17" t="d">
        <x:v>2026-05-20T00:00:00.000Z</x:v>
      </x:c>
      <x:c r="F753" s="4" t="str">
        <x:v>Destinos</x:v>
      </x:c>
      <x:c r="G753" s="11" t="n">
        <x:v>1066</x:v>
      </x:c>
      <x:c r="H753" s="11" t="n">
        <x:v>200</x:v>
      </x:c>
      <x:c r="I753" s="11" t="n">
        <x:v>1</x:v>
      </x:c>
      <x:c r="J753" s="4" t="str">
        <x:v>https://blog.skyairline.com/monumentos-historicos-de-jauja/</x:v>
      </x:c>
      <x:c r="K753" s="16" t="b">
        <x:v>0</x:v>
      </x:c>
      <x:c r="L753" s="11" t="n">
        <x:v>0</x:v>
      </x:c>
      <x:c r="M753" s="11" t="n">
        <x:v>0</x:v>
      </x:c>
      <x:c r="N753" s="4"/>
      <x:c r="O753" s="4"/>
      <x:c r="P753" s="11" t="n">
        <x:v>1</x:v>
      </x:c>
      <x:c r="Q753" s="11" t="n">
        <x:v>1</x:v>
      </x:c>
      <x:c r="R753" s="11" t="n">
        <x:f>IF(OR(P753="",Q753=""),"",Q753-P753)</x:f>
        <x:v>0</x:v>
      </x:c>
      <x:c r="S753" s="13" t="n">
        <x:f>IF(OR(P753="",Q753="",P753=0),"",((Q753/30)/(P753/31))-1)</x:f>
        <x:v>0.03333333333333344</x:v>
      </x:c>
      <x:c r="T753" s="11" t="n">
        <x:v>815</x:v>
      </x:c>
      <x:c r="U753" s="11" t="n">
        <x:v>432</x:v>
      </x:c>
      <x:c r="V753" s="14" t="n">
        <x:v>0.0023148148148148147</x:v>
      </x:c>
      <x:c r="W753" s="12" t="n">
        <x:v>8.219907407407408</x:v>
      </x:c>
      <x:c r="X753" s="11" t="n">
        <x:v>10</x:v>
      </x:c>
      <x:c r="Y753" s="11" t="n">
        <x:v>10</x:v>
      </x:c>
      <x:c r="Z753" s="4" t="str">
        <x:v>https://blog.skyairline.com/monumentos-historicos-de-jauja/</x:v>
      </x:c>
      <x:c r="AA753" s="4" t="str">
        <x:v>https://blog.skyairline.com/monumentos-historicos-de-jauja/</x:v>
      </x:c>
      <x:c r="AB753" s="4" t="str">
        <x:v>Coincidencia URL</x:v>
      </x:c>
      <x:c r="AC753" s="4" t="str">
        <x:v>Publicado hasta septiembre</x:v>
      </x:c>
      <x:c r="AD753" s="4" t="str">
        <x:v>/monumentos-historicos-de-jauja/</x:v>
      </x:c>
      <x:c r="AE753" s="4"/>
      <x:c r="AF753" s="16" t="b">
        <x:v>0</x:v>
      </x:c>
    </x:row>
    <x:row r="754" ht="44" customHeight="1">
      <x:c r="A754" s="4" t="n">
        <x:v>2916</x:v>
      </x:c>
      <x:c r="B754" s="4" t="str">
        <x:v>https://blog.skyairline.com/cristo-de-tatanazo/</x:v>
      </x:c>
      <x:c r="C754" s="9" t="str">
        <x:v>Cristo de Tatanazo: el mirador por excelencia de Jauja</x:v>
      </x:c>
      <x:c r="D754" s="17" t="d">
        <x:v>2023-05-08T00:00:00.000Z</x:v>
      </x:c>
      <x:c r="E754" s="17" t="d">
        <x:v>2023-05-08T00:00:00.000Z</x:v>
      </x:c>
      <x:c r="F754" s="4" t="str">
        <x:v>Cultura</x:v>
      </x:c>
      <x:c r="G754" s="11" t="n">
        <x:v>1022</x:v>
      </x:c>
      <x:c r="H754" s="11" t="n">
        <x:v>200</x:v>
      </x:c>
      <x:c r="I754" s="11" t="n">
        <x:v>1</x:v>
      </x:c>
      <x:c r="J754" s="4" t="str">
        <x:v>https://blog.skyairline.com/cristo-de-tatanazo/</x:v>
      </x:c>
      <x:c r="K754" s="16" t="b">
        <x:v>0</x:v>
      </x:c>
      <x:c r="L754" s="11" t="n">
        <x:v>0</x:v>
      </x:c>
      <x:c r="M754" s="11" t="n">
        <x:v>6</x:v>
      </x:c>
      <x:c r="N754" s="4"/>
      <x:c r="O754" s="4"/>
      <x:c r="P754" s="11" t="n">
        <x:v>1</x:v>
      </x:c>
      <x:c r="Q754" s="11" t="n">
        <x:v>1</x:v>
      </x:c>
      <x:c r="R754" s="11" t="n">
        <x:f>IF(OR(P754="",Q754=""),"",Q754-P754)</x:f>
        <x:v>0</x:v>
      </x:c>
      <x:c r="S754" s="13" t="n">
        <x:f>IF(OR(P754="",Q754="",P754=0),"",((Q754/30)/(P754/31))-1)</x:f>
        <x:v>0.03333333333333344</x:v>
      </x:c>
      <x:c r="T754" s="11" t="n">
        <x:v>63</x:v>
      </x:c>
      <x:c r="U754" s="11" t="n">
        <x:v>36</x:v>
      </x:c>
      <x:c r="V754" s="14" t="n">
        <x:v>0.027777777777777776</x:v>
      </x:c>
      <x:c r="W754" s="12" t="n">
        <x:v>8.5</x:v>
      </x:c>
      <x:c r="X754" s="11" t="n">
        <x:v>2</x:v>
      </x:c>
      <x:c r="Y754" s="11" t="n">
        <x:v>2</x:v>
      </x:c>
      <x:c r="Z754" s="4" t="str">
        <x:v>https://blog.skyairline.com/cristo-de-tatanazo/</x:v>
      </x:c>
      <x:c r="AA754" s="4" t="str">
        <x:v>https://blog.skyairline.com/cristo-de-tatanazo/</x:v>
      </x:c>
      <x:c r="AB754" s="4" t="str">
        <x:v>Coincidencia URL</x:v>
      </x:c>
      <x:c r="AC754" s="4" t="str">
        <x:v>Publicado hasta septiembre</x:v>
      </x:c>
      <x:c r="AD754" s="4" t="str">
        <x:v>/cristo-de-tatanazo/</x:v>
      </x:c>
      <x:c r="AE754" s="4"/>
      <x:c r="AF754" s="16" t="b">
        <x:v>0</x:v>
      </x:c>
    </x:row>
    <x:row r="755" ht="44" customHeight="1">
      <x:c r="A755" s="4" t="n">
        <x:v>2946</x:v>
      </x:c>
      <x:c r="B755" s="4" t="str">
        <x:v>https://blog.skyairline.com/paquetes-turisticos/</x:v>
      </x:c>
      <x:c r="C755" s="9" t="str">
        <x:v>Elige entre los mejores paquetes turísticos de la temporada</x:v>
      </x:c>
      <x:c r="D755" s="17" t="d">
        <x:v>2025-10-10T00:00:00.000Z</x:v>
      </x:c>
      <x:c r="E755" s="17" t="d">
        <x:v>2026-01-12T00:00:00.000Z</x:v>
      </x:c>
      <x:c r="F755" s="4" t="str">
        <x:v>Destinos</x:v>
      </x:c>
      <x:c r="G755" s="11" t="n">
        <x:v>1076</x:v>
      </x:c>
      <x:c r="H755" s="11" t="n">
        <x:v>200</x:v>
      </x:c>
      <x:c r="I755" s="11" t="n">
        <x:v>1</x:v>
      </x:c>
      <x:c r="J755" s="4" t="str">
        <x:v>https://blog.skyairline.com/paquetes-turisticos/</x:v>
      </x:c>
      <x:c r="K755" s="16" t="b">
        <x:v>0</x:v>
      </x:c>
      <x:c r="L755" s="11" t="n">
        <x:v>0</x:v>
      </x:c>
      <x:c r="M755" s="11" t="n">
        <x:v>3</x:v>
      </x:c>
      <x:c r="N755" s="4"/>
      <x:c r="O755" s="4"/>
      <x:c r="P755" s="11" t="n">
        <x:v>0</x:v>
      </x:c>
      <x:c r="Q755" s="11" t="n">
        <x:v>1</x:v>
      </x:c>
      <x:c r="R755" s="11" t="str">
        <x:f>IF(OR(P755="",Q755=""),"",Q755-P755)</x:f>
      </x:c>
      <x:c r="S755" s="13" t="str">
        <x:f>IF(OR(P755="",Q755="",P755=0),"",((Q755/30)/(P755/31))-1)</x:f>
      </x:c>
      <x:c r="T755" s="11" t="n">
        <x:v>95</x:v>
      </x:c>
      <x:c r="U755" s="11" t="n">
        <x:v>59</x:v>
      </x:c>
      <x:c r="V755" s="14" t="n">
        <x:v>0.01694915254237288</x:v>
      </x:c>
      <x:c r="W755" s="12" t="n">
        <x:v>9.966101694915254</x:v>
      </x:c>
      <x:c r="X755" s="11" t="n">
        <x:v>1</x:v>
      </x:c>
      <x:c r="Y755" s="11" t="n">
        <x:v>2</x:v>
      </x:c>
      <x:c r="Z755" s="4" t="str">
        <x:v>https://blog.skyairline.com/paquetes-turisticos/</x:v>
      </x:c>
      <x:c r="AA755" s="4" t="str">
        <x:v>https://blog.skyairline.com/paquetes-turisticos/</x:v>
      </x:c>
      <x:c r="AB755" s="4" t="str">
        <x:v>Coincidencia URL</x:v>
      </x:c>
      <x:c r="AC755" s="4" t="str">
        <x:v>Publicado hasta septiembre</x:v>
      </x:c>
      <x:c r="AD755" s="4" t="str">
        <x:v>/paquetes-turisticos/</x:v>
      </x:c>
      <x:c r="AE755" s="4"/>
      <x:c r="AF755" s="16" t="b">
        <x:v>0</x:v>
      </x:c>
    </x:row>
    <x:row r="756" ht="44" customHeight="1">
      <x:c r="A756" s="4" t="n">
        <x:v>2970</x:v>
      </x:c>
      <x:c r="B756" s="4" t="str">
        <x:v>https://blog.skyairline.com/paseo-por-el-centro-historico-de-porto-alegre/</x:v>
      </x:c>
      <x:c r="C756" s="9" t="str">
        <x:v>Paseo por el centro Viaje a Porto Alegre: paseo por el centro histórico de Porto Alegre: ¿qué esperar?</x:v>
      </x:c>
      <x:c r="D756" s="17" t="d">
        <x:v>2026-07-28T00:00:00.000Z</x:v>
      </x:c>
      <x:c r="E756" s="17" t="d">
        <x:v>2026-07-22T00:00:00.000Z</x:v>
      </x:c>
      <x:c r="F756" s="4" t="str">
        <x:v>Destinos</x:v>
      </x:c>
      <x:c r="G756" s="11" t="n">
        <x:v>1205</x:v>
      </x:c>
      <x:c r="H756" s="11" t="n">
        <x:v>200</x:v>
      </x:c>
      <x:c r="I756" s="11" t="n">
        <x:v>1</x:v>
      </x:c>
      <x:c r="J756" s="4" t="str">
        <x:v>https://blog.skyairline.com/paseo-por-el-centro-historico-de-porto-alegre/</x:v>
      </x:c>
      <x:c r="K756" s="16" t="b">
        <x:v>0</x:v>
      </x:c>
      <x:c r="L756" s="11" t="n">
        <x:v>0</x:v>
      </x:c>
      <x:c r="M756" s="11" t="n">
        <x:v>0</x:v>
      </x:c>
      <x:c r="N756" s="4"/>
      <x:c r="O756" s="4"/>
      <x:c r="P756" s="11" t="n">
        <x:v>2</x:v>
      </x:c>
      <x:c r="Q756" s="11" t="n">
        <x:v>1</x:v>
      </x:c>
      <x:c r="R756" s="11" t="n">
        <x:f>IF(OR(P756="",Q756=""),"",Q756-P756)</x:f>
        <x:v>-1</x:v>
      </x:c>
      <x:c r="S756" s="13" t="n">
        <x:f>IF(OR(P756="",Q756="",P756=0),"",((Q756/30)/(P756/31))-1)</x:f>
        <x:v>-0.4833333333333333</x:v>
      </x:c>
      <x:c r="T756" s="11" t="n">
        <x:v>208</x:v>
      </x:c>
      <x:c r="U756" s="11" t="n">
        <x:v>218</x:v>
      </x:c>
      <x:c r="V756" s="14" t="n">
        <x:v>0.0045871559633027525</x:v>
      </x:c>
      <x:c r="W756" s="12" t="n">
        <x:v>7.18348623853211</x:v>
      </x:c>
      <x:c r="X756" s="11" t="n">
        <x:v>2</x:v>
      </x:c>
      <x:c r="Y756" s="11" t="n">
        <x:v>3</x:v>
      </x:c>
      <x:c r="Z756" s="4" t="str">
        <x:v>https://blog.skyairline.com/paseo-por-el-centro-historico-de-porto-alegre/</x:v>
      </x:c>
      <x:c r="AA756" s="4" t="str">
        <x:v>https://blog.skyairline.com/paseo-por-el-centro-historico-de-porto-alegre/</x:v>
      </x:c>
      <x:c r="AB756" s="4" t="str">
        <x:v>Coincidencia URL</x:v>
      </x:c>
      <x:c r="AC756" s="4" t="str">
        <x:v>Publicado hasta septiembre</x:v>
      </x:c>
      <x:c r="AD756" s="4" t="str">
        <x:v>/paseo-por-el-centro-historico-de-porto-alegre/</x:v>
      </x:c>
      <x:c r="AE756" s="4"/>
      <x:c r="AF756" s="16" t="b">
        <x:v>0</x:v>
      </x:c>
    </x:row>
    <x:row r="757" ht="44" customHeight="1">
      <x:c r="A757" s="4" t="n">
        <x:v>3068</x:v>
      </x:c>
      <x:c r="B757" s="4" t="str">
        <x:v>https://blog.skyairline.com/cenotes-en-cancun/</x:v>
      </x:c>
      <x:c r="C757" s="9" t="str">
        <x:v>7 cenotes en Cancún y sus cercanías que puedes visitar</x:v>
      </x:c>
      <x:c r="D757" s="17" t="d">
        <x:v>2023-06-27T00:00:00.000Z</x:v>
      </x:c>
      <x:c r="E757" s="17" t="d">
        <x:v>2023-06-27T00:00:00.000Z</x:v>
      </x:c>
      <x:c r="F757" s="4" t="str">
        <x:v>Destinos</x:v>
      </x:c>
      <x:c r="G757" s="11" t="n">
        <x:v>803</x:v>
      </x:c>
      <x:c r="H757" s="11" t="n">
        <x:v>200</x:v>
      </x:c>
      <x:c r="I757" s="11" t="n">
        <x:v>1</x:v>
      </x:c>
      <x:c r="J757" s="4" t="str">
        <x:v>https://blog.skyairline.com/cenotes-en-cancun/</x:v>
      </x:c>
      <x:c r="K757" s="16" t="b">
        <x:v>0</x:v>
      </x:c>
      <x:c r="L757" s="11" t="n">
        <x:v>0</x:v>
      </x:c>
      <x:c r="M757" s="11" t="n">
        <x:v>2</x:v>
      </x:c>
      <x:c r="N757" s="4"/>
      <x:c r="O757" s="4"/>
      <x:c r="P757" s="11" t="n">
        <x:v>0</x:v>
      </x:c>
      <x:c r="Q757" s="11" t="n">
        <x:v>1</x:v>
      </x:c>
      <x:c r="R757" s="11" t="str">
        <x:f>IF(OR(P757="",Q757=""),"",Q757-P757)</x:f>
      </x:c>
      <x:c r="S757" s="13" t="str">
        <x:f>IF(OR(P757="",Q757="",P757=0),"",((Q757/30)/(P757/31))-1)</x:f>
      </x:c>
      <x:c r="T757" s="11" t="n">
        <x:v>307</x:v>
      </x:c>
      <x:c r="U757" s="11" t="n">
        <x:v>246</x:v>
      </x:c>
      <x:c r="V757" s="14" t="n">
        <x:v>0.0040650406504065045</x:v>
      </x:c>
      <x:c r="W757" s="12" t="n">
        <x:v>40.15447154471545</x:v>
      </x:c>
      <x:c r="X757" s="11" t="n">
        <x:v>3</x:v>
      </x:c>
      <x:c r="Y757" s="11" t="n">
        <x:v>3</x:v>
      </x:c>
      <x:c r="Z757" s="4" t="str">
        <x:v>https://blog.skyairline.com/cenotes-en-cancun/</x:v>
      </x:c>
      <x:c r="AA757" s="4" t="str">
        <x:v>https://blog.skyairline.com/cenotes-en-cancun/</x:v>
      </x:c>
      <x:c r="AB757" s="4" t="str">
        <x:v>Coincidencia URL</x:v>
      </x:c>
      <x:c r="AC757" s="4" t="str">
        <x:v>Publicado hasta septiembre</x:v>
      </x:c>
      <x:c r="AD757" s="4" t="str">
        <x:v>/cenotes-en-cancun/</x:v>
      </x:c>
      <x:c r="AE757" s="4"/>
      <x:c r="AF757" s="16" t="b">
        <x:v>1</x:v>
      </x:c>
    </x:row>
    <x:row r="758" ht="44" customHeight="1">
      <x:c r="A758" s="4" t="n">
        <x:v>3079</x:v>
      </x:c>
      <x:c r="B758" s="4" t="str">
        <x:v>https://blog.skyairline.com/trekking-en-pucon/</x:v>
      </x:c>
      <x:c r="C758" s="9" t="str">
        <x:v>Trekking en Pucón: una actividad imperdible para cualquier estación</x:v>
      </x:c>
      <x:c r="D758" s="17" t="d">
        <x:v>2025-09-03T00:00:00.000Z</x:v>
      </x:c>
      <x:c r="E758" s="17" t="d">
        <x:v>2026-01-12T00:00:00.000Z</x:v>
      </x:c>
      <x:c r="F758" s="4" t="str">
        <x:v>Destinos</x:v>
      </x:c>
      <x:c r="G758" s="11" t="n">
        <x:v>981</x:v>
      </x:c>
      <x:c r="H758" s="11" t="n">
        <x:v>200</x:v>
      </x:c>
      <x:c r="I758" s="11" t="n">
        <x:v>1</x:v>
      </x:c>
      <x:c r="J758" s="4" t="str">
        <x:v>https://blog.skyairline.com/trekking-en-pucon/</x:v>
      </x:c>
      <x:c r="K758" s="16" t="b">
        <x:v>0</x:v>
      </x:c>
      <x:c r="L758" s="11" t="n">
        <x:v>0</x:v>
      </x:c>
      <x:c r="M758" s="11" t="n">
        <x:v>0</x:v>
      </x:c>
      <x:c r="N758" s="4"/>
      <x:c r="O758" s="4"/>
      <x:c r="P758" s="11" t="n">
        <x:v>0</x:v>
      </x:c>
      <x:c r="Q758" s="11" t="n">
        <x:v>1</x:v>
      </x:c>
      <x:c r="R758" s="11" t="str">
        <x:f>IF(OR(P758="",Q758=""),"",Q758-P758)</x:f>
      </x:c>
      <x:c r="S758" s="13" t="str">
        <x:f>IF(OR(P758="",Q758="",P758=0),"",((Q758/30)/(P758/31))-1)</x:f>
      </x:c>
      <x:c r="T758" s="11" t="n">
        <x:v>44</x:v>
      </x:c>
      <x:c r="U758" s="11" t="n">
        <x:v>42</x:v>
      </x:c>
      <x:c r="V758" s="14" t="n">
        <x:v>0.023809523809523808</x:v>
      </x:c>
      <x:c r="W758" s="12" t="n">
        <x:v>14.142857142857142</x:v>
      </x:c>
      <x:c r="X758" s="11" t="n">
        <x:v>1</x:v>
      </x:c>
      <x:c r="Y758" s="11" t="n">
        <x:v>1</x:v>
      </x:c>
      <x:c r="Z758" s="4" t="str">
        <x:v>https://blog.skyairline.com/trekking-en-pucon/</x:v>
      </x:c>
      <x:c r="AA758" s="4" t="str">
        <x:v>https://blog.skyairline.com/trekking-en-pucon/</x:v>
      </x:c>
      <x:c r="AB758" s="4" t="str">
        <x:v>Coincidencia URL</x:v>
      </x:c>
      <x:c r="AC758" s="4" t="str">
        <x:v>Publicado hasta septiembre</x:v>
      </x:c>
      <x:c r="AD758" s="4" t="str">
        <x:v>/trekking-en-pucon/</x:v>
      </x:c>
      <x:c r="AE758" s="4"/>
      <x:c r="AF758" s="16" t="b">
        <x:v>0</x:v>
      </x:c>
    </x:row>
    <x:row r="759" ht="44" customHeight="1">
      <x:c r="A759" s="4" t="n">
        <x:v>3110</x:v>
      </x:c>
      <x:c r="B759" s="4" t="str">
        <x:v>https://blog.skyairline.com/lummus-park/</x:v>
      </x:c>
      <x:c r="C759" s="9" t="str">
        <x:v>Lummus Park, un imponente parque urbano que tienes que visitar en Miami</x:v>
      </x:c>
      <x:c r="D759" s="17" t="d">
        <x:v>2023-07-10T00:00:00.000Z</x:v>
      </x:c>
      <x:c r="E759" s="17" t="d">
        <x:v>2023-07-10T00:00:00.000Z</x:v>
      </x:c>
      <x:c r="F759" s="4" t="str">
        <x:v>Destinos</x:v>
      </x:c>
      <x:c r="G759" s="11" t="n">
        <x:v>1058</x:v>
      </x:c>
      <x:c r="H759" s="11" t="n">
        <x:v>200</x:v>
      </x:c>
      <x:c r="I759" s="11" t="n">
        <x:v>1</x:v>
      </x:c>
      <x:c r="J759" s="4" t="str">
        <x:v>https://blog.skyairline.com/lummus-park/</x:v>
      </x:c>
      <x:c r="K759" s="16" t="b">
        <x:v>0</x:v>
      </x:c>
      <x:c r="L759" s="11" t="n">
        <x:v>0</x:v>
      </x:c>
      <x:c r="M759" s="11" t="n">
        <x:v>3</x:v>
      </x:c>
      <x:c r="N759" s="4"/>
      <x:c r="O759" s="4"/>
      <x:c r="P759" s="11" t="n">
        <x:v>0</x:v>
      </x:c>
      <x:c r="Q759" s="11" t="n">
        <x:v>1</x:v>
      </x:c>
      <x:c r="R759" s="11" t="str">
        <x:f>IF(OR(P759="",Q759=""),"",Q759-P759)</x:f>
      </x:c>
      <x:c r="S759" s="13" t="str">
        <x:f>IF(OR(P759="",Q759="",P759=0),"",((Q759/30)/(P759/31))-1)</x:f>
      </x:c>
      <x:c r="T759" s="11" t="n">
        <x:v>159</x:v>
      </x:c>
      <x:c r="U759" s="11" t="n">
        <x:v>149</x:v>
      </x:c>
      <x:c r="V759" s="14" t="n">
        <x:v>0.006711409395973154</x:v>
      </x:c>
      <x:c r="W759" s="12" t="n">
        <x:v>12.48993288590604</x:v>
      </x:c>
      <x:c r="X759" s="11" t="n">
        <x:v>1</x:v>
      </x:c>
      <x:c r="Y759" s="11" t="n">
        <x:v>1</x:v>
      </x:c>
      <x:c r="Z759" s="4" t="str">
        <x:v>https://blog.skyairline.com/lummus-park/</x:v>
      </x:c>
      <x:c r="AA759" s="4" t="str">
        <x:v>https://blog.skyairline.com/lummus-park/</x:v>
      </x:c>
      <x:c r="AB759" s="4" t="str">
        <x:v>Coincidencia URL</x:v>
      </x:c>
      <x:c r="AC759" s="4" t="str">
        <x:v>Publicado hasta septiembre</x:v>
      </x:c>
      <x:c r="AD759" s="4" t="str">
        <x:v>/lummus-park/</x:v>
      </x:c>
      <x:c r="AE759" s="4"/>
      <x:c r="AF759" s="16" t="b">
        <x:v>0</x:v>
      </x:c>
    </x:row>
    <x:row r="760" ht="44" customHeight="1">
      <x:c r="A760" s="4" t="n">
        <x:v>3163</x:v>
      </x:c>
      <x:c r="B760" s="4" t="str">
        <x:v>https://blog.skyairline.com/5-botecos-que-puedes-visitar-en-porto-alegre/</x:v>
      </x:c>
      <x:c r="C760" s="9" t="str">
        <x:v>5 «botecos» que puedes visitar en Porto Alegre</x:v>
      </x:c>
      <x:c r="D760" s="17" t="d">
        <x:v>2023-07-20T00:00:00.000Z</x:v>
      </x:c>
      <x:c r="E760" s="17" t="d">
        <x:v>2023-07-20T00:00:00.000Z</x:v>
      </x:c>
      <x:c r="F760" s="4" t="str">
        <x:v>Destinos</x:v>
      </x:c>
      <x:c r="G760" s="11" t="n">
        <x:v>1162</x:v>
      </x:c>
      <x:c r="H760" s="11" t="n">
        <x:v>200</x:v>
      </x:c>
      <x:c r="I760" s="11" t="n">
        <x:v>1</x:v>
      </x:c>
      <x:c r="J760" s="4" t="str">
        <x:v>https://blog.skyairline.com/5-botecos-que-puedes-visitar-en-porto-alegre/</x:v>
      </x:c>
      <x:c r="K760" s="16" t="b">
        <x:v>0</x:v>
      </x:c>
      <x:c r="L760" s="11" t="n">
        <x:v>0</x:v>
      </x:c>
      <x:c r="M760" s="11" t="n">
        <x:v>4</x:v>
      </x:c>
      <x:c r="N760" s="4"/>
      <x:c r="O760" s="4"/>
      <x:c r="P760" s="11" t="n">
        <x:v>0</x:v>
      </x:c>
      <x:c r="Q760" s="11" t="n">
        <x:v>1</x:v>
      </x:c>
      <x:c r="R760" s="11" t="str">
        <x:f>IF(OR(P760="",Q760=""),"",Q760-P760)</x:f>
      </x:c>
      <x:c r="S760" s="13" t="str">
        <x:f>IF(OR(P760="",Q760="",P760=0),"",((Q760/30)/(P760/31))-1)</x:f>
      </x:c>
      <x:c r="T760" s="11" t="n">
        <x:v>62</x:v>
      </x:c>
      <x:c r="U760" s="11" t="n">
        <x:v>56</x:v>
      </x:c>
      <x:c r="V760" s="14" t="n">
        <x:v>0.017857142857142856</x:v>
      </x:c>
      <x:c r="W760" s="12" t="n">
        <x:v>10.303571428571429</x:v>
      </x:c>
      <x:c r="X760" s="11" t="n">
        <x:v>1</x:v>
      </x:c>
      <x:c r="Y760" s="11" t="n">
        <x:v>1</x:v>
      </x:c>
      <x:c r="Z760" s="4" t="str">
        <x:v>https://blog.skyairline.com/5-botecos-que-puedes-visitar-en-porto-alegre/</x:v>
      </x:c>
      <x:c r="AA760" s="4" t="str">
        <x:v>https://blog.skyairline.com/5-botecos-que-puedes-visitar-en-porto-alegre/</x:v>
      </x:c>
      <x:c r="AB760" s="4" t="str">
        <x:v>Coincidencia URL</x:v>
      </x:c>
      <x:c r="AC760" s="4" t="str">
        <x:v>Publicado hasta septiembre</x:v>
      </x:c>
      <x:c r="AD760" s="4" t="str">
        <x:v>/5-botecos-que-puedes-visitar-en-porto-alegre/</x:v>
      </x:c>
      <x:c r="AE760" s="4"/>
      <x:c r="AF760" s="16" t="b">
        <x:v>0</x:v>
      </x:c>
    </x:row>
    <x:row r="761" ht="44" customHeight="1">
      <x:c r="A761" s="4" t="n">
        <x:v>3224</x:v>
      </x:c>
      <x:c r="B761" s="4" t="str">
        <x:v>https://blog.skyairline.com/museos-en-iquique/</x:v>
      </x:c>
      <x:c r="C761" s="9" t="str">
        <x:v>Museos en Iquique: 5 excelentes opciones</x:v>
      </x:c>
      <x:c r="D761" s="17" t="d">
        <x:v>2023-08-07T00:00:00.000Z</x:v>
      </x:c>
      <x:c r="E761" s="17" t="d">
        <x:v>2023-08-07T00:00:00.000Z</x:v>
      </x:c>
      <x:c r="F761" s="4" t="str">
        <x:v>Destinos</x:v>
      </x:c>
      <x:c r="G761" s="11" t="n">
        <x:v>973</x:v>
      </x:c>
      <x:c r="H761" s="11" t="n">
        <x:v>200</x:v>
      </x:c>
      <x:c r="I761" s="11" t="n">
        <x:v>1</x:v>
      </x:c>
      <x:c r="J761" s="4" t="str">
        <x:v>https://blog.skyairline.com/museos-en-iquique/</x:v>
      </x:c>
      <x:c r="K761" s="16" t="b">
        <x:v>0</x:v>
      </x:c>
      <x:c r="L761" s="11" t="n">
        <x:v>0</x:v>
      </x:c>
      <x:c r="M761" s="11" t="n">
        <x:v>3</x:v>
      </x:c>
      <x:c r="N761" s="4"/>
      <x:c r="O761" s="4"/>
      <x:c r="P761" s="11" t="n">
        <x:v>1</x:v>
      </x:c>
      <x:c r="Q761" s="11" t="n">
        <x:v>1</x:v>
      </x:c>
      <x:c r="R761" s="11" t="n">
        <x:f>IF(OR(P761="",Q761=""),"",Q761-P761)</x:f>
        <x:v>0</x:v>
      </x:c>
      <x:c r="S761" s="13" t="n">
        <x:f>IF(OR(P761="",Q761="",P761=0),"",((Q761/30)/(P761/31))-1)</x:f>
        <x:v>0.03333333333333344</x:v>
      </x:c>
      <x:c r="T761" s="11" t="n">
        <x:v>279</x:v>
      </x:c>
      <x:c r="U761" s="11" t="n">
        <x:v>335</x:v>
      </x:c>
      <x:c r="V761" s="14" t="n">
        <x:v>0.0029850746268656717</x:v>
      </x:c>
      <x:c r="W761" s="12" t="n">
        <x:v>10.64776119402985</x:v>
      </x:c>
      <x:c r="X761" s="11" t="n">
        <x:v>1</x:v>
      </x:c>
      <x:c r="Y761" s="11" t="n">
        <x:v>1</x:v>
      </x:c>
      <x:c r="Z761" s="4" t="str">
        <x:v>https://blog.skyairline.com/museos-en-iquique/</x:v>
      </x:c>
      <x:c r="AA761" s="4" t="str">
        <x:v>https://blog.skyairline.com/museos-en-iquique/</x:v>
      </x:c>
      <x:c r="AB761" s="4" t="str">
        <x:v>Coincidencia URL</x:v>
      </x:c>
      <x:c r="AC761" s="4" t="str">
        <x:v>Publicado hasta septiembre</x:v>
      </x:c>
      <x:c r="AD761" s="4" t="str">
        <x:v>/museos-en-iquique/</x:v>
      </x:c>
      <x:c r="AE761" s="4"/>
      <x:c r="AF761" s="16" t="b">
        <x:v>0</x:v>
      </x:c>
    </x:row>
    <x:row r="762" ht="44" customHeight="1">
      <x:c r="A762" s="4" t="n">
        <x:v>3250</x:v>
      </x:c>
      <x:c r="B762" s="4" t="str">
        <x:v>https://blog.skyairline.com/lugares-gratuitos-en-florianopolis/</x:v>
      </x:c>
      <x:c r="C762" s="9" t="str">
        <x:v>¿Qué hacer gratis en Florianópolis?</x:v>
      </x:c>
      <x:c r="D762" s="17" t="d">
        <x:v>2024-11-26T00:00:00.000Z</x:v>
      </x:c>
      <x:c r="E762" s="17" t="d">
        <x:v>2024-11-26T00:00:00.000Z</x:v>
      </x:c>
      <x:c r="F762" s="4" t="str">
        <x:v>Destinos, Florianópolis</x:v>
      </x:c>
      <x:c r="G762" s="11" t="n">
        <x:v>2170</x:v>
      </x:c>
      <x:c r="H762" s="11" t="n">
        <x:v>200</x:v>
      </x:c>
      <x:c r="I762" s="11" t="n">
        <x:v>1</x:v>
      </x:c>
      <x:c r="J762" s="4" t="str">
        <x:v>https://blog.skyairline.com/lugares-gratuitos-en-florianopolis/</x:v>
      </x:c>
      <x:c r="K762" s="16" t="b">
        <x:v>0</x:v>
      </x:c>
      <x:c r="L762" s="11" t="n">
        <x:v>0</x:v>
      </x:c>
      <x:c r="M762" s="11" t="n">
        <x:v>3</x:v>
      </x:c>
      <x:c r="N762" s="4"/>
      <x:c r="O762" s="4"/>
      <x:c r="P762" s="11" t="n">
        <x:v>2</x:v>
      </x:c>
      <x:c r="Q762" s="11" t="n">
        <x:v>1</x:v>
      </x:c>
      <x:c r="R762" s="11" t="n">
        <x:f>IF(OR(P762="",Q762=""),"",Q762-P762)</x:f>
        <x:v>-1</x:v>
      </x:c>
      <x:c r="S762" s="13" t="n">
        <x:f>IF(OR(P762="",Q762="",P762=0),"",((Q762/30)/(P762/31))-1)</x:f>
        <x:v>-0.4833333333333333</x:v>
      </x:c>
      <x:c r="T762" s="11" t="n">
        <x:v>590</x:v>
      </x:c>
      <x:c r="U762" s="11" t="n">
        <x:v>477</x:v>
      </x:c>
      <x:c r="V762" s="14" t="n">
        <x:v>0.0020964360587002098</x:v>
      </x:c>
      <x:c r="W762" s="12" t="n">
        <x:v>13.71278825995807</x:v>
      </x:c>
      <x:c r="X762" s="11" t="n">
        <x:v>1</x:v>
      </x:c>
      <x:c r="Y762" s="11" t="n">
        <x:v>1</x:v>
      </x:c>
      <x:c r="Z762" s="4" t="str">
        <x:v>https://blog.skyairline.com/lugares-gratuitos-en-florianopolis/</x:v>
      </x:c>
      <x:c r="AA762" s="4" t="str">
        <x:v>https://blog.skyairline.com/lugares-gratuitos-en-florianopolis/</x:v>
      </x:c>
      <x:c r="AB762" s="4" t="str">
        <x:v>Coincidencia URL</x:v>
      </x:c>
      <x:c r="AC762" s="4" t="str">
        <x:v>Publicado hasta septiembre</x:v>
      </x:c>
      <x:c r="AD762" s="4" t="str">
        <x:v>/lugares-gratuitos-en-florianopolis/</x:v>
      </x:c>
      <x:c r="AE762" s="4"/>
      <x:c r="AF762" s="16" t="b">
        <x:v>1</x:v>
      </x:c>
    </x:row>
    <x:row r="763" ht="44" customHeight="1">
      <x:c r="A763" s="4" t="n">
        <x:v>3290</x:v>
      </x:c>
      <x:c r="B763" s="4" t="str">
        <x:v>https://blog.skyairline.com/fiestas-patrias-en-concepcion/</x:v>
      </x:c>
      <x:c r="C763" s="9" t="str">
        <x:v>Fiestas Patrias en Concepción: las mejores actividades y eventos</x:v>
      </x:c>
      <x:c r="D763" s="17" t="d">
        <x:v>2023-08-30T00:00:00.000Z</x:v>
      </x:c>
      <x:c r="E763" s="17" t="d">
        <x:v>2023-08-30T00:00:00.000Z</x:v>
      </x:c>
      <x:c r="F763" s="4" t="str">
        <x:v>Destinos</x:v>
      </x:c>
      <x:c r="G763" s="11" t="n">
        <x:v>968</x:v>
      </x:c>
      <x:c r="H763" s="11" t="n">
        <x:v>200</x:v>
      </x:c>
      <x:c r="I763" s="11" t="n">
        <x:v>1</x:v>
      </x:c>
      <x:c r="J763" s="4" t="str">
        <x:v>https://blog.skyairline.com/fiestas-patrias-en-concepcion/</x:v>
      </x:c>
      <x:c r="K763" s="16" t="b">
        <x:v>0</x:v>
      </x:c>
      <x:c r="L763" s="11" t="n">
        <x:v>0</x:v>
      </x:c>
      <x:c r="M763" s="11" t="n">
        <x:v>5</x:v>
      </x:c>
      <x:c r="N763" s="4"/>
      <x:c r="O763" s="4"/>
      <x:c r="P763" s="11" t="n">
        <x:v>0</x:v>
      </x:c>
      <x:c r="Q763" s="11" t="n">
        <x:v>1</x:v>
      </x:c>
      <x:c r="R763" s="11" t="str">
        <x:f>IF(OR(P763="",Q763=""),"",Q763-P763)</x:f>
      </x:c>
      <x:c r="S763" s="13" t="str">
        <x:f>IF(OR(P763="",Q763="",P763=0),"",((Q763/30)/(P763/31))-1)</x:f>
      </x:c>
      <x:c r="T763" s="11" t="n">
        <x:v>156</x:v>
      </x:c>
      <x:c r="U763" s="11" t="n">
        <x:v>278</x:v>
      </x:c>
      <x:c r="V763" s="14" t="n">
        <x:v>0.0035971223021582736</x:v>
      </x:c>
      <x:c r="W763" s="12" t="n">
        <x:v>10.003597122302159</x:v>
      </x:c>
      <x:c r="X763" s="11"/>
      <x:c r="Y763" s="11"/>
      <x:c r="Z763" s="4" t="str">
        <x:v>https://blog.skyairline.com/fiestas-patrias-en-concepcion/</x:v>
      </x:c>
      <x:c r="AA763" s="4" t="str">
        <x:v>https://blog.skyairline.com/fiestas-patrias-en-concepcion/</x:v>
      </x:c>
      <x:c r="AB763" s="4" t="str">
        <x:v>Coincidencia URL</x:v>
      </x:c>
      <x:c r="AC763" s="4" t="str">
        <x:v>Publicado hasta septiembre</x:v>
      </x:c>
      <x:c r="AD763" s="4"/>
      <x:c r="AE763" s="4"/>
      <x:c r="AF763" s="16" t="b">
        <x:v>0</x:v>
      </x:c>
    </x:row>
    <x:row r="764" ht="44" customHeight="1">
      <x:c r="A764" s="4" t="n">
        <x:v>3314</x:v>
      </x:c>
      <x:c r="B764" s="4" t="str">
        <x:v>https://blog.skyairline.com/desarrollo-de-tecnologia-eficiencia-operacional-y-acceso-a-saf-se-perfilan-como-los-mayores-desafios-medioambientales-de-la-industria-aeronautica/</x:v>
      </x:c>
      <x:c r="C764" s="9" t="str">
        <x:v>Desarrollo de tecnología, eficiencia operacional y acceso a SAF se perfilan como los mayores desafíos medioambientales de la industria aeronáutica</x:v>
      </x:c>
      <x:c r="D764" s="17" t="d">
        <x:v>2023-08-03T00:00:00.000Z</x:v>
      </x:c>
      <x:c r="E764" s="17" t="d">
        <x:v>2023-08-03T00:00:00.000Z</x:v>
      </x:c>
      <x:c r="F764" s="4" t="str">
        <x:v>Compromiso SKY</x:v>
      </x:c>
      <x:c r="G764" s="11" t="n">
        <x:v>963</x:v>
      </x:c>
      <x:c r="H764" s="11" t="n">
        <x:v>200</x:v>
      </x:c>
      <x:c r="I764" s="11" t="n">
        <x:v>1</x:v>
      </x:c>
      <x:c r="J764" s="4" t="str">
        <x:v>https://blog.skyairline.com/desarrollo-de-tecnologia-eficiencia-operacional-y-acceso-a-saf-se-perfilan-como-los-mayores-desafios-medioambientales-de-la-industria-aeronautica/</x:v>
      </x:c>
      <x:c r="K764" s="16" t="b">
        <x:v>0</x:v>
      </x:c>
      <x:c r="L764" s="11" t="n">
        <x:v>0</x:v>
      </x:c>
      <x:c r="M764" s="11" t="n">
        <x:v>0</x:v>
      </x:c>
      <x:c r="N764" s="4"/>
      <x:c r="O764" s="4"/>
      <x:c r="P764" s="11" t="n">
        <x:v>1</x:v>
      </x:c>
      <x:c r="Q764" s="11" t="n">
        <x:v>1</x:v>
      </x:c>
      <x:c r="R764" s="11" t="n">
        <x:f>IF(OR(P764="",Q764=""),"",Q764-P764)</x:f>
        <x:v>0</x:v>
      </x:c>
      <x:c r="S764" s="13" t="n">
        <x:f>IF(OR(P764="",Q764="",P764=0),"",((Q764/30)/(P764/31))-1)</x:f>
        <x:v>0.03333333333333344</x:v>
      </x:c>
      <x:c r="T764" s="11" t="n">
        <x:v>31</x:v>
      </x:c>
      <x:c r="U764" s="11" t="n">
        <x:v>41</x:v>
      </x:c>
      <x:c r="V764" s="14" t="n">
        <x:v>0.024390243902439025</x:v>
      </x:c>
      <x:c r="W764" s="12" t="n">
        <x:v>6.585365853658536</x:v>
      </x:c>
      <x:c r="X764" s="11" t="n">
        <x:v>1</x:v>
      </x:c>
      <x:c r="Y764" s="11" t="n">
        <x:v>1</x:v>
      </x:c>
      <x:c r="Z764" s="4" t="str">
        <x:v>https://blog.skyairline.com/desarrollo-de-tecnologia-eficiencia-operacional-y-acceso-a-saf-se-perfilan-como-los-mayores-desafios-medioambientales-de-la-industria-aeronautica/</x:v>
      </x:c>
      <x:c r="AA764" s="4" t="str">
        <x:v>https://blog.skyairline.com/desarrollo-de-tecnologia-eficiencia-operacional-y-acceso-a-saf-se-perfilan-como-los-mayores-desafios-medioambientales-de-la-industria-aeronautica/</x:v>
      </x:c>
      <x:c r="AB764" s="4" t="str">
        <x:v>Coincidencia URL</x:v>
      </x:c>
      <x:c r="AC764" s="4" t="str">
        <x:v>Publicado hasta septiembre</x:v>
      </x:c>
      <x:c r="AD764" s="4" t="str">
        <x:v>/desarrollo-de-tecnologia-eficiencia-operacional-y-acceso-a-saf-se-perfilan-como-los-mayores-desafios-medioambientales-de-la-industria-aeronautica/</x:v>
      </x:c>
      <x:c r="AE764" s="4"/>
      <x:c r="AF764" s="16" t="b">
        <x:v>0</x:v>
      </x:c>
    </x:row>
    <x:row r="765" ht="44" customHeight="1">
      <x:c r="A765" s="4" t="n">
        <x:v>3377</x:v>
      </x:c>
      <x:c r="B765" s="4" t="str">
        <x:v>https://blog.skyairline.com/como-llegar-a-bacalar/</x:v>
      </x:c>
      <x:c r="C765" s="9" t="str">
        <x:v>Cómo llegar a Bacalar desde Cancún y qué esperar de este lugar</x:v>
      </x:c>
      <x:c r="D765" s="17" t="d">
        <x:v>2023-09-22T00:00:00.000Z</x:v>
      </x:c>
      <x:c r="E765" s="17" t="d">
        <x:v>2023-09-22T00:00:00.000Z</x:v>
      </x:c>
      <x:c r="F765" s="4" t="str">
        <x:v>Cancún, Destinos</x:v>
      </x:c>
      <x:c r="G765" s="11" t="n">
        <x:v>1130</x:v>
      </x:c>
      <x:c r="H765" s="11" t="n">
        <x:v>200</x:v>
      </x:c>
      <x:c r="I765" s="11" t="n">
        <x:v>1</x:v>
      </x:c>
      <x:c r="J765" s="4" t="str">
        <x:v>https://blog.skyairline.com/como-llegar-a-bacalar/</x:v>
      </x:c>
      <x:c r="K765" s="16" t="b">
        <x:v>0</x:v>
      </x:c>
      <x:c r="L765" s="11" t="n">
        <x:v>0</x:v>
      </x:c>
      <x:c r="M765" s="11" t="n">
        <x:v>4</x:v>
      </x:c>
      <x:c r="N765" s="4"/>
      <x:c r="O765" s="4"/>
      <x:c r="P765" s="11" t="n">
        <x:v>2</x:v>
      </x:c>
      <x:c r="Q765" s="11" t="n">
        <x:v>1</x:v>
      </x:c>
      <x:c r="R765" s="11" t="n">
        <x:f>IF(OR(P765="",Q765=""),"",Q765-P765)</x:f>
        <x:v>-1</x:v>
      </x:c>
      <x:c r="S765" s="13" t="n">
        <x:f>IF(OR(P765="",Q765="",P765=0),"",((Q765/30)/(P765/31))-1)</x:f>
        <x:v>-0.4833333333333333</x:v>
      </x:c>
      <x:c r="T765" s="11" t="n">
        <x:v>2279</x:v>
      </x:c>
      <x:c r="U765" s="11" t="n">
        <x:v>709</x:v>
      </x:c>
      <x:c r="V765" s="14" t="n">
        <x:v>0.0014104372355430183</x:v>
      </x:c>
      <x:c r="W765" s="12" t="n">
        <x:v>9.693935119887165</x:v>
      </x:c>
      <x:c r="X765" s="11" t="n">
        <x:v>2</x:v>
      </x:c>
      <x:c r="Y765" s="11" t="n">
        <x:v>3</x:v>
      </x:c>
      <x:c r="Z765" s="4" t="str">
        <x:v>https://blog.skyairline.com/como-llegar-a-bacalar/</x:v>
      </x:c>
      <x:c r="AA765" s="4" t="str">
        <x:v>https://blog.skyairline.com/como-llegar-a-bacalar/</x:v>
      </x:c>
      <x:c r="AB765" s="4" t="str">
        <x:v>Coincidencia URL</x:v>
      </x:c>
      <x:c r="AC765" s="4" t="str">
        <x:v>Publicado hasta septiembre</x:v>
      </x:c>
      <x:c r="AD765" s="4" t="str">
        <x:v>/como-llegar-a-bacalar/</x:v>
      </x:c>
      <x:c r="AE765" s="4"/>
      <x:c r="AF765" s="16" t="b">
        <x:v>0</x:v>
      </x:c>
    </x:row>
    <x:row r="766" ht="44" customHeight="1">
      <x:c r="A766" s="4" t="n">
        <x:v>3381</x:v>
      </x:c>
      <x:c r="B766" s="4" t="str">
        <x:v>https://blog.skyairline.com/cerro-otto-de-bariloche/</x:v>
      </x:c>
      <x:c r="C766" s="9" t="str">
        <x:v>Cerro Otto de Bariloche: cómo llegar y qué hacer</x:v>
      </x:c>
      <x:c r="D766" s="17" t="d">
        <x:v>2025-06-25T00:00:00.000Z</x:v>
      </x:c>
      <x:c r="E766" s="17" t="d">
        <x:v>2025-12-19T00:00:00.000Z</x:v>
      </x:c>
      <x:c r="F766" s="4" t="str">
        <x:v>Destinos</x:v>
      </x:c>
      <x:c r="G766" s="11" t="n">
        <x:v>1087</x:v>
      </x:c>
      <x:c r="H766" s="11" t="n">
        <x:v>200</x:v>
      </x:c>
      <x:c r="I766" s="11" t="n">
        <x:v>1</x:v>
      </x:c>
      <x:c r="J766" s="4" t="str">
        <x:v>https://blog.skyairline.com/cerro-otto-de-bariloche/</x:v>
      </x:c>
      <x:c r="K766" s="16" t="b">
        <x:v>0</x:v>
      </x:c>
      <x:c r="L766" s="11" t="n">
        <x:v>0</x:v>
      </x:c>
      <x:c r="M766" s="11" t="n">
        <x:v>0</x:v>
      </x:c>
      <x:c r="N766" s="4"/>
      <x:c r="O766" s="4"/>
      <x:c r="P766" s="11" t="n">
        <x:v>1</x:v>
      </x:c>
      <x:c r="Q766" s="11" t="n">
        <x:v>1</x:v>
      </x:c>
      <x:c r="R766" s="11" t="n">
        <x:f>IF(OR(P766="",Q766=""),"",Q766-P766)</x:f>
        <x:v>0</x:v>
      </x:c>
      <x:c r="S766" s="13" t="n">
        <x:f>IF(OR(P766="",Q766="",P766=0),"",((Q766/30)/(P766/31))-1)</x:f>
        <x:v>0.03333333333333344</x:v>
      </x:c>
      <x:c r="T766" s="11" t="n">
        <x:v>246</x:v>
      </x:c>
      <x:c r="U766" s="11" t="n">
        <x:v>129</x:v>
      </x:c>
      <x:c r="V766" s="14" t="n">
        <x:v>0.007751937984496124</x:v>
      </x:c>
      <x:c r="W766" s="12" t="n">
        <x:v>26.674418604651162</x:v>
      </x:c>
      <x:c r="X766" s="11" t="n">
        <x:v>1</x:v>
      </x:c>
      <x:c r="Y766" s="11" t="n">
        <x:v>2</x:v>
      </x:c>
      <x:c r="Z766" s="4" t="str">
        <x:v>https://blog.skyairline.com/cerro-otto-de-bariloche/</x:v>
      </x:c>
      <x:c r="AA766" s="4" t="str">
        <x:v>https://blog.skyairline.com/cerro-otto-de-bariloche/</x:v>
      </x:c>
      <x:c r="AB766" s="4" t="str">
        <x:v>Coincidencia URL</x:v>
      </x:c>
      <x:c r="AC766" s="4" t="str">
        <x:v>Publicado hasta septiembre</x:v>
      </x:c>
      <x:c r="AD766" s="4" t="str">
        <x:v>/cerro-otto-de-bariloche/</x:v>
      </x:c>
      <x:c r="AE766" s="4"/>
      <x:c r="AF766" s="16" t="b">
        <x:v>0</x:v>
      </x:c>
    </x:row>
    <x:row r="767" ht="44" customHeight="1">
      <x:c r="A767" s="4" t="n">
        <x:v>3385</x:v>
      </x:c>
      <x:c r="B767" s="4" t="str">
        <x:v>https://blog.skyairline.com/santo-antonio-de-lisboa/</x:v>
      </x:c>
      <x:c r="C767" s="9" t="str">
        <x:v>Santo Antonio de Lisboa: un hermoso pueblo en Florianópolis</x:v>
      </x:c>
      <x:c r="D767" s="17" t="d">
        <x:v>2023-09-26T00:00:00.000Z</x:v>
      </x:c>
      <x:c r="E767" s="17" t="d">
        <x:v>2023-09-26T00:00:00.000Z</x:v>
      </x:c>
      <x:c r="F767" s="4" t="str">
        <x:v>Destinos</x:v>
      </x:c>
      <x:c r="G767" s="11" t="n">
        <x:v>1191</x:v>
      </x:c>
      <x:c r="H767" s="11" t="n">
        <x:v>200</x:v>
      </x:c>
      <x:c r="I767" s="11" t="n">
        <x:v>1</x:v>
      </x:c>
      <x:c r="J767" s="4" t="str">
        <x:v>https://blog.skyairline.com/santo-antonio-de-lisboa/</x:v>
      </x:c>
      <x:c r="K767" s="16" t="b">
        <x:v>0</x:v>
      </x:c>
      <x:c r="L767" s="11" t="n">
        <x:v>0</x:v>
      </x:c>
      <x:c r="M767" s="11" t="n">
        <x:v>4</x:v>
      </x:c>
      <x:c r="N767" s="4"/>
      <x:c r="O767" s="4"/>
      <x:c r="P767" s="11" t="n">
        <x:v>6</x:v>
      </x:c>
      <x:c r="Q767" s="11" t="n">
        <x:v>1</x:v>
      </x:c>
      <x:c r="R767" s="11" t="n">
        <x:f>IF(OR(P767="",Q767=""),"",Q767-P767)</x:f>
        <x:v>-5</x:v>
      </x:c>
      <x:c r="S767" s="13" t="n">
        <x:f>IF(OR(P767="",Q767="",P767=0),"",((Q767/30)/(P767/31))-1)</x:f>
        <x:v>-0.8277777777777777</x:v>
      </x:c>
      <x:c r="T767" s="11" t="n">
        <x:v>955</x:v>
      </x:c>
      <x:c r="U767" s="11" t="n">
        <x:v>725</x:v>
      </x:c>
      <x:c r="V767" s="14" t="n">
        <x:v>0.001379310344827586</x:v>
      </x:c>
      <x:c r="W767" s="12" t="n">
        <x:v>9.213793103448277</x:v>
      </x:c>
      <x:c r="X767" s="11" t="n">
        <x:v>3</x:v>
      </x:c>
      <x:c r="Y767" s="11" t="n">
        <x:v>4</x:v>
      </x:c>
      <x:c r="Z767" s="4" t="str">
        <x:v>https://blog.skyairline.com/santo-antonio-de-lisboa/</x:v>
      </x:c>
      <x:c r="AA767" s="4" t="str">
        <x:v>https://blog.skyairline.com/santo-antonio-de-lisboa/</x:v>
      </x:c>
      <x:c r="AB767" s="4" t="str">
        <x:v>Coincidencia URL</x:v>
      </x:c>
      <x:c r="AC767" s="4" t="str">
        <x:v>Publicado hasta septiembre</x:v>
      </x:c>
      <x:c r="AD767" s="4" t="str">
        <x:v>/santo-antonio-de-lisboa/</x:v>
      </x:c>
      <x:c r="AE767" s="4"/>
      <x:c r="AF767" s="16" t="b">
        <x:v>0</x:v>
      </x:c>
    </x:row>
    <x:row r="768" ht="44" customHeight="1">
      <x:c r="A768" s="4" t="n">
        <x:v>3389</x:v>
      </x:c>
      <x:c r="B768" s="4" t="str">
        <x:v>https://blog.skyairline.com/altino-arantes-building/</x:v>
      </x:c>
      <x:c r="C768" s="9" t="str">
        <x:v>Altino Arantes Building: el gran rascacielo de Sao Paulo</x:v>
      </x:c>
      <x:c r="D768" s="17" t="d">
        <x:v>2023-09-27T00:00:00.000Z</x:v>
      </x:c>
      <x:c r="E768" s="17" t="d">
        <x:v>2023-09-27T00:00:00.000Z</x:v>
      </x:c>
      <x:c r="F768" s="4" t="str">
        <x:v>Destinos</x:v>
      </x:c>
      <x:c r="G768" s="11" t="n">
        <x:v>1136</x:v>
      </x:c>
      <x:c r="H768" s="11" t="n">
        <x:v>200</x:v>
      </x:c>
      <x:c r="I768" s="11" t="n">
        <x:v>1</x:v>
      </x:c>
      <x:c r="J768" s="4" t="str">
        <x:v>https://blog.skyairline.com/altino-arantes-building/</x:v>
      </x:c>
      <x:c r="K768" s="16" t="b">
        <x:v>0</x:v>
      </x:c>
      <x:c r="L768" s="11" t="n">
        <x:v>0</x:v>
      </x:c>
      <x:c r="M768" s="11" t="n">
        <x:v>5</x:v>
      </x:c>
      <x:c r="N768" s="4"/>
      <x:c r="O768" s="4"/>
      <x:c r="P768" s="11" t="n">
        <x:v>0</x:v>
      </x:c>
      <x:c r="Q768" s="11" t="n">
        <x:v>1</x:v>
      </x:c>
      <x:c r="R768" s="11" t="str">
        <x:f>IF(OR(P768="",Q768=""),"",Q768-P768)</x:f>
      </x:c>
      <x:c r="S768" s="13" t="str">
        <x:f>IF(OR(P768="",Q768="",P768=0),"",((Q768/30)/(P768/31))-1)</x:f>
      </x:c>
      <x:c r="T768" s="11" t="n">
        <x:v>262</x:v>
      </x:c>
      <x:c r="U768" s="11" t="n">
        <x:v>260</x:v>
      </x:c>
      <x:c r="V768" s="14" t="n">
        <x:v>0.0038461538461538464</x:v>
      </x:c>
      <x:c r="W768" s="12" t="n">
        <x:v>8.057692307692307</x:v>
      </x:c>
      <x:c r="X768" s="11" t="n">
        <x:v>1</x:v>
      </x:c>
      <x:c r="Y768" s="11" t="n">
        <x:v>1</x:v>
      </x:c>
      <x:c r="Z768" s="4" t="str">
        <x:v>https://blog.skyairline.com/altino-arantes-building/</x:v>
      </x:c>
      <x:c r="AA768" s="4" t="str">
        <x:v>https://blog.skyairline.com/altino-arantes-building/</x:v>
      </x:c>
      <x:c r="AB768" s="4" t="str">
        <x:v>Coincidencia URL</x:v>
      </x:c>
      <x:c r="AC768" s="4" t="str">
        <x:v>Publicado hasta septiembre</x:v>
      </x:c>
      <x:c r="AD768" s="4" t="str">
        <x:v>/altino-arantes-building/</x:v>
      </x:c>
      <x:c r="AE768" s="4"/>
      <x:c r="AF768" s="16" t="b">
        <x:v>0</x:v>
      </x:c>
    </x:row>
    <x:row r="769" ht="44" customHeight="1">
      <x:c r="A769" s="4" t="n">
        <x:v>3433</x:v>
      </x:c>
      <x:c r="B769" s="4" t="str">
        <x:v>https://blog.skyairline.com/viaje-de-tus-suenos/</x:v>
      </x:c>
      <x:c r="C769" s="9" t="str">
        <x:v>El viaje de tus sueños: 9 destinos paradisíacos a los que te acercamos</x:v>
      </x:c>
      <x:c r="D769" s="17" t="d">
        <x:v>2023-10-09T00:00:00.000Z</x:v>
      </x:c>
      <x:c r="E769" s="17" t="d">
        <x:v>2023-10-09T00:00:00.000Z</x:v>
      </x:c>
      <x:c r="F769" s="4" t="str">
        <x:v>Destinos</x:v>
      </x:c>
      <x:c r="G769" s="11" t="n">
        <x:v>1159</x:v>
      </x:c>
      <x:c r="H769" s="11" t="n">
        <x:v>200</x:v>
      </x:c>
      <x:c r="I769" s="11" t="n">
        <x:v>1</x:v>
      </x:c>
      <x:c r="J769" s="4" t="str">
        <x:v>https://blog.skyairline.com/viaje-de-tus-suenos/</x:v>
      </x:c>
      <x:c r="K769" s="16" t="b">
        <x:v>0</x:v>
      </x:c>
      <x:c r="L769" s="11" t="n">
        <x:v>0</x:v>
      </x:c>
      <x:c r="M769" s="11" t="n">
        <x:v>11</x:v>
      </x:c>
      <x:c r="N769" s="4"/>
      <x:c r="O769" s="4"/>
      <x:c r="P769" s="11" t="n">
        <x:v>2</x:v>
      </x:c>
      <x:c r="Q769" s="11" t="n">
        <x:v>1</x:v>
      </x:c>
      <x:c r="R769" s="11" t="n">
        <x:f>IF(OR(P769="",Q769=""),"",Q769-P769)</x:f>
        <x:v>-1</x:v>
      </x:c>
      <x:c r="S769" s="13" t="n">
        <x:f>IF(OR(P769="",Q769="",P769=0),"",((Q769/30)/(P769/31))-1)</x:f>
        <x:v>-0.4833333333333333</x:v>
      </x:c>
      <x:c r="T769" s="11" t="n">
        <x:v>189</x:v>
      </x:c>
      <x:c r="U769" s="11" t="n">
        <x:v>138</x:v>
      </x:c>
      <x:c r="V769" s="14" t="n">
        <x:v>0.007246376811594203</x:v>
      </x:c>
      <x:c r="W769" s="12" t="n">
        <x:v>9.833333333333334</x:v>
      </x:c>
      <x:c r="X769" s="11" t="n">
        <x:v>1</x:v>
      </x:c>
      <x:c r="Y769" s="11" t="n">
        <x:v>1</x:v>
      </x:c>
      <x:c r="Z769" s="4" t="str">
        <x:v>https://blog.skyairline.com/viaje-de-tus-suenos/</x:v>
      </x:c>
      <x:c r="AA769" s="4" t="str">
        <x:v>https://blog.skyairline.com/viaje-de-tus-suenos/</x:v>
      </x:c>
      <x:c r="AB769" s="4" t="str">
        <x:v>Coincidencia URL</x:v>
      </x:c>
      <x:c r="AC769" s="4" t="str">
        <x:v>Publicado hasta septiembre</x:v>
      </x:c>
      <x:c r="AD769" s="4" t="str">
        <x:v>/viaje-de-tus-suenos/</x:v>
      </x:c>
      <x:c r="AE769" s="4"/>
      <x:c r="AF769" s="16" t="b">
        <x:v>1</x:v>
      </x:c>
    </x:row>
    <x:row r="770" ht="44" customHeight="1">
      <x:c r="A770" s="4" t="n">
        <x:v>3438</x:v>
      </x:c>
      <x:c r="B770" s="4" t="str">
        <x:v>https://blog.skyairline.com/una-semana-en-punta-cana/</x:v>
      </x:c>
      <x:c r="C770" s="9" t="str">
        <x:v>Itinerario de 7 días en Punta Cana</x:v>
      </x:c>
      <x:c r="D770" s="17" t="d">
        <x:v>2023-10-10T00:00:00.000Z</x:v>
      </x:c>
      <x:c r="E770" s="17" t="d">
        <x:v>2023-10-10T00:00:00.000Z</x:v>
      </x:c>
      <x:c r="F770" s="4" t="str">
        <x:v>Destinos</x:v>
      </x:c>
      <x:c r="G770" s="11" t="n">
        <x:v>1344</x:v>
      </x:c>
      <x:c r="H770" s="11" t="n">
        <x:v>200</x:v>
      </x:c>
      <x:c r="I770" s="11" t="n">
        <x:v>1</x:v>
      </x:c>
      <x:c r="J770" s="4" t="str">
        <x:v>https://blog.skyairline.com/una-semana-en-punta-cana/</x:v>
      </x:c>
      <x:c r="K770" s="16" t="b">
        <x:v>0</x:v>
      </x:c>
      <x:c r="L770" s="11" t="n">
        <x:v>0</x:v>
      </x:c>
      <x:c r="M770" s="11" t="n">
        <x:v>6</x:v>
      </x:c>
      <x:c r="N770" s="4"/>
      <x:c r="O770" s="4"/>
      <x:c r="P770" s="11" t="n">
        <x:v>3</x:v>
      </x:c>
      <x:c r="Q770" s="11" t="n">
        <x:v>1</x:v>
      </x:c>
      <x:c r="R770" s="11" t="n">
        <x:f>IF(OR(P770="",Q770=""),"",Q770-P770)</x:f>
        <x:v>-2</x:v>
      </x:c>
      <x:c r="S770" s="13" t="n">
        <x:f>IF(OR(P770="",Q770="",P770=0),"",((Q770/30)/(P770/31))-1)</x:f>
        <x:v>-0.6555555555555556</x:v>
      </x:c>
      <x:c r="T770" s="11" t="n">
        <x:v>495</x:v>
      </x:c>
      <x:c r="U770" s="11" t="n">
        <x:v>281</x:v>
      </x:c>
      <x:c r="V770" s="14" t="n">
        <x:v>0.0035587188612099642</x:v>
      </x:c>
      <x:c r="W770" s="12" t="n">
        <x:v>10.174377224199288</x:v>
      </x:c>
      <x:c r="X770" s="11" t="n">
        <x:v>1</x:v>
      </x:c>
      <x:c r="Y770" s="11" t="n">
        <x:v>1</x:v>
      </x:c>
      <x:c r="Z770" s="4" t="str">
        <x:v>https://blog.skyairline.com/una-semana-en-punta-cana/</x:v>
      </x:c>
      <x:c r="AA770" s="4" t="str">
        <x:v>https://blog.skyairline.com/una-semana-en-punta-cana/</x:v>
      </x:c>
      <x:c r="AB770" s="4" t="str">
        <x:v>Coincidencia URL</x:v>
      </x:c>
      <x:c r="AC770" s="4" t="str">
        <x:v>Publicado hasta septiembre</x:v>
      </x:c>
      <x:c r="AD770" s="4" t="str">
        <x:v>/una-semana-en-punta-cana/</x:v>
      </x:c>
      <x:c r="AE770" s="4"/>
      <x:c r="AF770" s="16" t="b">
        <x:v>0</x:v>
      </x:c>
    </x:row>
    <x:row r="771" ht="44" customHeight="1">
      <x:c r="A771" s="4" t="n">
        <x:v>3454</x:v>
      </x:c>
      <x:c r="B771" s="4" t="str">
        <x:v>https://blog.skyairline.com/sky-es-la-nueva-linea-aerea-oficial-de-la-seleccion-chilena-y-peruana-de-futbol/</x:v>
      </x:c>
      <x:c r="C771" s="9" t="str">
        <x:v>SKY es la nueva línea aérea oficial de la Selección Chilena y Peruana de Fútbol</x:v>
      </x:c>
      <x:c r="D771" s="17" t="d">
        <x:v>2023-08-31T00:00:00.000Z</x:v>
      </x:c>
      <x:c r="E771" s="17" t="d">
        <x:v>2023-08-31T00:00:00.000Z</x:v>
      </x:c>
      <x:c r="F771" s="4" t="str">
        <x:v>Noticias</x:v>
      </x:c>
      <x:c r="G771" s="11" t="n">
        <x:v>895</x:v>
      </x:c>
      <x:c r="H771" s="11" t="n">
        <x:v>200</x:v>
      </x:c>
      <x:c r="I771" s="11" t="n">
        <x:v>1</x:v>
      </x:c>
      <x:c r="J771" s="4" t="str">
        <x:v>https://blog.skyairline.com/sky-es-la-nueva-linea-aerea-oficial-de-la-seleccion-chilena-y-peruana-de-futbol/</x:v>
      </x:c>
      <x:c r="K771" s="16" t="b">
        <x:v>0</x:v>
      </x:c>
      <x:c r="L771" s="11" t="n">
        <x:v>0</x:v>
      </x:c>
      <x:c r="M771" s="11" t="n">
        <x:v>0</x:v>
      </x:c>
      <x:c r="N771" s="4"/>
      <x:c r="O771" s="4"/>
      <x:c r="P771" s="11" t="n">
        <x:v>0</x:v>
      </x:c>
      <x:c r="Q771" s="11" t="n">
        <x:v>1</x:v>
      </x:c>
      <x:c r="R771" s="11" t="str">
        <x:f>IF(OR(P771="",Q771=""),"",Q771-P771)</x:f>
      </x:c>
      <x:c r="S771" s="13" t="str">
        <x:f>IF(OR(P771="",Q771="",P771=0),"",((Q771/30)/(P771/31))-1)</x:f>
      </x:c>
      <x:c r="T771" s="11" t="n">
        <x:v>78</x:v>
      </x:c>
      <x:c r="U771" s="11" t="n">
        <x:v>64</x:v>
      </x:c>
      <x:c r="V771" s="14" t="n">
        <x:v>0.015625</x:v>
      </x:c>
      <x:c r="W771" s="12" t="n">
        <x:v>5</x:v>
      </x:c>
      <x:c r="X771" s="11" t="n">
        <x:v>1</x:v>
      </x:c>
      <x:c r="Y771" s="11" t="n">
        <x:v>2</x:v>
      </x:c>
      <x:c r="Z771" s="4" t="str">
        <x:v>https://blog.skyairline.com/sky-es-la-nueva-linea-aerea-oficial-de-la-seleccion-chilena-y-peruana-de-futbol/</x:v>
      </x:c>
      <x:c r="AA771" s="4" t="str">
        <x:v>https://blog.skyairline.com/sky-es-la-nueva-linea-aerea-oficial-de-la-seleccion-chilena-y-peruana-de-futbol/
https://blog.skyairline.com/sky-es-la-nueva-linea-aerea-oficial-de-la-seleccion-chilena-y-peruana-de-futbol</x:v>
      </x:c>
      <x:c r="AB771" s="4" t="str">
        <x:v>Alias slash agregado</x:v>
      </x:c>
      <x:c r="AC771" s="4" t="str">
        <x:v>Publicado hasta septiembre</x:v>
      </x:c>
      <x:c r="AD771" s="4" t="str">
        <x:v>/sky-es-la-nueva-linea-aerea-oficial-de-la-seleccion-chilena-y-peruana-de-futbol/</x:v>
      </x:c>
      <x:c r="AE771" s="4"/>
      <x:c r="AF771" s="16" t="b">
        <x:v>0</x:v>
      </x:c>
    </x:row>
    <x:row r="772" ht="44" customHeight="1">
      <x:c r="A772" s="4" t="n">
        <x:v>3548</x:v>
      </x:c>
      <x:c r="B772" s="4" t="str">
        <x:v>https://blog.skyairline.com/brasil-playas/</x:v>
      </x:c>
      <x:c r="C772" s="9" t="str">
        <x:v>Playas de Brasil en 2026: cómo elegir tu destino según tu estilo de viaje</x:v>
      </x:c>
      <x:c r="D772" s="17" t="d">
        <x:v>2026-04-15T00:00:00.000Z</x:v>
      </x:c>
      <x:c r="E772" s="17" t="d">
        <x:v>2026-04-13T00:00:00.000Z</x:v>
      </x:c>
      <x:c r="F772" s="4" t="str">
        <x:v>Destinos</x:v>
      </x:c>
      <x:c r="G772" s="11" t="n">
        <x:v>991</x:v>
      </x:c>
      <x:c r="H772" s="11" t="n">
        <x:v>200</x:v>
      </x:c>
      <x:c r="I772" s="11" t="n">
        <x:v>1</x:v>
      </x:c>
      <x:c r="J772" s="4" t="str">
        <x:v>https://blog.skyairline.com/brasil-playas/</x:v>
      </x:c>
      <x:c r="K772" s="16" t="b">
        <x:v>0</x:v>
      </x:c>
      <x:c r="L772" s="11" t="n">
        <x:v>0</x:v>
      </x:c>
      <x:c r="M772" s="11" t="n">
        <x:v>0</x:v>
      </x:c>
      <x:c r="N772" s="4"/>
      <x:c r="O772" s="4"/>
      <x:c r="P772" s="11" t="n">
        <x:v>0</x:v>
      </x:c>
      <x:c r="Q772" s="11" t="n">
        <x:v>1</x:v>
      </x:c>
      <x:c r="R772" s="11" t="str">
        <x:f>IF(OR(P772="",Q772=""),"",Q772-P772)</x:f>
      </x:c>
      <x:c r="S772" s="13" t="str">
        <x:f>IF(OR(P772="",Q772="",P772=0),"",((Q772/30)/(P772/31))-1)</x:f>
      </x:c>
      <x:c r="T772" s="11" t="n">
        <x:v>521</x:v>
      </x:c>
      <x:c r="U772" s="11" t="n">
        <x:v>283</x:v>
      </x:c>
      <x:c r="V772" s="14" t="n">
        <x:v>0.0035335689045936395</x:v>
      </x:c>
      <x:c r="W772" s="12" t="n">
        <x:v>16.696113074204945</x:v>
      </x:c>
      <x:c r="X772" s="11" t="n">
        <x:v>7</x:v>
      </x:c>
      <x:c r="Y772" s="11" t="n">
        <x:v>7</x:v>
      </x:c>
      <x:c r="Z772" s="4" t="str">
        <x:v>https://blog.skyairline.com/brasil-playas/</x:v>
      </x:c>
      <x:c r="AA772" s="4" t="str">
        <x:v>https://blog.skyairline.com/brasil-playas/</x:v>
      </x:c>
      <x:c r="AB772" s="4" t="str">
        <x:v>Coincidencia URL</x:v>
      </x:c>
      <x:c r="AC772" s="4" t="str">
        <x:v>Publicado hasta septiembre</x:v>
      </x:c>
      <x:c r="AD772" s="4" t="str">
        <x:v>/brasil-playas/</x:v>
      </x:c>
      <x:c r="AE772" s="4"/>
      <x:c r="AF772" s="16" t="b">
        <x:v>0</x:v>
      </x:c>
    </x:row>
    <x:row r="773" ht="44" customHeight="1">
      <x:c r="A773" s="4" t="n">
        <x:v>3579</x:v>
      </x:c>
      <x:c r="B773" s="4" t="str">
        <x:v>https://blog.skyairline.com/estamos-dentro-de-las-30-empresas-mas-atractivas-para-estudiantes-universitarios-en-chile/</x:v>
      </x:c>
      <x:c r="C773" s="9" t="str">
        <x:v>Estamos dentro de las 30 empresas más atractivas para estudiantes universitarios en Chile</x:v>
      </x:c>
      <x:c r="D773" s="17" t="d">
        <x:v>2023-10-26T00:00:00.000Z</x:v>
      </x:c>
      <x:c r="E773" s="17" t="d">
        <x:v>2023-10-26T00:00:00.000Z</x:v>
      </x:c>
      <x:c r="F773" s="4" t="str">
        <x:v>Noticias</x:v>
      </x:c>
      <x:c r="G773" s="11" t="n">
        <x:v>188</x:v>
      </x:c>
      <x:c r="H773" s="11" t="n">
        <x:v>200</x:v>
      </x:c>
      <x:c r="I773" s="11" t="n">
        <x:v>1</x:v>
      </x:c>
      <x:c r="J773" s="4" t="str">
        <x:v>https://blog.skyairline.com/estamos-dentro-de-las-30-empresas-mas-atractivas-para-estudiantes-universitarios-en-chile/</x:v>
      </x:c>
      <x:c r="K773" s="16" t="b">
        <x:v>0</x:v>
      </x:c>
      <x:c r="L773" s="11" t="n">
        <x:v>0</x:v>
      </x:c>
      <x:c r="M773" s="11" t="n">
        <x:v>0</x:v>
      </x:c>
      <x:c r="N773" s="4"/>
      <x:c r="O773" s="4"/>
      <x:c r="P773" s="11" t="n">
        <x:v>2</x:v>
      </x:c>
      <x:c r="Q773" s="11" t="n">
        <x:v>1</x:v>
      </x:c>
      <x:c r="R773" s="11" t="n">
        <x:f>IF(OR(P773="",Q773=""),"",Q773-P773)</x:f>
        <x:v>-1</x:v>
      </x:c>
      <x:c r="S773" s="13" t="n">
        <x:f>IF(OR(P773="",Q773="",P773=0),"",((Q773/30)/(P773/31))-1)</x:f>
        <x:v>-0.4833333333333333</x:v>
      </x:c>
      <x:c r="T773" s="11" t="n">
        <x:v>51</x:v>
      </x:c>
      <x:c r="U773" s="11" t="n">
        <x:v>35</x:v>
      </x:c>
      <x:c r="V773" s="14" t="n">
        <x:v>0.02857142857142857</x:v>
      </x:c>
      <x:c r="W773" s="12" t="n">
        <x:v>9.2</x:v>
      </x:c>
      <x:c r="X773" s="11" t="n">
        <x:v>2</x:v>
      </x:c>
      <x:c r="Y773" s="11" t="n">
        <x:v>2</x:v>
      </x:c>
      <x:c r="Z773" s="4" t="str">
        <x:v>https://blog.skyairline.com/estamos-dentro-de-las-30-empresas-mas-atractivas-para-estudiantes-universitarios-en-chile/</x:v>
      </x:c>
      <x:c r="AA773" s="4" t="str">
        <x:v>https://blog.skyairline.com/estamos-dentro-de-las-30-empresas-mas-atractivas-para-estudiantes-universitarios-en-chile/</x:v>
      </x:c>
      <x:c r="AB773" s="4" t="str">
        <x:v>Coincidencia URL</x:v>
      </x:c>
      <x:c r="AC773" s="4" t="str">
        <x:v>Publicado hasta septiembre</x:v>
      </x:c>
      <x:c r="AD773" s="4" t="str">
        <x:v>/estamos-dentro-de-las-30-empresas-mas-atractivas-para-estudiantes-universitarios-en-chile/</x:v>
      </x:c>
      <x:c r="AE773" s="4"/>
      <x:c r="AF773" s="16" t="b">
        <x:v>0</x:v>
      </x:c>
    </x:row>
    <x:row r="774" ht="44" customHeight="1">
      <x:c r="A774" s="4" t="n">
        <x:v>3580</x:v>
      </x:c>
      <x:c r="B774" s="4" t="str">
        <x:v>https://blog.skyairline.com/seguro-montevideo/</x:v>
      </x:c>
      <x:c r="C774" s="9" t="str">
        <x:v>Viaje a Uruguay: salud, seguridad y otras informaciones para tu viaje</x:v>
      </x:c>
      <x:c r="D774" s="17" t="d">
        <x:v>2026-06-30T00:00:00.000Z</x:v>
      </x:c>
      <x:c r="E774" s="17" t="d">
        <x:v>2026-07-01T00:00:00.000Z</x:v>
      </x:c>
      <x:c r="F774" s="4" t="str">
        <x:v>Destinos</x:v>
      </x:c>
      <x:c r="G774" s="11" t="n">
        <x:v>988</x:v>
      </x:c>
      <x:c r="H774" s="11" t="n">
        <x:v>200</x:v>
      </x:c>
      <x:c r="I774" s="11" t="n">
        <x:v>1</x:v>
      </x:c>
      <x:c r="J774" s="4" t="str">
        <x:v>https://blog.skyairline.com/seguro-montevideo/</x:v>
      </x:c>
      <x:c r="K774" s="16" t="b">
        <x:v>0</x:v>
      </x:c>
      <x:c r="L774" s="11" t="n">
        <x:v>0</x:v>
      </x:c>
      <x:c r="M774" s="11" t="n">
        <x:v>0</x:v>
      </x:c>
      <x:c r="N774" s="4"/>
      <x:c r="O774" s="4"/>
      <x:c r="P774" s="11" t="n">
        <x:v>2</x:v>
      </x:c>
      <x:c r="Q774" s="11" t="n">
        <x:v>1</x:v>
      </x:c>
      <x:c r="R774" s="11" t="n">
        <x:f>IF(OR(P774="",Q774=""),"",Q774-P774)</x:f>
        <x:v>-1</x:v>
      </x:c>
      <x:c r="S774" s="13" t="n">
        <x:f>IF(OR(P774="",Q774="",P774=0),"",((Q774/30)/(P774/31))-1)</x:f>
        <x:v>-0.4833333333333333</x:v>
      </x:c>
      <x:c r="T774" s="11" t="n">
        <x:v>653</x:v>
      </x:c>
      <x:c r="U774" s="11" t="n">
        <x:v>264</x:v>
      </x:c>
      <x:c r="V774" s="14" t="n">
        <x:v>0.003787878787878788</x:v>
      </x:c>
      <x:c r="W774" s="12" t="n">
        <x:v>8.068181818181818</x:v>
      </x:c>
      <x:c r="X774" s="11" t="n">
        <x:v>1</x:v>
      </x:c>
      <x:c r="Y774" s="11" t="n">
        <x:v>1</x:v>
      </x:c>
      <x:c r="Z774" s="4" t="str">
        <x:v>https://blog.skyairline.com/seguro-montevideo/</x:v>
      </x:c>
      <x:c r="AA774" s="4" t="str">
        <x:v>https://blog.skyairline.com/seguro-montevideo/</x:v>
      </x:c>
      <x:c r="AB774" s="4" t="str">
        <x:v>Coincidencia URL</x:v>
      </x:c>
      <x:c r="AC774" s="4" t="str">
        <x:v>Publicado hasta septiembre</x:v>
      </x:c>
      <x:c r="AD774" s="4" t="str">
        <x:v>/seguro-montevideo/</x:v>
      </x:c>
      <x:c r="AE774" s="4"/>
      <x:c r="AF774" s="16" t="b">
        <x:v>0</x:v>
      </x:c>
    </x:row>
    <x:row r="775" ht="44" customHeight="1">
      <x:c r="A775" s="4" t="n">
        <x:v>3610</x:v>
      </x:c>
      <x:c r="B775" s="4" t="str">
        <x:v>https://blog.skyairline.com/sky-reafirma-su-compromiso-con-la-sostenibilidad-2/</x:v>
      </x:c>
      <x:c r="C775" s="9" t="str">
        <x:v>SKY Perú reafirma su compromiso con la sostenibilidad</x:v>
      </x:c>
      <x:c r="D775" s="17" t="d">
        <x:v>2023-11-02T00:00:00.000Z</x:v>
      </x:c>
      <x:c r="E775" s="17" t="d">
        <x:v>2023-11-02T00:00:00.000Z</x:v>
      </x:c>
      <x:c r="F775" s="4" t="str">
        <x:v>Compromiso SKY</x:v>
      </x:c>
      <x:c r="G775" s="11" t="n">
        <x:v>600</x:v>
      </x:c>
      <x:c r="H775" s="11" t="n">
        <x:v>200</x:v>
      </x:c>
      <x:c r="I775" s="11" t="n">
        <x:v>1</x:v>
      </x:c>
      <x:c r="J775" s="4" t="str">
        <x:v>https://blog.skyairline.com/sky-reafirma-su-compromiso-con-la-sostenibilidad-2/</x:v>
      </x:c>
      <x:c r="K775" s="16" t="b">
        <x:v>0</x:v>
      </x:c>
      <x:c r="L775" s="11" t="n">
        <x:v>0</x:v>
      </x:c>
      <x:c r="M775" s="11" t="n">
        <x:v>0</x:v>
      </x:c>
      <x:c r="N775" s="4"/>
      <x:c r="O775" s="4"/>
      <x:c r="P775" s="11" t="n">
        <x:v>2</x:v>
      </x:c>
      <x:c r="Q775" s="11" t="n">
        <x:v>1</x:v>
      </x:c>
      <x:c r="R775" s="11" t="n">
        <x:f>IF(OR(P775="",Q775=""),"",Q775-P775)</x:f>
        <x:v>-1</x:v>
      </x:c>
      <x:c r="S775" s="13" t="n">
        <x:f>IF(OR(P775="",Q775="",P775=0),"",((Q775/30)/(P775/31))-1)</x:f>
        <x:v>-0.4833333333333333</x:v>
      </x:c>
      <x:c r="T775" s="11" t="n">
        <x:v>87</x:v>
      </x:c>
      <x:c r="U775" s="11" t="n">
        <x:v>66</x:v>
      </x:c>
      <x:c r="V775" s="14" t="n">
        <x:v>0.015151515151515152</x:v>
      </x:c>
      <x:c r="W775" s="12" t="n">
        <x:v>5.53030303030303</x:v>
      </x:c>
      <x:c r="X775" s="11"/>
      <x:c r="Y775" s="11"/>
      <x:c r="Z775" s="4" t="str">
        <x:v>https://blog.skyairline.com/sky-reafirma-su-compromiso-con-la-sostenibilidad-2/</x:v>
      </x:c>
      <x:c r="AA775" s="4" t="str">
        <x:v>https://blog.skyairline.com/sky-reafirma-su-compromiso-con-la-sostenibilidad-2/</x:v>
      </x:c>
      <x:c r="AB775" s="4" t="str">
        <x:v>Coincidencia URL</x:v>
      </x:c>
      <x:c r="AC775" s="4" t="str">
        <x:v>Publicado hasta septiembre</x:v>
      </x:c>
      <x:c r="AD775" s="4"/>
      <x:c r="AE775" s="4"/>
      <x:c r="AF775" s="16" t="b">
        <x:v>0</x:v>
      </x:c>
    </x:row>
    <x:row r="776" ht="44" customHeight="1">
      <x:c r="A776" s="4" t="n">
        <x:v>3620</x:v>
      </x:c>
      <x:c r="B776" s="4" t="str">
        <x:v>https://blog.skyairline.com/valle-colchagua/</x:v>
      </x:c>
      <x:c r="C776" s="9" t="str">
        <x:v>Valle de Colchagua: guía de enoturismo, panoramas y recomendaciones</x:v>
      </x:c>
      <x:c r="D776" s="17" t="d">
        <x:v>2026-03-31T00:00:00.000Z</x:v>
      </x:c>
      <x:c r="E776" s="17" t="d">
        <x:v>2026-04-07T00:00:00.000Z</x:v>
      </x:c>
      <x:c r="F776" s="4" t="str">
        <x:v>Destinos</x:v>
      </x:c>
      <x:c r="G776" s="11" t="n">
        <x:v>1025</x:v>
      </x:c>
      <x:c r="H776" s="11" t="n">
        <x:v>200</x:v>
      </x:c>
      <x:c r="I776" s="11" t="n">
        <x:v>1</x:v>
      </x:c>
      <x:c r="J776" s="4" t="str">
        <x:v>https://blog.skyairline.com/valle-colchagua/</x:v>
      </x:c>
      <x:c r="K776" s="16" t="b">
        <x:v>0</x:v>
      </x:c>
      <x:c r="L776" s="11" t="n">
        <x:v>0</x:v>
      </x:c>
      <x:c r="M776" s="11" t="n">
        <x:v>0</x:v>
      </x:c>
      <x:c r="N776" s="4"/>
      <x:c r="O776" s="4"/>
      <x:c r="P776" s="11" t="n">
        <x:v>0</x:v>
      </x:c>
      <x:c r="Q776" s="11" t="n">
        <x:v>1</x:v>
      </x:c>
      <x:c r="R776" s="11" t="str">
        <x:f>IF(OR(P776="",Q776=""),"",Q776-P776)</x:f>
      </x:c>
      <x:c r="S776" s="13" t="str">
        <x:f>IF(OR(P776="",Q776="",P776=0),"",((Q776/30)/(P776/31))-1)</x:f>
      </x:c>
      <x:c r="T776" s="11" t="n">
        <x:v>221</x:v>
      </x:c>
      <x:c r="U776" s="11" t="n">
        <x:v>176</x:v>
      </x:c>
      <x:c r="V776" s="14" t="n">
        <x:v>0.005681818181818182</x:v>
      </x:c>
      <x:c r="W776" s="12" t="n">
        <x:v>18.761363636363637</x:v>
      </x:c>
      <x:c r="X776" s="11" t="n">
        <x:v>1</x:v>
      </x:c>
      <x:c r="Y776" s="11" t="n">
        <x:v>1</x:v>
      </x:c>
      <x:c r="Z776" s="4" t="str">
        <x:v>https://blog.skyairline.com/valle-colchagua/</x:v>
      </x:c>
      <x:c r="AA776" s="4" t="str">
        <x:v>https://blog.skyairline.com/valle-colchagua/</x:v>
      </x:c>
      <x:c r="AB776" s="4" t="str">
        <x:v>Coincidencia URL</x:v>
      </x:c>
      <x:c r="AC776" s="4" t="str">
        <x:v>Publicado hasta septiembre</x:v>
      </x:c>
      <x:c r="AD776" s="4" t="str">
        <x:v>/valle-colchagua/</x:v>
      </x:c>
      <x:c r="AE776" s="4"/>
      <x:c r="AF776" s="16" t="b">
        <x:v>0</x:v>
      </x:c>
    </x:row>
    <x:row r="777" ht="44" customHeight="1">
      <x:c r="A777" s="4" t="n">
        <x:v>3706</x:v>
      </x:c>
      <x:c r="B777" s="4" t="str">
        <x:v>https://blog.skyairline.com/sky-es-el-nuevo-patrocinador-del-tenista-de-chile-nico-jarry/</x:v>
      </x:c>
      <x:c r="C777" s="9" t="str">
        <x:v>SKY Airline es el nuevo patrocinador del tenista número 1 de Chile Nicolás Jarry</x:v>
      </x:c>
      <x:c r="D777" s="17" t="d">
        <x:v>2023-11-21T00:00:00.000Z</x:v>
      </x:c>
      <x:c r="E777" s="17" t="d">
        <x:v>2023-11-21T00:00:00.000Z</x:v>
      </x:c>
      <x:c r="F777" s="4" t="str">
        <x:v>Noticias</x:v>
      </x:c>
      <x:c r="G777" s="11" t="n">
        <x:v>441</x:v>
      </x:c>
      <x:c r="H777" s="11" t="n">
        <x:v>200</x:v>
      </x:c>
      <x:c r="I777" s="11" t="n">
        <x:v>1</x:v>
      </x:c>
      <x:c r="J777" s="4" t="str">
        <x:v>https://blog.skyairline.com/sky-es-el-nuevo-patrocinador-del-tenista-de-chile-nico-jarry/</x:v>
      </x:c>
      <x:c r="K777" s="16" t="b">
        <x:v>0</x:v>
      </x:c>
      <x:c r="L777" s="11" t="n">
        <x:v>0</x:v>
      </x:c>
      <x:c r="M777" s="11" t="n">
        <x:v>0</x:v>
      </x:c>
      <x:c r="N777" s="4"/>
      <x:c r="O777" s="4"/>
      <x:c r="P777" s="11" t="n">
        <x:v>1</x:v>
      </x:c>
      <x:c r="Q777" s="11" t="n">
        <x:v>1</x:v>
      </x:c>
      <x:c r="R777" s="11" t="n">
        <x:f>IF(OR(P777="",Q777=""),"",Q777-P777)</x:f>
        <x:v>0</x:v>
      </x:c>
      <x:c r="S777" s="13" t="n">
        <x:f>IF(OR(P777="",Q777="",P777=0),"",((Q777/30)/(P777/31))-1)</x:f>
        <x:v>0.03333333333333344</x:v>
      </x:c>
      <x:c r="T777" s="11" t="n">
        <x:v>22</x:v>
      </x:c>
      <x:c r="U777" s="11" t="n">
        <x:v>28</x:v>
      </x:c>
      <x:c r="V777" s="14" t="n">
        <x:v>0.03571428571428571</x:v>
      </x:c>
      <x:c r="W777" s="12" t="n">
        <x:v>3.8214285714285716</x:v>
      </x:c>
      <x:c r="X777" s="11" t="n">
        <x:v>1</x:v>
      </x:c>
      <x:c r="Y777" s="11" t="n">
        <x:v>1</x:v>
      </x:c>
      <x:c r="Z777" s="4" t="str">
        <x:v>https://blog.skyairline.com/sky-es-el-nuevo-patrocinador-del-tenista-de-chile-nico-jarry/</x:v>
      </x:c>
      <x:c r="AA777" s="4" t="str">
        <x:v>https://blog.skyairline.com/sky-es-el-nuevo-patrocinador-del-tenista-de-chile-nico-jarry/</x:v>
      </x:c>
      <x:c r="AB777" s="4" t="str">
        <x:v>Coincidencia URL</x:v>
      </x:c>
      <x:c r="AC777" s="4" t="str">
        <x:v>Publicado hasta septiembre</x:v>
      </x:c>
      <x:c r="AD777" s="4" t="str">
        <x:v>/sky-es-el-nuevo-patrocinador-del-tenista-de-chile-nico-jarry/</x:v>
      </x:c>
      <x:c r="AE777" s="4"/>
      <x:c r="AF777" s="16" t="b">
        <x:v>0</x:v>
      </x:c>
    </x:row>
    <x:row r="778" ht="44" customHeight="1">
      <x:c r="A778" s="4" t="n">
        <x:v>3858</x:v>
      </x:c>
      <x:c r="B778" s="4" t="str">
        <x:v>https://blog.skyairline.com/recibimos-nuestra-certificacion-iosa/</x:v>
      </x:c>
      <x:c r="C778" s="9" t="str">
        <x:v>Recibimos nuevamente nuestra certificación IOSA</x:v>
      </x:c>
      <x:c r="D778" s="17" t="d">
        <x:v>2023-12-28T00:00:00.000Z</x:v>
      </x:c>
      <x:c r="E778" s="17" t="d">
        <x:v>2023-12-28T00:00:00.000Z</x:v>
      </x:c>
      <x:c r="F778" s="4" t="str">
        <x:v>Noticias</x:v>
      </x:c>
      <x:c r="G778" s="11" t="n">
        <x:v>97</x:v>
      </x:c>
      <x:c r="H778" s="11" t="n">
        <x:v>200</x:v>
      </x:c>
      <x:c r="I778" s="11" t="n">
        <x:v>1</x:v>
      </x:c>
      <x:c r="J778" s="4" t="str">
        <x:v>https://blog.skyairline.com/recibimos-nuestra-certificacion-iosa/</x:v>
      </x:c>
      <x:c r="K778" s="16" t="b">
        <x:v>0</x:v>
      </x:c>
      <x:c r="L778" s="11" t="n">
        <x:v>0</x:v>
      </x:c>
      <x:c r="M778" s="11" t="n">
        <x:v>0</x:v>
      </x:c>
      <x:c r="N778" s="4"/>
      <x:c r="O778" s="4"/>
      <x:c r="P778" s="11" t="n">
        <x:v>2</x:v>
      </x:c>
      <x:c r="Q778" s="11" t="n">
        <x:v>1</x:v>
      </x:c>
      <x:c r="R778" s="11" t="n">
        <x:f>IF(OR(P778="",Q778=""),"",Q778-P778)</x:f>
        <x:v>-1</x:v>
      </x:c>
      <x:c r="S778" s="13" t="n">
        <x:f>IF(OR(P778="",Q778="",P778=0),"",((Q778/30)/(P778/31))-1)</x:f>
        <x:v>-0.4833333333333333</x:v>
      </x:c>
      <x:c r="T778" s="11" t="n">
        <x:v>48</x:v>
      </x:c>
      <x:c r="U778" s="11" t="n">
        <x:v>51</x:v>
      </x:c>
      <x:c r="V778" s="14" t="n">
        <x:v>0.0196078431372549</x:v>
      </x:c>
      <x:c r="W778" s="12" t="n">
        <x:v>6</x:v>
      </x:c>
      <x:c r="X778" s="11" t="n">
        <x:v>1</x:v>
      </x:c>
      <x:c r="Y778" s="11" t="n">
        <x:v>1</x:v>
      </x:c>
      <x:c r="Z778" s="4" t="str">
        <x:v>https://blog.skyairline.com/recibimos-nuestra-certificacion-iosa/</x:v>
      </x:c>
      <x:c r="AA778" s="4" t="str">
        <x:v>https://blog.skyairline.com/recibimos-nuestra-certificacion-iosa/</x:v>
      </x:c>
      <x:c r="AB778" s="4" t="str">
        <x:v>Coincidencia URL</x:v>
      </x:c>
      <x:c r="AC778" s="4" t="str">
        <x:v>Publicado hasta septiembre</x:v>
      </x:c>
      <x:c r="AD778" s="4" t="str">
        <x:v>/recibimos-nuestra-certificacion-iosa/</x:v>
      </x:c>
      <x:c r="AE778" s="4"/>
      <x:c r="AF778" s="16" t="b">
        <x:v>0</x:v>
      </x:c>
    </x:row>
    <x:row r="779" ht="44" customHeight="1">
      <x:c r="A779" s="4" t="n">
        <x:v>3900</x:v>
      </x:c>
      <x:c r="B779" s="4" t="str">
        <x:v>https://blog.skyairline.com/cerramos-2023-con-30-aviones-en-nuestra-flota/</x:v>
      </x:c>
      <x:c r="C779" s="9" t="str">
        <x:v>¡SKY cierra el 2023 con 30 aviones en Nuestra Flota!</x:v>
      </x:c>
      <x:c r="D779" s="17" t="d">
        <x:v>2024-01-04T00:00:00.000Z</x:v>
      </x:c>
      <x:c r="E779" s="17" t="d">
        <x:v>2024-01-04T00:00:00.000Z</x:v>
      </x:c>
      <x:c r="F779" s="4" t="str">
        <x:v>Noticias</x:v>
      </x:c>
      <x:c r="G779" s="11" t="n">
        <x:v>350</x:v>
      </x:c>
      <x:c r="H779" s="11" t="n">
        <x:v>200</x:v>
      </x:c>
      <x:c r="I779" s="11" t="n">
        <x:v>1</x:v>
      </x:c>
      <x:c r="J779" s="4" t="str">
        <x:v>https://blog.skyairline.com/cerramos-2023-con-30-aviones-en-nuestra-flota/</x:v>
      </x:c>
      <x:c r="K779" s="16" t="b">
        <x:v>0</x:v>
      </x:c>
      <x:c r="L779" s="11" t="n">
        <x:v>0</x:v>
      </x:c>
      <x:c r="M779" s="11" t="n">
        <x:v>0</x:v>
      </x:c>
      <x:c r="N779" s="4"/>
      <x:c r="O779" s="4"/>
      <x:c r="P779" s="11" t="n">
        <x:v>1</x:v>
      </x:c>
      <x:c r="Q779" s="11" t="n">
        <x:v>1</x:v>
      </x:c>
      <x:c r="R779" s="11" t="n">
        <x:f>IF(OR(P779="",Q779=""),"",Q779-P779)</x:f>
        <x:v>0</x:v>
      </x:c>
      <x:c r="S779" s="13" t="n">
        <x:f>IF(OR(P779="",Q779="",P779=0),"",((Q779/30)/(P779/31))-1)</x:f>
        <x:v>0.03333333333333344</x:v>
      </x:c>
      <x:c r="T779" s="11" t="n">
        <x:v>277</x:v>
      </x:c>
      <x:c r="U779" s="11" t="n">
        <x:v>251</x:v>
      </x:c>
      <x:c r="V779" s="14" t="n">
        <x:v>0.00398406374501992</x:v>
      </x:c>
      <x:c r="W779" s="12" t="n">
        <x:v>7.852589641434263</x:v>
      </x:c>
      <x:c r="X779" s="11" t="n">
        <x:v>3</x:v>
      </x:c>
      <x:c r="Y779" s="11" t="n">
        <x:v>4</x:v>
      </x:c>
      <x:c r="Z779" s="4" t="str">
        <x:v>https://blog.skyairline.com/cerramos-2023-con-30-aviones-en-nuestra-flota/</x:v>
      </x:c>
      <x:c r="AA779" s="4" t="str">
        <x:v>https://blog.skyairline.com/cerramos-2023-con-30-aviones-en-nuestra-flota/</x:v>
      </x:c>
      <x:c r="AB779" s="4" t="str">
        <x:v>Coincidencia URL</x:v>
      </x:c>
      <x:c r="AC779" s="4" t="str">
        <x:v>Publicado hasta septiembre</x:v>
      </x:c>
      <x:c r="AD779" s="4" t="str">
        <x:v>/cerramos-2023-con-30-aviones-en-nuestra-flota/</x:v>
      </x:c>
      <x:c r="AE779" s="4"/>
      <x:c r="AF779" s="16" t="b">
        <x:v>0</x:v>
      </x:c>
    </x:row>
    <x:row r="780" ht="44" customHeight="1">
      <x:c r="A780" s="4" t="n">
        <x:v>4022</x:v>
      </x:c>
      <x:c r="B780" s="4" t="str">
        <x:v>https://blog.skyairline.com/brasil-canasvieiras/</x:v>
      </x:c>
      <x:c r="C780" s="9" t="str">
        <x:v>Aprovecha el verano en Canasvieiras, Brasil: ¡Vuela con SKY!</x:v>
      </x:c>
      <x:c r="D780" s="17" t="d">
        <x:v>2024-02-09T00:00:00.000Z</x:v>
      </x:c>
      <x:c r="E780" s="17" t="d">
        <x:v>2024-02-09T00:00:00.000Z</x:v>
      </x:c>
      <x:c r="F780" s="4" t="str">
        <x:v>Destinos, Florianópolis</x:v>
      </x:c>
      <x:c r="G780" s="11" t="n">
        <x:v>1302</x:v>
      </x:c>
      <x:c r="H780" s="11" t="n">
        <x:v>200</x:v>
      </x:c>
      <x:c r="I780" s="11" t="n">
        <x:v>1</x:v>
      </x:c>
      <x:c r="J780" s="4" t="str">
        <x:v>https://blog.skyairline.com/brasil-canasvieiras/</x:v>
      </x:c>
      <x:c r="K780" s="16" t="b">
        <x:v>0</x:v>
      </x:c>
      <x:c r="L780" s="11" t="n">
        <x:v>0</x:v>
      </x:c>
      <x:c r="M780" s="11" t="n">
        <x:v>5</x:v>
      </x:c>
      <x:c r="N780" s="4"/>
      <x:c r="O780" s="4"/>
      <x:c r="P780" s="11" t="n">
        <x:v>2</x:v>
      </x:c>
      <x:c r="Q780" s="11" t="n">
        <x:v>1</x:v>
      </x:c>
      <x:c r="R780" s="11" t="n">
        <x:f>IF(OR(P780="",Q780=""),"",Q780-P780)</x:f>
        <x:v>-1</x:v>
      </x:c>
      <x:c r="S780" s="13" t="n">
        <x:f>IF(OR(P780="",Q780="",P780=0),"",((Q780/30)/(P780/31))-1)</x:f>
        <x:v>-0.4833333333333333</x:v>
      </x:c>
      <x:c r="T780" s="11" t="n">
        <x:v>319</x:v>
      </x:c>
      <x:c r="U780" s="11" t="n">
        <x:v>185</x:v>
      </x:c>
      <x:c r="V780" s="14" t="n">
        <x:v>0.005405405405405406</x:v>
      </x:c>
      <x:c r="W780" s="12" t="n">
        <x:v>14.794594594594594</x:v>
      </x:c>
      <x:c r="X780" s="11" t="n">
        <x:v>1</x:v>
      </x:c>
      <x:c r="Y780" s="11" t="n">
        <x:v>1</x:v>
      </x:c>
      <x:c r="Z780" s="4" t="str">
        <x:v>https://blog.skyairline.com/brasil-canasvieiras/</x:v>
      </x:c>
      <x:c r="AA780" s="4" t="str">
        <x:v>https://blog.skyairline.com/brasil-canasvieiras/</x:v>
      </x:c>
      <x:c r="AB780" s="4" t="str">
        <x:v>Coincidencia URL</x:v>
      </x:c>
      <x:c r="AC780" s="4" t="str">
        <x:v>Publicado hasta septiembre</x:v>
      </x:c>
      <x:c r="AD780" s="4" t="str">
        <x:v>/brasil-canasvieiras/</x:v>
      </x:c>
      <x:c r="AE780" s="4"/>
      <x:c r="AF780" s="16" t="b">
        <x:v>0</x:v>
      </x:c>
    </x:row>
    <x:row r="781" ht="44" customHeight="1">
      <x:c r="A781" s="4" t="n">
        <x:v>4047</x:v>
      </x:c>
      <x:c r="B781" s="4" t="str">
        <x:v>https://blog.skyairline.com/arraial-do-cabo-playas/</x:v>
      </x:c>
      <x:c r="C781" s="9" t="str">
        <x:v>Arraial do Cabo: las playas de agua turquesa que puedes visitar desde Río de Janeiro</x:v>
      </x:c>
      <x:c r="D781" s="17" t="d">
        <x:v>2026-01-06T00:00:00.000Z</x:v>
      </x:c>
      <x:c r="E781" s="17" t="d">
        <x:v>2026-06-02T00:00:00.000Z</x:v>
      </x:c>
      <x:c r="F781" s="4" t="str">
        <x:v>Planificación de Viaje</x:v>
      </x:c>
      <x:c r="G781" s="11" t="n">
        <x:v>1086</x:v>
      </x:c>
      <x:c r="H781" s="11" t="n">
        <x:v>200</x:v>
      </x:c>
      <x:c r="I781" s="11" t="n">
        <x:v>1</x:v>
      </x:c>
      <x:c r="J781" s="4" t="str">
        <x:v>https://blog.skyairline.com/arraial-do-cabo-playas/</x:v>
      </x:c>
      <x:c r="K781" s="16" t="b">
        <x:v>0</x:v>
      </x:c>
      <x:c r="L781" s="11" t="n">
        <x:v>0</x:v>
      </x:c>
      <x:c r="M781" s="11" t="n">
        <x:v>0</x:v>
      </x:c>
      <x:c r="N781" s="4"/>
      <x:c r="O781" s="4"/>
      <x:c r="P781" s="11" t="n">
        <x:v>2</x:v>
      </x:c>
      <x:c r="Q781" s="11" t="n">
        <x:v>1</x:v>
      </x:c>
      <x:c r="R781" s="11" t="n">
        <x:f>IF(OR(P781="",Q781=""),"",Q781-P781)</x:f>
        <x:v>-1</x:v>
      </x:c>
      <x:c r="S781" s="13" t="n">
        <x:f>IF(OR(P781="",Q781="",P781=0),"",((Q781/30)/(P781/31))-1)</x:f>
        <x:v>-0.4833333333333333</x:v>
      </x:c>
      <x:c r="T781" s="11" t="n">
        <x:v>690</x:v>
      </x:c>
      <x:c r="U781" s="11" t="n">
        <x:v>305</x:v>
      </x:c>
      <x:c r="V781" s="14" t="n">
        <x:v>0.003278688524590164</x:v>
      </x:c>
      <x:c r="W781" s="12" t="n">
        <x:v>12.836065573770492</x:v>
      </x:c>
      <x:c r="X781" s="11" t="n">
        <x:v>1</x:v>
      </x:c>
      <x:c r="Y781" s="11" t="n">
        <x:v>1</x:v>
      </x:c>
      <x:c r="Z781" s="4" t="str">
        <x:v>https://blog.skyairline.com/arraial-do-cabo-playas/</x:v>
      </x:c>
      <x:c r="AA781" s="4" t="str">
        <x:v>https://blog.skyairline.com/arraial-do-cabo-playas/</x:v>
      </x:c>
      <x:c r="AB781" s="4" t="str">
        <x:v>Coincidencia URL</x:v>
      </x:c>
      <x:c r="AC781" s="4" t="str">
        <x:v>Publicado hasta septiembre</x:v>
      </x:c>
      <x:c r="AD781" s="4" t="str">
        <x:v>/arraial-do-cabo-playas/</x:v>
      </x:c>
      <x:c r="AE781" s="4"/>
      <x:c r="AF781" s="16" t="b">
        <x:v>0</x:v>
      </x:c>
    </x:row>
    <x:row r="782" ht="44" customHeight="1">
      <x:c r="A782" s="4" t="n">
        <x:v>4092</x:v>
      </x:c>
      <x:c r="B782" s="4" t="str">
        <x:v>https://blog.skyairline.com/recorrer-miami/</x:v>
      </x:c>
      <x:c r="C782" s="9" t="str">
        <x:v>¿Cómo recorrer Miami para tener una experiencia inolvidable?</x:v>
      </x:c>
      <x:c r="D782" s="17" t="d">
        <x:v>2024-03-01T00:00:00.000Z</x:v>
      </x:c>
      <x:c r="E782" s="17" t="d">
        <x:v>2024-03-01T00:00:00.000Z</x:v>
      </x:c>
      <x:c r="F782" s="4" t="str">
        <x:v>Destinos</x:v>
      </x:c>
      <x:c r="G782" s="11" t="n">
        <x:v>1181</x:v>
      </x:c>
      <x:c r="H782" s="11" t="n">
        <x:v>200</x:v>
      </x:c>
      <x:c r="I782" s="11" t="n">
        <x:v>1</x:v>
      </x:c>
      <x:c r="J782" s="4" t="str">
        <x:v>https://blog.skyairline.com/recorrer-miami/</x:v>
      </x:c>
      <x:c r="K782" s="16" t="b">
        <x:v>0</x:v>
      </x:c>
      <x:c r="L782" s="11" t="n">
        <x:v>0</x:v>
      </x:c>
      <x:c r="M782" s="11" t="n">
        <x:v>6</x:v>
      </x:c>
      <x:c r="N782" s="4"/>
      <x:c r="O782" s="4"/>
      <x:c r="P782" s="11" t="n">
        <x:v>0</x:v>
      </x:c>
      <x:c r="Q782" s="11" t="n">
        <x:v>1</x:v>
      </x:c>
      <x:c r="R782" s="11" t="str">
        <x:f>IF(OR(P782="",Q782=""),"",Q782-P782)</x:f>
      </x:c>
      <x:c r="S782" s="13" t="str">
        <x:f>IF(OR(P782="",Q782="",P782=0),"",((Q782/30)/(P782/31))-1)</x:f>
      </x:c>
      <x:c r="T782" s="11" t="n">
        <x:v>141</x:v>
      </x:c>
      <x:c r="U782" s="11" t="n">
        <x:v>91</x:v>
      </x:c>
      <x:c r="V782" s="14" t="n">
        <x:v>0.01098901098901099</x:v>
      </x:c>
      <x:c r="W782" s="12" t="n">
        <x:v>22.54945054945055</x:v>
      </x:c>
      <x:c r="X782" s="11" t="n">
        <x:v>1</x:v>
      </x:c>
      <x:c r="Y782" s="11" t="n">
        <x:v>1</x:v>
      </x:c>
      <x:c r="Z782" s="4" t="str">
        <x:v>https://blog.skyairline.com/recorrer-miami/</x:v>
      </x:c>
      <x:c r="AA782" s="4" t="str">
        <x:v>https://blog.skyairline.com/recorrer-miami/</x:v>
      </x:c>
      <x:c r="AB782" s="4" t="str">
        <x:v>Coincidencia URL</x:v>
      </x:c>
      <x:c r="AC782" s="4" t="str">
        <x:v>Publicado hasta septiembre</x:v>
      </x:c>
      <x:c r="AD782" s="4" t="str">
        <x:v>/recorrer-miami/</x:v>
      </x:c>
      <x:c r="AE782" s="4"/>
      <x:c r="AF782" s="16" t="b">
        <x:v>0</x:v>
      </x:c>
    </x:row>
    <x:row r="783" ht="44" customHeight="1">
      <x:c r="A783" s="4" t="n">
        <x:v>4166</x:v>
      </x:c>
      <x:c r="B783" s="4" t="str">
        <x:v>https://blog.skyairline.com/conciertos-argentina/</x:v>
      </x:c>
      <x:c r="C783" s="9" t="str">
        <x:v>Conoce los próximos conciertos en Argentina para 2024</x:v>
      </x:c>
      <x:c r="D783" s="17" t="d">
        <x:v>2024-03-20T00:00:00.000Z</x:v>
      </x:c>
      <x:c r="E783" s="17" t="d">
        <x:v>2024-03-20T00:00:00.000Z</x:v>
      </x:c>
      <x:c r="F783" s="4" t="str">
        <x:v>Buenos Aires</x:v>
      </x:c>
      <x:c r="G783" s="11" t="n">
        <x:v>1036</x:v>
      </x:c>
      <x:c r="H783" s="11" t="n">
        <x:v>200</x:v>
      </x:c>
      <x:c r="I783" s="11" t="n">
        <x:v>1</x:v>
      </x:c>
      <x:c r="J783" s="4" t="str">
        <x:v>https://blog.skyairline.com/conciertos-argentina/</x:v>
      </x:c>
      <x:c r="K783" s="16" t="b">
        <x:v>0</x:v>
      </x:c>
      <x:c r="L783" s="11" t="n">
        <x:v>0</x:v>
      </x:c>
      <x:c r="M783" s="11" t="n">
        <x:v>0</x:v>
      </x:c>
      <x:c r="N783" s="4"/>
      <x:c r="O783" s="4"/>
      <x:c r="P783" s="11" t="n">
        <x:v>3</x:v>
      </x:c>
      <x:c r="Q783" s="11" t="n">
        <x:v>1</x:v>
      </x:c>
      <x:c r="R783" s="11" t="n">
        <x:f>IF(OR(P783="",Q783=""),"",Q783-P783)</x:f>
        <x:v>-2</x:v>
      </x:c>
      <x:c r="S783" s="13" t="n">
        <x:f>IF(OR(P783="",Q783="",P783=0),"",((Q783/30)/(P783/31))-1)</x:f>
        <x:v>-0.6555555555555556</x:v>
      </x:c>
      <x:c r="T783" s="11" t="n">
        <x:v>121</x:v>
      </x:c>
      <x:c r="U783" s="11" t="n">
        <x:v>165</x:v>
      </x:c>
      <x:c r="V783" s="14" t="n">
        <x:v>0.006060606060606061</x:v>
      </x:c>
      <x:c r="W783" s="12" t="n">
        <x:v>11.733333333333333</x:v>
      </x:c>
      <x:c r="X783" s="11" t="n">
        <x:v>2</x:v>
      </x:c>
      <x:c r="Y783" s="11" t="n">
        <x:v>3</x:v>
      </x:c>
      <x:c r="Z783" s="4" t="str">
        <x:v>https://blog.skyairline.com/conciertos-argentina/</x:v>
      </x:c>
      <x:c r="AA783" s="4" t="str">
        <x:v>https://blog.skyairline.com/conciertos-argentina/</x:v>
      </x:c>
      <x:c r="AB783" s="4" t="str">
        <x:v>Coincidencia URL</x:v>
      </x:c>
      <x:c r="AC783" s="4" t="str">
        <x:v>Publicado hasta septiembre</x:v>
      </x:c>
      <x:c r="AD783" s="4" t="str">
        <x:v>/conciertos-argentina/</x:v>
      </x:c>
      <x:c r="AE783" s="4"/>
      <x:c r="AF783" s="16" t="b">
        <x:v>1</x:v>
      </x:c>
    </x:row>
    <x:row r="784" ht="44" customHeight="1">
      <x:c r="A784" s="4" t="n">
        <x:v>4169</x:v>
      </x:c>
      <x:c r="B784" s="4" t="str">
        <x:v>https://blog.skyairline.com/maceio/</x:v>
      </x:c>
      <x:c r="C784" s="9" t="str">
        <x:v>Conoce Maceió, Brasil y sus playas de arena blanca</x:v>
      </x:c>
      <x:c r="D784" s="17" t="d">
        <x:v>2025-06-06T00:00:00.000Z</x:v>
      </x:c>
      <x:c r="E784" s="17" t="d">
        <x:v>2025-12-19T00:00:00.000Z</x:v>
      </x:c>
      <x:c r="F784" s="4" t="str">
        <x:v>Destinos</x:v>
      </x:c>
      <x:c r="G784" s="11" t="n">
        <x:v>1048</x:v>
      </x:c>
      <x:c r="H784" s="11" t="n">
        <x:v>200</x:v>
      </x:c>
      <x:c r="I784" s="11" t="n">
        <x:v>1</x:v>
      </x:c>
      <x:c r="J784" s="4" t="str">
        <x:v>https://blog.skyairline.com/maceio/</x:v>
      </x:c>
      <x:c r="K784" s="16" t="b">
        <x:v>0</x:v>
      </x:c>
      <x:c r="L784" s="11" t="n">
        <x:v>0</x:v>
      </x:c>
      <x:c r="M784" s="11" t="n">
        <x:v>0</x:v>
      </x:c>
      <x:c r="N784" s="4"/>
      <x:c r="O784" s="4"/>
      <x:c r="P784" s="11" t="n">
        <x:v>6</x:v>
      </x:c>
      <x:c r="Q784" s="11" t="n">
        <x:v>1</x:v>
      </x:c>
      <x:c r="R784" s="11" t="n">
        <x:f>IF(OR(P784="",Q784=""),"",Q784-P784)</x:f>
        <x:v>-5</x:v>
      </x:c>
      <x:c r="S784" s="13" t="n">
        <x:f>IF(OR(P784="",Q784="",P784=0),"",((Q784/30)/(P784/31))-1)</x:f>
        <x:v>-0.8277777777777777</x:v>
      </x:c>
      <x:c r="T784" s="11" t="n">
        <x:v>1165</x:v>
      </x:c>
      <x:c r="U784" s="11" t="n">
        <x:v>6293</x:v>
      </x:c>
      <x:c r="V784" s="14" t="n">
        <x:v>0.0001589067217543302</x:v>
      </x:c>
      <x:c r="W784" s="12" t="n">
        <x:v>8.325282059431114</x:v>
      </x:c>
      <x:c r="X784" s="11" t="n">
        <x:v>4</x:v>
      </x:c>
      <x:c r="Y784" s="11" t="n">
        <x:v>4</x:v>
      </x:c>
      <x:c r="Z784" s="4" t="str">
        <x:v>https://blog.skyairline.com/maceio/</x:v>
      </x:c>
      <x:c r="AA784" s="4" t="str">
        <x:v>https://blog.skyairline.com/maceio/</x:v>
      </x:c>
      <x:c r="AB784" s="4" t="str">
        <x:v>Coincidencia URL</x:v>
      </x:c>
      <x:c r="AC784" s="4" t="str">
        <x:v>Publicado hasta septiembre</x:v>
      </x:c>
      <x:c r="AD784" s="4" t="str">
        <x:v>/maceio/</x:v>
      </x:c>
      <x:c r="AE784" s="4"/>
      <x:c r="AF784" s="16" t="b">
        <x:v>0</x:v>
      </x:c>
    </x:row>
    <x:row r="785" ht="44" customHeight="1">
      <x:c r="A785" s="4" t="n">
        <x:v>4325</x:v>
      </x:c>
      <x:c r="B785" s="4" t="str">
        <x:v>https://blog.skyairline.com/santa-marta-colombia/</x:v>
      </x:c>
      <x:c r="C785" s="9" t="str">
        <x:v>Santa Marta, Colombia: conoce de primera mano la belleza de la ciudad caribeña con SKY</x:v>
      </x:c>
      <x:c r="D785" s="17" t="d">
        <x:v>2024-03-27T00:00:00.000Z</x:v>
      </x:c>
      <x:c r="E785" s="17" t="d">
        <x:v>2024-03-27T00:00:00.000Z</x:v>
      </x:c>
      <x:c r="F785" s="4" t="str">
        <x:v>Destinos</x:v>
      </x:c>
      <x:c r="G785" s="11" t="n">
        <x:v>1039</x:v>
      </x:c>
      <x:c r="H785" s="11" t="n">
        <x:v>200</x:v>
      </x:c>
      <x:c r="I785" s="11" t="n">
        <x:v>1</x:v>
      </x:c>
      <x:c r="J785" s="4" t="str">
        <x:v>https://blog.skyairline.com/santa-marta-colombia/</x:v>
      </x:c>
      <x:c r="K785" s="16" t="b">
        <x:v>0</x:v>
      </x:c>
      <x:c r="L785" s="11" t="n">
        <x:v>0</x:v>
      </x:c>
      <x:c r="M785" s="11" t="n">
        <x:v>3</x:v>
      </x:c>
      <x:c r="N785" s="4"/>
      <x:c r="O785" s="4"/>
      <x:c r="P785" s="11" t="n">
        <x:v>1</x:v>
      </x:c>
      <x:c r="Q785" s="11" t="n">
        <x:v>1</x:v>
      </x:c>
      <x:c r="R785" s="11" t="n">
        <x:f>IF(OR(P785="",Q785=""),"",Q785-P785)</x:f>
        <x:v>0</x:v>
      </x:c>
      <x:c r="S785" s="13" t="n">
        <x:f>IF(OR(P785="",Q785="",P785=0),"",((Q785/30)/(P785/31))-1)</x:f>
        <x:v>0.03333333333333344</x:v>
      </x:c>
      <x:c r="T785" s="11" t="n">
        <x:v>57</x:v>
      </x:c>
      <x:c r="U785" s="11" t="n">
        <x:v>13</x:v>
      </x:c>
      <x:c r="V785" s="14" t="n">
        <x:v>0.07692307692307693</x:v>
      </x:c>
      <x:c r="W785" s="12" t="n">
        <x:v>8.076923076923077</x:v>
      </x:c>
      <x:c r="X785" s="11" t="n">
        <x:v>1</x:v>
      </x:c>
      <x:c r="Y785" s="11" t="n">
        <x:v>1</x:v>
      </x:c>
      <x:c r="Z785" s="4" t="str">
        <x:v>https://blog.skyairline.com/santa-marta-colombia/</x:v>
      </x:c>
      <x:c r="AA785" s="4" t="str">
        <x:v>https://blog.skyairline.com/santa-marta-colombia/</x:v>
      </x:c>
      <x:c r="AB785" s="4" t="str">
        <x:v>Coincidencia URL</x:v>
      </x:c>
      <x:c r="AC785" s="4" t="str">
        <x:v>Publicado hasta septiembre</x:v>
      </x:c>
      <x:c r="AD785" s="4" t="str">
        <x:v>/santa-marta-colombia/</x:v>
      </x:c>
      <x:c r="AE785" s="4"/>
      <x:c r="AF785" s="16" t="b">
        <x:v>0</x:v>
      </x:c>
    </x:row>
    <x:row r="786" ht="44" customHeight="1">
      <x:c r="A786" s="4" t="n">
        <x:v>4400</x:v>
      </x:c>
      <x:c r="B786" s="4" t="str">
        <x:v>https://blog.skyairline.com/sky-lanza-nuevo-programa-de-fidelidad-sky-plus-2/</x:v>
      </x:c>
      <x:c r="C786" s="9" t="str">
        <x:v>SKY lanza nuevo programa de fidelidad “SKY Plus”</x:v>
      </x:c>
      <x:c r="D786" s="17" t="d">
        <x:v>2024-04-26T00:00:00.000Z</x:v>
      </x:c>
      <x:c r="E786" s="17" t="d">
        <x:v>2024-04-26T00:00:00.000Z</x:v>
      </x:c>
      <x:c r="F786" s="4" t="str">
        <x:v>Noticias</x:v>
      </x:c>
      <x:c r="G786" s="11" t="n">
        <x:v>544</x:v>
      </x:c>
      <x:c r="H786" s="11" t="n">
        <x:v>200</x:v>
      </x:c>
      <x:c r="I786" s="11" t="n">
        <x:v>1</x:v>
      </x:c>
      <x:c r="J786" s="4" t="str">
        <x:v>https://blog.skyairline.com/sky-lanza-nuevo-programa-de-fidelidad-sky-plus-2/</x:v>
      </x:c>
      <x:c r="K786" s="16" t="b">
        <x:v>0</x:v>
      </x:c>
      <x:c r="L786" s="11" t="n">
        <x:v>0</x:v>
      </x:c>
      <x:c r="M786" s="11" t="n">
        <x:v>0</x:v>
      </x:c>
      <x:c r="N786" s="4" t="str">
        <x:v>T12</x:v>
      </x:c>
      <x:c r="O786" s="4"/>
      <x:c r="P786" s="11" t="n">
        <x:v>1</x:v>
      </x:c>
      <x:c r="Q786" s="11" t="n">
        <x:v>1</x:v>
      </x:c>
      <x:c r="R786" s="11" t="n">
        <x:f>IF(OR(P786="",Q786=""),"",Q786-P786)</x:f>
        <x:v>0</x:v>
      </x:c>
      <x:c r="S786" s="13" t="n">
        <x:f>IF(OR(P786="",Q786="",P786=0),"",((Q786/30)/(P786/31))-1)</x:f>
        <x:v>0.03333333333333344</x:v>
      </x:c>
      <x:c r="T786" s="11" t="n">
        <x:v>187</x:v>
      </x:c>
      <x:c r="U786" s="11" t="n">
        <x:v>186</x:v>
      </x:c>
      <x:c r="V786" s="14" t="n">
        <x:v>0.005376344086021506</x:v>
      </x:c>
      <x:c r="W786" s="12" t="n">
        <x:v>6.548387096774194</x:v>
      </x:c>
      <x:c r="X786" s="11" t="n">
        <x:v>4</x:v>
      </x:c>
      <x:c r="Y786" s="11" t="n">
        <x:v>6</x:v>
      </x:c>
      <x:c r="Z786" s="4" t="str">
        <x:v>https://blog.skyairline.com/sky-lanza-nuevo-programa-de-fidelidad-sky-plus-2/</x:v>
      </x:c>
      <x:c r="AA786" s="4" t="str">
        <x:v>https://blog.skyairline.com/sky-lanza-nuevo-programa-de-fidelidad-sky-plus-2/</x:v>
      </x:c>
      <x:c r="AB786" s="4" t="str">
        <x:v>Coincidencia URL</x:v>
      </x:c>
      <x:c r="AC786" s="4" t="str">
        <x:v>Publicado hasta septiembre</x:v>
      </x:c>
      <x:c r="AD786" s="4" t="str">
        <x:v>/sky-lanza-nuevo-programa-de-fidelidad-sky-plus-2/</x:v>
      </x:c>
      <x:c r="AE786" s="4"/>
      <x:c r="AF786" s="16" t="b">
        <x:v>0</x:v>
      </x:c>
    </x:row>
    <x:row r="787" ht="44" customHeight="1">
      <x:c r="A787" s="4" t="n">
        <x:v>4476</x:v>
      </x:c>
      <x:c r="B787" s="4" t="str">
        <x:v>https://blog.skyairline.com/mochila-para-trekking/</x:v>
      </x:c>
      <x:c r="C787" s="9" t="str">
        <x:v>Aprende a armar una mochila para trekking a prueba de novatos</x:v>
      </x:c>
      <x:c r="D787" s="17" t="d">
        <x:v>2024-05-16T00:00:00.000Z</x:v>
      </x:c>
      <x:c r="E787" s="17" t="d">
        <x:v>2024-05-16T00:00:00.000Z</x:v>
      </x:c>
      <x:c r="F787" s="4" t="str">
        <x:v>Planificación de Viaje</x:v>
      </x:c>
      <x:c r="G787" s="11" t="n">
        <x:v>1152</x:v>
      </x:c>
      <x:c r="H787" s="11" t="n">
        <x:v>200</x:v>
      </x:c>
      <x:c r="I787" s="11" t="n">
        <x:v>1</x:v>
      </x:c>
      <x:c r="J787" s="4" t="str">
        <x:v>https://blog.skyairline.com/mochila-para-trekking/</x:v>
      </x:c>
      <x:c r="K787" s="16" t="b">
        <x:v>0</x:v>
      </x:c>
      <x:c r="L787" s="11" t="n">
        <x:v>0</x:v>
      </x:c>
      <x:c r="M787" s="11" t="n">
        <x:v>3</x:v>
      </x:c>
      <x:c r="N787" s="4"/>
      <x:c r="O787" s="4"/>
      <x:c r="P787" s="11" t="n">
        <x:v>1</x:v>
      </x:c>
      <x:c r="Q787" s="11" t="n">
        <x:v>1</x:v>
      </x:c>
      <x:c r="R787" s="11" t="n">
        <x:f>IF(OR(P787="",Q787=""),"",Q787-P787)</x:f>
        <x:v>0</x:v>
      </x:c>
      <x:c r="S787" s="13" t="n">
        <x:f>IF(OR(P787="",Q787="",P787=0),"",((Q787/30)/(P787/31))-1)</x:f>
        <x:v>0.03333333333333344</x:v>
      </x:c>
      <x:c r="T787" s="11" t="n">
        <x:v>319</x:v>
      </x:c>
      <x:c r="U787" s="11" t="n">
        <x:v>192</x:v>
      </x:c>
      <x:c r="V787" s="14" t="n">
        <x:v>0.005208333333333333</x:v>
      </x:c>
      <x:c r="W787" s="12" t="n">
        <x:v>12.59375</x:v>
      </x:c>
      <x:c r="X787" s="11" t="n">
        <x:v>1</x:v>
      </x:c>
      <x:c r="Y787" s="11" t="n">
        <x:v>1</x:v>
      </x:c>
      <x:c r="Z787" s="4" t="str">
        <x:v>https://blog.skyairline.com/mochila-para-trekking/</x:v>
      </x:c>
      <x:c r="AA787" s="4" t="str">
        <x:v>https://blog.skyairline.com/mochila-para-trekking/</x:v>
      </x:c>
      <x:c r="AB787" s="4" t="str">
        <x:v>Coincidencia URL</x:v>
      </x:c>
      <x:c r="AC787" s="4" t="str">
        <x:v>Publicado hasta septiembre</x:v>
      </x:c>
      <x:c r="AD787" s="4" t="str">
        <x:v>/mochila-para-trekking/</x:v>
      </x:c>
      <x:c r="AE787" s="4"/>
      <x:c r="AF787" s="16" t="b">
        <x:v>0</x:v>
      </x:c>
    </x:row>
    <x:row r="788" ht="44" customHeight="1">
      <x:c r="A788" s="4" t="n">
        <x:v>4485</x:v>
      </x:c>
      <x:c r="B788" s="4" t="str">
        <x:v>https://blog.skyairline.com/estadios-chile/</x:v>
      </x:c>
      <x:c r="C788" s="9" t="str">
        <x:v>¿Cuáles son los estadios de Chile que un fanático de los deportes debe visitar?</x:v>
      </x:c>
      <x:c r="D788" s="17" t="d">
        <x:v>2024-05-23T00:00:00.000Z</x:v>
      </x:c>
      <x:c r="E788" s="17" t="d">
        <x:v>2024-05-23T00:00:00.000Z</x:v>
      </x:c>
      <x:c r="F788" s="4" t="str">
        <x:v>Planificación de Viaje</x:v>
      </x:c>
      <x:c r="G788" s="11" t="n">
        <x:v>1058</x:v>
      </x:c>
      <x:c r="H788" s="11" t="n">
        <x:v>200</x:v>
      </x:c>
      <x:c r="I788" s="11" t="n">
        <x:v>1</x:v>
      </x:c>
      <x:c r="J788" s="4" t="str">
        <x:v>https://blog.skyairline.com/estadios-chile/</x:v>
      </x:c>
      <x:c r="K788" s="16" t="b">
        <x:v>0</x:v>
      </x:c>
      <x:c r="L788" s="11" t="n">
        <x:v>0</x:v>
      </x:c>
      <x:c r="M788" s="11" t="n">
        <x:v>3</x:v>
      </x:c>
      <x:c r="N788" s="4"/>
      <x:c r="O788" s="4"/>
      <x:c r="P788" s="11" t="n">
        <x:v>3</x:v>
      </x:c>
      <x:c r="Q788" s="11" t="n">
        <x:v>1</x:v>
      </x:c>
      <x:c r="R788" s="11" t="n">
        <x:f>IF(OR(P788="",Q788=""),"",Q788-P788)</x:f>
        <x:v>-2</x:v>
      </x:c>
      <x:c r="S788" s="13" t="n">
        <x:f>IF(OR(P788="",Q788="",P788=0),"",((Q788/30)/(P788/31))-1)</x:f>
        <x:v>-0.6555555555555556</x:v>
      </x:c>
      <x:c r="T788" s="11" t="n">
        <x:v>2322</x:v>
      </x:c>
      <x:c r="U788" s="11" t="n">
        <x:v>1032</x:v>
      </x:c>
      <x:c r="V788" s="14" t="n">
        <x:v>0.0009689922480620155</x:v>
      </x:c>
      <x:c r="W788" s="12" t="n">
        <x:v>10.723837209302326</x:v>
      </x:c>
      <x:c r="X788" s="11" t="n">
        <x:v>1</x:v>
      </x:c>
      <x:c r="Y788" s="11" t="n">
        <x:v>1</x:v>
      </x:c>
      <x:c r="Z788" s="4" t="str">
        <x:v>https://blog.skyairline.com/estadios-chile/</x:v>
      </x:c>
      <x:c r="AA788" s="4" t="str">
        <x:v>https://blog.skyairline.com/estadios-chile/</x:v>
      </x:c>
      <x:c r="AB788" s="4" t="str">
        <x:v>Coincidencia URL</x:v>
      </x:c>
      <x:c r="AC788" s="4" t="str">
        <x:v>Publicado hasta septiembre</x:v>
      </x:c>
      <x:c r="AD788" s="4" t="str">
        <x:v>/estadios-chile/</x:v>
      </x:c>
      <x:c r="AE788" s="4"/>
      <x:c r="AF788" s="16" t="b">
        <x:v>0</x:v>
      </x:c>
    </x:row>
    <x:row r="789" ht="44" customHeight="1">
      <x:c r="A789" s="4" t="n">
        <x:v>4641</x:v>
      </x:c>
      <x:c r="B789" s="4" t="str">
        <x:v>https://blog.skyairline.com/estadios-argentina/</x:v>
      </x:c>
      <x:c r="C789" s="9" t="str">
        <x:v>Estadios de Argentina: Vive la pasión del fútbol volando con SKY</x:v>
      </x:c>
      <x:c r="D789" s="17" t="d">
        <x:v>2024-06-06T00:00:00.000Z</x:v>
      </x:c>
      <x:c r="E789" s="17" t="d">
        <x:v>2024-06-06T00:00:00.000Z</x:v>
      </x:c>
      <x:c r="F789" s="4" t="str">
        <x:v>Buenos Aires</x:v>
      </x:c>
      <x:c r="G789" s="11" t="n">
        <x:v>1182</x:v>
      </x:c>
      <x:c r="H789" s="11" t="n">
        <x:v>200</x:v>
      </x:c>
      <x:c r="I789" s="11" t="n">
        <x:v>1</x:v>
      </x:c>
      <x:c r="J789" s="4" t="str">
        <x:v>https://blog.skyairline.com/estadios-argentina/</x:v>
      </x:c>
      <x:c r="K789" s="16" t="b">
        <x:v>0</x:v>
      </x:c>
      <x:c r="L789" s="11" t="n">
        <x:v>0</x:v>
      </x:c>
      <x:c r="M789" s="11" t="n">
        <x:v>2</x:v>
      </x:c>
      <x:c r="N789" s="4"/>
      <x:c r="O789" s="4"/>
      <x:c r="P789" s="11" t="n">
        <x:v>1</x:v>
      </x:c>
      <x:c r="Q789" s="11" t="n">
        <x:v>1</x:v>
      </x:c>
      <x:c r="R789" s="11" t="n">
        <x:f>IF(OR(P789="",Q789=""),"",Q789-P789)</x:f>
        <x:v>0</x:v>
      </x:c>
      <x:c r="S789" s="13" t="n">
        <x:f>IF(OR(P789="",Q789="",P789=0),"",((Q789/30)/(P789/31))-1)</x:f>
        <x:v>0.03333333333333344</x:v>
      </x:c>
      <x:c r="T789" s="11" t="n">
        <x:v>302</x:v>
      </x:c>
      <x:c r="U789" s="11" t="n">
        <x:v>165</x:v>
      </x:c>
      <x:c r="V789" s="14" t="n">
        <x:v>0.006060606060606061</x:v>
      </x:c>
      <x:c r="W789" s="12" t="n">
        <x:v>13.981818181818182</x:v>
      </x:c>
      <x:c r="X789" s="11" t="n">
        <x:v>1</x:v>
      </x:c>
      <x:c r="Y789" s="11" t="n">
        <x:v>1</x:v>
      </x:c>
      <x:c r="Z789" s="4" t="str">
        <x:v>https://blog.skyairline.com/estadios-argentina/</x:v>
      </x:c>
      <x:c r="AA789" s="4" t="str">
        <x:v>https://blog.skyairline.com/estadios-argentina/</x:v>
      </x:c>
      <x:c r="AB789" s="4" t="str">
        <x:v>Coincidencia URL</x:v>
      </x:c>
      <x:c r="AC789" s="4" t="str">
        <x:v>Publicado hasta septiembre</x:v>
      </x:c>
      <x:c r="AD789" s="4" t="str">
        <x:v>/estadios-argentina/</x:v>
      </x:c>
      <x:c r="AE789" s="4"/>
      <x:c r="AF789" s="16" t="b">
        <x:v>0</x:v>
      </x:c>
    </x:row>
    <x:row r="790" ht="44" customHeight="1">
      <x:c r="A790" s="4" t="n">
        <x:v>4667</x:v>
      </x:c>
      <x:c r="B790" s="4" t="str">
        <x:v>https://blog.skyairline.com/desierto-ica/</x:v>
      </x:c>
      <x:c r="C790" s="9" t="str">
        <x:v>El desierto de Ica y sus maravillas: Una escapada perfecta</x:v>
      </x:c>
      <x:c r="D790" s="17" t="d">
        <x:v>2026-04-17T00:00:00.000Z</x:v>
      </x:c>
      <x:c r="E790" s="17" t="d">
        <x:v>2026-04-13T00:00:00.000Z</x:v>
      </x:c>
      <x:c r="F790" s="4" t="str">
        <x:v>Destinos</x:v>
      </x:c>
      <x:c r="G790" s="11" t="n">
        <x:v>1052</x:v>
      </x:c>
      <x:c r="H790" s="11" t="n">
        <x:v>200</x:v>
      </x:c>
      <x:c r="I790" s="11" t="n">
        <x:v>1</x:v>
      </x:c>
      <x:c r="J790" s="4" t="str">
        <x:v>https://blog.skyairline.com/desierto-ica/</x:v>
      </x:c>
      <x:c r="K790" s="16" t="b">
        <x:v>0</x:v>
      </x:c>
      <x:c r="L790" s="11" t="n">
        <x:v>0</x:v>
      </x:c>
      <x:c r="M790" s="11" t="n">
        <x:v>0</x:v>
      </x:c>
      <x:c r="N790" s="4"/>
      <x:c r="O790" s="4"/>
      <x:c r="P790" s="11" t="n">
        <x:v>2</x:v>
      </x:c>
      <x:c r="Q790" s="11" t="n">
        <x:v>1</x:v>
      </x:c>
      <x:c r="R790" s="11" t="n">
        <x:f>IF(OR(P790="",Q790=""),"",Q790-P790)</x:f>
        <x:v>-1</x:v>
      </x:c>
      <x:c r="S790" s="13" t="n">
        <x:f>IF(OR(P790="",Q790="",P790=0),"",((Q790/30)/(P790/31))-1)</x:f>
        <x:v>-0.4833333333333333</x:v>
      </x:c>
      <x:c r="T790" s="11" t="n">
        <x:v>1071</x:v>
      </x:c>
      <x:c r="U790" s="11" t="n">
        <x:v>1435</x:v>
      </x:c>
      <x:c r="V790" s="14" t="n">
        <x:v>0.0006968641114982578</x:v>
      </x:c>
      <x:c r="W790" s="12" t="n">
        <x:v>9.518466898954705</x:v>
      </x:c>
      <x:c r="X790" s="11" t="n">
        <x:v>2</x:v>
      </x:c>
      <x:c r="Y790" s="11" t="n">
        <x:v>2</x:v>
      </x:c>
      <x:c r="Z790" s="4" t="str">
        <x:v>https://blog.skyairline.com/desierto-ica/</x:v>
      </x:c>
      <x:c r="AA790" s="4" t="str">
        <x:v>https://blog.skyairline.com/desierto-ica/</x:v>
      </x:c>
      <x:c r="AB790" s="4" t="str">
        <x:v>Coincidencia URL</x:v>
      </x:c>
      <x:c r="AC790" s="4" t="str">
        <x:v>Publicado hasta septiembre</x:v>
      </x:c>
      <x:c r="AD790" s="4" t="str">
        <x:v>/desierto-ica/</x:v>
      </x:c>
      <x:c r="AE790" s="4"/>
      <x:c r="AF790" s="16" t="b">
        <x:v>0</x:v>
      </x:c>
    </x:row>
    <x:row r="791" ht="44" customHeight="1">
      <x:c r="A791" s="4" t="n">
        <x:v>4736</x:v>
      </x:c>
      <x:c r="B791" s="4" t="str">
        <x:v>https://blog.skyairline.com/lugares-nieve-chile-conocer-sky/</x:v>
      </x:c>
      <x:c r="C791" s="9" t="str">
        <x:v>Lugares con nieve en Chile que puedes conocer con SKY</x:v>
      </x:c>
      <x:c r="D791" s="17" t="d">
        <x:v>2024-07-12T00:00:00.000Z</x:v>
      </x:c>
      <x:c r="E791" s="17" t="d">
        <x:v>2024-07-12T00:00:00.000Z</x:v>
      </x:c>
      <x:c r="F791" s="4" t="str">
        <x:v>Destinos</x:v>
      </x:c>
      <x:c r="G791" s="11" t="n">
        <x:v>1174</x:v>
      </x:c>
      <x:c r="H791" s="11" t="n">
        <x:v>200</x:v>
      </x:c>
      <x:c r="I791" s="11" t="n">
        <x:v>1</x:v>
      </x:c>
      <x:c r="J791" s="4" t="str">
        <x:v>https://blog.skyairline.com/lugares-nieve-chile-conocer-sky/</x:v>
      </x:c>
      <x:c r="K791" s="16" t="b">
        <x:v>0</x:v>
      </x:c>
      <x:c r="L791" s="11" t="n">
        <x:v>0</x:v>
      </x:c>
      <x:c r="M791" s="11" t="n">
        <x:v>3</x:v>
      </x:c>
      <x:c r="N791" s="4"/>
      <x:c r="O791" s="4"/>
      <x:c r="P791" s="11" t="n">
        <x:v>1</x:v>
      </x:c>
      <x:c r="Q791" s="11" t="n">
        <x:v>1</x:v>
      </x:c>
      <x:c r="R791" s="11" t="n">
        <x:f>IF(OR(P791="",Q791=""),"",Q791-P791)</x:f>
        <x:v>0</x:v>
      </x:c>
      <x:c r="S791" s="13" t="n">
        <x:f>IF(OR(P791="",Q791="",P791=0),"",((Q791/30)/(P791/31))-1)</x:f>
        <x:v>0.03333333333333344</x:v>
      </x:c>
      <x:c r="T791" s="11" t="n">
        <x:v>411</x:v>
      </x:c>
      <x:c r="U791" s="11" t="n">
        <x:v>306</x:v>
      </x:c>
      <x:c r="V791" s="14" t="n">
        <x:v>0.0032679738562091504</x:v>
      </x:c>
      <x:c r="W791" s="12" t="n">
        <x:v>16.019607843137255</x:v>
      </x:c>
      <x:c r="X791" s="11" t="n">
        <x:v>9</x:v>
      </x:c>
      <x:c r="Y791" s="11" t="n">
        <x:v>11</x:v>
      </x:c>
      <x:c r="Z791" s="4" t="str">
        <x:v>https://blog.skyairline.com/lugares-nieve-chile-conocer-sky/</x:v>
      </x:c>
      <x:c r="AA791" s="4" t="str">
        <x:v>https://blog.skyairline.com/lugares-nieve-chile-conocer-sky/</x:v>
      </x:c>
      <x:c r="AB791" s="4" t="str">
        <x:v>Coincidencia URL</x:v>
      </x:c>
      <x:c r="AC791" s="4" t="str">
        <x:v>Publicado hasta septiembre</x:v>
      </x:c>
      <x:c r="AD791" s="4" t="str">
        <x:v>/lugares-nieve-chile-conocer-sky/</x:v>
      </x:c>
      <x:c r="AE791" s="4"/>
      <x:c r="AF791" s="16" t="b">
        <x:v>0</x:v>
      </x:c>
    </x:row>
    <x:row r="792" ht="44" customHeight="1">
      <x:c r="A792" s="4" t="n">
        <x:v>4740</x:v>
      </x:c>
      <x:c r="B792" s="4" t="str">
        <x:v>https://blog.skyairline.com/ropa-para-nieve/</x:v>
      </x:c>
      <x:c r="C792" s="9" t="str">
        <x:v>Ropa para ir a la nieve con tus hijos que no te puede faltar en tus vacaciones</x:v>
      </x:c>
      <x:c r="D792" s="17" t="d">
        <x:v>2024-07-11T00:00:00.000Z</x:v>
      </x:c>
      <x:c r="E792" s="17" t="d">
        <x:v>2024-07-11T00:00:00.000Z</x:v>
      </x:c>
      <x:c r="F792" s="4" t="str">
        <x:v>Planificación de Viaje</x:v>
      </x:c>
      <x:c r="G792" s="11" t="n">
        <x:v>1076</x:v>
      </x:c>
      <x:c r="H792" s="11" t="n">
        <x:v>200</x:v>
      </x:c>
      <x:c r="I792" s="11" t="n">
        <x:v>1</x:v>
      </x:c>
      <x:c r="J792" s="4" t="str">
        <x:v>https://blog.skyairline.com/ropa-para-nieve/</x:v>
      </x:c>
      <x:c r="K792" s="16" t="b">
        <x:v>0</x:v>
      </x:c>
      <x:c r="L792" s="11" t="n">
        <x:v>0</x:v>
      </x:c>
      <x:c r="M792" s="11" t="n">
        <x:v>3</x:v>
      </x:c>
      <x:c r="N792" s="4"/>
      <x:c r="O792" s="4"/>
      <x:c r="P792" s="11" t="n">
        <x:v>1</x:v>
      </x:c>
      <x:c r="Q792" s="11" t="n">
        <x:v>1</x:v>
      </x:c>
      <x:c r="R792" s="11" t="n">
        <x:f>IF(OR(P792="",Q792=""),"",Q792-P792)</x:f>
        <x:v>0</x:v>
      </x:c>
      <x:c r="S792" s="13" t="n">
        <x:f>IF(OR(P792="",Q792="",P792=0),"",((Q792/30)/(P792/31))-1)</x:f>
        <x:v>0.03333333333333344</x:v>
      </x:c>
      <x:c r="T792" s="11" t="n">
        <x:v>547</x:v>
      </x:c>
      <x:c r="U792" s="11" t="n">
        <x:v>150</x:v>
      </x:c>
      <x:c r="V792" s="14" t="n">
        <x:v>0.006666666666666667</x:v>
      </x:c>
      <x:c r="W792" s="12" t="n">
        <x:v>8.326666666666668</x:v>
      </x:c>
      <x:c r="X792" s="11" t="n">
        <x:v>1</x:v>
      </x:c>
      <x:c r="Y792" s="11" t="n">
        <x:v>3</x:v>
      </x:c>
      <x:c r="Z792" s="4" t="str">
        <x:v>https://blog.skyairline.com/ropa-para-nieve/</x:v>
      </x:c>
      <x:c r="AA792" s="4" t="str">
        <x:v>https://blog.skyairline.com/ropa-para-nieve/</x:v>
      </x:c>
      <x:c r="AB792" s="4" t="str">
        <x:v>Coincidencia URL</x:v>
      </x:c>
      <x:c r="AC792" s="4" t="str">
        <x:v>Publicado hasta septiembre</x:v>
      </x:c>
      <x:c r="AD792" s="4" t="str">
        <x:v>/ropa-para-nieve/</x:v>
      </x:c>
      <x:c r="AE792" s="4"/>
      <x:c r="AF792" s="16" t="b">
        <x:v>0</x:v>
      </x:c>
    </x:row>
    <x:row r="793" ht="44" customHeight="1">
      <x:c r="A793" s="4" t="n">
        <x:v>4749</x:v>
      </x:c>
      <x:c r="B793" s="4" t="str">
        <x:v>https://blog.skyairline.com/sky-es-reconocida-por-cuarta-vez-como-la-mejor-low-cost-de-sudamerica-en-ranking-de-aviacion-mundial/</x:v>
      </x:c>
      <x:c r="C793" s="9" t="str">
        <x:v>SKY es reconocida por cuarta vez como la mejor low cost de Sudamérica en ranking de aviación mundial</x:v>
      </x:c>
      <x:c r="D793" s="17" t="d">
        <x:v>2024-07-04T00:00:00.000Z</x:v>
      </x:c>
      <x:c r="E793" s="17" t="d">
        <x:v>2024-07-04T00:00:00.000Z</x:v>
      </x:c>
      <x:c r="F793" s="4" t="str">
        <x:v>Noticias</x:v>
      </x:c>
      <x:c r="G793" s="11" t="n">
        <x:v>304</x:v>
      </x:c>
      <x:c r="H793" s="11" t="n">
        <x:v>200</x:v>
      </x:c>
      <x:c r="I793" s="11" t="n">
        <x:v>1</x:v>
      </x:c>
      <x:c r="J793" s="4" t="str">
        <x:v>https://blog.skyairline.com/sky-es-reconocida-por-cuarta-vez-como-la-mejor-low-cost-de-sudamerica-en-ranking-de-aviacion-mundial/</x:v>
      </x:c>
      <x:c r="K793" s="16" t="b">
        <x:v>0</x:v>
      </x:c>
      <x:c r="L793" s="11" t="n">
        <x:v>0</x:v>
      </x:c>
      <x:c r="M793" s="11" t="n">
        <x:v>0</x:v>
      </x:c>
      <x:c r="N793" s="4" t="str">
        <x:v>T11</x:v>
      </x:c>
      <x:c r="O793" s="4" t="str">
        <x:v>C06</x:v>
      </x:c>
      <x:c r="P793" s="11" t="n">
        <x:v>1</x:v>
      </x:c>
      <x:c r="Q793" s="11" t="n">
        <x:v>1</x:v>
      </x:c>
      <x:c r="R793" s="11" t="n">
        <x:f>IF(OR(P793="",Q793=""),"",Q793-P793)</x:f>
        <x:v>0</x:v>
      </x:c>
      <x:c r="S793" s="13" t="n">
        <x:f>IF(OR(P793="",Q793="",P793=0),"",((Q793/30)/(P793/31))-1)</x:f>
        <x:v>0.03333333333333344</x:v>
      </x:c>
      <x:c r="T793" s="11" t="n">
        <x:v>65</x:v>
      </x:c>
      <x:c r="U793" s="11" t="n">
        <x:v>85</x:v>
      </x:c>
      <x:c r="V793" s="14" t="n">
        <x:v>0.011764705882352941</x:v>
      </x:c>
      <x:c r="W793" s="12" t="n">
        <x:v>5.352941176470588</x:v>
      </x:c>
      <x:c r="X793" s="11" t="n">
        <x:v>3</x:v>
      </x:c>
      <x:c r="Y793" s="11" t="n">
        <x:v>3</x:v>
      </x:c>
      <x:c r="Z793" s="4" t="str">
        <x:v>https://blog.skyairline.com/sky-es-reconocida-por-cuarta-vez-como-la-mejor-low-cost-de-sudamerica-en-ranking-de-aviacion-mundial/</x:v>
      </x:c>
      <x:c r="AA793" s="4" t="str">
        <x:v>https://blog.skyairline.com/sky-es-reconocida-por-cuarta-vez-como-la-mejor-low-cost-de-sudamerica-en-ranking-de-aviacion-mundial/</x:v>
      </x:c>
      <x:c r="AB793" s="4" t="str">
        <x:v>Coincidencia URL</x:v>
      </x:c>
      <x:c r="AC793" s="4" t="str">
        <x:v>Publicado hasta septiembre</x:v>
      </x:c>
      <x:c r="AD793" s="4" t="str">
        <x:v>/sky-es-reconocida-por-cuarta-vez-como-la-mejor-low-cost-de-sudamerica-en-ranking-de-aviacion-mundial/</x:v>
      </x:c>
      <x:c r="AE793" s="4"/>
      <x:c r="AF793" s="16" t="b">
        <x:v>0</x:v>
      </x:c>
    </x:row>
    <x:row r="794" ht="44" customHeight="1">
      <x:c r="A794" s="4" t="n">
        <x:v>4758</x:v>
      </x:c>
      <x:c r="B794" s="4" t="str">
        <x:v>https://blog.skyairline.com/la-roja-y-sky-compensaran-las-emisiones-de-los-vuelos-de-la-seleccion-chilena/</x:v>
      </x:c>
      <x:c r="C794" s="9" t="str">
        <x:v>La Roja y SKY compensarán las emisiones de los vuelos de la selección chilena</x:v>
      </x:c>
      <x:c r="D794" s="17" t="d">
        <x:v>2024-07-02T00:00:00.000Z</x:v>
      </x:c>
      <x:c r="E794" s="17" t="d">
        <x:v>2024-07-02T00:00:00.000Z</x:v>
      </x:c>
      <x:c r="F794" s="4" t="str">
        <x:v>Compromiso SKY, Noticias</x:v>
      </x:c>
      <x:c r="G794" s="11" t="n">
        <x:v>408</x:v>
      </x:c>
      <x:c r="H794" s="11" t="n">
        <x:v>200</x:v>
      </x:c>
      <x:c r="I794" s="11" t="n">
        <x:v>1</x:v>
      </x:c>
      <x:c r="J794" s="4" t="str">
        <x:v>https://blog.skyairline.com/la-roja-y-sky-compensaran-las-emisiones-de-los-vuelos-de-la-seleccion-chilena/</x:v>
      </x:c>
      <x:c r="K794" s="16" t="b">
        <x:v>0</x:v>
      </x:c>
      <x:c r="L794" s="11" t="n">
        <x:v>0</x:v>
      </x:c>
      <x:c r="M794" s="11" t="n">
        <x:v>0</x:v>
      </x:c>
      <x:c r="N794" s="4"/>
      <x:c r="O794" s="4"/>
      <x:c r="P794" s="11" t="n">
        <x:v>0</x:v>
      </x:c>
      <x:c r="Q794" s="11" t="n">
        <x:v>1</x:v>
      </x:c>
      <x:c r="R794" s="11" t="str">
        <x:f>IF(OR(P794="",Q794=""),"",Q794-P794)</x:f>
      </x:c>
      <x:c r="S794" s="13" t="str">
        <x:f>IF(OR(P794="",Q794="",P794=0),"",((Q794/30)/(P794/31))-1)</x:f>
      </x:c>
      <x:c r="T794" s="11" t="n">
        <x:v>13</x:v>
      </x:c>
      <x:c r="U794" s="11" t="n">
        <x:v>15</x:v>
      </x:c>
      <x:c r="V794" s="14" t="n">
        <x:v>0.06666666666666667</x:v>
      </x:c>
      <x:c r="W794" s="12" t="n">
        <x:v>11.733333333333333</x:v>
      </x:c>
      <x:c r="X794" s="11" t="n">
        <x:v>1</x:v>
      </x:c>
      <x:c r="Y794" s="11" t="n">
        <x:v>1</x:v>
      </x:c>
      <x:c r="Z794" s="4" t="str">
        <x:v>https://blog.skyairline.com/la-roja-y-sky-compensaran-las-emisiones-de-los-vuelos-de-la-seleccion-chilena/</x:v>
      </x:c>
      <x:c r="AA794" s="4" t="str">
        <x:v>https://blog.skyairline.com/la-roja-y-sky-compensaran-las-emisiones-de-los-vuelos-de-la-seleccion-chilena/</x:v>
      </x:c>
      <x:c r="AB794" s="4" t="str">
        <x:v>Coincidencia URL</x:v>
      </x:c>
      <x:c r="AC794" s="4" t="str">
        <x:v>Publicado hasta septiembre</x:v>
      </x:c>
      <x:c r="AD794" s="4" t="str">
        <x:v>/la-roja-y-sky-compensaran-las-emisiones-de-los-vuelos-de-la-seleccion-chilena/</x:v>
      </x:c>
      <x:c r="AE794" s="4"/>
      <x:c r="AF794" s="16" t="b">
        <x:v>0</x:v>
      </x:c>
    </x:row>
    <x:row r="795" ht="44" customHeight="1">
      <x:c r="A795" s="4" t="n">
        <x:v>4761</x:v>
      </x:c>
      <x:c r="B795" s="4" t="str">
        <x:v>https://blog.skyairline.com/sky-es-reconocida-por-cuarta-vez-como-la-mejor-low-cost-de-sudamerica-en-ranking-de-aviacion-mundial-2/</x:v>
      </x:c>
      <x:c r="C795" s="9" t="str">
        <x:v>SKY es reconocida por cuarta vez como la mejor low cost de Sudamérica en ranking de aviación mundial</x:v>
      </x:c>
      <x:c r="D795" s="17" t="d">
        <x:v>2024-06-30T00:00:00.000Z</x:v>
      </x:c>
      <x:c r="E795" s="17" t="d">
        <x:v>2024-06-30T00:00:00.000Z</x:v>
      </x:c>
      <x:c r="F795" s="4" t="str">
        <x:v>Noticias</x:v>
      </x:c>
      <x:c r="G795" s="11" t="n">
        <x:v>304</x:v>
      </x:c>
      <x:c r="H795" s="11" t="n">
        <x:v>200</x:v>
      </x:c>
      <x:c r="I795" s="11" t="n">
        <x:v>1</x:v>
      </x:c>
      <x:c r="J795" s="4" t="str">
        <x:v>https://blog.skyairline.com/sky-es-reconocida-por-cuarta-vez-como-la-mejor-low-cost-de-sudamerica-en-ranking-de-aviacion-mundial-2/</x:v>
      </x:c>
      <x:c r="K795" s="16" t="b">
        <x:v>0</x:v>
      </x:c>
      <x:c r="L795" s="11" t="n">
        <x:v>0</x:v>
      </x:c>
      <x:c r="M795" s="11" t="n">
        <x:v>0</x:v>
      </x:c>
      <x:c r="N795" s="4" t="str">
        <x:v>T11</x:v>
      </x:c>
      <x:c r="O795" s="4" t="str">
        <x:v>C06</x:v>
      </x:c>
      <x:c r="P795" s="11" t="n">
        <x:v>1</x:v>
      </x:c>
      <x:c r="Q795" s="11" t="n">
        <x:v>1</x:v>
      </x:c>
      <x:c r="R795" s="11" t="n">
        <x:f>IF(OR(P795="",Q795=""),"",Q795-P795)</x:f>
        <x:v>0</x:v>
      </x:c>
      <x:c r="S795" s="13" t="n">
        <x:f>IF(OR(P795="",Q795="",P795=0),"",((Q795/30)/(P795/31))-1)</x:f>
        <x:v>0.03333333333333344</x:v>
      </x:c>
      <x:c r="T795" s="11" t="n">
        <x:v>45</x:v>
      </x:c>
      <x:c r="U795" s="11" t="n">
        <x:v>46</x:v>
      </x:c>
      <x:c r="V795" s="14" t="n">
        <x:v>0.021739130434782608</x:v>
      </x:c>
      <x:c r="W795" s="12" t="n">
        <x:v>4.934782608695652</x:v>
      </x:c>
      <x:c r="X795" s="11"/>
      <x:c r="Y795" s="11"/>
      <x:c r="Z795" s="4" t="str">
        <x:v>https://blog.skyairline.com/sky-es-reconocida-por-cuarta-vez-como-la-mejor-low-cost-de-sudamerica-en-ranking-de-aviacion-mundial-2/</x:v>
      </x:c>
      <x:c r="AA795" s="4" t="str">
        <x:v>https://blog.skyairline.com/sky-es-reconocida-por-cuarta-vez-como-la-mejor-low-cost-de-sudamerica-en-ranking-de-aviacion-mundial-2/</x:v>
      </x:c>
      <x:c r="AB795" s="4" t="str">
        <x:v>Coincidencia URL</x:v>
      </x:c>
      <x:c r="AC795" s="4" t="str">
        <x:v>Publicado hasta septiembre</x:v>
      </x:c>
      <x:c r="AD795" s="4"/>
      <x:c r="AE795" s="4"/>
      <x:c r="AF795" s="16" t="b">
        <x:v>0</x:v>
      </x:c>
    </x:row>
    <x:row r="796" ht="44" customHeight="1">
      <x:c r="A796" s="4" t="n">
        <x:v>4804</x:v>
      </x:c>
      <x:c r="B796" s="4" t="str">
        <x:v>https://blog.skyairline.com/termas-sol/</x:v>
      </x:c>
      <x:c r="C796" s="9" t="str">
        <x:v>Conoce las termas del Sol</x:v>
      </x:c>
      <x:c r="D796" s="17" t="d">
        <x:v>2026-08-10T00:00:00.000Z</x:v>
      </x:c>
      <x:c r="E796" s="17" t="d">
        <x:v>2026-08-06T00:00:00.000Z</x:v>
      </x:c>
      <x:c r="F796" s="4" t="str">
        <x:v>Planificación de Viaje</x:v>
      </x:c>
      <x:c r="G796" s="11" t="n">
        <x:v>1071</x:v>
      </x:c>
      <x:c r="H796" s="11" t="n">
        <x:v>200</x:v>
      </x:c>
      <x:c r="I796" s="11" t="n">
        <x:v>1</x:v>
      </x:c>
      <x:c r="J796" s="4" t="str">
        <x:v>https://blog.skyairline.com/termas-sol/</x:v>
      </x:c>
      <x:c r="K796" s="16" t="b">
        <x:v>0</x:v>
      </x:c>
      <x:c r="L796" s="11" t="n">
        <x:v>0</x:v>
      </x:c>
      <x:c r="M796" s="11" t="n">
        <x:v>0</x:v>
      </x:c>
      <x:c r="N796" s="4"/>
      <x:c r="O796" s="4"/>
      <x:c r="P796" s="11" t="n">
        <x:v>7</x:v>
      </x:c>
      <x:c r="Q796" s="11" t="n">
        <x:v>1</x:v>
      </x:c>
      <x:c r="R796" s="11" t="n">
        <x:f>IF(OR(P796="",Q796=""),"",Q796-P796)</x:f>
        <x:v>-6</x:v>
      </x:c>
      <x:c r="S796" s="13" t="n">
        <x:f>IF(OR(P796="",Q796="",P796=0),"",((Q796/30)/(P796/31))-1)</x:f>
        <x:v>-0.8523809523809524</x:v>
      </x:c>
      <x:c r="T796" s="11" t="n">
        <x:v>4701</x:v>
      </x:c>
      <x:c r="U796" s="11" t="n">
        <x:v>1599</x:v>
      </x:c>
      <x:c r="V796" s="14" t="n">
        <x:v>0.0006253908692933083</x:v>
      </x:c>
      <x:c r="W796" s="12" t="n">
        <x:v>9.196998123827392</x:v>
      </x:c>
      <x:c r="X796" s="11" t="n">
        <x:v>2</x:v>
      </x:c>
      <x:c r="Y796" s="11" t="n">
        <x:v>2</x:v>
      </x:c>
      <x:c r="Z796" s="4" t="str">
        <x:v>https://blog.skyairline.com/termas-sol/</x:v>
      </x:c>
      <x:c r="AA796" s="4" t="str">
        <x:v>https://blog.skyairline.com/termas-sol/</x:v>
      </x:c>
      <x:c r="AB796" s="4" t="str">
        <x:v>Coincidencia URL</x:v>
      </x:c>
      <x:c r="AC796" s="4" t="str">
        <x:v>Publicado hasta septiembre</x:v>
      </x:c>
      <x:c r="AD796" s="4" t="str">
        <x:v>/termas-sol/</x:v>
      </x:c>
      <x:c r="AE796" s="4"/>
      <x:c r="AF796" s="16" t="b">
        <x:v>0</x:v>
      </x:c>
    </x:row>
    <x:row r="797" ht="44" customHeight="1">
      <x:c r="A797" s="4" t="n">
        <x:v>4831</x:v>
      </x:c>
      <x:c r="B797" s="4" t="str">
        <x:v>https://blog.skyairline.com/brasilia-que-hacer/</x:v>
      </x:c>
      <x:c r="C797" s="9" t="str">
        <x:v>Descubre qué hacer en Brasilia en tu próximo viaje con SKY</x:v>
      </x:c>
      <x:c r="D797" s="17" t="d">
        <x:v>2024-07-30T00:00:00.000Z</x:v>
      </x:c>
      <x:c r="E797" s="17" t="d">
        <x:v>2024-07-30T00:00:00.000Z</x:v>
      </x:c>
      <x:c r="F797" s="4" t="str">
        <x:v>Destinos</x:v>
      </x:c>
      <x:c r="G797" s="11" t="n">
        <x:v>1007</x:v>
      </x:c>
      <x:c r="H797" s="11" t="n">
        <x:v>200</x:v>
      </x:c>
      <x:c r="I797" s="11" t="n">
        <x:v>1</x:v>
      </x:c>
      <x:c r="J797" s="4" t="str">
        <x:v>https://blog.skyairline.com/brasilia-que-hacer/</x:v>
      </x:c>
      <x:c r="K797" s="16" t="b">
        <x:v>0</x:v>
      </x:c>
      <x:c r="L797" s="11" t="n">
        <x:v>0</x:v>
      </x:c>
      <x:c r="M797" s="11" t="n">
        <x:v>3</x:v>
      </x:c>
      <x:c r="N797" s="4"/>
      <x:c r="O797" s="4"/>
      <x:c r="P797" s="11" t="n">
        <x:v>1</x:v>
      </x:c>
      <x:c r="Q797" s="11" t="n">
        <x:v>1</x:v>
      </x:c>
      <x:c r="R797" s="11" t="n">
        <x:f>IF(OR(P797="",Q797=""),"",Q797-P797)</x:f>
        <x:v>0</x:v>
      </x:c>
      <x:c r="S797" s="13" t="n">
        <x:f>IF(OR(P797="",Q797="",P797=0),"",((Q797/30)/(P797/31))-1)</x:f>
        <x:v>0.03333333333333344</x:v>
      </x:c>
      <x:c r="T797" s="11" t="n">
        <x:v>314</x:v>
      </x:c>
      <x:c r="U797" s="11" t="n">
        <x:v>213</x:v>
      </x:c>
      <x:c r="V797" s="14" t="n">
        <x:v>0.004694835680751174</x:v>
      </x:c>
      <x:c r="W797" s="12" t="n">
        <x:v>20.962441314553992</x:v>
      </x:c>
      <x:c r="X797" s="11" t="n">
        <x:v>1</x:v>
      </x:c>
      <x:c r="Y797" s="11" t="n">
        <x:v>1</x:v>
      </x:c>
      <x:c r="Z797" s="4" t="str">
        <x:v>https://blog.skyairline.com/brasilia-que-hacer/</x:v>
      </x:c>
      <x:c r="AA797" s="4" t="str">
        <x:v>https://blog.skyairline.com/brasilia-que-hacer/</x:v>
      </x:c>
      <x:c r="AB797" s="4" t="str">
        <x:v>Coincidencia URL</x:v>
      </x:c>
      <x:c r="AC797" s="4" t="str">
        <x:v>Publicado hasta septiembre</x:v>
      </x:c>
      <x:c r="AD797" s="4" t="str">
        <x:v>/brasilia-que-hacer/</x:v>
      </x:c>
      <x:c r="AE797" s="4"/>
      <x:c r="AF797" s="16" t="b">
        <x:v>0</x:v>
      </x:c>
    </x:row>
    <x:row r="798" ht="44" customHeight="1">
      <x:c r="A798" s="4" t="n">
        <x:v>4846</x:v>
      </x:c>
      <x:c r="B798" s="4" t="str">
        <x:v>https://blog.skyairline.com/pensando-en-viajar-fuera-de-chile-para-los-fines-de-semanas-largos-sky-recomienda-6-destinos-para-disfrutar-a-menos-de-4-horas-de-vuelo/</x:v>
      </x:c>
      <x:c r="C798" s="9" t="str">
        <x:v>¿Pensando en viajar fuera de Chile para los fines de semanas largos? SKY recomienda 6 destinos para disfrutar a menos de 4 horas de vuelo</x:v>
      </x:c>
      <x:c r="D798" s="17" t="d">
        <x:v>2024-07-28T00:00:00.000Z</x:v>
      </x:c>
      <x:c r="E798" s="17" t="d">
        <x:v>2024-07-28T00:00:00.000Z</x:v>
      </x:c>
      <x:c r="F798" s="4" t="str">
        <x:v>Destinos</x:v>
      </x:c>
      <x:c r="G798" s="11" t="n">
        <x:v>568</x:v>
      </x:c>
      <x:c r="H798" s="11" t="n">
        <x:v>200</x:v>
      </x:c>
      <x:c r="I798" s="11" t="n">
        <x:v>1</x:v>
      </x:c>
      <x:c r="J798" s="4" t="str">
        <x:v>https://blog.skyairline.com/pensando-en-viajar-fuera-de-chile-para-los-fines-de-semanas-largos-sky-recomienda-6-destinos-para-disfrutar-a-menos-de-4-horas-de-vuelo/</x:v>
      </x:c>
      <x:c r="K798" s="16" t="b">
        <x:v>0</x:v>
      </x:c>
      <x:c r="L798" s="11" t="n">
        <x:v>0</x:v>
      </x:c>
      <x:c r="M798" s="11" t="n">
        <x:v>0</x:v>
      </x:c>
      <x:c r="N798" s="4"/>
      <x:c r="O798" s="4"/>
      <x:c r="P798" s="11" t="n">
        <x:v>0</x:v>
      </x:c>
      <x:c r="Q798" s="11" t="n">
        <x:v>1</x:v>
      </x:c>
      <x:c r="R798" s="11" t="str">
        <x:f>IF(OR(P798="",Q798=""),"",Q798-P798)</x:f>
      </x:c>
      <x:c r="S798" s="13" t="str">
        <x:f>IF(OR(P798="",Q798="",P798=0),"",((Q798/30)/(P798/31))-1)</x:f>
      </x:c>
      <x:c r="T798" s="11" t="n">
        <x:v>82</x:v>
      </x:c>
      <x:c r="U798" s="11" t="n">
        <x:v>90</x:v>
      </x:c>
      <x:c r="V798" s="14" t="n">
        <x:v>0.011111111111111112</x:v>
      </x:c>
      <x:c r="W798" s="12" t="n">
        <x:v>6.2444444444444445</x:v>
      </x:c>
      <x:c r="X798" s="11" t="n">
        <x:v>1</x:v>
      </x:c>
      <x:c r="Y798" s="11" t="n">
        <x:v>1</x:v>
      </x:c>
      <x:c r="Z798" s="4" t="str">
        <x:v>https://blog.skyairline.com/pensando-en-viajar-fuera-de-chile-para-los-fines-de-semanas-largos-sky-recomienda-6-destinos-para-disfrutar-a-menos-de-4-horas-de-vuelo/</x:v>
      </x:c>
      <x:c r="AA798" s="4" t="str">
        <x:v>https://blog.skyairline.com/pensando-en-viajar-fuera-de-chile-para-los-fines-de-semanas-largos-sky-recomienda-6-destinos-para-disfrutar-a-menos-de-4-horas-de-vuelo/</x:v>
      </x:c>
      <x:c r="AB798" s="4" t="str">
        <x:v>Coincidencia URL</x:v>
      </x:c>
      <x:c r="AC798" s="4" t="str">
        <x:v>Publicado hasta septiembre</x:v>
      </x:c>
      <x:c r="AD798" s="4" t="str">
        <x:v>/pensando-en-viajar-fuera-de-chile-para-los-fines-de-semanas-largos-sky-recomienda-6-destinos-para-disfrutar-a-menos-de-4-horas-de-vuelo/</x:v>
      </x:c>
      <x:c r="AE798" s="4"/>
      <x:c r="AF798" s="16" t="b">
        <x:v>0</x:v>
      </x:c>
    </x:row>
    <x:row r="799" ht="44" customHeight="1">
      <x:c r="A799" s="4" t="n">
        <x:v>4877</x:v>
      </x:c>
      <x:c r="B799" s="4" t="str">
        <x:v>https://blog.skyairline.com/nevados-de-chillan/</x:v>
      </x:c>
      <x:c r="C799" s="9" t="str">
        <x:v>Termas nevados de Chillán: Una experiencia reconfortante</x:v>
      </x:c>
      <x:c r="D799" s="17" t="d">
        <x:v>2024-08-10T00:00:00.000Z</x:v>
      </x:c>
      <x:c r="E799" s="17" t="d">
        <x:v>2024-08-10T00:00:00.000Z</x:v>
      </x:c>
      <x:c r="F799" s="4" t="str">
        <x:v>Destinos</x:v>
      </x:c>
      <x:c r="G799" s="11" t="n">
        <x:v>1089</x:v>
      </x:c>
      <x:c r="H799" s="11" t="n">
        <x:v>200</x:v>
      </x:c>
      <x:c r="I799" s="11" t="n">
        <x:v>1</x:v>
      </x:c>
      <x:c r="J799" s="4" t="str">
        <x:v>https://blog.skyairline.com/nevados-de-chillan/</x:v>
      </x:c>
      <x:c r="K799" s="16" t="b">
        <x:v>0</x:v>
      </x:c>
      <x:c r="L799" s="11" t="n">
        <x:v>0</x:v>
      </x:c>
      <x:c r="M799" s="11" t="n">
        <x:v>3</x:v>
      </x:c>
      <x:c r="N799" s="4"/>
      <x:c r="O799" s="4"/>
      <x:c r="P799" s="11" t="n">
        <x:v>1</x:v>
      </x:c>
      <x:c r="Q799" s="11" t="n">
        <x:v>1</x:v>
      </x:c>
      <x:c r="R799" s="11" t="n">
        <x:f>IF(OR(P799="",Q799=""),"",Q799-P799)</x:f>
        <x:v>0</x:v>
      </x:c>
      <x:c r="S799" s="13" t="n">
        <x:f>IF(OR(P799="",Q799="",P799=0),"",((Q799/30)/(P799/31))-1)</x:f>
        <x:v>0.03333333333333344</x:v>
      </x:c>
      <x:c r="T799" s="11" t="n">
        <x:v>444</x:v>
      </x:c>
      <x:c r="U799" s="11" t="n">
        <x:v>236</x:v>
      </x:c>
      <x:c r="V799" s="14" t="n">
        <x:v>0.00423728813559322</x:v>
      </x:c>
      <x:c r="W799" s="12" t="n">
        <x:v>22.055084745762713</x:v>
      </x:c>
      <x:c r="X799" s="11" t="n">
        <x:v>1</x:v>
      </x:c>
      <x:c r="Y799" s="11" t="n">
        <x:v>1</x:v>
      </x:c>
      <x:c r="Z799" s="4" t="str">
        <x:v>https://blog.skyairline.com/nevados-de-chillan/</x:v>
      </x:c>
      <x:c r="AA799" s="4" t="str">
        <x:v>https://blog.skyairline.com/nevados-de-chillan/</x:v>
      </x:c>
      <x:c r="AB799" s="4" t="str">
        <x:v>Coincidencia URL</x:v>
      </x:c>
      <x:c r="AC799" s="4" t="str">
        <x:v>Publicado hasta septiembre</x:v>
      </x:c>
      <x:c r="AD799" s="4" t="str">
        <x:v>/nevados-de-chillan/</x:v>
      </x:c>
      <x:c r="AE799" s="4"/>
      <x:c r="AF799" s="16" t="b">
        <x:v>0</x:v>
      </x:c>
    </x:row>
    <x:row r="800" ht="44" customHeight="1">
      <x:c r="A800" s="4" t="n">
        <x:v>4895</x:v>
      </x:c>
      <x:c r="B800" s="4" t="str">
        <x:v>https://blog.skyairline.com/el-calafate/</x:v>
      </x:c>
      <x:c r="C800" s="9" t="str">
        <x:v>Viaja al fin del mundo, conoce El Calafate, Ushuaia y Punta Arenas</x:v>
      </x:c>
      <x:c r="D800" s="17" t="d">
        <x:v>2025-12-05T00:00:00.000Z</x:v>
      </x:c>
      <x:c r="E800" s="17" t="d">
        <x:v>2025-12-10T00:00:00.000Z</x:v>
      </x:c>
      <x:c r="F800" s="4" t="str">
        <x:v>Destinos</x:v>
      </x:c>
      <x:c r="G800" s="11" t="n">
        <x:v>1120</x:v>
      </x:c>
      <x:c r="H800" s="11" t="n">
        <x:v>200</x:v>
      </x:c>
      <x:c r="I800" s="11" t="n">
        <x:v>1</x:v>
      </x:c>
      <x:c r="J800" s="4" t="str">
        <x:v>https://blog.skyairline.com/el-calafate/</x:v>
      </x:c>
      <x:c r="K800" s="16" t="b">
        <x:v>0</x:v>
      </x:c>
      <x:c r="L800" s="11" t="n">
        <x:v>0</x:v>
      </x:c>
      <x:c r="M800" s="11" t="n">
        <x:v>0</x:v>
      </x:c>
      <x:c r="N800" s="4"/>
      <x:c r="O800" s="4"/>
      <x:c r="P800" s="11" t="n">
        <x:v>0</x:v>
      </x:c>
      <x:c r="Q800" s="11" t="n">
        <x:v>1</x:v>
      </x:c>
      <x:c r="R800" s="11" t="str">
        <x:f>IF(OR(P800="",Q800=""),"",Q800-P800)</x:f>
      </x:c>
      <x:c r="S800" s="13" t="str">
        <x:f>IF(OR(P800="",Q800="",P800=0),"",((Q800/30)/(P800/31))-1)</x:f>
      </x:c>
      <x:c r="T800" s="11" t="n">
        <x:v>337</x:v>
      </x:c>
      <x:c r="U800" s="11" t="n">
        <x:v>187</x:v>
      </x:c>
      <x:c r="V800" s="14" t="n">
        <x:v>0.0053475935828877</x:v>
      </x:c>
      <x:c r="W800" s="12" t="n">
        <x:v>21.668449197860966</x:v>
      </x:c>
      <x:c r="X800" s="11" t="n">
        <x:v>3</x:v>
      </x:c>
      <x:c r="Y800" s="11" t="n">
        <x:v>3</x:v>
      </x:c>
      <x:c r="Z800" s="4" t="str">
        <x:v>https://blog.skyairline.com/el-calafate/</x:v>
      </x:c>
      <x:c r="AA800" s="4" t="str">
        <x:v>https://blog.skyairline.com/el-calafate/
https://blog.skyairline.com/el-calafate</x:v>
      </x:c>
      <x:c r="AB800" s="4" t="str">
        <x:v>Alias slash agregado</x:v>
      </x:c>
      <x:c r="AC800" s="4" t="str">
        <x:v>Publicado hasta septiembre</x:v>
      </x:c>
      <x:c r="AD800" s="4" t="str">
        <x:v>/el-calafate/</x:v>
      </x:c>
      <x:c r="AE800" s="4"/>
      <x:c r="AF800" s="16" t="b">
        <x:v>0</x:v>
      </x:c>
    </x:row>
    <x:row r="801" ht="44" customHeight="1">
      <x:c r="A801" s="4" t="n">
        <x:v>4980</x:v>
      </x:c>
      <x:c r="B801" s="4" t="str">
        <x:v>https://blog.skyairline.com/ciudad-vieja-montevideo/</x:v>
      </x:c>
      <x:c r="C801" s="9" t="str">
        <x:v>Recorre a pie la Ciudad Vieja de Montevideo</x:v>
      </x:c>
      <x:c r="D801" s="17" t="d">
        <x:v>2026-06-28T00:00:00.000Z</x:v>
      </x:c>
      <x:c r="E801" s="17" t="d">
        <x:v>2026-06-25T00:00:00.000Z</x:v>
      </x:c>
      <x:c r="F801" s="4" t="str">
        <x:v>Destinos</x:v>
      </x:c>
      <x:c r="G801" s="11" t="n">
        <x:v>1038</x:v>
      </x:c>
      <x:c r="H801" s="11" t="n">
        <x:v>200</x:v>
      </x:c>
      <x:c r="I801" s="11" t="n">
        <x:v>1</x:v>
      </x:c>
      <x:c r="J801" s="4" t="str">
        <x:v>https://blog.skyairline.com/ciudad-vieja-montevideo/</x:v>
      </x:c>
      <x:c r="K801" s="16" t="b">
        <x:v>0</x:v>
      </x:c>
      <x:c r="L801" s="11" t="n">
        <x:v>0</x:v>
      </x:c>
      <x:c r="M801" s="11" t="n">
        <x:v>0</x:v>
      </x:c>
      <x:c r="N801" s="4"/>
      <x:c r="O801" s="4"/>
      <x:c r="P801" s="11" t="n">
        <x:v>3</x:v>
      </x:c>
      <x:c r="Q801" s="11" t="n">
        <x:v>1</x:v>
      </x:c>
      <x:c r="R801" s="11" t="n">
        <x:f>IF(OR(P801="",Q801=""),"",Q801-P801)</x:f>
        <x:v>-2</x:v>
      </x:c>
      <x:c r="S801" s="13" t="n">
        <x:f>IF(OR(P801="",Q801="",P801=0),"",((Q801/30)/(P801/31))-1)</x:f>
        <x:v>-0.6555555555555556</x:v>
      </x:c>
      <x:c r="T801" s="11" t="n">
        <x:v>678</x:v>
      </x:c>
      <x:c r="U801" s="11" t="n">
        <x:v>447</x:v>
      </x:c>
      <x:c r="V801" s="14" t="n">
        <x:v>0.0022371364653243847</x:v>
      </x:c>
      <x:c r="W801" s="12" t="n">
        <x:v>10.46979865771812</x:v>
      </x:c>
      <x:c r="X801" s="11" t="n">
        <x:v>2</x:v>
      </x:c>
      <x:c r="Y801" s="11" t="n">
        <x:v>2</x:v>
      </x:c>
      <x:c r="Z801" s="4" t="str">
        <x:v>https://blog.skyairline.com/ciudad-vieja-montevideo/</x:v>
      </x:c>
      <x:c r="AA801" s="4" t="str">
        <x:v>https://blog.skyairline.com/ciudad-vieja-montevideo/</x:v>
      </x:c>
      <x:c r="AB801" s="4" t="str">
        <x:v>Coincidencia URL</x:v>
      </x:c>
      <x:c r="AC801" s="4" t="str">
        <x:v>Publicado hasta septiembre</x:v>
      </x:c>
      <x:c r="AD801" s="4" t="str">
        <x:v>/ciudad-vieja-montevideo/</x:v>
      </x:c>
      <x:c r="AE801" s="4"/>
      <x:c r="AF801" s="16" t="b">
        <x:v>0</x:v>
      </x:c>
    </x:row>
    <x:row r="802" ht="44" customHeight="1">
      <x:c r="A802" s="4" t="n">
        <x:v>4993</x:v>
      </x:c>
      <x:c r="B802" s="4" t="str">
        <x:v>https://blog.skyairline.com/deportes-en-el-agua/</x:v>
      </x:c>
      <x:c r="C802" s="9" t="str">
        <x:v>Deportes de agua que puedes hacer gracias a SKY</x:v>
      </x:c>
      <x:c r="D802" s="17" t="d">
        <x:v>2025-09-02T00:00:00.000Z</x:v>
      </x:c>
      <x:c r="E802" s="17" t="d">
        <x:v>2026-01-12T00:00:00.000Z</x:v>
      </x:c>
      <x:c r="F802" s="4" t="str">
        <x:v>Destinos</x:v>
      </x:c>
      <x:c r="G802" s="11" t="n">
        <x:v>1044</x:v>
      </x:c>
      <x:c r="H802" s="11" t="n">
        <x:v>200</x:v>
      </x:c>
      <x:c r="I802" s="11" t="n">
        <x:v>1</x:v>
      </x:c>
      <x:c r="J802" s="4" t="str">
        <x:v>https://blog.skyairline.com/deportes-en-el-agua/</x:v>
      </x:c>
      <x:c r="K802" s="16" t="b">
        <x:v>0</x:v>
      </x:c>
      <x:c r="L802" s="11" t="n">
        <x:v>0</x:v>
      </x:c>
      <x:c r="M802" s="11" t="n">
        <x:v>0</x:v>
      </x:c>
      <x:c r="N802" s="4"/>
      <x:c r="O802" s="4"/>
      <x:c r="P802" s="11" t="n">
        <x:v>0</x:v>
      </x:c>
      <x:c r="Q802" s="11" t="n">
        <x:v>1</x:v>
      </x:c>
      <x:c r="R802" s="11" t="str">
        <x:f>IF(OR(P802="",Q802=""),"",Q802-P802)</x:f>
      </x:c>
      <x:c r="S802" s="13" t="str">
        <x:f>IF(OR(P802="",Q802="",P802=0),"",((Q802/30)/(P802/31))-1)</x:f>
      </x:c>
      <x:c r="T802" s="11" t="n">
        <x:v>220</x:v>
      </x:c>
      <x:c r="U802" s="11" t="n">
        <x:v>75</x:v>
      </x:c>
      <x:c r="V802" s="14" t="n">
        <x:v>0.013333333333333334</x:v>
      </x:c>
      <x:c r="W802" s="12" t="n">
        <x:v>14.76</x:v>
      </x:c>
      <x:c r="X802" s="11" t="n">
        <x:v>2</x:v>
      </x:c>
      <x:c r="Y802" s="11" t="n">
        <x:v>3</x:v>
      </x:c>
      <x:c r="Z802" s="4" t="str">
        <x:v>https://blog.skyairline.com/deportes-en-el-agua/</x:v>
      </x:c>
      <x:c r="AA802" s="4" t="str">
        <x:v>https://blog.skyairline.com/deportes-en-el-agua/</x:v>
      </x:c>
      <x:c r="AB802" s="4" t="str">
        <x:v>Coincidencia URL</x:v>
      </x:c>
      <x:c r="AC802" s="4" t="str">
        <x:v>Publicado hasta septiembre</x:v>
      </x:c>
      <x:c r="AD802" s="4" t="str">
        <x:v>/deportes-en-el-agua/</x:v>
      </x:c>
      <x:c r="AE802" s="4"/>
      <x:c r="AF802" s="16" t="b">
        <x:v>0</x:v>
      </x:c>
    </x:row>
    <x:row r="803" ht="44" customHeight="1">
      <x:c r="A803" s="4" t="n">
        <x:v>4996</x:v>
      </x:c>
      <x:c r="B803" s="4" t="str">
        <x:v>https://blog.skyairline.com/paisajes-de-mexico/</x:v>
      </x:c>
      <x:c r="C803" s="9" t="str">
        <x:v>5 paisajes de México imperdibles</x:v>
      </x:c>
      <x:c r="D803" s="17" t="d">
        <x:v>2024-09-17T00:00:00.000Z</x:v>
      </x:c>
      <x:c r="E803" s="17" t="d">
        <x:v>2024-09-17T00:00:00.000Z</x:v>
      </x:c>
      <x:c r="F803" s="4" t="str">
        <x:v>Planificación de Viaje</x:v>
      </x:c>
      <x:c r="G803" s="11" t="n">
        <x:v>1127</x:v>
      </x:c>
      <x:c r="H803" s="11" t="n">
        <x:v>200</x:v>
      </x:c>
      <x:c r="I803" s="11" t="n">
        <x:v>1</x:v>
      </x:c>
      <x:c r="J803" s="4" t="str">
        <x:v>https://blog.skyairline.com/paisajes-de-mexico/</x:v>
      </x:c>
      <x:c r="K803" s="16" t="b">
        <x:v>0</x:v>
      </x:c>
      <x:c r="L803" s="11" t="n">
        <x:v>0</x:v>
      </x:c>
      <x:c r="M803" s="11" t="n">
        <x:v>3</x:v>
      </x:c>
      <x:c r="N803" s="4"/>
      <x:c r="O803" s="4"/>
      <x:c r="P803" s="11" t="n">
        <x:v>0</x:v>
      </x:c>
      <x:c r="Q803" s="11" t="n">
        <x:v>1</x:v>
      </x:c>
      <x:c r="R803" s="11" t="str">
        <x:f>IF(OR(P803="",Q803=""),"",Q803-P803)</x:f>
      </x:c>
      <x:c r="S803" s="13" t="str">
        <x:f>IF(OR(P803="",Q803="",P803=0),"",((Q803/30)/(P803/31))-1)</x:f>
      </x:c>
      <x:c r="T803" s="11" t="n">
        <x:v>294</x:v>
      </x:c>
      <x:c r="U803" s="11" t="n">
        <x:v>273</x:v>
      </x:c>
      <x:c r="V803" s="14" t="n">
        <x:v>0.003663003663003663</x:v>
      </x:c>
      <x:c r="W803" s="12" t="n">
        <x:v>13.83882783882784</x:v>
      </x:c>
      <x:c r="X803" s="11" t="n">
        <x:v>1</x:v>
      </x:c>
      <x:c r="Y803" s="11" t="n">
        <x:v>2</x:v>
      </x:c>
      <x:c r="Z803" s="4" t="str">
        <x:v>https://blog.skyairline.com/paisajes-de-mexico/</x:v>
      </x:c>
      <x:c r="AA803" s="4" t="str">
        <x:v>https://blog.skyairline.com/paisajes-de-mexico/</x:v>
      </x:c>
      <x:c r="AB803" s="4" t="str">
        <x:v>Coincidencia URL</x:v>
      </x:c>
      <x:c r="AC803" s="4" t="str">
        <x:v>Publicado hasta septiembre</x:v>
      </x:c>
      <x:c r="AD803" s="4" t="str">
        <x:v>/paisajes-de-mexico/</x:v>
      </x:c>
      <x:c r="AE803" s="4"/>
      <x:c r="AF803" s="16" t="b">
        <x:v>0</x:v>
      </x:c>
    </x:row>
    <x:row r="804" ht="44" customHeight="1">
      <x:c r="A804" s="4" t="n">
        <x:v>5013</x:v>
      </x:c>
      <x:c r="B804" s="4" t="str">
        <x:v>https://blog.skyairline.com/app-sky-beneficios/</x:v>
      </x:c>
      <x:c r="C804" s="9" t="str">
        <x:v>Beneficios de contar con la App SKY en tu teléfono</x:v>
      </x:c>
      <x:c r="D804" s="17" t="d">
        <x:v>2024-09-19T00:00:00.000Z</x:v>
      </x:c>
      <x:c r="E804" s="17" t="d">
        <x:v>2024-09-19T00:00:00.000Z</x:v>
      </x:c>
      <x:c r="F804" s="4" t="str">
        <x:v>Planificación de Viaje</x:v>
      </x:c>
      <x:c r="G804" s="11" t="n">
        <x:v>896</x:v>
      </x:c>
      <x:c r="H804" s="11" t="n">
        <x:v>200</x:v>
      </x:c>
      <x:c r="I804" s="11" t="n">
        <x:v>1</x:v>
      </x:c>
      <x:c r="J804" s="4" t="str">
        <x:v>https://blog.skyairline.com/app-sky-beneficios/</x:v>
      </x:c>
      <x:c r="K804" s="16" t="b">
        <x:v>0</x:v>
      </x:c>
      <x:c r="L804" s="11" t="n">
        <x:v>0</x:v>
      </x:c>
      <x:c r="M804" s="11" t="n">
        <x:v>3</x:v>
      </x:c>
      <x:c r="N804" s="4"/>
      <x:c r="O804" s="4"/>
      <x:c r="P804" s="11" t="n">
        <x:v>4</x:v>
      </x:c>
      <x:c r="Q804" s="11" t="n">
        <x:v>1</x:v>
      </x:c>
      <x:c r="R804" s="11" t="n">
        <x:f>IF(OR(P804="",Q804=""),"",Q804-P804)</x:f>
        <x:v>-3</x:v>
      </x:c>
      <x:c r="S804" s="13" t="n">
        <x:f>IF(OR(P804="",Q804="",P804=0),"",((Q804/30)/(P804/31))-1)</x:f>
        <x:v>-0.7416666666666667</x:v>
      </x:c>
      <x:c r="T804" s="11" t="n">
        <x:v>353</x:v>
      </x:c>
      <x:c r="U804" s="11" t="n">
        <x:v>353</x:v>
      </x:c>
      <x:c r="V804" s="14" t="n">
        <x:v>0.0028328611898017</x:v>
      </x:c>
      <x:c r="W804" s="12" t="n">
        <x:v>6.4164305949008495</x:v>
      </x:c>
      <x:c r="X804" s="11" t="n">
        <x:v>2</x:v>
      </x:c>
      <x:c r="Y804" s="11" t="n">
        <x:v>3</x:v>
      </x:c>
      <x:c r="Z804" s="4" t="str">
        <x:v>https://blog.skyairline.com/app-sky-beneficios/</x:v>
      </x:c>
      <x:c r="AA804" s="4" t="str">
        <x:v>https://blog.skyairline.com/app-sky-beneficios/</x:v>
      </x:c>
      <x:c r="AB804" s="4" t="str">
        <x:v>Coincidencia URL</x:v>
      </x:c>
      <x:c r="AC804" s="4" t="str">
        <x:v>Publicado hasta septiembre</x:v>
      </x:c>
      <x:c r="AD804" s="4" t="str">
        <x:v>/app-sky-beneficios/</x:v>
      </x:c>
      <x:c r="AE804" s="4"/>
      <x:c r="AF804" s="16" t="b">
        <x:v>0</x:v>
      </x:c>
    </x:row>
    <x:row r="805" ht="44" customHeight="1">
      <x:c r="A805" s="4" t="n">
        <x:v>5017</x:v>
      </x:c>
      <x:c r="B805" s="4" t="str">
        <x:v>https://blog.skyairline.com/akumal/</x:v>
      </x:c>
      <x:c r="C805" s="9" t="str">
        <x:v>Conoce Akumal: ¿qué esperar y cómo llegar a este destino?</x:v>
      </x:c>
      <x:c r="D805" s="17" t="d">
        <x:v>2024-09-20T00:00:00.000Z</x:v>
      </x:c>
      <x:c r="E805" s="17" t="d">
        <x:v>2024-09-20T00:00:00.000Z</x:v>
      </x:c>
      <x:c r="F805" s="4" t="str">
        <x:v>Cancún, Destinos</x:v>
      </x:c>
      <x:c r="G805" s="11" t="n">
        <x:v>940</x:v>
      </x:c>
      <x:c r="H805" s="11" t="n">
        <x:v>200</x:v>
      </x:c>
      <x:c r="I805" s="11" t="n">
        <x:v>1</x:v>
      </x:c>
      <x:c r="J805" s="4" t="str">
        <x:v>https://blog.skyairline.com/akumal/</x:v>
      </x:c>
      <x:c r="K805" s="16" t="b">
        <x:v>0</x:v>
      </x:c>
      <x:c r="L805" s="11" t="n">
        <x:v>0</x:v>
      </x:c>
      <x:c r="M805" s="11" t="n">
        <x:v>3</x:v>
      </x:c>
      <x:c r="N805" s="4"/>
      <x:c r="O805" s="4"/>
      <x:c r="P805" s="11" t="n">
        <x:v>1</x:v>
      </x:c>
      <x:c r="Q805" s="11" t="n">
        <x:v>1</x:v>
      </x:c>
      <x:c r="R805" s="11" t="n">
        <x:f>IF(OR(P805="",Q805=""),"",Q805-P805)</x:f>
        <x:v>0</x:v>
      </x:c>
      <x:c r="S805" s="13" t="n">
        <x:f>IF(OR(P805="",Q805="",P805=0),"",((Q805/30)/(P805/31))-1)</x:f>
        <x:v>0.03333333333333344</x:v>
      </x:c>
      <x:c r="T805" s="11" t="n">
        <x:v>356</x:v>
      </x:c>
      <x:c r="U805" s="11" t="n">
        <x:v>528</x:v>
      </x:c>
      <x:c r="V805" s="14" t="n">
        <x:v>0.001893939393939394</x:v>
      </x:c>
      <x:c r="W805" s="12" t="n">
        <x:v>17.15530303030303</x:v>
      </x:c>
      <x:c r="X805" s="11" t="n">
        <x:v>1</x:v>
      </x:c>
      <x:c r="Y805" s="11" t="n">
        <x:v>1</x:v>
      </x:c>
      <x:c r="Z805" s="4" t="str">
        <x:v>https://blog.skyairline.com/akumal/</x:v>
      </x:c>
      <x:c r="AA805" s="4" t="str">
        <x:v>https://blog.skyairline.com/akumal/</x:v>
      </x:c>
      <x:c r="AB805" s="4" t="str">
        <x:v>Coincidencia URL</x:v>
      </x:c>
      <x:c r="AC805" s="4" t="str">
        <x:v>Publicado hasta septiembre</x:v>
      </x:c>
      <x:c r="AD805" s="4" t="str">
        <x:v>/akumal/</x:v>
      </x:c>
      <x:c r="AE805" s="4"/>
      <x:c r="AF805" s="16" t="b">
        <x:v>0</x:v>
      </x:c>
    </x:row>
    <x:row r="806" ht="44" customHeight="1">
      <x:c r="A806" s="4" t="n">
        <x:v>5020</x:v>
      </x:c>
      <x:c r="B806" s="4" t="str">
        <x:v>https://blog.skyairline.com/inhotim/</x:v>
      </x:c>
      <x:c r="C806" s="9" t="str">
        <x:v>Conoce Inhotim (Brasil): un lugar donde se juntan el arte y la naturaleza</x:v>
      </x:c>
      <x:c r="D806" s="17" t="d">
        <x:v>2024-09-21T00:00:00.000Z</x:v>
      </x:c>
      <x:c r="E806" s="17" t="d">
        <x:v>2024-09-21T00:00:00.000Z</x:v>
      </x:c>
      <x:c r="F806" s="4" t="str">
        <x:v>Destinos</x:v>
      </x:c>
      <x:c r="G806" s="11" t="n">
        <x:v>983</x:v>
      </x:c>
      <x:c r="H806" s="11" t="n">
        <x:v>200</x:v>
      </x:c>
      <x:c r="I806" s="11" t="n">
        <x:v>1</x:v>
      </x:c>
      <x:c r="J806" s="4" t="str">
        <x:v>https://blog.skyairline.com/inhotim/</x:v>
      </x:c>
      <x:c r="K806" s="16" t="b">
        <x:v>0</x:v>
      </x:c>
      <x:c r="L806" s="11" t="n">
        <x:v>0</x:v>
      </x:c>
      <x:c r="M806" s="11" t="n">
        <x:v>2</x:v>
      </x:c>
      <x:c r="N806" s="4"/>
      <x:c r="O806" s="4"/>
      <x:c r="P806" s="11" t="n">
        <x:v>1</x:v>
      </x:c>
      <x:c r="Q806" s="11" t="n">
        <x:v>1</x:v>
      </x:c>
      <x:c r="R806" s="11" t="n">
        <x:f>IF(OR(P806="",Q806=""),"",Q806-P806)</x:f>
        <x:v>0</x:v>
      </x:c>
      <x:c r="S806" s="13" t="n">
        <x:f>IF(OR(P806="",Q806="",P806=0),"",((Q806/30)/(P806/31))-1)</x:f>
        <x:v>0.03333333333333344</x:v>
      </x:c>
      <x:c r="T806" s="11" t="n">
        <x:v>186</x:v>
      </x:c>
      <x:c r="U806" s="11" t="n">
        <x:v>5670</x:v>
      </x:c>
      <x:c r="V806" s="14" t="n">
        <x:v>0.0001763668430335097</x:v>
      </x:c>
      <x:c r="W806" s="12" t="n">
        <x:v>6.037566137566137</x:v>
      </x:c>
      <x:c r="X806" s="11" t="n">
        <x:v>1</x:v>
      </x:c>
      <x:c r="Y806" s="11" t="n">
        <x:v>1</x:v>
      </x:c>
      <x:c r="Z806" s="4" t="str">
        <x:v>https://blog.skyairline.com/inhotim/</x:v>
      </x:c>
      <x:c r="AA806" s="4" t="str">
        <x:v>https://blog.skyairline.com/inhotim/</x:v>
      </x:c>
      <x:c r="AB806" s="4" t="str">
        <x:v>Coincidencia URL</x:v>
      </x:c>
      <x:c r="AC806" s="4" t="str">
        <x:v>Publicado hasta septiembre</x:v>
      </x:c>
      <x:c r="AD806" s="4" t="str">
        <x:v>/inhotim/</x:v>
      </x:c>
      <x:c r="AE806" s="4"/>
      <x:c r="AF806" s="16" t="b">
        <x:v>0</x:v>
      </x:c>
    </x:row>
    <x:row r="807" ht="44" customHeight="1">
      <x:c r="A807" s="4" t="n">
        <x:v>5024</x:v>
      </x:c>
      <x:c r="B807" s="4" t="str">
        <x:v>https://blog.skyairline.com/votos-de-amor/</x:v>
      </x:c>
      <x:c r="C807" s="9" t="str">
        <x:v>Prepara tu matrimonio: Lugares de América Latina para hacer tus votos de amor</x:v>
      </x:c>
      <x:c r="D807" s="17" t="d">
        <x:v>2025-10-23T00:00:00.000Z</x:v>
      </x:c>
      <x:c r="E807" s="17" t="d">
        <x:v>2026-01-12T00:00:00.000Z</x:v>
      </x:c>
      <x:c r="F807" s="4" t="str">
        <x:v>Cancún, Destinos</x:v>
      </x:c>
      <x:c r="G807" s="11" t="n">
        <x:v>1080</x:v>
      </x:c>
      <x:c r="H807" s="11" t="n">
        <x:v>200</x:v>
      </x:c>
      <x:c r="I807" s="11" t="n">
        <x:v>1</x:v>
      </x:c>
      <x:c r="J807" s="4" t="str">
        <x:v>https://blog.skyairline.com/votos-de-amor/</x:v>
      </x:c>
      <x:c r="K807" s="16" t="b">
        <x:v>0</x:v>
      </x:c>
      <x:c r="L807" s="11" t="n">
        <x:v>0</x:v>
      </x:c>
      <x:c r="M807" s="11" t="n">
        <x:v>0</x:v>
      </x:c>
      <x:c r="N807" s="4"/>
      <x:c r="O807" s="4"/>
      <x:c r="P807" s="11" t="n">
        <x:v>0</x:v>
      </x:c>
      <x:c r="Q807" s="11" t="n">
        <x:v>1</x:v>
      </x:c>
      <x:c r="R807" s="11" t="str">
        <x:f>IF(OR(P807="",Q807=""),"",Q807-P807)</x:f>
      </x:c>
      <x:c r="S807" s="13" t="str">
        <x:f>IF(OR(P807="",Q807="",P807=0),"",((Q807/30)/(P807/31))-1)</x:f>
      </x:c>
      <x:c r="T807" s="11" t="n">
        <x:v>100</x:v>
      </x:c>
      <x:c r="U807" s="11" t="n">
        <x:v>110</x:v>
      </x:c>
      <x:c r="V807" s="14" t="n">
        <x:v>0.00909090909090909</x:v>
      </x:c>
      <x:c r="W807" s="12" t="n">
        <x:v>8.172727272727272</x:v>
      </x:c>
      <x:c r="X807" s="11" t="n">
        <x:v>1</x:v>
      </x:c>
      <x:c r="Y807" s="11" t="n">
        <x:v>1</x:v>
      </x:c>
      <x:c r="Z807" s="4" t="str">
        <x:v>https://blog.skyairline.com/votos-de-amor/</x:v>
      </x:c>
      <x:c r="AA807" s="4" t="str">
        <x:v>https://blog.skyairline.com/votos-de-amor/</x:v>
      </x:c>
      <x:c r="AB807" s="4" t="str">
        <x:v>Coincidencia URL</x:v>
      </x:c>
      <x:c r="AC807" s="4" t="str">
        <x:v>Publicado hasta septiembre</x:v>
      </x:c>
      <x:c r="AD807" s="4" t="str">
        <x:v>/votos-de-amor/</x:v>
      </x:c>
      <x:c r="AE807" s="4"/>
      <x:c r="AF807" s="16" t="b">
        <x:v>0</x:v>
      </x:c>
    </x:row>
    <x:row r="808" ht="44" customHeight="1">
      <x:c r="A808" s="4" t="n">
        <x:v>5084</x:v>
      </x:c>
      <x:c r="B808" s="4" t="str">
        <x:v>https://blog.skyairline.com/minas-gerais/</x:v>
      </x:c>
      <x:c r="C808" s="9" t="str">
        <x:v>Sitios infaltables en tu visita a Minas Gerais</x:v>
      </x:c>
      <x:c r="D808" s="17" t="d">
        <x:v>2024-09-27T00:00:00.000Z</x:v>
      </x:c>
      <x:c r="E808" s="17" t="d">
        <x:v>2024-09-27T00:00:00.000Z</x:v>
      </x:c>
      <x:c r="F808" s="4" t="str">
        <x:v>Destinos</x:v>
      </x:c>
      <x:c r="G808" s="11" t="n">
        <x:v>1103</x:v>
      </x:c>
      <x:c r="H808" s="11" t="n">
        <x:v>200</x:v>
      </x:c>
      <x:c r="I808" s="11" t="n">
        <x:v>1</x:v>
      </x:c>
      <x:c r="J808" s="4" t="str">
        <x:v>https://blog.skyairline.com/minas-gerais/</x:v>
      </x:c>
      <x:c r="K808" s="16" t="b">
        <x:v>0</x:v>
      </x:c>
      <x:c r="L808" s="11" t="n">
        <x:v>0</x:v>
      </x:c>
      <x:c r="M808" s="11" t="n">
        <x:v>3</x:v>
      </x:c>
      <x:c r="N808" s="4"/>
      <x:c r="O808" s="4"/>
      <x:c r="P808" s="11" t="n">
        <x:v>6</x:v>
      </x:c>
      <x:c r="Q808" s="11" t="n">
        <x:v>1</x:v>
      </x:c>
      <x:c r="R808" s="11" t="n">
        <x:f>IF(OR(P808="",Q808=""),"",Q808-P808)</x:f>
        <x:v>-5</x:v>
      </x:c>
      <x:c r="S808" s="13" t="n">
        <x:f>IF(OR(P808="",Q808="",P808=0),"",((Q808/30)/(P808/31))-1)</x:f>
        <x:v>-0.8277777777777777</x:v>
      </x:c>
      <x:c r="T808" s="11" t="n">
        <x:v>729</x:v>
      </x:c>
      <x:c r="U808" s="11" t="n">
        <x:v>353</x:v>
      </x:c>
      <x:c r="V808" s="14" t="n">
        <x:v>0.0028328611898017</x:v>
      </x:c>
      <x:c r="W808" s="12" t="n">
        <x:v>12.946175637393768</x:v>
      </x:c>
      <x:c r="X808" s="11" t="n">
        <x:v>3</x:v>
      </x:c>
      <x:c r="Y808" s="11" t="n">
        <x:v>4</x:v>
      </x:c>
      <x:c r="Z808" s="4" t="str">
        <x:v>https://blog.skyairline.com/minas-gerais/</x:v>
      </x:c>
      <x:c r="AA808" s="4" t="str">
        <x:v>https://blog.skyairline.com/minas-gerais/</x:v>
      </x:c>
      <x:c r="AB808" s="4" t="str">
        <x:v>Coincidencia URL</x:v>
      </x:c>
      <x:c r="AC808" s="4" t="str">
        <x:v>Publicado hasta septiembre</x:v>
      </x:c>
      <x:c r="AD808" s="4" t="str">
        <x:v>/minas-gerais/</x:v>
      </x:c>
      <x:c r="AE808" s="4"/>
      <x:c r="AF808" s="16" t="b">
        <x:v>0</x:v>
      </x:c>
    </x:row>
    <x:row r="809" ht="44" customHeight="1">
      <x:c r="A809" s="4" t="n">
        <x:v>5100</x:v>
      </x:c>
      <x:c r="B809" s="4" t="str">
        <x:v>https://blog.skyairline.com/estadio-centenario-ciudad-de-quilmes/</x:v>
      </x:c>
      <x:c r="C809" s="9" t="str">
        <x:v>Estadio Centenario en Quilmes (Argentina): Historia y deporte a un vuelo de SKY</x:v>
      </x:c>
      <x:c r="D809" s="17" t="d">
        <x:v>2024-10-07T00:00:00.000Z</x:v>
      </x:c>
      <x:c r="E809" s="17" t="d">
        <x:v>2024-10-07T00:00:00.000Z</x:v>
      </x:c>
      <x:c r="F809" s="4" t="str">
        <x:v>Buenos Aires, Destinos</x:v>
      </x:c>
      <x:c r="G809" s="11" t="n">
        <x:v>1095</x:v>
      </x:c>
      <x:c r="H809" s="11" t="n">
        <x:v>200</x:v>
      </x:c>
      <x:c r="I809" s="11" t="n">
        <x:v>1</x:v>
      </x:c>
      <x:c r="J809" s="4" t="str">
        <x:v>https://blog.skyairline.com/estadio-centenario-ciudad-de-quilmes/</x:v>
      </x:c>
      <x:c r="K809" s="16" t="b">
        <x:v>0</x:v>
      </x:c>
      <x:c r="L809" s="11" t="n">
        <x:v>0</x:v>
      </x:c>
      <x:c r="M809" s="11" t="n">
        <x:v>3</x:v>
      </x:c>
      <x:c r="N809" s="4"/>
      <x:c r="O809" s="4"/>
      <x:c r="P809" s="11" t="n">
        <x:v>5</x:v>
      </x:c>
      <x:c r="Q809" s="11" t="n">
        <x:v>1</x:v>
      </x:c>
      <x:c r="R809" s="11" t="n">
        <x:f>IF(OR(P809="",Q809=""),"",Q809-P809)</x:f>
        <x:v>-4</x:v>
      </x:c>
      <x:c r="S809" s="13" t="n">
        <x:f>IF(OR(P809="",Q809="",P809=0),"",((Q809/30)/(P809/31))-1)</x:f>
        <x:v>-0.7933333333333333</x:v>
      </x:c>
      <x:c r="T809" s="11" t="n">
        <x:v>1443</x:v>
      </x:c>
      <x:c r="U809" s="11" t="n">
        <x:v>686</x:v>
      </x:c>
      <x:c r="V809" s="14" t="n">
        <x:v>0.0014577259475218659</x:v>
      </x:c>
      <x:c r="W809" s="12" t="n">
        <x:v>10.565597667638484</x:v>
      </x:c>
      <x:c r="X809" s="11" t="n">
        <x:v>1</x:v>
      </x:c>
      <x:c r="Y809" s="11" t="n">
        <x:v>1</x:v>
      </x:c>
      <x:c r="Z809" s="4" t="str">
        <x:v>https://blog.skyairline.com/estadio-centenario-ciudad-de-quilmes/</x:v>
      </x:c>
      <x:c r="AA809" s="4" t="str">
        <x:v>https://blog.skyairline.com/estadio-centenario-ciudad-de-quilmes/</x:v>
      </x:c>
      <x:c r="AB809" s="4" t="str">
        <x:v>Coincidencia URL</x:v>
      </x:c>
      <x:c r="AC809" s="4" t="str">
        <x:v>Publicado hasta septiembre</x:v>
      </x:c>
      <x:c r="AD809" s="4" t="str">
        <x:v>/estadio-centenario-ciudad-de-quilmes/</x:v>
      </x:c>
      <x:c r="AE809" s="4"/>
      <x:c r="AF809" s="16" t="b">
        <x:v>0</x:v>
      </x:c>
    </x:row>
    <x:row r="810" ht="44" customHeight="1">
      <x:c r="A810" s="4" t="n">
        <x:v>5141</x:v>
      </x:c>
      <x:c r="B810" s="4" t="str">
        <x:v>https://blog.skyairline.com/viaje-a-tarapoto/</x:v>
      </x:c>
      <x:c r="C810" s="9" t="str">
        <x:v>Viaje a Tarapoto desde Santiago: conoce cómo llegar a este bosque lleno de palmeras</x:v>
      </x:c>
      <x:c r="D810" s="17" t="d">
        <x:v>2024-10-15T00:00:00.000Z</x:v>
      </x:c>
      <x:c r="E810" s="17" t="d">
        <x:v>2024-10-15T00:00:00.000Z</x:v>
      </x:c>
      <x:c r="F810" s="4" t="str">
        <x:v>Destinos</x:v>
      </x:c>
      <x:c r="G810" s="11" t="n">
        <x:v>1345</x:v>
      </x:c>
      <x:c r="H810" s="11" t="n">
        <x:v>200</x:v>
      </x:c>
      <x:c r="I810" s="11" t="n">
        <x:v>1</x:v>
      </x:c>
      <x:c r="J810" s="4" t="str">
        <x:v>https://blog.skyairline.com/viaje-a-tarapoto/</x:v>
      </x:c>
      <x:c r="K810" s="16" t="b">
        <x:v>0</x:v>
      </x:c>
      <x:c r="L810" s="11" t="n">
        <x:v>0</x:v>
      </x:c>
      <x:c r="M810" s="11" t="n">
        <x:v>3</x:v>
      </x:c>
      <x:c r="N810" s="4"/>
      <x:c r="O810" s="4"/>
      <x:c r="P810" s="11" t="n">
        <x:v>1</x:v>
      </x:c>
      <x:c r="Q810" s="11" t="n">
        <x:v>1</x:v>
      </x:c>
      <x:c r="R810" s="11" t="n">
        <x:f>IF(OR(P810="",Q810=""),"",Q810-P810)</x:f>
        <x:v>0</x:v>
      </x:c>
      <x:c r="S810" s="13" t="n">
        <x:f>IF(OR(P810="",Q810="",P810=0),"",((Q810/30)/(P810/31))-1)</x:f>
        <x:v>0.03333333333333344</x:v>
      </x:c>
      <x:c r="T810" s="11" t="n">
        <x:v>406</x:v>
      </x:c>
      <x:c r="U810" s="11" t="n">
        <x:v>215</x:v>
      </x:c>
      <x:c r="V810" s="14" t="n">
        <x:v>0.004651162790697674</x:v>
      </x:c>
      <x:c r="W810" s="12" t="n">
        <x:v>25.49767441860465</x:v>
      </x:c>
      <x:c r="X810" s="11" t="n">
        <x:v>1</x:v>
      </x:c>
      <x:c r="Y810" s="11" t="n">
        <x:v>1</x:v>
      </x:c>
      <x:c r="Z810" s="4" t="str">
        <x:v>https://blog.skyairline.com/viaje-a-tarapoto/</x:v>
      </x:c>
      <x:c r="AA810" s="4" t="str">
        <x:v>https://blog.skyairline.com/viaje-a-tarapoto/</x:v>
      </x:c>
      <x:c r="AB810" s="4" t="str">
        <x:v>Coincidencia URL</x:v>
      </x:c>
      <x:c r="AC810" s="4" t="str">
        <x:v>Publicado hasta septiembre</x:v>
      </x:c>
      <x:c r="AD810" s="4" t="str">
        <x:v>/viaje-a-tarapoto/</x:v>
      </x:c>
      <x:c r="AE810" s="4"/>
      <x:c r="AF810" s="16" t="b">
        <x:v>0</x:v>
      </x:c>
    </x:row>
    <x:row r="811" ht="44" customHeight="1">
      <x:c r="A811" s="4" t="n">
        <x:v>5194</x:v>
      </x:c>
      <x:c r="B811" s="4" t="str">
        <x:v>https://blog.skyairline.com/programa-de-fidelidad-de-sky-airline-alcanza-500-mil-usuarios-de-los-cuales-cerca-del-40-son-peruanos/</x:v>
      </x:c>
      <x:c r="C811" s="9" t="str">
        <x:v>Programa de fidelidad de SKY Airline alcanza 500 mil usuarios, de los cuales cerca del 40% son peruanos</x:v>
      </x:c>
      <x:c r="D811" s="17" t="d">
        <x:v>2024-10-27T00:00:00.000Z</x:v>
      </x:c>
      <x:c r="E811" s="17" t="d">
        <x:v>2024-10-27T00:00:00.000Z</x:v>
      </x:c>
      <x:c r="F811" s="4" t="str">
        <x:v>Sin categoría</x:v>
      </x:c>
      <x:c r="G811" s="11" t="n">
        <x:v>381</x:v>
      </x:c>
      <x:c r="H811" s="11" t="n">
        <x:v>200</x:v>
      </x:c>
      <x:c r="I811" s="11" t="n">
        <x:v>1</x:v>
      </x:c>
      <x:c r="J811" s="4" t="str">
        <x:v>https://blog.skyairline.com/programa-de-fidelidad-de-sky-airline-alcanza-500-mil-usuarios-de-los-cuales-cerca-del-40-son-peruanos/</x:v>
      </x:c>
      <x:c r="K811" s="16" t="b">
        <x:v>0</x:v>
      </x:c>
      <x:c r="L811" s="11" t="n">
        <x:v>0</x:v>
      </x:c>
      <x:c r="M811" s="11" t="n">
        <x:v>0</x:v>
      </x:c>
      <x:c r="N811" s="4"/>
      <x:c r="O811" s="4"/>
      <x:c r="P811" s="11" t="n">
        <x:v>1</x:v>
      </x:c>
      <x:c r="Q811" s="11" t="n">
        <x:v>1</x:v>
      </x:c>
      <x:c r="R811" s="11" t="n">
        <x:f>IF(OR(P811="",Q811=""),"",Q811-P811)</x:f>
        <x:v>0</x:v>
      </x:c>
      <x:c r="S811" s="13" t="n">
        <x:f>IF(OR(P811="",Q811="",P811=0),"",((Q811/30)/(P811/31))-1)</x:f>
        <x:v>0.03333333333333344</x:v>
      </x:c>
      <x:c r="T811" s="11" t="n">
        <x:v>309</x:v>
      </x:c>
      <x:c r="U811" s="11" t="n">
        <x:v>370</x:v>
      </x:c>
      <x:c r="V811" s="14" t="n">
        <x:v>0.002702702702702703</x:v>
      </x:c>
      <x:c r="W811" s="12" t="n">
        <x:v>7.345945945945946</x:v>
      </x:c>
      <x:c r="X811" s="11" t="n">
        <x:v>1</x:v>
      </x:c>
      <x:c r="Y811" s="11" t="n">
        <x:v>1</x:v>
      </x:c>
      <x:c r="Z811" s="4" t="str">
        <x:v>https://blog.skyairline.com/programa-de-fidelidad-de-sky-airline-alcanza-500-mil-usuarios-de-los-cuales-cerca-del-40-son-peruanos/</x:v>
      </x:c>
      <x:c r="AA811" s="4" t="str">
        <x:v>https://blog.skyairline.com/programa-de-fidelidad-de-sky-airline-alcanza-500-mil-usuarios-de-los-cuales-cerca-del-40-son-peruanos/</x:v>
      </x:c>
      <x:c r="AB811" s="4" t="str">
        <x:v>Coincidencia URL</x:v>
      </x:c>
      <x:c r="AC811" s="4" t="str">
        <x:v>Publicado hasta septiembre</x:v>
      </x:c>
      <x:c r="AD811" s="4" t="str">
        <x:v>/programa-de-fidelidad-de-sky-airline-alcanza-500-mil-usuarios-de-los-cuales-cerca-del-40-son-peruanos/</x:v>
      </x:c>
      <x:c r="AE811" s="4"/>
      <x:c r="AF811" s="16" t="b">
        <x:v>0</x:v>
      </x:c>
    </x:row>
    <x:row r="812" ht="44" customHeight="1">
      <x:c r="A812" s="4" t="n">
        <x:v>5249</x:v>
      </x:c>
      <x:c r="B812" s="4" t="str">
        <x:v>https://blog.skyairline.com/renovacion-votos-matrimoniales/</x:v>
      </x:c>
      <x:c r="C812" s="9" t="str">
        <x:v>Conoce 5 destinos encantadores para la renovación de votos matrimoniales</x:v>
      </x:c>
      <x:c r="D812" s="17" t="d">
        <x:v>2024-10-29T00:00:00.000Z</x:v>
      </x:c>
      <x:c r="E812" s="17" t="d">
        <x:v>2024-10-29T00:00:00.000Z</x:v>
      </x:c>
      <x:c r="F812" s="4" t="str">
        <x:v>Destinos</x:v>
      </x:c>
      <x:c r="G812" s="11" t="n">
        <x:v>1167</x:v>
      </x:c>
      <x:c r="H812" s="11" t="n">
        <x:v>200</x:v>
      </x:c>
      <x:c r="I812" s="11" t="n">
        <x:v>1</x:v>
      </x:c>
      <x:c r="J812" s="4" t="str">
        <x:v>https://blog.skyairline.com/renovacion-votos-matrimoniales/</x:v>
      </x:c>
      <x:c r="K812" s="16" t="b">
        <x:v>0</x:v>
      </x:c>
      <x:c r="L812" s="11" t="n">
        <x:v>0</x:v>
      </x:c>
      <x:c r="M812" s="11" t="n">
        <x:v>3</x:v>
      </x:c>
      <x:c r="N812" s="4"/>
      <x:c r="O812" s="4"/>
      <x:c r="P812" s="11" t="n">
        <x:v>1</x:v>
      </x:c>
      <x:c r="Q812" s="11" t="n">
        <x:v>1</x:v>
      </x:c>
      <x:c r="R812" s="11" t="n">
        <x:f>IF(OR(P812="",Q812=""),"",Q812-P812)</x:f>
        <x:v>0</x:v>
      </x:c>
      <x:c r="S812" s="13" t="n">
        <x:f>IF(OR(P812="",Q812="",P812=0),"",((Q812/30)/(P812/31))-1)</x:f>
        <x:v>0.03333333333333344</x:v>
      </x:c>
      <x:c r="T812" s="11" t="n">
        <x:v>74</x:v>
      </x:c>
      <x:c r="U812" s="11" t="n">
        <x:v>83</x:v>
      </x:c>
      <x:c r="V812" s="14" t="n">
        <x:v>0.012048192771084338</x:v>
      </x:c>
      <x:c r="W812" s="12" t="n">
        <x:v>9.240963855421686</x:v>
      </x:c>
      <x:c r="X812" s="11" t="n">
        <x:v>3</x:v>
      </x:c>
      <x:c r="Y812" s="11" t="n">
        <x:v>3</x:v>
      </x:c>
      <x:c r="Z812" s="4" t="str">
        <x:v>https://blog.skyairline.com/renovacion-votos-matrimoniales/</x:v>
      </x:c>
      <x:c r="AA812" s="4" t="str">
        <x:v>https://blog.skyairline.com/renovacion-votos-matrimoniales/</x:v>
      </x:c>
      <x:c r="AB812" s="4" t="str">
        <x:v>Coincidencia URL</x:v>
      </x:c>
      <x:c r="AC812" s="4" t="str">
        <x:v>Publicado hasta septiembre</x:v>
      </x:c>
      <x:c r="AD812" s="4" t="str">
        <x:v>/renovacion-votos-matrimoniales/</x:v>
      </x:c>
      <x:c r="AE812" s="4"/>
      <x:c r="AF812" s="16" t="b">
        <x:v>0</x:v>
      </x:c>
    </x:row>
    <x:row r="813" ht="44" customHeight="1">
      <x:c r="A813" s="4" t="n">
        <x:v>5300</x:v>
      </x:c>
      <x:c r="B813" s="4" t="str">
        <x:v>https://blog.skyairline.com/miami-a-orlando/</x:v>
      </x:c>
      <x:c r="C813" s="9" t="str">
        <x:v>Viajar de Miami a Orlando: elige la forma que más te guste</x:v>
      </x:c>
      <x:c r="D813" s="17" t="d">
        <x:v>2024-11-09T00:00:00.000Z</x:v>
      </x:c>
      <x:c r="E813" s="17" t="d">
        <x:v>2024-11-09T00:00:00.000Z</x:v>
      </x:c>
      <x:c r="F813" s="4" t="str">
        <x:v>Destinos</x:v>
      </x:c>
      <x:c r="G813" s="11" t="n">
        <x:v>1025</x:v>
      </x:c>
      <x:c r="H813" s="11" t="n">
        <x:v>200</x:v>
      </x:c>
      <x:c r="I813" s="11" t="n">
        <x:v>1</x:v>
      </x:c>
      <x:c r="J813" s="4" t="str">
        <x:v>https://blog.skyairline.com/miami-a-orlando/</x:v>
      </x:c>
      <x:c r="K813" s="16" t="b">
        <x:v>0</x:v>
      </x:c>
      <x:c r="L813" s="11" t="n">
        <x:v>0</x:v>
      </x:c>
      <x:c r="M813" s="11" t="n">
        <x:v>3</x:v>
      </x:c>
      <x:c r="N813" s="4"/>
      <x:c r="O813" s="4"/>
      <x:c r="P813" s="11" t="n">
        <x:v>3</x:v>
      </x:c>
      <x:c r="Q813" s="11" t="n">
        <x:v>1</x:v>
      </x:c>
      <x:c r="R813" s="11" t="n">
        <x:f>IF(OR(P813="",Q813=""),"",Q813-P813)</x:f>
        <x:v>-2</x:v>
      </x:c>
      <x:c r="S813" s="13" t="n">
        <x:f>IF(OR(P813="",Q813="",P813=0),"",((Q813/30)/(P813/31))-1)</x:f>
        <x:v>-0.6555555555555556</x:v>
      </x:c>
      <x:c r="T813" s="11" t="n">
        <x:v>1196</x:v>
      </x:c>
      <x:c r="U813" s="11" t="n">
        <x:v>667</x:v>
      </x:c>
      <x:c r="V813" s="14" t="n">
        <x:v>0.0014992503748125937</x:v>
      </x:c>
      <x:c r="W813" s="12" t="n">
        <x:v>14.718140929535233</x:v>
      </x:c>
      <x:c r="X813" s="11" t="n">
        <x:v>1</x:v>
      </x:c>
      <x:c r="Y813" s="11" t="n">
        <x:v>1</x:v>
      </x:c>
      <x:c r="Z813" s="4" t="str">
        <x:v>https://blog.skyairline.com/miami-a-orlando/</x:v>
      </x:c>
      <x:c r="AA813" s="4" t="str">
        <x:v>https://blog.skyairline.com/miami-a-orlando/</x:v>
      </x:c>
      <x:c r="AB813" s="4" t="str">
        <x:v>Coincidencia URL</x:v>
      </x:c>
      <x:c r="AC813" s="4" t="str">
        <x:v>Publicado hasta septiembre</x:v>
      </x:c>
      <x:c r="AD813" s="4" t="str">
        <x:v>/miami-a-orlando/</x:v>
      </x:c>
      <x:c r="AE813" s="4"/>
      <x:c r="AF813" s="16" t="b">
        <x:v>0</x:v>
      </x:c>
    </x:row>
    <x:row r="814" ht="44" customHeight="1">
      <x:c r="A814" s="4" t="n">
        <x:v>5303</x:v>
      </x:c>
      <x:c r="B814" s="4" t="str">
        <x:v>https://blog.skyairline.com/lugares-turisticos-republica-dominicana/</x:v>
      </x:c>
      <x:c r="C814" s="9" t="str">
        <x:v>5 lugares turísticos en República Dominicana</x:v>
      </x:c>
      <x:c r="D814" s="17" t="d">
        <x:v>2024-11-11T00:00:00.000Z</x:v>
      </x:c>
      <x:c r="E814" s="17" t="d">
        <x:v>2024-11-11T00:00:00.000Z</x:v>
      </x:c>
      <x:c r="F814" s="4" t="str">
        <x:v>Sin categoría</x:v>
      </x:c>
      <x:c r="G814" s="11" t="n">
        <x:v>1247</x:v>
      </x:c>
      <x:c r="H814" s="11" t="n">
        <x:v>200</x:v>
      </x:c>
      <x:c r="I814" s="11" t="n">
        <x:v>1</x:v>
      </x:c>
      <x:c r="J814" s="4" t="str">
        <x:v>https://blog.skyairline.com/lugares-turisticos-republica-dominicana/</x:v>
      </x:c>
      <x:c r="K814" s="16" t="b">
        <x:v>0</x:v>
      </x:c>
      <x:c r="L814" s="11" t="n">
        <x:v>0</x:v>
      </x:c>
      <x:c r="M814" s="11" t="n">
        <x:v>3</x:v>
      </x:c>
      <x:c r="N814" s="4"/>
      <x:c r="O814" s="4"/>
      <x:c r="P814" s="11" t="n">
        <x:v>2</x:v>
      </x:c>
      <x:c r="Q814" s="11" t="n">
        <x:v>1</x:v>
      </x:c>
      <x:c r="R814" s="11" t="n">
        <x:f>IF(OR(P814="",Q814=""),"",Q814-P814)</x:f>
        <x:v>-1</x:v>
      </x:c>
      <x:c r="S814" s="13" t="n">
        <x:f>IF(OR(P814="",Q814="",P814=0),"",((Q814/30)/(P814/31))-1)</x:f>
        <x:v>-0.4833333333333333</x:v>
      </x:c>
      <x:c r="T814" s="11" t="n">
        <x:v>437</x:v>
      </x:c>
      <x:c r="U814" s="11" t="n">
        <x:v>285</x:v>
      </x:c>
      <x:c r="V814" s="14" t="n">
        <x:v>0.0035087719298245615</x:v>
      </x:c>
      <x:c r="W814" s="12" t="n">
        <x:v>43.84561403508772</x:v>
      </x:c>
      <x:c r="X814" s="11" t="n">
        <x:v>1</x:v>
      </x:c>
      <x:c r="Y814" s="11" t="n">
        <x:v>1</x:v>
      </x:c>
      <x:c r="Z814" s="4" t="str">
        <x:v>https://blog.skyairline.com/lugares-turisticos-republica-dominicana/</x:v>
      </x:c>
      <x:c r="AA814" s="4" t="str">
        <x:v>https://blog.skyairline.com/lugares-turisticos-republica-dominicana/</x:v>
      </x:c>
      <x:c r="AB814" s="4" t="str">
        <x:v>Coincidencia URL</x:v>
      </x:c>
      <x:c r="AC814" s="4" t="str">
        <x:v>Publicado hasta septiembre</x:v>
      </x:c>
      <x:c r="AD814" s="4" t="str">
        <x:v>/lugares-turisticos-republica-dominicana/</x:v>
      </x:c>
      <x:c r="AE814" s="4"/>
      <x:c r="AF814" s="16" t="b">
        <x:v>0</x:v>
      </x:c>
    </x:row>
    <x:row r="815" ht="44" customHeight="1">
      <x:c r="A815" s="4" t="n">
        <x:v>5320</x:v>
      </x:c>
      <x:c r="B815" s="4" t="str">
        <x:v>https://blog.skyairline.com/dia-del-piloto/</x:v>
      </x:c>
      <x:c r="C815" s="9" t="str">
        <x:v>¿Cuándo y por qué se celebra el Día del Piloto en aviación?</x:v>
      </x:c>
      <x:c r="D815" s="17" t="d">
        <x:v>2024-11-14T00:00:00.000Z</x:v>
      </x:c>
      <x:c r="E815" s="17" t="d">
        <x:v>2024-11-14T00:00:00.000Z</x:v>
      </x:c>
      <x:c r="F815" s="4" t="str">
        <x:v>Planificación de Viaje</x:v>
      </x:c>
      <x:c r="G815" s="11" t="n">
        <x:v>1049</x:v>
      </x:c>
      <x:c r="H815" s="11" t="n">
        <x:v>200</x:v>
      </x:c>
      <x:c r="I815" s="11" t="n">
        <x:v>1</x:v>
      </x:c>
      <x:c r="J815" s="4" t="str">
        <x:v>https://blog.skyairline.com/dia-del-piloto/</x:v>
      </x:c>
      <x:c r="K815" s="16" t="b">
        <x:v>0</x:v>
      </x:c>
      <x:c r="L815" s="11" t="n">
        <x:v>0</x:v>
      </x:c>
      <x:c r="M815" s="11" t="n">
        <x:v>3</x:v>
      </x:c>
      <x:c r="N815" s="4"/>
      <x:c r="O815" s="4"/>
      <x:c r="P815" s="11" t="n">
        <x:v>0</x:v>
      </x:c>
      <x:c r="Q815" s="11" t="n">
        <x:v>1</x:v>
      </x:c>
      <x:c r="R815" s="11" t="str">
        <x:f>IF(OR(P815="",Q815=""),"",Q815-P815)</x:f>
      </x:c>
      <x:c r="S815" s="13" t="str">
        <x:f>IF(OR(P815="",Q815="",P815=0),"",((Q815/30)/(P815/31))-1)</x:f>
      </x:c>
      <x:c r="T815" s="11" t="n">
        <x:v>973</x:v>
      </x:c>
      <x:c r="U815" s="11" t="n">
        <x:v>945</x:v>
      </x:c>
      <x:c r="V815" s="14" t="n">
        <x:v>0.0010582010582010583</x:v>
      </x:c>
      <x:c r="W815" s="12" t="n">
        <x:v>7.2708994708994705</x:v>
      </x:c>
      <x:c r="X815" s="11" t="n">
        <x:v>1</x:v>
      </x:c>
      <x:c r="Y815" s="11" t="n">
        <x:v>1</x:v>
      </x:c>
      <x:c r="Z815" s="4" t="str">
        <x:v>https://blog.skyairline.com/dia-del-piloto/</x:v>
      </x:c>
      <x:c r="AA815" s="4" t="str">
        <x:v>https://blog.skyairline.com/dia-del-piloto/</x:v>
      </x:c>
      <x:c r="AB815" s="4" t="str">
        <x:v>Coincidencia URL</x:v>
      </x:c>
      <x:c r="AC815" s="4" t="str">
        <x:v>Publicado hasta septiembre</x:v>
      </x:c>
      <x:c r="AD815" s="4" t="str">
        <x:v>/dia-del-piloto/</x:v>
      </x:c>
      <x:c r="AE815" s="4"/>
      <x:c r="AF815" s="16" t="b">
        <x:v>1</x:v>
      </x:c>
    </x:row>
    <x:row r="816" ht="44" customHeight="1">
      <x:c r="A816" s="4" t="n">
        <x:v>5324</x:v>
      </x:c>
      <x:c r="B816" s="4" t="str">
        <x:v>https://blog.skyairline.com/lugares-cerca-de-lima-para-viajar-en-auto/</x:v>
      </x:c>
      <x:c r="C816" s="9" t="str">
        <x:v>Lugares cerca de Lima para viajar en auto: las mejores escapadas</x:v>
      </x:c>
      <x:c r="D816" s="17" t="d">
        <x:v>2024-11-15T00:00:00.000Z</x:v>
      </x:c>
      <x:c r="E816" s="17" t="d">
        <x:v>2024-11-15T00:00:00.000Z</x:v>
      </x:c>
      <x:c r="F816" s="4" t="str">
        <x:v>Destinos</x:v>
      </x:c>
      <x:c r="G816" s="11" t="n">
        <x:v>1208</x:v>
      </x:c>
      <x:c r="H816" s="11" t="n">
        <x:v>200</x:v>
      </x:c>
      <x:c r="I816" s="11" t="n">
        <x:v>1</x:v>
      </x:c>
      <x:c r="J816" s="4" t="str">
        <x:v>https://blog.skyairline.com/lugares-cerca-de-lima-para-viajar-en-auto/</x:v>
      </x:c>
      <x:c r="K816" s="16" t="b">
        <x:v>0</x:v>
      </x:c>
      <x:c r="L816" s="11" t="n">
        <x:v>0</x:v>
      </x:c>
      <x:c r="M816" s="11" t="n">
        <x:v>3</x:v>
      </x:c>
      <x:c r="N816" s="4"/>
      <x:c r="O816" s="4"/>
      <x:c r="P816" s="11" t="n">
        <x:v>3</x:v>
      </x:c>
      <x:c r="Q816" s="11" t="n">
        <x:v>1</x:v>
      </x:c>
      <x:c r="R816" s="11" t="n">
        <x:f>IF(OR(P816="",Q816=""),"",Q816-P816)</x:f>
        <x:v>-2</x:v>
      </x:c>
      <x:c r="S816" s="13" t="n">
        <x:f>IF(OR(P816="",Q816="",P816=0),"",((Q816/30)/(P816/31))-1)</x:f>
        <x:v>-0.6555555555555556</x:v>
      </x:c>
      <x:c r="T816" s="11" t="n">
        <x:v>292</x:v>
      </x:c>
      <x:c r="U816" s="11" t="n">
        <x:v>211</x:v>
      </x:c>
      <x:c r="V816" s="14" t="n">
        <x:v>0.004739336492890996</x:v>
      </x:c>
      <x:c r="W816" s="12" t="n">
        <x:v>12.454976303317535</x:v>
      </x:c>
      <x:c r="X816" s="11" t="n">
        <x:v>2</x:v>
      </x:c>
      <x:c r="Y816" s="11" t="n">
        <x:v>1</x:v>
      </x:c>
      <x:c r="Z816" s="4" t="str">
        <x:v>https://blog.skyairline.com/lugares-cerca-de-lima-para-viajar-en-auto/</x:v>
      </x:c>
      <x:c r="AA816" s="4" t="str">
        <x:v>https://blog.skyairline.com/lugares-cerca-de-lima-para-viajar-en-auto/</x:v>
      </x:c>
      <x:c r="AB816" s="4" t="str">
        <x:v>Coincidencia URL</x:v>
      </x:c>
      <x:c r="AC816" s="4" t="str">
        <x:v>Publicado hasta septiembre</x:v>
      </x:c>
      <x:c r="AD816" s="4" t="str">
        <x:v>/lugares-cerca-de-lima-para-viajar-en-auto/</x:v>
      </x:c>
      <x:c r="AE816" s="4"/>
      <x:c r="AF816" s="16" t="b">
        <x:v>0</x:v>
      </x:c>
    </x:row>
    <x:row r="817" ht="44" customHeight="1">
      <x:c r="A817" s="4" t="n">
        <x:v>5402</x:v>
      </x:c>
      <x:c r="B817" s="4" t="str">
        <x:v>https://blog.skyairline.com/valle-de-uco-mendoza/</x:v>
      </x:c>
      <x:c r="C817" s="9" t="str">
        <x:v> Valle de Uco: bodegas, paisajes y experiencias imperdibles en Mendoza</x:v>
      </x:c>
      <x:c r="D817" s="17" t="d">
        <x:v>2025-09-03T00:00:00.000Z</x:v>
      </x:c>
      <x:c r="E817" s="17" t="d">
        <x:v>2026-01-12T00:00:00.000Z</x:v>
      </x:c>
      <x:c r="F817" s="4" t="str">
        <x:v>Destinos, Mendoza</x:v>
      </x:c>
      <x:c r="G817" s="11" t="n">
        <x:v>1109</x:v>
      </x:c>
      <x:c r="H817" s="11" t="n">
        <x:v>200</x:v>
      </x:c>
      <x:c r="I817" s="11" t="n">
        <x:v>1</x:v>
      </x:c>
      <x:c r="J817" s="4" t="str">
        <x:v>https://blog.skyairline.com/valle-de-uco-mendoza/</x:v>
      </x:c>
      <x:c r="K817" s="16" t="b">
        <x:v>0</x:v>
      </x:c>
      <x:c r="L817" s="11" t="n">
        <x:v>0</x:v>
      </x:c>
      <x:c r="M817" s="11" t="n">
        <x:v>2</x:v>
      </x:c>
      <x:c r="N817" s="4"/>
      <x:c r="O817" s="4"/>
      <x:c r="P817" s="11" t="n">
        <x:v>4</x:v>
      </x:c>
      <x:c r="Q817" s="11" t="n">
        <x:v>1</x:v>
      </x:c>
      <x:c r="R817" s="11" t="n">
        <x:f>IF(OR(P817="",Q817=""),"",Q817-P817)</x:f>
        <x:v>-3</x:v>
      </x:c>
      <x:c r="S817" s="13" t="n">
        <x:f>IF(OR(P817="",Q817="",P817=0),"",((Q817/30)/(P817/31))-1)</x:f>
        <x:v>-0.7416666666666667</x:v>
      </x:c>
      <x:c r="T817" s="11" t="n">
        <x:v>550</x:v>
      </x:c>
      <x:c r="U817" s="11" t="n">
        <x:v>282</x:v>
      </x:c>
      <x:c r="V817" s="14" t="n">
        <x:v>0.0035460992907801418</x:v>
      </x:c>
      <x:c r="W817" s="12" t="n">
        <x:v>9.26950354609929</x:v>
      </x:c>
      <x:c r="X817" s="11" t="n">
        <x:v>1</x:v>
      </x:c>
      <x:c r="Y817" s="11" t="n">
        <x:v>1</x:v>
      </x:c>
      <x:c r="Z817" s="4" t="str">
        <x:v>https://blog.skyairline.com/valle-de-uco-mendoza/</x:v>
      </x:c>
      <x:c r="AA817" s="4" t="str">
        <x:v>https://blog.skyairline.com/valle-de-uco-mendoza/</x:v>
      </x:c>
      <x:c r="AB817" s="4" t="str">
        <x:v>Coincidencia URL</x:v>
      </x:c>
      <x:c r="AC817" s="4" t="str">
        <x:v>Publicado hasta septiembre</x:v>
      </x:c>
      <x:c r="AD817" s="4" t="str">
        <x:v>/valle-de-uco-mendoza/</x:v>
      </x:c>
      <x:c r="AE817" s="4"/>
      <x:c r="AF817" s="16" t="b">
        <x:v>0</x:v>
      </x:c>
    </x:row>
    <x:row r="818" ht="44" customHeight="1">
      <x:c r="A818" s="4" t="n">
        <x:v>5435</x:v>
      </x:c>
      <x:c r="B818" s="4" t="str">
        <x:v>https://blog.skyairline.com/sky-airline-consigue-nuevamente-la-maxima-calificacion-en-seguridad-operacional/</x:v>
      </x:c>
      <x:c r="C818" s="9" t="str">
        <x:v>SKY Airline consigue nuevamente la máxima calificación en seguridad operacional</x:v>
      </x:c>
      <x:c r="D818" s="17" t="d">
        <x:v>2024-12-08T00:00:00.000Z</x:v>
      </x:c>
      <x:c r="E818" s="17" t="d">
        <x:v>2024-12-08T00:00:00.000Z</x:v>
      </x:c>
      <x:c r="F818" s="4" t="str">
        <x:v>Sin categoría</x:v>
      </x:c>
      <x:c r="G818" s="11" t="n">
        <x:v>389</x:v>
      </x:c>
      <x:c r="H818" s="11" t="n">
        <x:v>200</x:v>
      </x:c>
      <x:c r="I818" s="11" t="n">
        <x:v>1</x:v>
      </x:c>
      <x:c r="J818" s="4" t="str">
        <x:v>https://blog.skyairline.com/sky-airline-consigue-nuevamente-la-maxima-calificacion-en-seguridad-operacional/</x:v>
      </x:c>
      <x:c r="K818" s="16" t="b">
        <x:v>0</x:v>
      </x:c>
      <x:c r="L818" s="11" t="n">
        <x:v>0</x:v>
      </x:c>
      <x:c r="M818" s="11" t="n">
        <x:v>0</x:v>
      </x:c>
      <x:c r="N818" s="4" t="str">
        <x:v>T09</x:v>
      </x:c>
      <x:c r="O818" s="4"/>
      <x:c r="P818" s="11" t="n">
        <x:v>2</x:v>
      </x:c>
      <x:c r="Q818" s="11" t="n">
        <x:v>1</x:v>
      </x:c>
      <x:c r="R818" s="11" t="n">
        <x:f>IF(OR(P818="",Q818=""),"",Q818-P818)</x:f>
        <x:v>-1</x:v>
      </x:c>
      <x:c r="S818" s="13" t="n">
        <x:f>IF(OR(P818="",Q818="",P818=0),"",((Q818/30)/(P818/31))-1)</x:f>
        <x:v>-0.4833333333333333</x:v>
      </x:c>
      <x:c r="T818" s="11" t="n">
        <x:v>1063</x:v>
      </x:c>
      <x:c r="U818" s="11" t="n">
        <x:v>267</x:v>
      </x:c>
      <x:c r="V818" s="14" t="n">
        <x:v>0.003745318352059925</x:v>
      </x:c>
      <x:c r="W818" s="12" t="n">
        <x:v>4.7790262172284645</x:v>
      </x:c>
      <x:c r="X818" s="11" t="n">
        <x:v>1</x:v>
      </x:c>
      <x:c r="Y818" s="11" t="n">
        <x:v>1</x:v>
      </x:c>
      <x:c r="Z818" s="4" t="str">
        <x:v>https://blog.skyairline.com/sky-airline-consigue-nuevamente-la-maxima-calificacion-en-seguridad-operacional/</x:v>
      </x:c>
      <x:c r="AA818" s="4" t="str">
        <x:v>https://blog.skyairline.com/sky-airline-consigue-nuevamente-la-maxima-calificacion-en-seguridad-operacional/</x:v>
      </x:c>
      <x:c r="AB818" s="4" t="str">
        <x:v>Coincidencia URL</x:v>
      </x:c>
      <x:c r="AC818" s="4" t="str">
        <x:v>Publicado hasta septiembre</x:v>
      </x:c>
      <x:c r="AD818" s="4" t="str">
        <x:v>/sky-airline-consigue-nuevamente-la-maxima-calificacion-en-seguridad-operacional/</x:v>
      </x:c>
      <x:c r="AE818" s="4"/>
      <x:c r="AF818" s="16" t="b">
        <x:v>0</x:v>
      </x:c>
    </x:row>
    <x:row r="819" ht="44" customHeight="1">
      <x:c r="A819" s="4" t="n">
        <x:v>5450</x:v>
      </x:c>
      <x:c r="B819" s="4" t="str">
        <x:v>https://blog.skyairline.com/fin-de-ano-argentina/</x:v>
      </x:c>
      <x:c r="C819" s="9" t="str">
        <x:v>Donde pasar fin de año en Argentina: elige tu preferido</x:v>
      </x:c>
      <x:c r="D819" s="17" t="d">
        <x:v>2024-12-10T00:00:00.000Z</x:v>
      </x:c>
      <x:c r="E819" s="17" t="d">
        <x:v>2024-12-10T00:00:00.000Z</x:v>
      </x:c>
      <x:c r="F819" s="4" t="str">
        <x:v>Buenos Aires, Destinos</x:v>
      </x:c>
      <x:c r="G819" s="11" t="n">
        <x:v>1217</x:v>
      </x:c>
      <x:c r="H819" s="11" t="n">
        <x:v>200</x:v>
      </x:c>
      <x:c r="I819" s="11" t="n">
        <x:v>1</x:v>
      </x:c>
      <x:c r="J819" s="4" t="str">
        <x:v>https://blog.skyairline.com/fin-de-ano-argentina/</x:v>
      </x:c>
      <x:c r="K819" s="16" t="b">
        <x:v>0</x:v>
      </x:c>
      <x:c r="L819" s="11" t="n">
        <x:v>0</x:v>
      </x:c>
      <x:c r="M819" s="11" t="n">
        <x:v>3</x:v>
      </x:c>
      <x:c r="N819" s="4"/>
      <x:c r="O819" s="4"/>
      <x:c r="P819" s="11" t="n">
        <x:v>1</x:v>
      </x:c>
      <x:c r="Q819" s="11" t="n">
        <x:v>1</x:v>
      </x:c>
      <x:c r="R819" s="11" t="n">
        <x:f>IF(OR(P819="",Q819=""),"",Q819-P819)</x:f>
        <x:v>0</x:v>
      </x:c>
      <x:c r="S819" s="13" t="n">
        <x:f>IF(OR(P819="",Q819="",P819=0),"",((Q819/30)/(P819/31))-1)</x:f>
        <x:v>0.03333333333333344</x:v>
      </x:c>
      <x:c r="T819" s="11" t="n">
        <x:v>245</x:v>
      </x:c>
      <x:c r="U819" s="11" t="n">
        <x:v>245</x:v>
      </x:c>
      <x:c r="V819" s="14" t="n">
        <x:v>0.004081632653061225</x:v>
      </x:c>
      <x:c r="W819" s="12" t="n">
        <x:v>10.277551020408163</x:v>
      </x:c>
      <x:c r="X819" s="11" t="n">
        <x:v>3</x:v>
      </x:c>
      <x:c r="Y819" s="11" t="n">
        <x:v>3</x:v>
      </x:c>
      <x:c r="Z819" s="4" t="str">
        <x:v>https://blog.skyairline.com/fin-de-ano-argentina/</x:v>
      </x:c>
      <x:c r="AA819" s="4" t="str">
        <x:v>https://blog.skyairline.com/fin-de-ano-argentina/</x:v>
      </x:c>
      <x:c r="AB819" s="4" t="str">
        <x:v>Coincidencia URL</x:v>
      </x:c>
      <x:c r="AC819" s="4" t="str">
        <x:v>Publicado hasta septiembre</x:v>
      </x:c>
      <x:c r="AD819" s="4" t="str">
        <x:v>/fin-de-ano-argentina/</x:v>
      </x:c>
      <x:c r="AE819" s="4"/>
      <x:c r="AF819" s="16" t="b">
        <x:v>0</x:v>
      </x:c>
    </x:row>
    <x:row r="820" ht="44" customHeight="1">
      <x:c r="A820" s="4" t="n">
        <x:v>5462</x:v>
      </x:c>
      <x:c r="B820" s="4" t="str">
        <x:v>https://blog.skyairline.com/nochevieja/</x:v>
      </x:c>
      <x:c r="C820" s="9" t="str">
        <x:v>Nochevieja: tradiciones y costumbres en América Latina</x:v>
      </x:c>
      <x:c r="D820" s="17" t="d">
        <x:v>2024-12-12T00:00:00.000Z</x:v>
      </x:c>
      <x:c r="E820" s="17" t="d">
        <x:v>2024-12-12T00:00:00.000Z</x:v>
      </x:c>
      <x:c r="F820" s="4" t="str">
        <x:v>Cultura, Destinos</x:v>
      </x:c>
      <x:c r="G820" s="11" t="n">
        <x:v>1709</x:v>
      </x:c>
      <x:c r="H820" s="11" t="n">
        <x:v>200</x:v>
      </x:c>
      <x:c r="I820" s="11" t="n">
        <x:v>1</x:v>
      </x:c>
      <x:c r="J820" s="4" t="str">
        <x:v>https://blog.skyairline.com/nochevieja/</x:v>
      </x:c>
      <x:c r="K820" s="16" t="b">
        <x:v>0</x:v>
      </x:c>
      <x:c r="L820" s="11" t="n">
        <x:v>0</x:v>
      </x:c>
      <x:c r="M820" s="11" t="n">
        <x:v>3</x:v>
      </x:c>
      <x:c r="N820" s="4"/>
      <x:c r="O820" s="4"/>
      <x:c r="P820" s="11" t="n">
        <x:v>1</x:v>
      </x:c>
      <x:c r="Q820" s="11" t="n">
        <x:v>1</x:v>
      </x:c>
      <x:c r="R820" s="11" t="n">
        <x:f>IF(OR(P820="",Q820=""),"",Q820-P820)</x:f>
        <x:v>0</x:v>
      </x:c>
      <x:c r="S820" s="13" t="n">
        <x:f>IF(OR(P820="",Q820="",P820=0),"",((Q820/30)/(P820/31))-1)</x:f>
        <x:v>0.03333333333333344</x:v>
      </x:c>
      <x:c r="T820" s="11" t="n">
        <x:v>383</x:v>
      </x:c>
      <x:c r="U820" s="11" t="n">
        <x:v>535</x:v>
      </x:c>
      <x:c r="V820" s="14" t="n">
        <x:v>0.001869158878504673</x:v>
      </x:c>
      <x:c r="W820" s="12" t="n">
        <x:v>10.158878504672897</x:v>
      </x:c>
      <x:c r="X820" s="11" t="n">
        <x:v>1</x:v>
      </x:c>
      <x:c r="Y820" s="11" t="n">
        <x:v>1</x:v>
      </x:c>
      <x:c r="Z820" s="4" t="str">
        <x:v>https://blog.skyairline.com/nochevieja/</x:v>
      </x:c>
      <x:c r="AA820" s="4" t="str">
        <x:v>https://blog.skyairline.com/nochevieja/</x:v>
      </x:c>
      <x:c r="AB820" s="4" t="str">
        <x:v>Coincidencia URL</x:v>
      </x:c>
      <x:c r="AC820" s="4" t="str">
        <x:v>Publicado hasta septiembre</x:v>
      </x:c>
      <x:c r="AD820" s="4" t="str">
        <x:v>/nochevieja/</x:v>
      </x:c>
      <x:c r="AE820" s="4"/>
      <x:c r="AF820" s="16" t="b">
        <x:v>0</x:v>
      </x:c>
    </x:row>
    <x:row r="821" ht="44" customHeight="1">
      <x:c r="A821" s="4" t="n">
        <x:v>5483</x:v>
      </x:c>
      <x:c r="B821" s="4" t="str">
        <x:v>https://blog.skyairline.com/restaurantes-en-bariloche/</x:v>
      </x:c>
      <x:c r="C821" s="9" t="str">
        <x:v>16 mejores restaurantes en Bariloche</x:v>
      </x:c>
      <x:c r="D821" s="17" t="d">
        <x:v>2024-12-16T00:00:00.000Z</x:v>
      </x:c>
      <x:c r="E821" s="17" t="d">
        <x:v>2024-12-16T00:00:00.000Z</x:v>
      </x:c>
      <x:c r="F821" s="4" t="str">
        <x:v>Bariloche, Destinos</x:v>
      </x:c>
      <x:c r="G821" s="11" t="n">
        <x:v>1062</x:v>
      </x:c>
      <x:c r="H821" s="11" t="n">
        <x:v>200</x:v>
      </x:c>
      <x:c r="I821" s="11" t="n">
        <x:v>1</x:v>
      </x:c>
      <x:c r="J821" s="4" t="str">
        <x:v>https://blog.skyairline.com/restaurantes-en-bariloche/</x:v>
      </x:c>
      <x:c r="K821" s="16" t="b">
        <x:v>0</x:v>
      </x:c>
      <x:c r="L821" s="11" t="n">
        <x:v>0</x:v>
      </x:c>
      <x:c r="M821" s="11" t="n">
        <x:v>2</x:v>
      </x:c>
      <x:c r="N821" s="4"/>
      <x:c r="O821" s="4"/>
      <x:c r="P821" s="11" t="n">
        <x:v>3</x:v>
      </x:c>
      <x:c r="Q821" s="11" t="n">
        <x:v>1</x:v>
      </x:c>
      <x:c r="R821" s="11" t="n">
        <x:f>IF(OR(P821="",Q821=""),"",Q821-P821)</x:f>
        <x:v>-2</x:v>
      </x:c>
      <x:c r="S821" s="13" t="n">
        <x:f>IF(OR(P821="",Q821="",P821=0),"",((Q821/30)/(P821/31))-1)</x:f>
        <x:v>-0.6555555555555556</x:v>
      </x:c>
      <x:c r="T821" s="11" t="n">
        <x:v>388</x:v>
      </x:c>
      <x:c r="U821" s="11" t="n">
        <x:v>227</x:v>
      </x:c>
      <x:c r="V821" s="14" t="n">
        <x:v>0.004405286343612335</x:v>
      </x:c>
      <x:c r="W821" s="12" t="n">
        <x:v>14.352422907488986</x:v>
      </x:c>
      <x:c r="X821" s="11" t="n">
        <x:v>2</x:v>
      </x:c>
      <x:c r="Y821" s="11" t="n">
        <x:v>2</x:v>
      </x:c>
      <x:c r="Z821" s="4" t="str">
        <x:v>https://blog.skyairline.com/restaurantes-en-bariloche/</x:v>
      </x:c>
      <x:c r="AA821" s="4" t="str">
        <x:v>https://blog.skyairline.com/restaurantes-en-bariloche/</x:v>
      </x:c>
      <x:c r="AB821" s="4" t="str">
        <x:v>Coincidencia URL</x:v>
      </x:c>
      <x:c r="AC821" s="4" t="str">
        <x:v>Publicado hasta septiembre</x:v>
      </x:c>
      <x:c r="AD821" s="4" t="str">
        <x:v>/restaurantes-en-bariloche/</x:v>
      </x:c>
      <x:c r="AE821" s="4"/>
      <x:c r="AF821" s="16" t="b">
        <x:v>0</x:v>
      </x:c>
    </x:row>
    <x:row r="822" ht="44" customHeight="1">
      <x:c r="A822" s="4" t="n">
        <x:v>5495</x:v>
      </x:c>
      <x:c r="B822" s="4" t="str">
        <x:v>https://blog.skyairline.com/downtown-miami/</x:v>
      </x:c>
      <x:c r="C822" s="9" t="str">
        <x:v>Guía completa para explorar Downtown Miami</x:v>
      </x:c>
      <x:c r="D822" s="17" t="d">
        <x:v>2024-12-19T00:00:00.000Z</x:v>
      </x:c>
      <x:c r="E822" s="17" t="d">
        <x:v>2024-12-19T00:00:00.000Z</x:v>
      </x:c>
      <x:c r="F822" s="4" t="str">
        <x:v>Destinos</x:v>
      </x:c>
      <x:c r="G822" s="11" t="n">
        <x:v>1228</x:v>
      </x:c>
      <x:c r="H822" s="11" t="n">
        <x:v>200</x:v>
      </x:c>
      <x:c r="I822" s="11" t="n">
        <x:v>1</x:v>
      </x:c>
      <x:c r="J822" s="4" t="str">
        <x:v>https://blog.skyairline.com/downtown-miami/</x:v>
      </x:c>
      <x:c r="K822" s="16" t="b">
        <x:v>0</x:v>
      </x:c>
      <x:c r="L822" s="11" t="n">
        <x:v>0</x:v>
      </x:c>
      <x:c r="M822" s="11" t="n">
        <x:v>3</x:v>
      </x:c>
      <x:c r="N822" s="4"/>
      <x:c r="O822" s="4"/>
      <x:c r="P822" s="11" t="n">
        <x:v>1</x:v>
      </x:c>
      <x:c r="Q822" s="11" t="n">
        <x:v>1</x:v>
      </x:c>
      <x:c r="R822" s="11" t="n">
        <x:f>IF(OR(P822="",Q822=""),"",Q822-P822)</x:f>
        <x:v>0</x:v>
      </x:c>
      <x:c r="S822" s="13" t="n">
        <x:f>IF(OR(P822="",Q822="",P822=0),"",((Q822/30)/(P822/31))-1)</x:f>
        <x:v>0.03333333333333344</x:v>
      </x:c>
      <x:c r="T822" s="11" t="n">
        <x:v>497</x:v>
      </x:c>
      <x:c r="U822" s="11" t="n">
        <x:v>437</x:v>
      </x:c>
      <x:c r="V822" s="14" t="n">
        <x:v>0.002288329519450801</x:v>
      </x:c>
      <x:c r="W822" s="12" t="n">
        <x:v>13.05720823798627</x:v>
      </x:c>
      <x:c r="X822" s="11" t="n">
        <x:v>1</x:v>
      </x:c>
      <x:c r="Y822" s="11" t="n">
        <x:v>2</x:v>
      </x:c>
      <x:c r="Z822" s="4" t="str">
        <x:v>https://blog.skyairline.com/downtown-miami/</x:v>
      </x:c>
      <x:c r="AA822" s="4" t="str">
        <x:v>https://blog.skyairline.com/downtown-miami/</x:v>
      </x:c>
      <x:c r="AB822" s="4" t="str">
        <x:v>Coincidencia URL</x:v>
      </x:c>
      <x:c r="AC822" s="4" t="str">
        <x:v>Publicado hasta septiembre</x:v>
      </x:c>
      <x:c r="AD822" s="4" t="str">
        <x:v>/downtown-miami/</x:v>
      </x:c>
      <x:c r="AE822" s="4"/>
      <x:c r="AF822" s="16" t="b">
        <x:v>0</x:v>
      </x:c>
    </x:row>
    <x:row r="823" ht="44" customHeight="1">
      <x:c r="A823" s="4" t="n">
        <x:v>5551</x:v>
      </x:c>
      <x:c r="B823" s="4" t="str">
        <x:v>https://blog.skyairline.com/sky-y-air-europa-firman-acuerdo-interlineal-para-conectar-pasajeros-entre-europa-y-mas-de-30-destinos-en-latinoamerica-2/</x:v>
      </x:c>
      <x:c r="C823" s="9" t="str">
        <x:v>SKY y Air Europa firman acuerdo interlineal para conectar pasajeros entre Europa y más de 30 destinos en Latinoamérica</x:v>
      </x:c>
      <x:c r="D823" s="17" t="d">
        <x:v>2024-12-30T00:00:00.000Z</x:v>
      </x:c>
      <x:c r="E823" s="17" t="d">
        <x:v>2024-12-30T00:00:00.000Z</x:v>
      </x:c>
      <x:c r="F823" s="4" t="str">
        <x:v>Sin categoría</x:v>
      </x:c>
      <x:c r="G823" s="11" t="n">
        <x:v>410</x:v>
      </x:c>
      <x:c r="H823" s="11" t="n">
        <x:v>200</x:v>
      </x:c>
      <x:c r="I823" s="11" t="n">
        <x:v>1</x:v>
      </x:c>
      <x:c r="J823" s="4" t="str">
        <x:v>https://blog.skyairline.com/sky-y-air-europa-firman-acuerdo-interlineal-para-conectar-pasajeros-entre-europa-y-mas-de-30-destinos-en-latinoamerica-2/</x:v>
      </x:c>
      <x:c r="K823" s="16" t="b">
        <x:v>0</x:v>
      </x:c>
      <x:c r="L823" s="11" t="n">
        <x:v>0</x:v>
      </x:c>
      <x:c r="M823" s="11" t="n">
        <x:v>0</x:v>
      </x:c>
      <x:c r="N823" s="4" t="str">
        <x:v>T08</x:v>
      </x:c>
      <x:c r="O823" s="4" t="str">
        <x:v>C04</x:v>
      </x:c>
      <x:c r="P823" s="11" t="n">
        <x:v>2</x:v>
      </x:c>
      <x:c r="Q823" s="11" t="n">
        <x:v>1</x:v>
      </x:c>
      <x:c r="R823" s="11" t="n">
        <x:f>IF(OR(P823="",Q823=""),"",Q823-P823)</x:f>
        <x:v>-1</x:v>
      </x:c>
      <x:c r="S823" s="13" t="n">
        <x:f>IF(OR(P823="",Q823="",P823=0),"",((Q823/30)/(P823/31))-1)</x:f>
        <x:v>-0.4833333333333333</x:v>
      </x:c>
      <x:c r="T823" s="11" t="n">
        <x:v>57</x:v>
      </x:c>
      <x:c r="U823" s="11" t="n">
        <x:v>21</x:v>
      </x:c>
      <x:c r="V823" s="14" t="n">
        <x:v>0.047619047619047616</x:v>
      </x:c>
      <x:c r="W823" s="12" t="n">
        <x:v>4.190476190476191</x:v>
      </x:c>
      <x:c r="X823" s="11" t="n">
        <x:v>1</x:v>
      </x:c>
      <x:c r="Y823" s="11" t="n">
        <x:v>1</x:v>
      </x:c>
      <x:c r="Z823" s="4" t="str">
        <x:v>https://blog.skyairline.com/sky-y-air-europa-firman-acuerdo-interlineal-para-conectar-pasajeros-entre-europa-y-mas-de-30-destinos-en-latinoamerica-2/</x:v>
      </x:c>
      <x:c r="AA823" s="4" t="str">
        <x:v>https://blog.skyairline.com/sky-y-air-europa-firman-acuerdo-interlineal-para-conectar-pasajeros-entre-europa-y-mas-de-30-destinos-en-latinoamerica-2/</x:v>
      </x:c>
      <x:c r="AB823" s="4" t="str">
        <x:v>Coincidencia URL</x:v>
      </x:c>
      <x:c r="AC823" s="4" t="str">
        <x:v>Publicado hasta septiembre</x:v>
      </x:c>
      <x:c r="AD823" s="4" t="str">
        <x:v>/sky-y-air-europa-firman-acuerdo-interlineal-para-conectar-pasajeros-entre-europa-y-mas-de-30-destinos-en-latinoamerica-2/</x:v>
      </x:c>
      <x:c r="AE823" s="4"/>
      <x:c r="AF823" s="16" t="b">
        <x:v>0</x:v>
      </x:c>
    </x:row>
    <x:row r="824" ht="44" customHeight="1">
      <x:c r="A824" s="4" t="n">
        <x:v>5570</x:v>
      </x:c>
      <x:c r="B824" s="4" t="str">
        <x:v>https://blog.skyairline.com/villa-pehuenia-un-paraiso-patagonico-para-descubrir/</x:v>
      </x:c>
      <x:c r="C824" s="9" t="str">
        <x:v>Villa Pehuenia: un paraíso patagónico para descubrir</x:v>
      </x:c>
      <x:c r="D824" s="17" t="d">
        <x:v>2025-01-29T00:00:00.000Z</x:v>
      </x:c>
      <x:c r="E824" s="17" t="d">
        <x:v>2025-01-29T00:00:00.000Z</x:v>
      </x:c>
      <x:c r="F824" s="4" t="str">
        <x:v>Sin categoría</x:v>
      </x:c>
      <x:c r="G824" s="11" t="n">
        <x:v>1107</x:v>
      </x:c>
      <x:c r="H824" s="11" t="n">
        <x:v>200</x:v>
      </x:c>
      <x:c r="I824" s="11" t="n">
        <x:v>1</x:v>
      </x:c>
      <x:c r="J824" s="4" t="str">
        <x:v>https://blog.skyairline.com/villa-pehuenia-un-paraiso-patagonico-para-descubrir/</x:v>
      </x:c>
      <x:c r="K824" s="16" t="b">
        <x:v>0</x:v>
      </x:c>
      <x:c r="L824" s="11" t="n">
        <x:v>0</x:v>
      </x:c>
      <x:c r="M824" s="11" t="n">
        <x:v>3</x:v>
      </x:c>
      <x:c r="N824" s="4"/>
      <x:c r="O824" s="4"/>
      <x:c r="P824" s="11" t="n">
        <x:v>4</x:v>
      </x:c>
      <x:c r="Q824" s="11" t="n">
        <x:v>1</x:v>
      </x:c>
      <x:c r="R824" s="11" t="n">
        <x:f>IF(OR(P824="",Q824=""),"",Q824-P824)</x:f>
        <x:v>-3</x:v>
      </x:c>
      <x:c r="S824" s="13" t="n">
        <x:f>IF(OR(P824="",Q824="",P824=0),"",((Q824/30)/(P824/31))-1)</x:f>
        <x:v>-0.7416666666666667</x:v>
      </x:c>
      <x:c r="T824" s="11" t="n">
        <x:v>538</x:v>
      </x:c>
      <x:c r="U824" s="11" t="n">
        <x:v>140</x:v>
      </x:c>
      <x:c r="V824" s="14" t="n">
        <x:v>0.007142857142857143</x:v>
      </x:c>
      <x:c r="W824" s="12" t="n">
        <x:v>13.592857142857143</x:v>
      </x:c>
      <x:c r="X824" s="11" t="n">
        <x:v>1</x:v>
      </x:c>
      <x:c r="Y824" s="11" t="n">
        <x:v>3</x:v>
      </x:c>
      <x:c r="Z824" s="4" t="str">
        <x:v>https://blog.skyairline.com/villa-pehuenia-un-paraiso-patagonico-para-descubrir/</x:v>
      </x:c>
      <x:c r="AA824" s="4" t="str">
        <x:v>https://blog.skyairline.com/villa-pehuenia-un-paraiso-patagonico-para-descubrir/</x:v>
      </x:c>
      <x:c r="AB824" s="4" t="str">
        <x:v>Coincidencia URL</x:v>
      </x:c>
      <x:c r="AC824" s="4" t="str">
        <x:v>Publicado hasta septiembre</x:v>
      </x:c>
      <x:c r="AD824" s="4" t="str">
        <x:v>/villa-pehuenia-un-paraiso-patagonico-para-descubrir/</x:v>
      </x:c>
      <x:c r="AE824" s="4"/>
      <x:c r="AF824" s="16" t="b">
        <x:v>0</x:v>
      </x:c>
    </x:row>
    <x:row r="825" ht="44" customHeight="1">
      <x:c r="A825" s="4" t="n">
        <x:v>5606</x:v>
      </x:c>
      <x:c r="B825" s="4" t="str">
        <x:v>https://blog.skyairline.com/laguna-piquecocha-descubre-esta-maravilla-color-esmeralda/</x:v>
      </x:c>
      <x:c r="C825" s="9" t="str">
        <x:v>Laguna Piquecocha: descubre esta maravilla color esmeralda</x:v>
      </x:c>
      <x:c r="D825" s="17" t="d">
        <x:v>2025-02-08T00:00:00.000Z</x:v>
      </x:c>
      <x:c r="E825" s="17" t="d">
        <x:v>2025-02-08T00:00:00.000Z</x:v>
      </x:c>
      <x:c r="F825" s="4" t="str">
        <x:v>Sin categoría</x:v>
      </x:c>
      <x:c r="G825" s="11" t="n">
        <x:v>1071</x:v>
      </x:c>
      <x:c r="H825" s="11" t="n">
        <x:v>200</x:v>
      </x:c>
      <x:c r="I825" s="11" t="n">
        <x:v>1</x:v>
      </x:c>
      <x:c r="J825" s="4" t="str">
        <x:v>https://blog.skyairline.com/laguna-piquecocha-descubre-esta-maravilla-color-esmeralda/</x:v>
      </x:c>
      <x:c r="K825" s="16" t="b">
        <x:v>0</x:v>
      </x:c>
      <x:c r="L825" s="11" t="n">
        <x:v>0</x:v>
      </x:c>
      <x:c r="M825" s="11" t="n">
        <x:v>3</x:v>
      </x:c>
      <x:c r="N825" s="4"/>
      <x:c r="O825" s="4"/>
      <x:c r="P825" s="11" t="n">
        <x:v>1</x:v>
      </x:c>
      <x:c r="Q825" s="11" t="n">
        <x:v>1</x:v>
      </x:c>
      <x:c r="R825" s="11" t="n">
        <x:f>IF(OR(P825="",Q825=""),"",Q825-P825)</x:f>
        <x:v>0</x:v>
      </x:c>
      <x:c r="S825" s="13" t="n">
        <x:f>IF(OR(P825="",Q825="",P825=0),"",((Q825/30)/(P825/31))-1)</x:f>
        <x:v>0.03333333333333344</x:v>
      </x:c>
      <x:c r="T825" s="11" t="n">
        <x:v>996</x:v>
      </x:c>
      <x:c r="U825" s="11" t="n">
        <x:v>272</x:v>
      </x:c>
      <x:c r="V825" s="14" t="n">
        <x:v>0.003676470588235294</x:v>
      </x:c>
      <x:c r="W825" s="12" t="n">
        <x:v>9.246323529411764</x:v>
      </x:c>
      <x:c r="X825" s="11" t="n">
        <x:v>1</x:v>
      </x:c>
      <x:c r="Y825" s="11" t="n">
        <x:v>5</x:v>
      </x:c>
      <x:c r="Z825" s="4" t="str">
        <x:v>https://blog.skyairline.com/laguna-piquecocha-descubre-esta-maravilla-color-esmeralda/</x:v>
      </x:c>
      <x:c r="AA825" s="4" t="str">
        <x:v>https://blog.skyairline.com/laguna-piquecocha-descubre-esta-maravilla-color-esmeralda
https://blog.skyairline.com/laguna-piquecocha-descubre-esta-maravilla-color-esmeralda/</x:v>
      </x:c>
      <x:c r="AB825" s="4" t="str">
        <x:v>Alias slash agregado</x:v>
      </x:c>
      <x:c r="AC825" s="4" t="str">
        <x:v>Publicado hasta septiembre</x:v>
      </x:c>
      <x:c r="AD825" s="4" t="str">
        <x:v>/laguna-piquecocha-descubre-esta-maravilla-color-esmeralda/</x:v>
      </x:c>
      <x:c r="AE825" s="4"/>
      <x:c r="AF825" s="16" t="b">
        <x:v>0</x:v>
      </x:c>
    </x:row>
    <x:row r="826" ht="44" customHeight="1">
      <x:c r="A826" s="4" t="n">
        <x:v>5619</x:v>
      </x:c>
      <x:c r="B826" s="4" t="str">
        <x:v>https://blog.skyairline.com/de-santiago-a-antofagasta-que-hacer-en-este-destino/</x:v>
      </x:c>
      <x:c r="C826" s="9" t="str">
        <x:v>De Santiago a Antofagasta: ¿qué hacer en este destino?</x:v>
      </x:c>
      <x:c r="D826" s="17" t="d">
        <x:v>2025-02-12T00:00:00.000Z</x:v>
      </x:c>
      <x:c r="E826" s="17" t="d">
        <x:v>2025-02-12T00:00:00.000Z</x:v>
      </x:c>
      <x:c r="F826" s="4" t="str">
        <x:v>Sin categoría</x:v>
      </x:c>
      <x:c r="G826" s="11" t="n">
        <x:v>1079</x:v>
      </x:c>
      <x:c r="H826" s="11" t="n">
        <x:v>200</x:v>
      </x:c>
      <x:c r="I826" s="11" t="n">
        <x:v>1</x:v>
      </x:c>
      <x:c r="J826" s="4" t="str">
        <x:v>https://blog.skyairline.com/de-santiago-a-antofagasta-que-hacer-en-este-destino/</x:v>
      </x:c>
      <x:c r="K826" s="16" t="b">
        <x:v>0</x:v>
      </x:c>
      <x:c r="L826" s="11" t="n">
        <x:v>0</x:v>
      </x:c>
      <x:c r="M826" s="11" t="n">
        <x:v>2</x:v>
      </x:c>
      <x:c r="N826" s="4"/>
      <x:c r="O826" s="4"/>
      <x:c r="P826" s="11" t="n">
        <x:v>2</x:v>
      </x:c>
      <x:c r="Q826" s="11" t="n">
        <x:v>1</x:v>
      </x:c>
      <x:c r="R826" s="11" t="n">
        <x:f>IF(OR(P826="",Q826=""),"",Q826-P826)</x:f>
        <x:v>-1</x:v>
      </x:c>
      <x:c r="S826" s="13" t="n">
        <x:f>IF(OR(P826="",Q826="",P826=0),"",((Q826/30)/(P826/31))-1)</x:f>
        <x:v>-0.4833333333333333</x:v>
      </x:c>
      <x:c r="T826" s="11" t="n">
        <x:v>832</x:v>
      </x:c>
      <x:c r="U826" s="11" t="n">
        <x:v>157</x:v>
      </x:c>
      <x:c r="V826" s="14" t="n">
        <x:v>0.006369426751592357</x:v>
      </x:c>
      <x:c r="W826" s="12" t="n">
        <x:v>9.0828025477707</x:v>
      </x:c>
      <x:c r="X826" s="11" t="n">
        <x:v>1</x:v>
      </x:c>
      <x:c r="Y826" s="11" t="n">
        <x:v>2</x:v>
      </x:c>
      <x:c r="Z826" s="4" t="str">
        <x:v>https://blog.skyairline.com/de-santiago-a-antofagasta-que-hacer-en-este-destino/</x:v>
      </x:c>
      <x:c r="AA826" s="4" t="str">
        <x:v>https://blog.skyairline.com/de-santiago-a-antofagasta-que-hacer-en-este-destino/</x:v>
      </x:c>
      <x:c r="AB826" s="4" t="str">
        <x:v>Coincidencia URL</x:v>
      </x:c>
      <x:c r="AC826" s="4" t="str">
        <x:v>Publicado hasta septiembre</x:v>
      </x:c>
      <x:c r="AD826" s="4" t="str">
        <x:v>/de-santiago-a-antofagasta-que-hacer-en-este-destino/</x:v>
      </x:c>
      <x:c r="AE826" s="4"/>
      <x:c r="AF826" s="16" t="b">
        <x:v>0</x:v>
      </x:c>
    </x:row>
    <x:row r="827" ht="44" customHeight="1">
      <x:c r="A827" s="4" t="n">
        <x:v>5623</x:v>
      </x:c>
      <x:c r="B827" s="4" t="str">
        <x:v>https://blog.skyairline.com/cristo-redentor-historia-y-curiosidades-sobre-este-icono-de-rio-de-janeiro/</x:v>
      </x:c>
      <x:c r="C827" s="9" t="str">
        <x:v>Cristo Redentor: historia y curiosidades sobre este icono de Río de Janeiro</x:v>
      </x:c>
      <x:c r="D827" s="17" t="d">
        <x:v>2025-02-13T00:00:00.000Z</x:v>
      </x:c>
      <x:c r="E827" s="17" t="d">
        <x:v>2025-02-13T00:00:00.000Z</x:v>
      </x:c>
      <x:c r="F827" s="4" t="str">
        <x:v>Sin categoría</x:v>
      </x:c>
      <x:c r="G827" s="11" t="n">
        <x:v>2094</x:v>
      </x:c>
      <x:c r="H827" s="11" t="n">
        <x:v>200</x:v>
      </x:c>
      <x:c r="I827" s="11" t="n">
        <x:v>1</x:v>
      </x:c>
      <x:c r="J827" s="4" t="str">
        <x:v>https://blog.skyairline.com/cristo-redentor-historia-y-curiosidades-sobre-este-icono-de-rio-de-janeiro/</x:v>
      </x:c>
      <x:c r="K827" s="16" t="b">
        <x:v>0</x:v>
      </x:c>
      <x:c r="L827" s="11" t="n">
        <x:v>0</x:v>
      </x:c>
      <x:c r="M827" s="11" t="n">
        <x:v>3</x:v>
      </x:c>
      <x:c r="N827" s="4"/>
      <x:c r="O827" s="4"/>
      <x:c r="P827" s="11" t="n">
        <x:v>8</x:v>
      </x:c>
      <x:c r="Q827" s="11" t="n">
        <x:v>1</x:v>
      </x:c>
      <x:c r="R827" s="11" t="n">
        <x:f>IF(OR(P827="",Q827=""),"",Q827-P827)</x:f>
        <x:v>-7</x:v>
      </x:c>
      <x:c r="S827" s="13" t="n">
        <x:f>IF(OR(P827="",Q827="",P827=0),"",((Q827/30)/(P827/31))-1)</x:f>
        <x:v>-0.8708333333333333</x:v>
      </x:c>
      <x:c r="T827" s="11" t="n">
        <x:v>2758</x:v>
      </x:c>
      <x:c r="U827" s="11" t="n">
        <x:v>1468</x:v>
      </x:c>
      <x:c r="V827" s="14" t="n">
        <x:v>0.0006811989100817438</x:v>
      </x:c>
      <x:c r="W827" s="12" t="n">
        <x:v>15.245231607629428</x:v>
      </x:c>
      <x:c r="X827" s="11" t="n">
        <x:v>7</x:v>
      </x:c>
      <x:c r="Y827" s="11" t="n">
        <x:v>6</x:v>
      </x:c>
      <x:c r="Z827" s="4" t="str">
        <x:v>https://blog.skyairline.com/cristo-redentor-historia-y-curiosidades-sobre-este-icono-de-rio-de-janeiro/</x:v>
      </x:c>
      <x:c r="AA827" s="4" t="str">
        <x:v>https://blog.skyairline.com/cristo-redentor-historia-y-curiosidades-sobre-este-icono-de-rio-de-janeiro/</x:v>
      </x:c>
      <x:c r="AB827" s="4" t="str">
        <x:v>Coincidencia URL</x:v>
      </x:c>
      <x:c r="AC827" s="4" t="str">
        <x:v>Publicado hasta septiembre</x:v>
      </x:c>
      <x:c r="AD827" s="4" t="str">
        <x:v>/cristo-redentor-historia-y-curiosidades-sobre-este-icono-de-rio-de-janeiro/</x:v>
      </x:c>
      <x:c r="AE827" s="4"/>
      <x:c r="AF827" s="16" t="b">
        <x:v>0</x:v>
      </x:c>
    </x:row>
    <x:row r="828" ht="44" customHeight="1">
      <x:c r="A828" s="4" t="n">
        <x:v>5732</x:v>
      </x:c>
      <x:c r="B828" s="4" t="str">
        <x:v>https://blog.skyairline.com/trekking-en-la-laguna-cutay-una-experiencia-sin-igual/</x:v>
      </x:c>
      <x:c r="C828" s="9" t="str">
        <x:v>Trekking en la Laguna Cutay: una experiencia sin igual</x:v>
      </x:c>
      <x:c r="D828" s="17" t="d">
        <x:v>2025-03-01T00:00:00.000Z</x:v>
      </x:c>
      <x:c r="E828" s="17" t="d">
        <x:v>2025-03-01T00:00:00.000Z</x:v>
      </x:c>
      <x:c r="F828" s="4" t="str">
        <x:v>Sin categoría</x:v>
      </x:c>
      <x:c r="G828" s="11" t="n">
        <x:v>2082</x:v>
      </x:c>
      <x:c r="H828" s="11" t="n">
        <x:v>200</x:v>
      </x:c>
      <x:c r="I828" s="11" t="n">
        <x:v>1</x:v>
      </x:c>
      <x:c r="J828" s="4" t="str">
        <x:v>https://blog.skyairline.com/trekking-en-la-laguna-cutay-una-experiencia-sin-igual/</x:v>
      </x:c>
      <x:c r="K828" s="16" t="b">
        <x:v>0</x:v>
      </x:c>
      <x:c r="L828" s="11" t="n">
        <x:v>0</x:v>
      </x:c>
      <x:c r="M828" s="11" t="n">
        <x:v>3</x:v>
      </x:c>
      <x:c r="N828" s="4"/>
      <x:c r="O828" s="4"/>
      <x:c r="P828" s="11" t="n">
        <x:v>1</x:v>
      </x:c>
      <x:c r="Q828" s="11" t="n">
        <x:v>1</x:v>
      </x:c>
      <x:c r="R828" s="11" t="n">
        <x:f>IF(OR(P828="",Q828=""),"",Q828-P828)</x:f>
        <x:v>0</x:v>
      </x:c>
      <x:c r="S828" s="13" t="n">
        <x:f>IF(OR(P828="",Q828="",P828=0),"",((Q828/30)/(P828/31))-1)</x:f>
        <x:v>0.03333333333333344</x:v>
      </x:c>
      <x:c r="T828" s="11" t="n">
        <x:v>161</x:v>
      </x:c>
      <x:c r="U828" s="11" t="n">
        <x:v>170</x:v>
      </x:c>
      <x:c r="V828" s="14" t="n">
        <x:v>0.0058823529411764705</x:v>
      </x:c>
      <x:c r="W828" s="12" t="n">
        <x:v>8.941176470588236</x:v>
      </x:c>
      <x:c r="X828" s="11"/>
      <x:c r="Y828" s="11"/>
      <x:c r="Z828" s="4" t="str">
        <x:v>https://blog.skyairline.com/trekking-en-la-laguna-cutay-una-experiencia-sin-igual/</x:v>
      </x:c>
      <x:c r="AA828" s="4" t="str">
        <x:v>https://blog.skyairline.com/trekking-en-la-laguna-cutay-una-experiencia-sin-igual/</x:v>
      </x:c>
      <x:c r="AB828" s="4" t="str">
        <x:v>Coincidencia URL</x:v>
      </x:c>
      <x:c r="AC828" s="4" t="str">
        <x:v>Publicado hasta septiembre</x:v>
      </x:c>
      <x:c r="AD828" s="4"/>
      <x:c r="AE828" s="4"/>
      <x:c r="AF828" s="16" t="b">
        <x:v>0</x:v>
      </x:c>
    </x:row>
    <x:row r="829" ht="44" customHeight="1">
      <x:c r="A829" s="4" t="n">
        <x:v>5842</x:v>
      </x:c>
      <x:c r="B829" s="4" t="str">
        <x:v>https://blog.skyairline.com/altura-machu-picchu/</x:v>
      </x:c>
      <x:c r="C829" s="9" t="str">
        <x:v>Consejos para superar el mal de altura en Machu Picchu</x:v>
      </x:c>
      <x:c r="D829" s="17" t="d">
        <x:v>2025-03-27T00:00:00.000Z</x:v>
      </x:c>
      <x:c r="E829" s="17" t="d">
        <x:v>2026-01-19T00:00:00.000Z</x:v>
      </x:c>
      <x:c r="F829" s="4" t="str">
        <x:v>Destinos</x:v>
      </x:c>
      <x:c r="G829" s="11" t="n">
        <x:v>1073</x:v>
      </x:c>
      <x:c r="H829" s="11" t="n">
        <x:v>200</x:v>
      </x:c>
      <x:c r="I829" s="11" t="n">
        <x:v>1</x:v>
      </x:c>
      <x:c r="J829" s="4" t="str">
        <x:v>https://blog.skyairline.com/altura-machu-picchu/</x:v>
      </x:c>
      <x:c r="K829" s="16" t="b">
        <x:v>0</x:v>
      </x:c>
      <x:c r="L829" s="11" t="n">
        <x:v>0</x:v>
      </x:c>
      <x:c r="M829" s="11" t="n">
        <x:v>0</x:v>
      </x:c>
      <x:c r="N829" s="4"/>
      <x:c r="O829" s="4"/>
      <x:c r="P829" s="11" t="n">
        <x:v>1</x:v>
      </x:c>
      <x:c r="Q829" s="11" t="n">
        <x:v>1</x:v>
      </x:c>
      <x:c r="R829" s="11" t="n">
        <x:f>IF(OR(P829="",Q829=""),"",Q829-P829)</x:f>
        <x:v>0</x:v>
      </x:c>
      <x:c r="S829" s="13" t="n">
        <x:f>IF(OR(P829="",Q829="",P829=0),"",((Q829/30)/(P829/31))-1)</x:f>
        <x:v>0.03333333333333344</x:v>
      </x:c>
      <x:c r="T829" s="11" t="n">
        <x:v>408</x:v>
      </x:c>
      <x:c r="U829" s="11" t="n">
        <x:v>122</x:v>
      </x:c>
      <x:c r="V829" s="14" t="n">
        <x:v>0.00819672131147541</x:v>
      </x:c>
      <x:c r="W829" s="12" t="n">
        <x:v>14.680327868852459</x:v>
      </x:c>
      <x:c r="X829" s="11" t="n">
        <x:v>1</x:v>
      </x:c>
      <x:c r="Y829" s="11" t="n">
        <x:v>1</x:v>
      </x:c>
      <x:c r="Z829" s="4" t="str">
        <x:v>https://blog.skyairline.com/altura-machu-picchu/</x:v>
      </x:c>
      <x:c r="AA829" s="4" t="str">
        <x:v>https://blog.skyairline.com/altura-machu-picchu/</x:v>
      </x:c>
      <x:c r="AB829" s="4" t="str">
        <x:v>Coincidencia URL</x:v>
      </x:c>
      <x:c r="AC829" s="4" t="str">
        <x:v>Publicado hasta septiembre</x:v>
      </x:c>
      <x:c r="AD829" s="4" t="str">
        <x:v>/altura-machu-picchu/</x:v>
      </x:c>
      <x:c r="AE829" s="4"/>
      <x:c r="AF829" s="16" t="b">
        <x:v>0</x:v>
      </x:c>
    </x:row>
    <x:row r="830" ht="44" customHeight="1">
      <x:c r="A830" s="4" t="n">
        <x:v>5862</x:v>
      </x:c>
      <x:c r="B830" s="4" t="str">
        <x:v>https://blog.skyairline.com/playas-mancora/</x:v>
      </x:c>
      <x:c r="C830" s="9" t="str">
        <x:v>Mejores playas de Máncora que debes conocer en tu visita a Perú</x:v>
      </x:c>
      <x:c r="D830" s="17" t="d">
        <x:v>2025-04-01T00:00:00.000Z</x:v>
      </x:c>
      <x:c r="E830" s="17" t="d">
        <x:v>2026-01-19T00:00:00.000Z</x:v>
      </x:c>
      <x:c r="F830" s="4" t="str">
        <x:v>Destinos</x:v>
      </x:c>
      <x:c r="G830" s="11" t="n">
        <x:v>1120</x:v>
      </x:c>
      <x:c r="H830" s="11" t="n">
        <x:v>200</x:v>
      </x:c>
      <x:c r="I830" s="11" t="n">
        <x:v>1</x:v>
      </x:c>
      <x:c r="J830" s="4" t="str">
        <x:v>https://blog.skyairline.com/playas-mancora/</x:v>
      </x:c>
      <x:c r="K830" s="16" t="b">
        <x:v>0</x:v>
      </x:c>
      <x:c r="L830" s="11" t="n">
        <x:v>0</x:v>
      </x:c>
      <x:c r="M830" s="11" t="n">
        <x:v>0</x:v>
      </x:c>
      <x:c r="N830" s="4"/>
      <x:c r="O830" s="4"/>
      <x:c r="P830" s="11" t="n">
        <x:v>7</x:v>
      </x:c>
      <x:c r="Q830" s="11" t="n">
        <x:v>1</x:v>
      </x:c>
      <x:c r="R830" s="11" t="n">
        <x:f>IF(OR(P830="",Q830=""),"",Q830-P830)</x:f>
        <x:v>-6</x:v>
      </x:c>
      <x:c r="S830" s="13" t="n">
        <x:f>IF(OR(P830="",Q830="",P830=0),"",((Q830/30)/(P830/31))-1)</x:f>
        <x:v>-0.8523809523809524</x:v>
      </x:c>
      <x:c r="T830" s="11" t="n">
        <x:v>509</x:v>
      </x:c>
      <x:c r="U830" s="11" t="n">
        <x:v>357</x:v>
      </x:c>
      <x:c r="V830" s="14" t="n">
        <x:v>0.0028011204481792717</x:v>
      </x:c>
      <x:c r="W830" s="12" t="n">
        <x:v>13.879551820728292</x:v>
      </x:c>
      <x:c r="X830" s="11" t="n">
        <x:v>3</x:v>
      </x:c>
      <x:c r="Y830" s="11" t="n">
        <x:v>3</x:v>
      </x:c>
      <x:c r="Z830" s="4" t="str">
        <x:v>https://blog.skyairline.com/playas-mancora/</x:v>
      </x:c>
      <x:c r="AA830" s="4" t="str">
        <x:v>https://blog.skyairline.com/playas-mancora/</x:v>
      </x:c>
      <x:c r="AB830" s="4" t="str">
        <x:v>Coincidencia URL</x:v>
      </x:c>
      <x:c r="AC830" s="4" t="str">
        <x:v>Publicado hasta septiembre</x:v>
      </x:c>
      <x:c r="AD830" s="4" t="str">
        <x:v>/playas-mancora/</x:v>
      </x:c>
      <x:c r="AE830" s="4"/>
      <x:c r="AF830" s="16" t="b">
        <x:v>0</x:v>
      </x:c>
    </x:row>
    <x:row r="831" ht="44" customHeight="1">
      <x:c r="A831" s="4" t="n">
        <x:v>5903</x:v>
      </x:c>
      <x:c r="B831" s="4" t="str">
        <x:v>https://blog.skyairline.com/parque-de-chiloe/</x:v>
      </x:c>
      <x:c r="C831" s="9" t="str">
        <x:v>Parque de Chiloé: principales atractivos de este Parque Nacional</x:v>
      </x:c>
      <x:c r="D831" s="17" t="d">
        <x:v>2025-04-12T00:00:00.000Z</x:v>
      </x:c>
      <x:c r="E831" s="17" t="d">
        <x:v>2026-01-19T00:00:00.000Z</x:v>
      </x:c>
      <x:c r="F831" s="4" t="str">
        <x:v>Destinos</x:v>
      </x:c>
      <x:c r="G831" s="11" t="n">
        <x:v>1023</x:v>
      </x:c>
      <x:c r="H831" s="11" t="n">
        <x:v>200</x:v>
      </x:c>
      <x:c r="I831" s="11" t="n">
        <x:v>1</x:v>
      </x:c>
      <x:c r="J831" s="4" t="str">
        <x:v>https://blog.skyairline.com/parque-de-chiloe/</x:v>
      </x:c>
      <x:c r="K831" s="16" t="b">
        <x:v>0</x:v>
      </x:c>
      <x:c r="L831" s="11" t="n">
        <x:v>0</x:v>
      </x:c>
      <x:c r="M831" s="11" t="n">
        <x:v>0</x:v>
      </x:c>
      <x:c r="N831" s="4"/>
      <x:c r="O831" s="4"/>
      <x:c r="P831" s="11" t="n">
        <x:v>2</x:v>
      </x:c>
      <x:c r="Q831" s="11" t="n">
        <x:v>1</x:v>
      </x:c>
      <x:c r="R831" s="11" t="n">
        <x:f>IF(OR(P831="",Q831=""),"",Q831-P831)</x:f>
        <x:v>-1</x:v>
      </x:c>
      <x:c r="S831" s="13" t="n">
        <x:f>IF(OR(P831="",Q831="",P831=0),"",((Q831/30)/(P831/31))-1)</x:f>
        <x:v>-0.4833333333333333</x:v>
      </x:c>
      <x:c r="T831" s="11" t="n">
        <x:v>115</x:v>
      </x:c>
      <x:c r="U831" s="11" t="n">
        <x:v>146</x:v>
      </x:c>
      <x:c r="V831" s="14" t="n">
        <x:v>0.00684931506849315</x:v>
      </x:c>
      <x:c r="W831" s="12" t="n">
        <x:v>14.301369863013699</x:v>
      </x:c>
      <x:c r="X831" s="11" t="n">
        <x:v>1</x:v>
      </x:c>
      <x:c r="Y831" s="11" t="n">
        <x:v>1</x:v>
      </x:c>
      <x:c r="Z831" s="4" t="str">
        <x:v>https://blog.skyairline.com/parque-de-chiloe/</x:v>
      </x:c>
      <x:c r="AA831" s="4" t="str">
        <x:v>https://blog.skyairline.com/parque-de-chiloe/</x:v>
      </x:c>
      <x:c r="AB831" s="4" t="str">
        <x:v>Coincidencia URL</x:v>
      </x:c>
      <x:c r="AC831" s="4" t="str">
        <x:v>Publicado hasta septiembre</x:v>
      </x:c>
      <x:c r="AD831" s="4" t="str">
        <x:v>/parque-de-chiloe/</x:v>
      </x:c>
      <x:c r="AE831" s="4"/>
      <x:c r="AF831" s="16" t="b">
        <x:v>0</x:v>
      </x:c>
    </x:row>
    <x:row r="832" ht="44" customHeight="1">
      <x:c r="A832" s="4" t="n">
        <x:v>5906</x:v>
      </x:c>
      <x:c r="B832" s="4" t="str">
        <x:v>https://blog.skyairline.com/playas-del-sur-de-chile-que-no-te-puedes-perder/</x:v>
      </x:c>
      <x:c r="C832" s="9" t="str">
        <x:v>Playas del sur de Chile que no te puedes perder</x:v>
      </x:c>
      <x:c r="D832" s="17" t="d">
        <x:v>2025-10-13T00:00:00.000Z</x:v>
      </x:c>
      <x:c r="E832" s="17" t="d">
        <x:v>2026-01-12T00:00:00.000Z</x:v>
      </x:c>
      <x:c r="F832" s="4" t="str">
        <x:v>Destinos</x:v>
      </x:c>
      <x:c r="G832" s="11" t="n">
        <x:v>1267</x:v>
      </x:c>
      <x:c r="H832" s="11" t="n">
        <x:v>200</x:v>
      </x:c>
      <x:c r="I832" s="11" t="n">
        <x:v>1</x:v>
      </x:c>
      <x:c r="J832" s="4" t="str">
        <x:v>https://blog.skyairline.com/playas-del-sur-de-chile-que-no-te-puedes-perder/</x:v>
      </x:c>
      <x:c r="K832" s="16" t="b">
        <x:v>0</x:v>
      </x:c>
      <x:c r="L832" s="11" t="n">
        <x:v>0</x:v>
      </x:c>
      <x:c r="M832" s="11" t="n">
        <x:v>5</x:v>
      </x:c>
      <x:c r="N832" s="4"/>
      <x:c r="O832" s="4"/>
      <x:c r="P832" s="11" t="n">
        <x:v>1</x:v>
      </x:c>
      <x:c r="Q832" s="11" t="n">
        <x:v>1</x:v>
      </x:c>
      <x:c r="R832" s="11" t="n">
        <x:f>IF(OR(P832="",Q832=""),"",Q832-P832)</x:f>
        <x:v>0</x:v>
      </x:c>
      <x:c r="S832" s="13" t="n">
        <x:f>IF(OR(P832="",Q832="",P832=0),"",((Q832/30)/(P832/31))-1)</x:f>
        <x:v>0.03333333333333344</x:v>
      </x:c>
      <x:c r="T832" s="11" t="n">
        <x:v>326</x:v>
      </x:c>
      <x:c r="U832" s="11" t="n">
        <x:v>288</x:v>
      </x:c>
      <x:c r="V832" s="14" t="n">
        <x:v>0.003472222222222222</x:v>
      </x:c>
      <x:c r="W832" s="12" t="n">
        <x:v>9.104166666666666</x:v>
      </x:c>
      <x:c r="X832" s="11" t="n">
        <x:v>2</x:v>
      </x:c>
      <x:c r="Y832" s="11" t="n">
        <x:v>2</x:v>
      </x:c>
      <x:c r="Z832" s="4" t="str">
        <x:v>https://blog.skyairline.com/playas-del-sur-de-chile-que-no-te-puedes-perder/</x:v>
      </x:c>
      <x:c r="AA832" s="4" t="str">
        <x:v>https://blog.skyairline.com/playas-del-sur-de-chile-que-no-te-puedes-perder/</x:v>
      </x:c>
      <x:c r="AB832" s="4" t="str">
        <x:v>Coincidencia URL</x:v>
      </x:c>
      <x:c r="AC832" s="4" t="str">
        <x:v>Publicado hasta septiembre</x:v>
      </x:c>
      <x:c r="AD832" s="4" t="str">
        <x:v>/playas-del-sur-de-chile-que-no-te-puedes-perder/</x:v>
      </x:c>
      <x:c r="AE832" s="4"/>
      <x:c r="AF832" s="16" t="b">
        <x:v>0</x:v>
      </x:c>
    </x:row>
    <x:row r="833" ht="44" customHeight="1">
      <x:c r="A833" s="4" t="n">
        <x:v>5922</x:v>
      </x:c>
      <x:c r="B833" s="4" t="str">
        <x:v>https://blog.skyairline.com/sargazo-en-cancun-afecta-a-las-playas-y-el-turismo/</x:v>
      </x:c>
      <x:c r="C833" s="9" t="str">
        <x:v>Sargazo en Cancún: ¿afecta a las playas y el turismo?</x:v>
      </x:c>
      <x:c r="D833" s="17" t="d">
        <x:v>2025-10-18T00:00:00.000Z</x:v>
      </x:c>
      <x:c r="E833" s="17" t="d">
        <x:v>2026-01-12T00:00:00.000Z</x:v>
      </x:c>
      <x:c r="F833" s="4" t="str">
        <x:v>Destinos</x:v>
      </x:c>
      <x:c r="G833" s="11" t="n">
        <x:v>1054</x:v>
      </x:c>
      <x:c r="H833" s="11" t="n">
        <x:v>200</x:v>
      </x:c>
      <x:c r="I833" s="11" t="n">
        <x:v>1</x:v>
      </x:c>
      <x:c r="J833" s="4" t="str">
        <x:v>https://blog.skyairline.com/sargazo-en-cancun-afecta-a-las-playas-y-el-turismo/</x:v>
      </x:c>
      <x:c r="K833" s="16" t="b">
        <x:v>0</x:v>
      </x:c>
      <x:c r="L833" s="11" t="n">
        <x:v>0</x:v>
      </x:c>
      <x:c r="M833" s="11" t="n">
        <x:v>0</x:v>
      </x:c>
      <x:c r="N833" s="4"/>
      <x:c r="O833" s="4"/>
      <x:c r="P833" s="11" t="n">
        <x:v>1</x:v>
      </x:c>
      <x:c r="Q833" s="11" t="n">
        <x:v>1</x:v>
      </x:c>
      <x:c r="R833" s="11" t="n">
        <x:f>IF(OR(P833="",Q833=""),"",Q833-P833)</x:f>
        <x:v>0</x:v>
      </x:c>
      <x:c r="S833" s="13" t="n">
        <x:f>IF(OR(P833="",Q833="",P833=0),"",((Q833/30)/(P833/31))-1)</x:f>
        <x:v>0.03333333333333344</x:v>
      </x:c>
      <x:c r="T833" s="11" t="n">
        <x:v>462</x:v>
      </x:c>
      <x:c r="U833" s="11" t="n">
        <x:v>249</x:v>
      </x:c>
      <x:c r="V833" s="14" t="n">
        <x:v>0.004016064257028112</x:v>
      </x:c>
      <x:c r="W833" s="12" t="n">
        <x:v>23.3574297188755</x:v>
      </x:c>
      <x:c r="X833" s="11" t="n">
        <x:v>1</x:v>
      </x:c>
      <x:c r="Y833" s="11" t="n">
        <x:v>1</x:v>
      </x:c>
      <x:c r="Z833" s="4" t="str">
        <x:v>https://blog.skyairline.com/sargazo-en-cancun-afecta-a-las-playas-y-el-turismo/</x:v>
      </x:c>
      <x:c r="AA833" s="4" t="str">
        <x:v>https://blog.skyairline.com/sargazo-en-cancun-afecta-a-las-playas-y-el-turismo/</x:v>
      </x:c>
      <x:c r="AB833" s="4" t="str">
        <x:v>Coincidencia URL</x:v>
      </x:c>
      <x:c r="AC833" s="4" t="str">
        <x:v>Publicado hasta septiembre</x:v>
      </x:c>
      <x:c r="AD833" s="4" t="str">
        <x:v>/sargazo-en-cancun-afecta-a-las-playas-y-el-turismo/</x:v>
      </x:c>
      <x:c r="AE833" s="4"/>
      <x:c r="AF833" s="16" t="b">
        <x:v>0</x:v>
      </x:c>
    </x:row>
    <x:row r="834" ht="44" customHeight="1">
      <x:c r="A834" s="4" t="n">
        <x:v>5967</x:v>
      </x:c>
      <x:c r="B834" s="4" t="str">
        <x:v>https://blog.skyairline.com/pasajes-a-punta-cana-desde-chile-como-conseguir-los-mejores-precios/</x:v>
      </x:c>
      <x:c r="C834" s="9" t="str">
        <x:v>Pasajes a Punta Cana desde Chile: cómo conseguir los mejores precios</x:v>
      </x:c>
      <x:c r="D834" s="17" t="d">
        <x:v>2025-09-25T00:00:00.000Z</x:v>
      </x:c>
      <x:c r="E834" s="17" t="d">
        <x:v>2026-01-12T00:00:00.000Z</x:v>
      </x:c>
      <x:c r="F834" s="4" t="str">
        <x:v>Planificación de Viaje</x:v>
      </x:c>
      <x:c r="G834" s="11" t="n">
        <x:v>1210</x:v>
      </x:c>
      <x:c r="H834" s="11" t="n">
        <x:v>200</x:v>
      </x:c>
      <x:c r="I834" s="11" t="n">
        <x:v>1</x:v>
      </x:c>
      <x:c r="J834" s="4" t="str">
        <x:v>https://blog.skyairline.com/pasajes-a-punta-cana-desde-chile-como-conseguir-los-mejores-precios/</x:v>
      </x:c>
      <x:c r="K834" s="16" t="b">
        <x:v>0</x:v>
      </x:c>
      <x:c r="L834" s="11" t="n">
        <x:v>0</x:v>
      </x:c>
      <x:c r="M834" s="11" t="n">
        <x:v>5</x:v>
      </x:c>
      <x:c r="N834" s="4"/>
      <x:c r="O834" s="4"/>
      <x:c r="P834" s="11" t="n">
        <x:v>2</x:v>
      </x:c>
      <x:c r="Q834" s="11" t="n">
        <x:v>1</x:v>
      </x:c>
      <x:c r="R834" s="11" t="n">
        <x:f>IF(OR(P834="",Q834=""),"",Q834-P834)</x:f>
        <x:v>-1</x:v>
      </x:c>
      <x:c r="S834" s="13" t="n">
        <x:f>IF(OR(P834="",Q834="",P834=0),"",((Q834/30)/(P834/31))-1)</x:f>
        <x:v>-0.4833333333333333</x:v>
      </x:c>
      <x:c r="T834" s="11" t="n">
        <x:v>246</x:v>
      </x:c>
      <x:c r="U834" s="11" t="n">
        <x:v>385</x:v>
      </x:c>
      <x:c r="V834" s="14" t="n">
        <x:v>0.0025974025974025974</x:v>
      </x:c>
      <x:c r="W834" s="12" t="n">
        <x:v>8.511688311688312</x:v>
      </x:c>
      <x:c r="X834" s="11" t="n">
        <x:v>1</x:v>
      </x:c>
      <x:c r="Y834" s="11" t="n">
        <x:v>1</x:v>
      </x:c>
      <x:c r="Z834" s="4" t="str">
        <x:v>https://blog.skyairline.com/pasajes-a-punta-cana-desde-chile-como-conseguir-los-mejores-precios/</x:v>
      </x:c>
      <x:c r="AA834" s="4" t="str">
        <x:v>https://blog.skyairline.com/pasajes-a-punta-cana-desde-chile-como-conseguir-los-mejores-precios/
https://blog.skyairline.com/pasajes-a-punta-cana-desde-chile-como-conseguir-los-mejores-precios</x:v>
      </x:c>
      <x:c r="AB834" s="4" t="str">
        <x:v>Alias slash agregado</x:v>
      </x:c>
      <x:c r="AC834" s="4" t="str">
        <x:v>Publicado hasta septiembre</x:v>
      </x:c>
      <x:c r="AD834" s="4" t="str">
        <x:v>/pasajes-a-punta-cana-desde-chile-como-conseguir-los-mejores-precios/</x:v>
      </x:c>
      <x:c r="AE834" s="4"/>
      <x:c r="AF834" s="16" t="b">
        <x:v>0</x:v>
      </x:c>
    </x:row>
    <x:row r="835" ht="44" customHeight="1">
      <x:c r="A835" s="4" t="n">
        <x:v>5979</x:v>
      </x:c>
      <x:c r="B835" s="4" t="str">
        <x:v>https://blog.skyairline.com/lugares-para-visitar-en-el-sur-de-chile-naturaleza-y-aventura/</x:v>
      </x:c>
      <x:c r="C835" s="9" t="str">
        <x:v>Lugares para visitar en el sur de Chile: naturaleza y aventura</x:v>
      </x:c>
      <x:c r="D835" s="17" t="d">
        <x:v>2025-07-28T00:00:00.000Z</x:v>
      </x:c>
      <x:c r="E835" s="17" t="d">
        <x:v>2026-01-08T00:00:00.000Z</x:v>
      </x:c>
      <x:c r="F835" s="4" t="str">
        <x:v>Destinos, Sin categoría</x:v>
      </x:c>
      <x:c r="G835" s="11" t="n">
        <x:v>1206</x:v>
      </x:c>
      <x:c r="H835" s="11" t="n">
        <x:v>200</x:v>
      </x:c>
      <x:c r="I835" s="11" t="n">
        <x:v>1</x:v>
      </x:c>
      <x:c r="J835" s="4" t="str">
        <x:v>https://blog.skyairline.com/lugares-para-visitar-en-el-sur-de-chile-naturaleza-y-aventura/</x:v>
      </x:c>
      <x:c r="K835" s="16" t="b">
        <x:v>0</x:v>
      </x:c>
      <x:c r="L835" s="11" t="n">
        <x:v>0</x:v>
      </x:c>
      <x:c r="M835" s="11" t="n">
        <x:v>0</x:v>
      </x:c>
      <x:c r="N835" s="4"/>
      <x:c r="O835" s="4"/>
      <x:c r="P835" s="11" t="n">
        <x:v>1</x:v>
      </x:c>
      <x:c r="Q835" s="11" t="n">
        <x:v>1</x:v>
      </x:c>
      <x:c r="R835" s="11" t="n">
        <x:f>IF(OR(P835="",Q835=""),"",Q835-P835)</x:f>
        <x:v>0</x:v>
      </x:c>
      <x:c r="S835" s="13" t="n">
        <x:f>IF(OR(P835="",Q835="",P835=0),"",((Q835/30)/(P835/31))-1)</x:f>
        <x:v>0.03333333333333344</x:v>
      </x:c>
      <x:c r="T835" s="11" t="n">
        <x:v>538</x:v>
      </x:c>
      <x:c r="U835" s="11" t="n">
        <x:v>352</x:v>
      </x:c>
      <x:c r="V835" s="14" t="n">
        <x:v>0.002840909090909091</x:v>
      </x:c>
      <x:c r="W835" s="12" t="n">
        <x:v>28.696022727272727</x:v>
      </x:c>
      <x:c r="X835" s="11" t="n">
        <x:v>2</x:v>
      </x:c>
      <x:c r="Y835" s="11" t="n">
        <x:v>2</x:v>
      </x:c>
      <x:c r="Z835" s="4" t="str">
        <x:v>https://blog.skyairline.com/lugares-para-visitar-en-el-sur-de-chile-naturaleza-y-aventura/</x:v>
      </x:c>
      <x:c r="AA835" s="4" t="str">
        <x:v>https://blog.skyairline.com/lugares-para-visitar-en-el-sur-de-chile-naturaleza-y-aventura/</x:v>
      </x:c>
      <x:c r="AB835" s="4" t="str">
        <x:v>Coincidencia URL</x:v>
      </x:c>
      <x:c r="AC835" s="4" t="str">
        <x:v>Publicado hasta septiembre</x:v>
      </x:c>
      <x:c r="AD835" s="4" t="str">
        <x:v>/lugares-para-visitar-en-el-sur-de-chile-naturaleza-y-aventura/</x:v>
      </x:c>
      <x:c r="AE835" s="4"/>
      <x:c r="AF835" s="16" t="b">
        <x:v>0</x:v>
      </x:c>
    </x:row>
    <x:row r="836" ht="44" customHeight="1">
      <x:c r="A836" s="4" t="n">
        <x:v>6034</x:v>
      </x:c>
      <x:c r="B836" s="4" t="str">
        <x:v>https://blog.skyairline.com/descubre-la-magia-del-bosque-sumergido-en-villa-traful/</x:v>
      </x:c>
      <x:c r="C836" s="9" t="str">
        <x:v>Descubre la magia del bosque sumergido en Villa Traful</x:v>
      </x:c>
      <x:c r="D836" s="17" t="d">
        <x:v>2025-05-14T00:00:00.000Z</x:v>
      </x:c>
      <x:c r="E836" s="17" t="d">
        <x:v>2025-05-14T00:00:00.000Z</x:v>
      </x:c>
      <x:c r="F836" s="4" t="str">
        <x:v>Destinos</x:v>
      </x:c>
      <x:c r="G836" s="11" t="n">
        <x:v>1133</x:v>
      </x:c>
      <x:c r="H836" s="11" t="n">
        <x:v>200</x:v>
      </x:c>
      <x:c r="I836" s="11" t="n">
        <x:v>1</x:v>
      </x:c>
      <x:c r="J836" s="4" t="str">
        <x:v>https://blog.skyairline.com/descubre-la-magia-del-bosque-sumergido-en-villa-traful/</x:v>
      </x:c>
      <x:c r="K836" s="16" t="b">
        <x:v>0</x:v>
      </x:c>
      <x:c r="L836" s="11" t="n">
        <x:v>0</x:v>
      </x:c>
      <x:c r="M836" s="11" t="n">
        <x:v>3</x:v>
      </x:c>
      <x:c r="N836" s="4"/>
      <x:c r="O836" s="4"/>
      <x:c r="P836" s="11" t="n">
        <x:v>1</x:v>
      </x:c>
      <x:c r="Q836" s="11" t="n">
        <x:v>1</x:v>
      </x:c>
      <x:c r="R836" s="11" t="n">
        <x:f>IF(OR(P836="",Q836=""),"",Q836-P836)</x:f>
        <x:v>0</x:v>
      </x:c>
      <x:c r="S836" s="13" t="n">
        <x:f>IF(OR(P836="",Q836="",P836=0),"",((Q836/30)/(P836/31))-1)</x:f>
        <x:v>0.03333333333333344</x:v>
      </x:c>
      <x:c r="T836" s="11" t="n">
        <x:v>72</x:v>
      </x:c>
      <x:c r="U836" s="11" t="n">
        <x:v>56</x:v>
      </x:c>
      <x:c r="V836" s="14" t="n">
        <x:v>0.017857142857142856</x:v>
      </x:c>
      <x:c r="W836" s="12" t="n">
        <x:v>9.142857142857142</x:v>
      </x:c>
      <x:c r="X836" s="11" t="n">
        <x:v>1</x:v>
      </x:c>
      <x:c r="Y836" s="11" t="n">
        <x:v>1</x:v>
      </x:c>
      <x:c r="Z836" s="4" t="str">
        <x:v>https://blog.skyairline.com/descubre-la-magia-del-bosque-sumergido-en-villa-traful/</x:v>
      </x:c>
      <x:c r="AA836" s="4" t="str">
        <x:v>https://blog.skyairline.com/descubre-la-magia-del-bosque-sumergido-en-villa-traful/</x:v>
      </x:c>
      <x:c r="AB836" s="4" t="str">
        <x:v>Coincidencia URL</x:v>
      </x:c>
      <x:c r="AC836" s="4" t="str">
        <x:v>Publicado hasta septiembre</x:v>
      </x:c>
      <x:c r="AD836" s="4" t="str">
        <x:v>/descubre-la-magia-del-bosque-sumergido-en-villa-traful/</x:v>
      </x:c>
      <x:c r="AE836" s="4"/>
      <x:c r="AF836" s="16" t="b">
        <x:v>0</x:v>
      </x:c>
    </x:row>
    <x:row r="837" ht="44" customHeight="1">
      <x:c r="A837" s="4" t="n">
        <x:v>6054</x:v>
      </x:c>
      <x:c r="B837" s="4" t="str">
        <x:v>https://blog.skyairline.com/termas-en-la-region-de-los-lagos-aguas-termales-en-la-patagonia/</x:v>
      </x:c>
      <x:c r="C837" s="9" t="str">
        <x:v>Termas en la Región de Los Lagos: aguas termales en la Patagonia</x:v>
      </x:c>
      <x:c r="D837" s="17" t="d">
        <x:v>2025-07-20T00:00:00.000Z</x:v>
      </x:c>
      <x:c r="E837" s="17" t="d">
        <x:v>2026-01-08T00:00:00.000Z</x:v>
      </x:c>
      <x:c r="F837" s="4" t="str">
        <x:v>Destinos</x:v>
      </x:c>
      <x:c r="G837" s="11" t="n">
        <x:v>1344</x:v>
      </x:c>
      <x:c r="H837" s="11" t="n">
        <x:v>200</x:v>
      </x:c>
      <x:c r="I837" s="11" t="n">
        <x:v>1</x:v>
      </x:c>
      <x:c r="J837" s="4" t="str">
        <x:v>https://blog.skyairline.com/termas-en-la-region-de-los-lagos-aguas-termales-en-la-patagonia/</x:v>
      </x:c>
      <x:c r="K837" s="16" t="b">
        <x:v>0</x:v>
      </x:c>
      <x:c r="L837" s="11" t="n">
        <x:v>0</x:v>
      </x:c>
      <x:c r="M837" s="11" t="n">
        <x:v>4</x:v>
      </x:c>
      <x:c r="N837" s="4"/>
      <x:c r="O837" s="4"/>
      <x:c r="P837" s="11" t="n">
        <x:v>0</x:v>
      </x:c>
      <x:c r="Q837" s="11" t="n">
        <x:v>1</x:v>
      </x:c>
      <x:c r="R837" s="11" t="str">
        <x:f>IF(OR(P837="",Q837=""),"",Q837-P837)</x:f>
      </x:c>
      <x:c r="S837" s="13" t="str">
        <x:f>IF(OR(P837="",Q837="",P837=0),"",((Q837/30)/(P837/31))-1)</x:f>
      </x:c>
      <x:c r="T837" s="11" t="n">
        <x:v>33</x:v>
      </x:c>
      <x:c r="U837" s="11" t="n">
        <x:v>24</x:v>
      </x:c>
      <x:c r="V837" s="14" t="n">
        <x:v>0.041666666666666664</x:v>
      </x:c>
      <x:c r="W837" s="12" t="n">
        <x:v>6.916666666666667</x:v>
      </x:c>
      <x:c r="X837" s="11" t="n">
        <x:v>2</x:v>
      </x:c>
      <x:c r="Y837" s="11" t="n">
        <x:v>2</x:v>
      </x:c>
      <x:c r="Z837" s="4" t="str">
        <x:v>https://blog.skyairline.com/termas-en-la-region-de-los-lagos-aguas-termales-en-la-patagonia/</x:v>
      </x:c>
      <x:c r="AA837" s="4" t="str">
        <x:v>https://blog.skyairline.com/termas-en-la-region-de-los-lagos-aguas-termales-en-la-patagonia/</x:v>
      </x:c>
      <x:c r="AB837" s="4" t="str">
        <x:v>Coincidencia URL</x:v>
      </x:c>
      <x:c r="AC837" s="4" t="str">
        <x:v>Publicado hasta septiembre</x:v>
      </x:c>
      <x:c r="AD837" s="4" t="str">
        <x:v>/termas-en-la-region-de-los-lagos-aguas-termales-en-la-patagonia/</x:v>
      </x:c>
      <x:c r="AE837" s="4"/>
      <x:c r="AF837" s="16" t="b">
        <x:v>0</x:v>
      </x:c>
    </x:row>
    <x:row r="838" ht="44" customHeight="1">
      <x:c r="A838" s="4" t="n">
        <x:v>6062</x:v>
      </x:c>
      <x:c r="B838" s="4" t="str">
        <x:v>https://blog.skyairline.com/viajeros-entre-26-y-40-anos-lideran-las-rutas-nacionales-e-internacionales-de-sky/</x:v>
      </x:c>
      <x:c r="C838" s="9" t="str">
        <x:v>Viajeros entre 26 y 40 años lideran las rutas nacionales e internacionales de SKY</x:v>
      </x:c>
      <x:c r="D838" s="17" t="d">
        <x:v>2025-05-05T00:00:00.000Z</x:v>
      </x:c>
      <x:c r="E838" s="17" t="d">
        <x:v>2025-05-05T00:00:00.000Z</x:v>
      </x:c>
      <x:c r="F838" s="4" t="str">
        <x:v>Noticias</x:v>
      </x:c>
      <x:c r="G838" s="11" t="n">
        <x:v>377</x:v>
      </x:c>
      <x:c r="H838" s="11" t="n">
        <x:v>200</x:v>
      </x:c>
      <x:c r="I838" s="11" t="n">
        <x:v>1</x:v>
      </x:c>
      <x:c r="J838" s="4" t="str">
        <x:v>https://blog.skyairline.com/viajeros-entre-26-y-40-anos-lideran-las-rutas-nacionales-e-internacionales-de-sky/</x:v>
      </x:c>
      <x:c r="K838" s="16" t="b">
        <x:v>0</x:v>
      </x:c>
      <x:c r="L838" s="11" t="n">
        <x:v>0</x:v>
      </x:c>
      <x:c r="M838" s="11" t="n">
        <x:v>0</x:v>
      </x:c>
      <x:c r="N838" s="4"/>
      <x:c r="O838" s="4"/>
      <x:c r="P838" s="11" t="n">
        <x:v>3</x:v>
      </x:c>
      <x:c r="Q838" s="11" t="n">
        <x:v>1</x:v>
      </x:c>
      <x:c r="R838" s="11" t="n">
        <x:f>IF(OR(P838="",Q838=""),"",Q838-P838)</x:f>
        <x:v>-2</x:v>
      </x:c>
      <x:c r="S838" s="13" t="n">
        <x:f>IF(OR(P838="",Q838="",P838=0),"",((Q838/30)/(P838/31))-1)</x:f>
        <x:v>-0.6555555555555556</x:v>
      </x:c>
      <x:c r="T838" s="11" t="n">
        <x:v>42</x:v>
      </x:c>
      <x:c r="U838" s="11" t="n">
        <x:v>24</x:v>
      </x:c>
      <x:c r="V838" s="14" t="n">
        <x:v>0.041666666666666664</x:v>
      </x:c>
      <x:c r="W838" s="12" t="n">
        <x:v>5.291666666666667</x:v>
      </x:c>
      <x:c r="X838" s="11" t="n">
        <x:v>1</x:v>
      </x:c>
      <x:c r="Y838" s="11" t="n">
        <x:v>1</x:v>
      </x:c>
      <x:c r="Z838" s="4" t="str">
        <x:v>https://blog.skyairline.com/viajeros-entre-26-y-40-anos-lideran-las-rutas-nacionales-e-internacionales-de-sky/</x:v>
      </x:c>
      <x:c r="AA838" s="4" t="str">
        <x:v>https://blog.skyairline.com/viajeros-entre-26-y-40-anos-lideran-las-rutas-nacionales-e-internacionales-de-sky/</x:v>
      </x:c>
      <x:c r="AB838" s="4" t="str">
        <x:v>Coincidencia URL</x:v>
      </x:c>
      <x:c r="AC838" s="4" t="str">
        <x:v>Publicado hasta septiembre</x:v>
      </x:c>
      <x:c r="AD838" s="4" t="str">
        <x:v>/viajeros-entre-26-y-40-anos-lideran-las-rutas-nacionales-e-internacionales-de-sky/</x:v>
      </x:c>
      <x:c r="AE838" s="4"/>
      <x:c r="AF838" s="16" t="b">
        <x:v>0</x:v>
      </x:c>
    </x:row>
    <x:row r="839" ht="44" customHeight="1">
      <x:c r="A839" s="4" t="n">
        <x:v>6150</x:v>
      </x:c>
      <x:c r="B839" s="4" t="str">
        <x:v>https://blog.skyairline.com/hoteles-en-cancun/</x:v>
      </x:c>
      <x:c r="C839" s="9" t="str">
        <x:v>Hoteles en Cancún: ¿cómo encontrar la mejor opción según tu presupuesto?</x:v>
      </x:c>
      <x:c r="D839" s="17" t="d">
        <x:v>2025-09-01T00:00:00.000Z</x:v>
      </x:c>
      <x:c r="E839" s="17" t="d">
        <x:v>2026-01-19T00:00:00.000Z</x:v>
      </x:c>
      <x:c r="F839" s="4" t="str">
        <x:v>Destinos</x:v>
      </x:c>
      <x:c r="G839" s="11" t="n">
        <x:v>972</x:v>
      </x:c>
      <x:c r="H839" s="11" t="n">
        <x:v>200</x:v>
      </x:c>
      <x:c r="I839" s="11" t="n">
        <x:v>1</x:v>
      </x:c>
      <x:c r="J839" s="4" t="str">
        <x:v>https://blog.skyairline.com/hoteles-en-cancun/</x:v>
      </x:c>
      <x:c r="K839" s="16" t="b">
        <x:v>0</x:v>
      </x:c>
      <x:c r="L839" s="11" t="n">
        <x:v>0</x:v>
      </x:c>
      <x:c r="M839" s="11" t="n">
        <x:v>0</x:v>
      </x:c>
      <x:c r="N839" s="4"/>
      <x:c r="O839" s="4"/>
      <x:c r="P839" s="11" t="n">
        <x:v>0</x:v>
      </x:c>
      <x:c r="Q839" s="11" t="n">
        <x:v>1</x:v>
      </x:c>
      <x:c r="R839" s="11" t="str">
        <x:f>IF(OR(P839="",Q839=""),"",Q839-P839)</x:f>
      </x:c>
      <x:c r="S839" s="13" t="str">
        <x:f>IF(OR(P839="",Q839="",P839=0),"",((Q839/30)/(P839/31))-1)</x:f>
      </x:c>
      <x:c r="T839" s="11" t="n">
        <x:v>96</x:v>
      </x:c>
      <x:c r="U839" s="11" t="n">
        <x:v>37</x:v>
      </x:c>
      <x:c r="V839" s="14" t="n">
        <x:v>0.02702702702702703</x:v>
      </x:c>
      <x:c r="W839" s="12" t="n">
        <x:v>39.270270270270274</x:v>
      </x:c>
      <x:c r="X839" s="11" t="n">
        <x:v>1</x:v>
      </x:c>
      <x:c r="Y839" s="11" t="n">
        <x:v>1</x:v>
      </x:c>
      <x:c r="Z839" s="4" t="str">
        <x:v>https://blog.skyairline.com/hoteles-en-cancun/</x:v>
      </x:c>
      <x:c r="AA839" s="4" t="str">
        <x:v>https://blog.skyairline.com/hoteles-en-cancun/</x:v>
      </x:c>
      <x:c r="AB839" s="4" t="str">
        <x:v>Coincidencia URL</x:v>
      </x:c>
      <x:c r="AC839" s="4" t="str">
        <x:v>Publicado hasta septiembre</x:v>
      </x:c>
      <x:c r="AD839" s="4" t="str">
        <x:v>/hoteles-en-cancun/</x:v>
      </x:c>
      <x:c r="AE839" s="4"/>
      <x:c r="AF839" s="16" t="b">
        <x:v>0</x:v>
      </x:c>
    </x:row>
    <x:row r="840" ht="44" customHeight="1">
      <x:c r="A840" s="4" t="n">
        <x:v>6156</x:v>
      </x:c>
      <x:c r="B840" s="4" t="str">
        <x:v>https://blog.skyairline.com/hornopiren-que-hacer-en-este-destino-natural-de-chile/</x:v>
      </x:c>
      <x:c r="C840" s="9" t="str">
        <x:v>Hornopirén: qué hacer en este destino natural de Chile</x:v>
      </x:c>
      <x:c r="D840" s="17" t="d">
        <x:v>2025-06-06T00:00:00.000Z</x:v>
      </x:c>
      <x:c r="E840" s="17" t="d">
        <x:v>2025-06-06T00:00:00.000Z</x:v>
      </x:c>
      <x:c r="F840" s="4" t="str">
        <x:v>Planificación de Viaje</x:v>
      </x:c>
      <x:c r="G840" s="11" t="n">
        <x:v>1171</x:v>
      </x:c>
      <x:c r="H840" s="11" t="n">
        <x:v>200</x:v>
      </x:c>
      <x:c r="I840" s="11" t="n">
        <x:v>1</x:v>
      </x:c>
      <x:c r="J840" s="4" t="str">
        <x:v>https://blog.skyairline.com/hornopiren-que-hacer-en-este-destino-natural-de-chile/</x:v>
      </x:c>
      <x:c r="K840" s="16" t="b">
        <x:v>0</x:v>
      </x:c>
      <x:c r="L840" s="11" t="n">
        <x:v>0</x:v>
      </x:c>
      <x:c r="M840" s="11" t="n">
        <x:v>0</x:v>
      </x:c>
      <x:c r="N840" s="4"/>
      <x:c r="O840" s="4"/>
      <x:c r="P840" s="11" t="n">
        <x:v>0</x:v>
      </x:c>
      <x:c r="Q840" s="11" t="n">
        <x:v>1</x:v>
      </x:c>
      <x:c r="R840" s="11" t="str">
        <x:f>IF(OR(P840="",Q840=""),"",Q840-P840)</x:f>
      </x:c>
      <x:c r="S840" s="13" t="str">
        <x:f>IF(OR(P840="",Q840="",P840=0),"",((Q840/30)/(P840/31))-1)</x:f>
      </x:c>
      <x:c r="T840" s="11" t="n">
        <x:v>210</x:v>
      </x:c>
      <x:c r="U840" s="11" t="n">
        <x:v>144</x:v>
      </x:c>
      <x:c r="V840" s="14" t="n">
        <x:v>0.006944444444444444</x:v>
      </x:c>
      <x:c r="W840" s="12" t="n">
        <x:v>26.375</x:v>
      </x:c>
      <x:c r="X840" s="11" t="n">
        <x:v>2</x:v>
      </x:c>
      <x:c r="Y840" s="11" t="n">
        <x:v>2</x:v>
      </x:c>
      <x:c r="Z840" s="4" t="str">
        <x:v>https://blog.skyairline.com/hornopiren-que-hacer-en-este-destino-natural-de-chile/</x:v>
      </x:c>
      <x:c r="AA840" s="4" t="str">
        <x:v>https://blog.skyairline.com/hornopiren-que-hacer-en-este-destino-natural-de-chile/</x:v>
      </x:c>
      <x:c r="AB840" s="4" t="str">
        <x:v>Coincidencia URL</x:v>
      </x:c>
      <x:c r="AC840" s="4" t="str">
        <x:v>Publicado hasta septiembre</x:v>
      </x:c>
      <x:c r="AD840" s="4" t="str">
        <x:v>/hornopiren-que-hacer-en-este-destino-natural-de-chile/</x:v>
      </x:c>
      <x:c r="AE840" s="4"/>
      <x:c r="AF840" s="16" t="b">
        <x:v>0</x:v>
      </x:c>
    </x:row>
    <x:row r="841" ht="44" customHeight="1">
      <x:c r="A841" s="4" t="n">
        <x:v>6252</x:v>
      </x:c>
      <x:c r="B841" s="4" t="str">
        <x:v>https://blog.skyairline.com/planificador-de-viaje/</x:v>
      </x:c>
      <x:c r="C841" s="9" t="str">
        <x:v>Planificador de viaje: ¿cómo armar tu aventura desde cero?</x:v>
      </x:c>
      <x:c r="D841" s="17" t="d">
        <x:v>2025-06-27T00:00:00.000Z</x:v>
      </x:c>
      <x:c r="E841" s="17" t="d">
        <x:v>2025-06-27T00:00:00.000Z</x:v>
      </x:c>
      <x:c r="F841" s="4" t="str">
        <x:v>Planificación de Viaje</x:v>
      </x:c>
      <x:c r="G841" s="11" t="n">
        <x:v>1041</x:v>
      </x:c>
      <x:c r="H841" s="11" t="n">
        <x:v>200</x:v>
      </x:c>
      <x:c r="I841" s="11" t="n">
        <x:v>1</x:v>
      </x:c>
      <x:c r="J841" s="4" t="str">
        <x:v>https://blog.skyairline.com/planificador-de-viaje/</x:v>
      </x:c>
      <x:c r="K841" s="16" t="b">
        <x:v>0</x:v>
      </x:c>
      <x:c r="L841" s="11" t="n">
        <x:v>0</x:v>
      </x:c>
      <x:c r="M841" s="11" t="n">
        <x:v>0</x:v>
      </x:c>
      <x:c r="N841" s="4"/>
      <x:c r="O841" s="4"/>
      <x:c r="P841" s="11" t="n">
        <x:v>0</x:v>
      </x:c>
      <x:c r="Q841" s="11" t="n">
        <x:v>1</x:v>
      </x:c>
      <x:c r="R841" s="11" t="str">
        <x:f>IF(OR(P841="",Q841=""),"",Q841-P841)</x:f>
      </x:c>
      <x:c r="S841" s="13" t="str">
        <x:f>IF(OR(P841="",Q841="",P841=0),"",((Q841/30)/(P841/31))-1)</x:f>
      </x:c>
      <x:c r="T841" s="11" t="n">
        <x:v>227</x:v>
      </x:c>
      <x:c r="U841" s="11" t="n">
        <x:v>191</x:v>
      </x:c>
      <x:c r="V841" s="14" t="n">
        <x:v>0.005235602094240838</x:v>
      </x:c>
      <x:c r="W841" s="12" t="n">
        <x:v>11.041884816753926</x:v>
      </x:c>
      <x:c r="X841" s="11" t="n">
        <x:v>5</x:v>
      </x:c>
      <x:c r="Y841" s="11" t="n">
        <x:v>5</x:v>
      </x:c>
      <x:c r="Z841" s="4" t="str">
        <x:v>https://blog.skyairline.com/planificador-de-viaje/</x:v>
      </x:c>
      <x:c r="AA841" s="4" t="str">
        <x:v>https://blog.skyairline.com/planificador-de-viaje/</x:v>
      </x:c>
      <x:c r="AB841" s="4" t="str">
        <x:v>Coincidencia URL</x:v>
      </x:c>
      <x:c r="AC841" s="4" t="str">
        <x:v>Publicado hasta septiembre</x:v>
      </x:c>
      <x:c r="AD841" s="4" t="str">
        <x:v>/planificador-de-viaje/</x:v>
      </x:c>
      <x:c r="AE841" s="4"/>
      <x:c r="AF841" s="16" t="b">
        <x:v>0</x:v>
      </x:c>
    </x:row>
    <x:row r="842" ht="44" customHeight="1">
      <x:c r="A842" s="4" t="n">
        <x:v>6270</x:v>
      </x:c>
      <x:c r="B842" s="4" t="str">
        <x:v>https://blog.skyairline.com/entrada-pan-de-azucar/</x:v>
      </x:c>
      <x:c r="C842" s="9" t="str">
        <x:v>¿Quieres conocer Río de Janeiro? Descubre todo sobre las entradas al Pan de Azúcar</x:v>
      </x:c>
      <x:c r="D842" s="17" t="d">
        <x:v>2025-07-02T00:00:00.000Z</x:v>
      </x:c>
      <x:c r="E842" s="17" t="d">
        <x:v>2025-07-02T00:00:00.000Z</x:v>
      </x:c>
      <x:c r="F842" s="4" t="str">
        <x:v>Planificación de Viaje</x:v>
      </x:c>
      <x:c r="G842" s="11" t="n">
        <x:v>1252</x:v>
      </x:c>
      <x:c r="H842" s="11" t="n">
        <x:v>200</x:v>
      </x:c>
      <x:c r="I842" s="11" t="n">
        <x:v>1</x:v>
      </x:c>
      <x:c r="J842" s="4" t="str">
        <x:v>https://blog.skyairline.com/entrada-pan-de-azucar/</x:v>
      </x:c>
      <x:c r="K842" s="16" t="b">
        <x:v>0</x:v>
      </x:c>
      <x:c r="L842" s="11" t="n">
        <x:v>0</x:v>
      </x:c>
      <x:c r="M842" s="11" t="n">
        <x:v>2</x:v>
      </x:c>
      <x:c r="N842" s="4"/>
      <x:c r="O842" s="4"/>
      <x:c r="P842" s="11" t="n">
        <x:v>3</x:v>
      </x:c>
      <x:c r="Q842" s="11" t="n">
        <x:v>1</x:v>
      </x:c>
      <x:c r="R842" s="11" t="n">
        <x:f>IF(OR(P842="",Q842=""),"",Q842-P842)</x:f>
        <x:v>-2</x:v>
      </x:c>
      <x:c r="S842" s="13" t="n">
        <x:f>IF(OR(P842="",Q842="",P842=0),"",((Q842/30)/(P842/31))-1)</x:f>
        <x:v>-0.6555555555555556</x:v>
      </x:c>
      <x:c r="T842" s="11" t="n">
        <x:v>3798</x:v>
      </x:c>
      <x:c r="U842" s="11" t="n">
        <x:v>3247</x:v>
      </x:c>
      <x:c r="V842" s="14" t="n">
        <x:v>0.0003079765937788728</x:v>
      </x:c>
      <x:c r="W842" s="12" t="n">
        <x:v>9.469048352325224</x:v>
      </x:c>
      <x:c r="X842" s="11" t="n">
        <x:v>4</x:v>
      </x:c>
      <x:c r="Y842" s="11" t="n">
        <x:v>5</x:v>
      </x:c>
      <x:c r="Z842" s="4" t="str">
        <x:v>https://blog.skyairline.com/entrada-pan-de-azucar/</x:v>
      </x:c>
      <x:c r="AA842" s="4" t="str">
        <x:v>https://blog.skyairline.com/entrada-pan-de-azucar/</x:v>
      </x:c>
      <x:c r="AB842" s="4" t="str">
        <x:v>Coincidencia URL</x:v>
      </x:c>
      <x:c r="AC842" s="4" t="str">
        <x:v>Publicado hasta septiembre</x:v>
      </x:c>
      <x:c r="AD842" s="4" t="str">
        <x:v>/entrada-pan-de-azucar/</x:v>
      </x:c>
      <x:c r="AE842" s="4"/>
      <x:c r="AF842" s="16" t="b">
        <x:v>0</x:v>
      </x:c>
    </x:row>
    <x:row r="843" ht="44" customHeight="1">
      <x:c r="A843" s="4" t="n">
        <x:v>6273</x:v>
      </x:c>
      <x:c r="B843" s="4" t="str">
        <x:v>https://blog.skyairline.com/patagonia-verde/</x:v>
      </x:c>
      <x:c r="C843" s="9" t="str">
        <x:v>Patagonia Verde: ¿cómo llegar a este destino imperdible en Chile?</x:v>
      </x:c>
      <x:c r="D843" s="17" t="d">
        <x:v>2025-07-03T00:00:00.000Z</x:v>
      </x:c>
      <x:c r="E843" s="17" t="d">
        <x:v>2025-07-03T00:00:00.000Z</x:v>
      </x:c>
      <x:c r="F843" s="4" t="str">
        <x:v>Destinos</x:v>
      </x:c>
      <x:c r="G843" s="11" t="n">
        <x:v>1337</x:v>
      </x:c>
      <x:c r="H843" s="11" t="n">
        <x:v>200</x:v>
      </x:c>
      <x:c r="I843" s="11" t="n">
        <x:v>1</x:v>
      </x:c>
      <x:c r="J843" s="4" t="str">
        <x:v>https://blog.skyairline.com/patagonia-verde/</x:v>
      </x:c>
      <x:c r="K843" s="16" t="b">
        <x:v>0</x:v>
      </x:c>
      <x:c r="L843" s="11" t="n">
        <x:v>0</x:v>
      </x:c>
      <x:c r="M843" s="11" t="n">
        <x:v>4</x:v>
      </x:c>
      <x:c r="N843" s="4"/>
      <x:c r="O843" s="4"/>
      <x:c r="P843" s="11" t="n">
        <x:v>0</x:v>
      </x:c>
      <x:c r="Q843" s="11" t="n">
        <x:v>1</x:v>
      </x:c>
      <x:c r="R843" s="11" t="str">
        <x:f>IF(OR(P843="",Q843=""),"",Q843-P843)</x:f>
      </x:c>
      <x:c r="S843" s="13" t="str">
        <x:f>IF(OR(P843="",Q843="",P843=0),"",((Q843/30)/(P843/31))-1)</x:f>
      </x:c>
      <x:c r="T843" s="11" t="n">
        <x:v>172</x:v>
      </x:c>
      <x:c r="U843" s="11" t="n">
        <x:v>128</x:v>
      </x:c>
      <x:c r="V843" s="14" t="n">
        <x:v>0.0078125</x:v>
      </x:c>
      <x:c r="W843" s="12" t="n">
        <x:v>12.59375</x:v>
      </x:c>
      <x:c r="X843" s="11" t="n">
        <x:v>2</x:v>
      </x:c>
      <x:c r="Y843" s="11" t="n">
        <x:v>2</x:v>
      </x:c>
      <x:c r="Z843" s="4" t="str">
        <x:v>https://blog.skyairline.com/patagonia-verde/</x:v>
      </x:c>
      <x:c r="AA843" s="4" t="str">
        <x:v>https://blog.skyairline.com/patagonia-verde/</x:v>
      </x:c>
      <x:c r="AB843" s="4" t="str">
        <x:v>Coincidencia URL</x:v>
      </x:c>
      <x:c r="AC843" s="4" t="str">
        <x:v>Publicado hasta septiembre</x:v>
      </x:c>
      <x:c r="AD843" s="4" t="str">
        <x:v>/patagonia-verde/</x:v>
      </x:c>
      <x:c r="AE843" s="4"/>
      <x:c r="AF843" s="16" t="b">
        <x:v>0</x:v>
      </x:c>
    </x:row>
    <x:row r="844" ht="44" customHeight="1">
      <x:c r="A844" s="4" t="n">
        <x:v>6308</x:v>
      </x:c>
      <x:c r="B844" s="4" t="str">
        <x:v>https://blog.skyairline.com/caribe-islas/</x:v>
      </x:c>
      <x:c r="C844" s="9" t="str">
        <x:v>Las mejores islas del Caribe para tus próximas vacaciones</x:v>
      </x:c>
      <x:c r="D844" s="17" t="d">
        <x:v>2025-07-09T00:00:00.000Z</x:v>
      </x:c>
      <x:c r="E844" s="17" t="d">
        <x:v>2025-07-09T00:00:00.000Z</x:v>
      </x:c>
      <x:c r="F844" s="4" t="str">
        <x:v>Destinos</x:v>
      </x:c>
      <x:c r="G844" s="11" t="n">
        <x:v>971</x:v>
      </x:c>
      <x:c r="H844" s="11" t="n">
        <x:v>200</x:v>
      </x:c>
      <x:c r="I844" s="11" t="n">
        <x:v>1</x:v>
      </x:c>
      <x:c r="J844" s="4" t="str">
        <x:v>https://blog.skyairline.com/caribe-islas/</x:v>
      </x:c>
      <x:c r="K844" s="16" t="b">
        <x:v>0</x:v>
      </x:c>
      <x:c r="L844" s="11" t="n">
        <x:v>0</x:v>
      </x:c>
      <x:c r="M844" s="11" t="n">
        <x:v>3</x:v>
      </x:c>
      <x:c r="N844" s="4"/>
      <x:c r="O844" s="4"/>
      <x:c r="P844" s="11" t="n">
        <x:v>2</x:v>
      </x:c>
      <x:c r="Q844" s="11" t="n">
        <x:v>1</x:v>
      </x:c>
      <x:c r="R844" s="11" t="n">
        <x:f>IF(OR(P844="",Q844=""),"",Q844-P844)</x:f>
        <x:v>-1</x:v>
      </x:c>
      <x:c r="S844" s="13" t="n">
        <x:f>IF(OR(P844="",Q844="",P844=0),"",((Q844/30)/(P844/31))-1)</x:f>
        <x:v>-0.4833333333333333</x:v>
      </x:c>
      <x:c r="T844" s="11" t="n">
        <x:v>268</x:v>
      </x:c>
      <x:c r="U844" s="11" t="n">
        <x:v>229</x:v>
      </x:c>
      <x:c r="V844" s="14" t="n">
        <x:v>0.004366812227074236</x:v>
      </x:c>
      <x:c r="W844" s="12" t="n">
        <x:v>30.572052401746724</x:v>
      </x:c>
      <x:c r="X844" s="11" t="n">
        <x:v>2</x:v>
      </x:c>
      <x:c r="Y844" s="11" t="n">
        <x:v>2</x:v>
      </x:c>
      <x:c r="Z844" s="4" t="str">
        <x:v>https://blog.skyairline.com/caribe-islas/</x:v>
      </x:c>
      <x:c r="AA844" s="4" t="str">
        <x:v>https://blog.skyairline.com/caribe-islas/</x:v>
      </x:c>
      <x:c r="AB844" s="4" t="str">
        <x:v>Coincidencia URL</x:v>
      </x:c>
      <x:c r="AC844" s="4" t="str">
        <x:v>Publicado hasta septiembre</x:v>
      </x:c>
      <x:c r="AD844" s="4" t="str">
        <x:v>/caribe-islas/</x:v>
      </x:c>
      <x:c r="AE844" s="4"/>
      <x:c r="AF844" s="16" t="b">
        <x:v>0</x:v>
      </x:c>
    </x:row>
    <x:row r="845" ht="44" customHeight="1">
      <x:c r="A845" s="4" t="n">
        <x:v>6324</x:v>
      </x:c>
      <x:c r="B845" s="4" t="str">
        <x:v>https://blog.skyairline.com/perito-moreno/</x:v>
      </x:c>
      <x:c r="C845" s="9" t="str">
        <x:v>Todo lo que debes saber antes de visitar el Perito Moreno</x:v>
      </x:c>
      <x:c r="D845" s="17" t="d">
        <x:v>2025-07-14T00:00:00.000Z</x:v>
      </x:c>
      <x:c r="E845" s="17" t="d">
        <x:v>2025-07-14T00:00:00.000Z</x:v>
      </x:c>
      <x:c r="F845" s="4" t="str">
        <x:v>Destinos</x:v>
      </x:c>
      <x:c r="G845" s="11" t="n">
        <x:v>1148</x:v>
      </x:c>
      <x:c r="H845" s="11" t="n">
        <x:v>200</x:v>
      </x:c>
      <x:c r="I845" s="11" t="n">
        <x:v>1</x:v>
      </x:c>
      <x:c r="J845" s="4" t="str">
        <x:v>https://blog.skyairline.com/perito-moreno/</x:v>
      </x:c>
      <x:c r="K845" s="16" t="b">
        <x:v>0</x:v>
      </x:c>
      <x:c r="L845" s="11" t="n">
        <x:v>0</x:v>
      </x:c>
      <x:c r="M845" s="11" t="n">
        <x:v>3</x:v>
      </x:c>
      <x:c r="N845" s="4"/>
      <x:c r="O845" s="4"/>
      <x:c r="P845" s="11" t="n">
        <x:v>1</x:v>
      </x:c>
      <x:c r="Q845" s="11" t="n">
        <x:v>1</x:v>
      </x:c>
      <x:c r="R845" s="11" t="n">
        <x:f>IF(OR(P845="",Q845=""),"",Q845-P845)</x:f>
        <x:v>0</x:v>
      </x:c>
      <x:c r="S845" s="13" t="n">
        <x:f>IF(OR(P845="",Q845="",P845=0),"",((Q845/30)/(P845/31))-1)</x:f>
        <x:v>0.03333333333333344</x:v>
      </x:c>
      <x:c r="T845" s="11" t="n">
        <x:v>349</x:v>
      </x:c>
      <x:c r="U845" s="11" t="n">
        <x:v>136</x:v>
      </x:c>
      <x:c r="V845" s="14" t="n">
        <x:v>0.007352941176470588</x:v>
      </x:c>
      <x:c r="W845" s="12" t="n">
        <x:v>9.75</x:v>
      </x:c>
      <x:c r="X845" s="11" t="n">
        <x:v>1</x:v>
      </x:c>
      <x:c r="Y845" s="11" t="n">
        <x:v>1</x:v>
      </x:c>
      <x:c r="Z845" s="4" t="str">
        <x:v>https://blog.skyairline.com/perito-moreno/</x:v>
      </x:c>
      <x:c r="AA845" s="4" t="str">
        <x:v>https://blog.skyairline.com/perito-moreno/</x:v>
      </x:c>
      <x:c r="AB845" s="4" t="str">
        <x:v>Coincidencia URL</x:v>
      </x:c>
      <x:c r="AC845" s="4" t="str">
        <x:v>Publicado hasta septiembre</x:v>
      </x:c>
      <x:c r="AD845" s="4" t="str">
        <x:v>/perito-moreno/</x:v>
      </x:c>
      <x:c r="AE845" s="4"/>
      <x:c r="AF845" s="16" t="b">
        <x:v>0</x:v>
      </x:c>
    </x:row>
    <x:row r="846" ht="44" customHeight="1">
      <x:c r="A846" s="4" t="n">
        <x:v>6327</x:v>
      </x:c>
      <x:c r="B846" s="4" t="str">
        <x:v>https://blog.skyairline.com/barcazas/</x:v>
      </x:c>
      <x:c r="C846" s="9" t="str">
        <x:v>Recorre paisajes únicos a bordo de barcazas en el sur de Chile</x:v>
      </x:c>
      <x:c r="D846" s="17" t="d">
        <x:v>2025-07-15T00:00:00.000Z</x:v>
      </x:c>
      <x:c r="E846" s="17" t="d">
        <x:v>2025-07-15T00:00:00.000Z</x:v>
      </x:c>
      <x:c r="F846" s="4" t="str">
        <x:v>Destinos</x:v>
      </x:c>
      <x:c r="G846" s="11" t="n">
        <x:v>1280</x:v>
      </x:c>
      <x:c r="H846" s="11" t="n">
        <x:v>200</x:v>
      </x:c>
      <x:c r="I846" s="11" t="n">
        <x:v>1</x:v>
      </x:c>
      <x:c r="J846" s="4" t="str">
        <x:v>https://blog.skyairline.com/barcazas/</x:v>
      </x:c>
      <x:c r="K846" s="16" t="b">
        <x:v>0</x:v>
      </x:c>
      <x:c r="L846" s="11" t="n">
        <x:v>0</x:v>
      </x:c>
      <x:c r="M846" s="11" t="n">
        <x:v>3</x:v>
      </x:c>
      <x:c r="N846" s="4"/>
      <x:c r="O846" s="4"/>
      <x:c r="P846" s="11" t="n">
        <x:v>0</x:v>
      </x:c>
      <x:c r="Q846" s="11" t="n">
        <x:v>1</x:v>
      </x:c>
      <x:c r="R846" s="11" t="str">
        <x:f>IF(OR(P846="",Q846=""),"",Q846-P846)</x:f>
      </x:c>
      <x:c r="S846" s="13" t="str">
        <x:f>IF(OR(P846="",Q846="",P846=0),"",((Q846/30)/(P846/31))-1)</x:f>
      </x:c>
      <x:c r="T846" s="11" t="n">
        <x:v>119</x:v>
      </x:c>
      <x:c r="U846" s="11" t="n">
        <x:v>87</x:v>
      </x:c>
      <x:c r="V846" s="14" t="n">
        <x:v>0.011494252873563218</x:v>
      </x:c>
      <x:c r="W846" s="12" t="n">
        <x:v>7.804597701149425</x:v>
      </x:c>
      <x:c r="X846" s="11" t="n">
        <x:v>1</x:v>
      </x:c>
      <x:c r="Y846" s="11" t="n">
        <x:v>1</x:v>
      </x:c>
      <x:c r="Z846" s="4" t="str">
        <x:v>https://blog.skyairline.com/barcazas/</x:v>
      </x:c>
      <x:c r="AA846" s="4" t="str">
        <x:v>https://blog.skyairline.com/barcazas/</x:v>
      </x:c>
      <x:c r="AB846" s="4" t="str">
        <x:v>Coincidencia URL</x:v>
      </x:c>
      <x:c r="AC846" s="4" t="str">
        <x:v>Publicado hasta septiembre</x:v>
      </x:c>
      <x:c r="AD846" s="4" t="str">
        <x:v>/barcazas/</x:v>
      </x:c>
      <x:c r="AE846" s="4"/>
      <x:c r="AF846" s="16" t="b">
        <x:v>0</x:v>
      </x:c>
    </x:row>
    <x:row r="847" ht="44" customHeight="1">
      <x:c r="A847" s="4" t="n">
        <x:v>6333</x:v>
      </x:c>
      <x:c r="B847" s="4" t="str">
        <x:v>https://blog.skyairline.com/region-de-la-araucania/</x:v>
      </x:c>
      <x:c r="C847" s="9" t="str">
        <x:v>Planifica tu viaje por la Región de la Araucanía como un experto</x:v>
      </x:c>
      <x:c r="D847" s="17" t="d">
        <x:v>2025-07-17T00:00:00.000Z</x:v>
      </x:c>
      <x:c r="E847" s="17" t="d">
        <x:v>2025-07-17T00:00:00.000Z</x:v>
      </x:c>
      <x:c r="F847" s="4" t="str">
        <x:v>Planificación de Viaje</x:v>
      </x:c>
      <x:c r="G847" s="11" t="n">
        <x:v>985</x:v>
      </x:c>
      <x:c r="H847" s="11" t="n">
        <x:v>200</x:v>
      </x:c>
      <x:c r="I847" s="11" t="n">
        <x:v>1</x:v>
      </x:c>
      <x:c r="J847" s="4" t="str">
        <x:v>https://blog.skyairline.com/region-de-la-araucania/</x:v>
      </x:c>
      <x:c r="K847" s="16" t="b">
        <x:v>0</x:v>
      </x:c>
      <x:c r="L847" s="11" t="n">
        <x:v>0</x:v>
      </x:c>
      <x:c r="M847" s="11" t="n">
        <x:v>3</x:v>
      </x:c>
      <x:c r="N847" s="4"/>
      <x:c r="O847" s="4"/>
      <x:c r="P847" s="11" t="n">
        <x:v>1</x:v>
      </x:c>
      <x:c r="Q847" s="11" t="n">
        <x:v>1</x:v>
      </x:c>
      <x:c r="R847" s="11" t="n">
        <x:f>IF(OR(P847="",Q847=""),"",Q847-P847)</x:f>
        <x:v>0</x:v>
      </x:c>
      <x:c r="S847" s="13" t="n">
        <x:f>IF(OR(P847="",Q847="",P847=0),"",((Q847/30)/(P847/31))-1)</x:f>
        <x:v>0.03333333333333344</x:v>
      </x:c>
      <x:c r="T847" s="11" t="n">
        <x:v>54</x:v>
      </x:c>
      <x:c r="U847" s="11" t="n">
        <x:v>36</x:v>
      </x:c>
      <x:c r="V847" s="14" t="n">
        <x:v>0.027777777777777776</x:v>
      </x:c>
      <x:c r="W847" s="12" t="n">
        <x:v>5.972222222222222</x:v>
      </x:c>
      <x:c r="X847" s="11" t="n">
        <x:v>2</x:v>
      </x:c>
      <x:c r="Y847" s="11" t="n">
        <x:v>2</x:v>
      </x:c>
      <x:c r="Z847" s="4" t="str">
        <x:v>https://blog.skyairline.com/region-de-la-araucania/</x:v>
      </x:c>
      <x:c r="AA847" s="4" t="str">
        <x:v>https://blog.skyairline.com/region-de-la-araucania/</x:v>
      </x:c>
      <x:c r="AB847" s="4" t="str">
        <x:v>Coincidencia URL</x:v>
      </x:c>
      <x:c r="AC847" s="4" t="str">
        <x:v>Publicado hasta septiembre</x:v>
      </x:c>
      <x:c r="AD847" s="4" t="str">
        <x:v>/region-de-la-araucania/</x:v>
      </x:c>
      <x:c r="AE847" s="4"/>
      <x:c r="AF847" s="16" t="b">
        <x:v>0</x:v>
      </x:c>
    </x:row>
    <x:row r="848" ht="44" customHeight="1">
      <x:c r="A848" s="4" t="n">
        <x:v>6364</x:v>
      </x:c>
      <x:c r="B848" s="4" t="str">
        <x:v>https://blog.skyairline.com/cajon-del-maipo/</x:v>
      </x:c>
      <x:c r="C848" s="9" t="str">
        <x:v>Qué hacer en el Cajón del Maipo: guía para una escapada perfecta</x:v>
      </x:c>
      <x:c r="D848" s="17" t="d">
        <x:v>2025-07-25T00:00:00.000Z</x:v>
      </x:c>
      <x:c r="E848" s="17" t="d">
        <x:v>2025-07-25T00:00:00.000Z</x:v>
      </x:c>
      <x:c r="F848" s="4" t="str">
        <x:v>Planificación de Viaje</x:v>
      </x:c>
      <x:c r="G848" s="11" t="n">
        <x:v>1247</x:v>
      </x:c>
      <x:c r="H848" s="11" t="n">
        <x:v>200</x:v>
      </x:c>
      <x:c r="I848" s="11" t="n">
        <x:v>1</x:v>
      </x:c>
      <x:c r="J848" s="4" t="str">
        <x:v>https://blog.skyairline.com/cajon-del-maipo/</x:v>
      </x:c>
      <x:c r="K848" s="16" t="b">
        <x:v>0</x:v>
      </x:c>
      <x:c r="L848" s="11" t="n">
        <x:v>0</x:v>
      </x:c>
      <x:c r="M848" s="11" t="n">
        <x:v>3</x:v>
      </x:c>
      <x:c r="N848" s="4"/>
      <x:c r="O848" s="4"/>
      <x:c r="P848" s="11" t="n">
        <x:v>2</x:v>
      </x:c>
      <x:c r="Q848" s="11" t="n">
        <x:v>1</x:v>
      </x:c>
      <x:c r="R848" s="11" t="n">
        <x:f>IF(OR(P848="",Q848=""),"",Q848-P848)</x:f>
        <x:v>-1</x:v>
      </x:c>
      <x:c r="S848" s="13" t="n">
        <x:f>IF(OR(P848="",Q848="",P848=0),"",((Q848/30)/(P848/31))-1)</x:f>
        <x:v>-0.4833333333333333</x:v>
      </x:c>
      <x:c r="T848" s="11" t="n">
        <x:v>445</x:v>
      </x:c>
      <x:c r="U848" s="11" t="n">
        <x:v>288</x:v>
      </x:c>
      <x:c r="V848" s="14" t="n">
        <x:v>0.003472222222222222</x:v>
      </x:c>
      <x:c r="W848" s="12" t="n">
        <x:v>17.00347222222222</x:v>
      </x:c>
      <x:c r="X848" s="11" t="n">
        <x:v>4</x:v>
      </x:c>
      <x:c r="Y848" s="11" t="n">
        <x:v>5</x:v>
      </x:c>
      <x:c r="Z848" s="4" t="str">
        <x:v>https://blog.skyairline.com/cajon-del-maipo/</x:v>
      </x:c>
      <x:c r="AA848" s="4" t="str">
        <x:v>https://blog.skyairline.com/cajon-del-maipo/</x:v>
      </x:c>
      <x:c r="AB848" s="4" t="str">
        <x:v>Coincidencia URL</x:v>
      </x:c>
      <x:c r="AC848" s="4" t="str">
        <x:v>Publicado hasta septiembre</x:v>
      </x:c>
      <x:c r="AD848" s="4" t="str">
        <x:v>/cajon-del-maipo/</x:v>
      </x:c>
      <x:c r="AE848" s="4"/>
      <x:c r="AF848" s="16" t="b">
        <x:v>0</x:v>
      </x:c>
    </x:row>
    <x:row r="849" ht="44" customHeight="1">
      <x:c r="A849" s="4" t="n">
        <x:v>6383</x:v>
      </x:c>
      <x:c r="B849" s="4" t="str">
        <x:v>https://blog.skyairline.com/el-rio-itata/</x:v>
      </x:c>
      <x:c r="C849" s="9" t="str">
        <x:v>Un paseo inolvidable por el río Itata en el sur de Chile</x:v>
      </x:c>
      <x:c r="D849" s="17" t="d">
        <x:v>2025-07-31T00:00:00.000Z</x:v>
      </x:c>
      <x:c r="E849" s="17" t="d">
        <x:v>2025-07-31T00:00:00.000Z</x:v>
      </x:c>
      <x:c r="F849" s="4" t="str">
        <x:v>Destinos</x:v>
      </x:c>
      <x:c r="G849" s="11" t="n">
        <x:v>928</x:v>
      </x:c>
      <x:c r="H849" s="11" t="n">
        <x:v>200</x:v>
      </x:c>
      <x:c r="I849" s="11" t="n">
        <x:v>1</x:v>
      </x:c>
      <x:c r="J849" s="4" t="str">
        <x:v>https://blog.skyairline.com/el-rio-itata/</x:v>
      </x:c>
      <x:c r="K849" s="16" t="b">
        <x:v>0</x:v>
      </x:c>
      <x:c r="L849" s="11" t="n">
        <x:v>0</x:v>
      </x:c>
      <x:c r="M849" s="11" t="n">
        <x:v>3</x:v>
      </x:c>
      <x:c r="N849" s="4"/>
      <x:c r="O849" s="4"/>
      <x:c r="P849" s="11" t="n">
        <x:v>0</x:v>
      </x:c>
      <x:c r="Q849" s="11" t="n">
        <x:v>1</x:v>
      </x:c>
      <x:c r="R849" s="11" t="str">
        <x:f>IF(OR(P849="",Q849=""),"",Q849-P849)</x:f>
      </x:c>
      <x:c r="S849" s="13" t="str">
        <x:f>IF(OR(P849="",Q849="",P849=0),"",((Q849/30)/(P849/31))-1)</x:f>
      </x:c>
      <x:c r="T849" s="11" t="n">
        <x:v>791</x:v>
      </x:c>
      <x:c r="U849" s="11" t="n">
        <x:v>389</x:v>
      </x:c>
      <x:c r="V849" s="14" t="n">
        <x:v>0.002570694087403599</x:v>
      </x:c>
      <x:c r="W849" s="12" t="n">
        <x:v>9.760925449871465</x:v>
      </x:c>
      <x:c r="X849" s="11" t="n">
        <x:v>1</x:v>
      </x:c>
      <x:c r="Y849" s="11" t="n">
        <x:v>1</x:v>
      </x:c>
      <x:c r="Z849" s="4" t="str">
        <x:v>https://blog.skyairline.com/el-rio-itata/</x:v>
      </x:c>
      <x:c r="AA849" s="4" t="str">
        <x:v>https://blog.skyairline.com/el-rio-itata/</x:v>
      </x:c>
      <x:c r="AB849" s="4" t="str">
        <x:v>Coincidencia URL</x:v>
      </x:c>
      <x:c r="AC849" s="4" t="str">
        <x:v>Publicado hasta septiembre</x:v>
      </x:c>
      <x:c r="AD849" s="4" t="str">
        <x:v>/el-rio-itata/</x:v>
      </x:c>
      <x:c r="AE849" s="4"/>
      <x:c r="AF849" s="16" t="b">
        <x:v>0</x:v>
      </x:c>
    </x:row>
    <x:row r="850" ht="44" customHeight="1">
      <x:c r="A850" s="4" t="n">
        <x:v>6439</x:v>
      </x:c>
      <x:c r="B850" s="4" t="str">
        <x:v>https://blog.skyairline.com/sky-revoluciona-la-aviacion-con-nuevos-uniformes-innovacion-y-confort-a-bordo-2/</x:v>
      </x:c>
      <x:c r="C850" s="9" t="str">
        <x:v>SKY revoluciona la aviación con nuevos uniformes: innovación y confort a bordo</x:v>
      </x:c>
      <x:c r="D850" s="17" t="d">
        <x:v>2025-07-18T00:00:00.000Z</x:v>
      </x:c>
      <x:c r="E850" s="17" t="d">
        <x:v>2025-07-18T00:00:00.000Z</x:v>
      </x:c>
      <x:c r="F850" s="4" t="str">
        <x:v>Noticias</x:v>
      </x:c>
      <x:c r="G850" s="11" t="n">
        <x:v>542</x:v>
      </x:c>
      <x:c r="H850" s="11" t="n">
        <x:v>200</x:v>
      </x:c>
      <x:c r="I850" s="11" t="n">
        <x:v>1</x:v>
      </x:c>
      <x:c r="J850" s="4" t="str">
        <x:v>https://blog.skyairline.com/sky-revoluciona-la-aviacion-con-nuevos-uniformes-innovacion-y-confort-a-bordo-2/</x:v>
      </x:c>
      <x:c r="K850" s="16" t="b">
        <x:v>0</x:v>
      </x:c>
      <x:c r="L850" s="11" t="n">
        <x:v>0</x:v>
      </x:c>
      <x:c r="M850" s="11" t="n">
        <x:v>0</x:v>
      </x:c>
      <x:c r="N850" s="4" t="str">
        <x:v>T06</x:v>
      </x:c>
      <x:c r="O850" s="4"/>
      <x:c r="P850" s="11" t="n">
        <x:v>1</x:v>
      </x:c>
      <x:c r="Q850" s="11" t="n">
        <x:v>1</x:v>
      </x:c>
      <x:c r="R850" s="11" t="n">
        <x:f>IF(OR(P850="",Q850=""),"",Q850-P850)</x:f>
        <x:v>0</x:v>
      </x:c>
      <x:c r="S850" s="13" t="n">
        <x:f>IF(OR(P850="",Q850="",P850=0),"",((Q850/30)/(P850/31))-1)</x:f>
        <x:v>0.03333333333333344</x:v>
      </x:c>
      <x:c r="T850" s="11" t="n">
        <x:v>95</x:v>
      </x:c>
      <x:c r="U850" s="11" t="n">
        <x:v>100</x:v>
      </x:c>
      <x:c r="V850" s="14" t="n">
        <x:v>0.01</x:v>
      </x:c>
      <x:c r="W850" s="12" t="n">
        <x:v>6.46</x:v>
      </x:c>
      <x:c r="X850" s="11" t="n">
        <x:v>1</x:v>
      </x:c>
      <x:c r="Y850" s="11" t="n">
        <x:v>1</x:v>
      </x:c>
      <x:c r="Z850" s="4" t="str">
        <x:v>https://blog.skyairline.com/sky-revoluciona-la-aviacion-con-nuevos-uniformes-innovacion-y-confort-a-bordo-2/</x:v>
      </x:c>
      <x:c r="AA850" s="4" t="str">
        <x:v>https://blog.skyairline.com/sky-revoluciona-la-aviacion-con-nuevos-uniformes-innovacion-y-confort-a-bordo-2/</x:v>
      </x:c>
      <x:c r="AB850" s="4" t="str">
        <x:v>Coincidencia URL</x:v>
      </x:c>
      <x:c r="AC850" s="4" t="str">
        <x:v>Publicado hasta septiembre</x:v>
      </x:c>
      <x:c r="AD850" s="4" t="str">
        <x:v>/sky-revoluciona-la-aviacion-con-nuevos-uniformes-innovacion-y-confort-a-bordo-2/</x:v>
      </x:c>
      <x:c r="AE850" s="4"/>
      <x:c r="AF850" s="16" t="b">
        <x:v>0</x:v>
      </x:c>
    </x:row>
    <x:row r="851" ht="44" customHeight="1">
      <x:c r="A851" s="4" t="n">
        <x:v>6444</x:v>
      </x:c>
      <x:c r="B851" s="4" t="str">
        <x:v>https://blog.skyairline.com/cementerio-de-punta-arenas/</x:v>
      </x:c>
      <x:c r="C851" s="9" t="str">
        <x:v>Descubre la historia del Cementerio de Punta Arenas</x:v>
      </x:c>
      <x:c r="D851" s="17" t="d">
        <x:v>2025-08-08T00:00:00.000Z</x:v>
      </x:c>
      <x:c r="E851" s="17" t="d">
        <x:v>2025-08-08T00:00:00.000Z</x:v>
      </x:c>
      <x:c r="F851" s="4" t="str">
        <x:v>Destinos</x:v>
      </x:c>
      <x:c r="G851" s="11" t="n">
        <x:v>1158</x:v>
      </x:c>
      <x:c r="H851" s="11" t="n">
        <x:v>200</x:v>
      </x:c>
      <x:c r="I851" s="11" t="n">
        <x:v>1</x:v>
      </x:c>
      <x:c r="J851" s="4" t="str">
        <x:v>https://blog.skyairline.com/cementerio-de-punta-arenas/</x:v>
      </x:c>
      <x:c r="K851" s="16" t="b">
        <x:v>0</x:v>
      </x:c>
      <x:c r="L851" s="11" t="n">
        <x:v>0</x:v>
      </x:c>
      <x:c r="M851" s="11" t="n">
        <x:v>3</x:v>
      </x:c>
      <x:c r="N851" s="4"/>
      <x:c r="O851" s="4"/>
      <x:c r="P851" s="11" t="n">
        <x:v>2</x:v>
      </x:c>
      <x:c r="Q851" s="11" t="n">
        <x:v>1</x:v>
      </x:c>
      <x:c r="R851" s="11" t="n">
        <x:f>IF(OR(P851="",Q851=""),"",Q851-P851)</x:f>
        <x:v>-1</x:v>
      </x:c>
      <x:c r="S851" s="13" t="n">
        <x:f>IF(OR(P851="",Q851="",P851=0),"",((Q851/30)/(P851/31))-1)</x:f>
        <x:v>-0.4833333333333333</x:v>
      </x:c>
      <x:c r="T851" s="11" t="n">
        <x:v>283</x:v>
      </x:c>
      <x:c r="U851" s="11" t="n">
        <x:v>336</x:v>
      </x:c>
      <x:c r="V851" s="14" t="n">
        <x:v>0.002976190476190476</x:v>
      </x:c>
      <x:c r="W851" s="12" t="n">
        <x:v>10.196428571428571</x:v>
      </x:c>
      <x:c r="X851" s="11" t="n">
        <x:v>1</x:v>
      </x:c>
      <x:c r="Y851" s="11" t="n">
        <x:v>1</x:v>
      </x:c>
      <x:c r="Z851" s="4" t="str">
        <x:v>https://blog.skyairline.com/cementerio-de-punta-arenas/</x:v>
      </x:c>
      <x:c r="AA851" s="4" t="str">
        <x:v>https://blog.skyairline.com/cementerio-de-punta-arenas/</x:v>
      </x:c>
      <x:c r="AB851" s="4" t="str">
        <x:v>Coincidencia URL</x:v>
      </x:c>
      <x:c r="AC851" s="4" t="str">
        <x:v>Publicado hasta septiembre</x:v>
      </x:c>
      <x:c r="AD851" s="4" t="str">
        <x:v>/cementerio-de-punta-arenas/</x:v>
      </x:c>
      <x:c r="AE851" s="4"/>
      <x:c r="AF851" s="16" t="b">
        <x:v>0</x:v>
      </x:c>
    </x:row>
    <x:row r="852" ht="44" customHeight="1">
      <x:c r="A852" s="4" t="n">
        <x:v>6463</x:v>
      </x:c>
      <x:c r="B852" s="4" t="str">
        <x:v>https://blog.skyairline.com/nada-con-delfines-en-punta-cana/</x:v>
      </x:c>
      <x:c r="C852" s="9" t="str">
        <x:v>Nada con delfines en tu visita a Punta Cana</x:v>
      </x:c>
      <x:c r="D852" s="17" t="d">
        <x:v>2025-08-13T00:00:00.000Z</x:v>
      </x:c>
      <x:c r="E852" s="17" t="d">
        <x:v>2025-08-13T00:00:00.000Z</x:v>
      </x:c>
      <x:c r="F852" s="4" t="str">
        <x:v>Destinos</x:v>
      </x:c>
      <x:c r="G852" s="11" t="n">
        <x:v>963</x:v>
      </x:c>
      <x:c r="H852" s="11" t="n">
        <x:v>200</x:v>
      </x:c>
      <x:c r="I852" s="11" t="n">
        <x:v>1</x:v>
      </x:c>
      <x:c r="J852" s="4" t="str">
        <x:v>https://blog.skyairline.com/nada-con-delfines-en-punta-cana/</x:v>
      </x:c>
      <x:c r="K852" s="16" t="b">
        <x:v>0</x:v>
      </x:c>
      <x:c r="L852" s="11" t="n">
        <x:v>0</x:v>
      </x:c>
      <x:c r="M852" s="11" t="n">
        <x:v>3</x:v>
      </x:c>
      <x:c r="N852" s="4"/>
      <x:c r="O852" s="4"/>
      <x:c r="P852" s="11" t="n">
        <x:v>3</x:v>
      </x:c>
      <x:c r="Q852" s="11" t="n">
        <x:v>1</x:v>
      </x:c>
      <x:c r="R852" s="11" t="n">
        <x:f>IF(OR(P852="",Q852=""),"",Q852-P852)</x:f>
        <x:v>-2</x:v>
      </x:c>
      <x:c r="S852" s="13" t="n">
        <x:f>IF(OR(P852="",Q852="",P852=0),"",((Q852/30)/(P852/31))-1)</x:f>
        <x:v>-0.6555555555555556</x:v>
      </x:c>
      <x:c r="T852" s="11" t="n">
        <x:v>252</x:v>
      </x:c>
      <x:c r="U852" s="11" t="n">
        <x:v>152</x:v>
      </x:c>
      <x:c r="V852" s="14" t="n">
        <x:v>0.006578947368421052</x:v>
      </x:c>
      <x:c r="W852" s="12" t="n">
        <x:v>9.75</x:v>
      </x:c>
      <x:c r="X852" s="11" t="n">
        <x:v>2</x:v>
      </x:c>
      <x:c r="Y852" s="11" t="n">
        <x:v>2</x:v>
      </x:c>
      <x:c r="Z852" s="4" t="str">
        <x:v>https://blog.skyairline.com/nada-con-delfines-en-punta-cana/</x:v>
      </x:c>
      <x:c r="AA852" s="4" t="str">
        <x:v>https://blog.skyairline.com/nada-con-delfines-en-punta-cana/</x:v>
      </x:c>
      <x:c r="AB852" s="4" t="str">
        <x:v>Coincidencia URL</x:v>
      </x:c>
      <x:c r="AC852" s="4" t="str">
        <x:v>Publicado hasta septiembre</x:v>
      </x:c>
      <x:c r="AD852" s="4" t="str">
        <x:v>/nada-con-delfines-en-punta-cana/</x:v>
      </x:c>
      <x:c r="AE852" s="4"/>
      <x:c r="AF852" s="16" t="b">
        <x:v>0</x:v>
      </x:c>
    </x:row>
    <x:row r="853" ht="44" customHeight="1">
      <x:c r="A853" s="4" t="n">
        <x:v>6482</x:v>
      </x:c>
      <x:c r="B853" s="4" t="str">
        <x:v>https://blog.skyairline.com/termas-en-la-region-de-la-araucania/</x:v>
      </x:c>
      <x:c r="C853" s="9" t="str">
        <x:v>Relájate en las mejores termas en la Región de la Araucanía</x:v>
      </x:c>
      <x:c r="D853" s="17" t="d">
        <x:v>2025-08-19T00:00:00.000Z</x:v>
      </x:c>
      <x:c r="E853" s="17" t="d">
        <x:v>2025-08-19T00:00:00.000Z</x:v>
      </x:c>
      <x:c r="F853" s="4" t="str">
        <x:v>Destinos</x:v>
      </x:c>
      <x:c r="G853" s="11" t="n">
        <x:v>1256</x:v>
      </x:c>
      <x:c r="H853" s="11" t="n">
        <x:v>200</x:v>
      </x:c>
      <x:c r="I853" s="11" t="n">
        <x:v>1</x:v>
      </x:c>
      <x:c r="J853" s="4" t="str">
        <x:v>https://blog.skyairline.com/termas-en-la-region-de-la-araucania/</x:v>
      </x:c>
      <x:c r="K853" s="16" t="b">
        <x:v>0</x:v>
      </x:c>
      <x:c r="L853" s="11" t="n">
        <x:v>0</x:v>
      </x:c>
      <x:c r="M853" s="11" t="n">
        <x:v>0</x:v>
      </x:c>
      <x:c r="N853" s="4"/>
      <x:c r="O853" s="4"/>
      <x:c r="P853" s="11" t="n">
        <x:v>5</x:v>
      </x:c>
      <x:c r="Q853" s="11" t="n">
        <x:v>1</x:v>
      </x:c>
      <x:c r="R853" s="11" t="n">
        <x:f>IF(OR(P853="",Q853=""),"",Q853-P853)</x:f>
        <x:v>-4</x:v>
      </x:c>
      <x:c r="S853" s="13" t="n">
        <x:f>IF(OR(P853="",Q853="",P853=0),"",((Q853/30)/(P853/31))-1)</x:f>
        <x:v>-0.7933333333333333</x:v>
      </x:c>
      <x:c r="T853" s="11" t="n">
        <x:v>577</x:v>
      </x:c>
      <x:c r="U853" s="11" t="n">
        <x:v>445</x:v>
      </x:c>
      <x:c r="V853" s="14" t="n">
        <x:v>0.0022471910112359553</x:v>
      </x:c>
      <x:c r="W853" s="12" t="n">
        <x:v>9.698876404494381</x:v>
      </x:c>
      <x:c r="X853" s="11" t="n">
        <x:v>1</x:v>
      </x:c>
      <x:c r="Y853" s="11" t="n">
        <x:v>1</x:v>
      </x:c>
      <x:c r="Z853" s="4" t="str">
        <x:v>https://blog.skyairline.com/termas-en-la-region-de-la-araucania/</x:v>
      </x:c>
      <x:c r="AA853" s="4" t="str">
        <x:v>https://blog.skyairline.com/termas-en-la-region-de-la-araucania/</x:v>
      </x:c>
      <x:c r="AB853" s="4" t="str">
        <x:v>Coincidencia URL</x:v>
      </x:c>
      <x:c r="AC853" s="4" t="str">
        <x:v>Publicado hasta septiembre</x:v>
      </x:c>
      <x:c r="AD853" s="4" t="str">
        <x:v>/termas-en-la-region-de-la-araucania/</x:v>
      </x:c>
      <x:c r="AE853" s="4"/>
      <x:c r="AF853" s="16" t="b">
        <x:v>0</x:v>
      </x:c>
    </x:row>
    <x:row r="854" ht="44" customHeight="1">
      <x:c r="A854" s="4" t="n">
        <x:v>6485</x:v>
      </x:c>
      <x:c r="B854" s="4" t="str">
        <x:v>https://blog.skyairline.com/en-que-region-esta-villarrica/</x:v>
      </x:c>
      <x:c r="C854" s="9" t="str">
        <x:v>En qué región está Villarrica y qué hacer al visitarla</x:v>
      </x:c>
      <x:c r="D854" s="17" t="d">
        <x:v>2025-08-20T00:00:00.000Z</x:v>
      </x:c>
      <x:c r="E854" s="17" t="d">
        <x:v>2025-08-20T00:00:00.000Z</x:v>
      </x:c>
      <x:c r="F854" s="4" t="str">
        <x:v>Destinos</x:v>
      </x:c>
      <x:c r="G854" s="11" t="n">
        <x:v>1218</x:v>
      </x:c>
      <x:c r="H854" s="11" t="n">
        <x:v>200</x:v>
      </x:c>
      <x:c r="I854" s="11" t="n">
        <x:v>1</x:v>
      </x:c>
      <x:c r="J854" s="4" t="str">
        <x:v>https://blog.skyairline.com/en-que-region-esta-villarrica/</x:v>
      </x:c>
      <x:c r="K854" s="16" t="b">
        <x:v>0</x:v>
      </x:c>
      <x:c r="L854" s="11" t="n">
        <x:v>0</x:v>
      </x:c>
      <x:c r="M854" s="11" t="n">
        <x:v>3</x:v>
      </x:c>
      <x:c r="N854" s="4"/>
      <x:c r="O854" s="4"/>
      <x:c r="P854" s="11" t="n">
        <x:v>1</x:v>
      </x:c>
      <x:c r="Q854" s="11" t="n">
        <x:v>1</x:v>
      </x:c>
      <x:c r="R854" s="11" t="n">
        <x:f>IF(OR(P854="",Q854=""),"",Q854-P854)</x:f>
        <x:v>0</x:v>
      </x:c>
      <x:c r="S854" s="13" t="n">
        <x:f>IF(OR(P854="",Q854="",P854=0),"",((Q854/30)/(P854/31))-1)</x:f>
        <x:v>0.03333333333333344</x:v>
      </x:c>
      <x:c r="T854" s="11" t="n">
        <x:v>437</x:v>
      </x:c>
      <x:c r="U854" s="11" t="n">
        <x:v>308</x:v>
      </x:c>
      <x:c r="V854" s="14" t="n">
        <x:v>0.003246753246753247</x:v>
      </x:c>
      <x:c r="W854" s="12" t="n">
        <x:v>14.529220779220779</x:v>
      </x:c>
      <x:c r="X854" s="11" t="n">
        <x:v>4</x:v>
      </x:c>
      <x:c r="Y854" s="11" t="n">
        <x:v>4</x:v>
      </x:c>
      <x:c r="Z854" s="4" t="str">
        <x:v>https://blog.skyairline.com/en-que-region-esta-villarrica/</x:v>
      </x:c>
      <x:c r="AA854" s="4" t="str">
        <x:v>https://blog.skyairline.com/en-que-region-esta-villarrica/</x:v>
      </x:c>
      <x:c r="AB854" s="4" t="str">
        <x:v>Coincidencia URL</x:v>
      </x:c>
      <x:c r="AC854" s="4" t="str">
        <x:v>Publicado hasta septiembre</x:v>
      </x:c>
      <x:c r="AD854" s="4" t="str">
        <x:v>/en-que-region-esta-villarrica/</x:v>
      </x:c>
      <x:c r="AE854" s="4"/>
      <x:c r="AF854" s="16" t="b">
        <x:v>0</x:v>
      </x:c>
    </x:row>
    <x:row r="855" ht="44" customHeight="1">
      <x:c r="A855" s="4" t="n">
        <x:v>6488</x:v>
      </x:c>
      <x:c r="B855" s="4" t="str">
        <x:v>https://blog.skyairline.com/diario-de-viaje/</x:v>
      </x:c>
      <x:c r="C855" s="9" t="str">
        <x:v>Nuestro diario de viaje por el sur: paisajes, tips y emociones</x:v>
      </x:c>
      <x:c r="D855" s="17" t="d">
        <x:v>2025-08-21T00:00:00.000Z</x:v>
      </x:c>
      <x:c r="E855" s="17" t="d">
        <x:v>2025-08-21T00:00:00.000Z</x:v>
      </x:c>
      <x:c r="F855" s="4" t="str">
        <x:v>Destinos</x:v>
      </x:c>
      <x:c r="G855" s="11" t="n">
        <x:v>1315</x:v>
      </x:c>
      <x:c r="H855" s="11" t="n">
        <x:v>200</x:v>
      </x:c>
      <x:c r="I855" s="11" t="n">
        <x:v>1</x:v>
      </x:c>
      <x:c r="J855" s="4" t="str">
        <x:v>https://blog.skyairline.com/diario-de-viaje/</x:v>
      </x:c>
      <x:c r="K855" s="16" t="b">
        <x:v>0</x:v>
      </x:c>
      <x:c r="L855" s="11" t="n">
        <x:v>0</x:v>
      </x:c>
      <x:c r="M855" s="11" t="n">
        <x:v>3</x:v>
      </x:c>
      <x:c r="N855" s="4"/>
      <x:c r="O855" s="4"/>
      <x:c r="P855" s="11" t="n">
        <x:v>0</x:v>
      </x:c>
      <x:c r="Q855" s="11" t="n">
        <x:v>1</x:v>
      </x:c>
      <x:c r="R855" s="11" t="str">
        <x:f>IF(OR(P855="",Q855=""),"",Q855-P855)</x:f>
      </x:c>
      <x:c r="S855" s="13" t="str">
        <x:f>IF(OR(P855="",Q855="",P855=0),"",((Q855/30)/(P855/31))-1)</x:f>
      </x:c>
      <x:c r="T855" s="11" t="n">
        <x:v>54</x:v>
      </x:c>
      <x:c r="U855" s="11" t="n">
        <x:v>10</x:v>
      </x:c>
      <x:c r="V855" s="14" t="n">
        <x:v>0.1</x:v>
      </x:c>
      <x:c r="W855" s="12" t="n">
        <x:v>11.7</x:v>
      </x:c>
      <x:c r="X855" s="11" t="n">
        <x:v>2</x:v>
      </x:c>
      <x:c r="Y855" s="11" t="n">
        <x:v>2</x:v>
      </x:c>
      <x:c r="Z855" s="4" t="str">
        <x:v>https://blog.skyairline.com/diario-de-viaje/</x:v>
      </x:c>
      <x:c r="AA855" s="4" t="str">
        <x:v>https://blog.skyairline.com/diario-de-viaje/</x:v>
      </x:c>
      <x:c r="AB855" s="4" t="str">
        <x:v>Coincidencia URL</x:v>
      </x:c>
      <x:c r="AC855" s="4" t="str">
        <x:v>Publicado hasta septiembre</x:v>
      </x:c>
      <x:c r="AD855" s="4" t="str">
        <x:v>/diario-de-viaje/</x:v>
      </x:c>
      <x:c r="AE855" s="4"/>
      <x:c r="AF855" s="16" t="b">
        <x:v>0</x:v>
      </x:c>
    </x:row>
    <x:row r="856" ht="44" customHeight="1">
      <x:c r="A856" s="4" t="n">
        <x:v>6520</x:v>
      </x:c>
      <x:c r="B856" s="4" t="str">
        <x:v>https://blog.skyairline.com/salto-el-itata/</x:v>
      </x:c>
      <x:c r="C856" s="9" t="str">
        <x:v>Descubre el Salto El Itata y sumérgete en la naturaleza</x:v>
      </x:c>
      <x:c r="D856" s="17" t="d">
        <x:v>2025-08-30T00:00:00.000Z</x:v>
      </x:c>
      <x:c r="E856" s="17" t="d">
        <x:v>2025-08-30T00:00:00.000Z</x:v>
      </x:c>
      <x:c r="F856" s="4" t="str">
        <x:v>Destinos</x:v>
      </x:c>
      <x:c r="G856" s="11" t="n">
        <x:v>992</x:v>
      </x:c>
      <x:c r="H856" s="11" t="n">
        <x:v>200</x:v>
      </x:c>
      <x:c r="I856" s="11" t="n">
        <x:v>1</x:v>
      </x:c>
      <x:c r="J856" s="4" t="str">
        <x:v>https://blog.skyairline.com/salto-el-itata/</x:v>
      </x:c>
      <x:c r="K856" s="16" t="b">
        <x:v>0</x:v>
      </x:c>
      <x:c r="L856" s="11" t="n">
        <x:v>0</x:v>
      </x:c>
      <x:c r="M856" s="11" t="n">
        <x:v>3</x:v>
      </x:c>
      <x:c r="N856" s="4"/>
      <x:c r="O856" s="4"/>
      <x:c r="P856" s="11" t="n">
        <x:v>0</x:v>
      </x:c>
      <x:c r="Q856" s="11" t="n">
        <x:v>1</x:v>
      </x:c>
      <x:c r="R856" s="11" t="str">
        <x:f>IF(OR(P856="",Q856=""),"",Q856-P856)</x:f>
      </x:c>
      <x:c r="S856" s="13" t="str">
        <x:f>IF(OR(P856="",Q856="",P856=0),"",((Q856/30)/(P856/31))-1)</x:f>
      </x:c>
      <x:c r="T856" s="11" t="n">
        <x:v>1169</x:v>
      </x:c>
      <x:c r="U856" s="11" t="n">
        <x:v>773</x:v>
      </x:c>
      <x:c r="V856" s="14" t="n">
        <x:v>0.00129366106080207</x:v>
      </x:c>
      <x:c r="W856" s="12" t="n">
        <x:v>10.38680465717982</x:v>
      </x:c>
      <x:c r="X856" s="11" t="n">
        <x:v>1</x:v>
      </x:c>
      <x:c r="Y856" s="11" t="n">
        <x:v>1</x:v>
      </x:c>
      <x:c r="Z856" s="4" t="str">
        <x:v>https://blog.skyairline.com/salto-el-itata/</x:v>
      </x:c>
      <x:c r="AA856" s="4" t="str">
        <x:v>https://blog.skyairline.com/salto-el-itata/</x:v>
      </x:c>
      <x:c r="AB856" s="4" t="str">
        <x:v>Coincidencia URL</x:v>
      </x:c>
      <x:c r="AC856" s="4" t="str">
        <x:v>Publicado hasta septiembre</x:v>
      </x:c>
      <x:c r="AD856" s="4" t="str">
        <x:v>/salto-el-itata/</x:v>
      </x:c>
      <x:c r="AE856" s="4"/>
      <x:c r="AF856" s="16" t="b">
        <x:v>0</x:v>
      </x:c>
    </x:row>
    <x:row r="857" ht="44" customHeight="1">
      <x:c r="A857" s="4" t="n">
        <x:v>6544</x:v>
      </x:c>
      <x:c r="B857" s="4" t="str">
        <x:v>https://blog.skyairline.com/intercambio-cultural/</x:v>
      </x:c>
      <x:c r="C857" s="9" t="str">
        <x:v>El valor del intercambio cultural al viajar por Sudamérica</x:v>
      </x:c>
      <x:c r="D857" s="17" t="d">
        <x:v>2025-09-07T00:00:00.000Z</x:v>
      </x:c>
      <x:c r="E857" s="17" t="d">
        <x:v>2025-09-07T00:00:00.000Z</x:v>
      </x:c>
      <x:c r="F857" s="4" t="str">
        <x:v>Destinos</x:v>
      </x:c>
      <x:c r="G857" s="11" t="n">
        <x:v>922</x:v>
      </x:c>
      <x:c r="H857" s="11" t="n">
        <x:v>200</x:v>
      </x:c>
      <x:c r="I857" s="11" t="n">
        <x:v>1</x:v>
      </x:c>
      <x:c r="J857" s="4" t="str">
        <x:v>https://blog.skyairline.com/intercambio-cultural/</x:v>
      </x:c>
      <x:c r="K857" s="16" t="b">
        <x:v>0</x:v>
      </x:c>
      <x:c r="L857" s="11" t="n">
        <x:v>0</x:v>
      </x:c>
      <x:c r="M857" s="11" t="n">
        <x:v>3</x:v>
      </x:c>
      <x:c r="N857" s="4"/>
      <x:c r="O857" s="4"/>
      <x:c r="P857" s="11" t="n">
        <x:v>0</x:v>
      </x:c>
      <x:c r="Q857" s="11" t="n">
        <x:v>1</x:v>
      </x:c>
      <x:c r="R857" s="11" t="str">
        <x:f>IF(OR(P857="",Q857=""),"",Q857-P857)</x:f>
      </x:c>
      <x:c r="S857" s="13" t="str">
        <x:f>IF(OR(P857="",Q857="",P857=0),"",((Q857/30)/(P857/31))-1)</x:f>
      </x:c>
      <x:c r="T857" s="11" t="n">
        <x:v>58</x:v>
      </x:c>
      <x:c r="U857" s="11" t="n">
        <x:v>123</x:v>
      </x:c>
      <x:c r="V857" s="14" t="n">
        <x:v>0.008130081300813009</x:v>
      </x:c>
      <x:c r="W857" s="12" t="n">
        <x:v>11.073170731707316</x:v>
      </x:c>
      <x:c r="X857" s="11" t="n">
        <x:v>1</x:v>
      </x:c>
      <x:c r="Y857" s="11" t="n">
        <x:v>1</x:v>
      </x:c>
      <x:c r="Z857" s="4" t="str">
        <x:v>https://blog.skyairline.com/intercambio-cultural/</x:v>
      </x:c>
      <x:c r="AA857" s="4" t="str">
        <x:v>https://blog.skyairline.com/intercambio-cultural/</x:v>
      </x:c>
      <x:c r="AB857" s="4" t="str">
        <x:v>Coincidencia URL</x:v>
      </x:c>
      <x:c r="AC857" s="4" t="str">
        <x:v>Publicado hasta septiembre</x:v>
      </x:c>
      <x:c r="AD857" s="4" t="str">
        <x:v>/intercambio-cultural/</x:v>
      </x:c>
      <x:c r="AE857" s="4"/>
      <x:c r="AF857" s="16" t="b">
        <x:v>0</x:v>
      </x:c>
    </x:row>
    <x:row r="858" ht="44" customHeight="1">
      <x:c r="A858" s="4" t="n">
        <x:v>6578</x:v>
      </x:c>
      <x:c r="B858" s="4" t="str">
        <x:v>https://blog.skyairline.com/lagunillas-en-el-cajon-del-maipo/</x:v>
      </x:c>
      <x:c r="C858" s="9" t="str">
        <x:v>Secretos de Lagunillas en el Cajón del Maipo</x:v>
      </x:c>
      <x:c r="D858" s="17" t="d">
        <x:v>2025-09-18T00:00:00.000Z</x:v>
      </x:c>
      <x:c r="E858" s="17" t="d">
        <x:v>2025-09-18T00:00:00.000Z</x:v>
      </x:c>
      <x:c r="F858" s="4" t="str">
        <x:v>Destinos</x:v>
      </x:c>
      <x:c r="G858" s="11" t="n">
        <x:v>1089</x:v>
      </x:c>
      <x:c r="H858" s="11" t="n">
        <x:v>200</x:v>
      </x:c>
      <x:c r="I858" s="11" t="n">
        <x:v>1</x:v>
      </x:c>
      <x:c r="J858" s="4" t="str">
        <x:v>https://blog.skyairline.com/lagunillas-en-el-cajon-del-maipo/</x:v>
      </x:c>
      <x:c r="K858" s="16" t="b">
        <x:v>0</x:v>
      </x:c>
      <x:c r="L858" s="11" t="n">
        <x:v>0</x:v>
      </x:c>
      <x:c r="M858" s="11" t="n">
        <x:v>3</x:v>
      </x:c>
      <x:c r="N858" s="4"/>
      <x:c r="O858" s="4"/>
      <x:c r="P858" s="11" t="n">
        <x:v>5</x:v>
      </x:c>
      <x:c r="Q858" s="11" t="n">
        <x:v>1</x:v>
      </x:c>
      <x:c r="R858" s="11" t="n">
        <x:f>IF(OR(P858="",Q858=""),"",Q858-P858)</x:f>
        <x:v>-4</x:v>
      </x:c>
      <x:c r="S858" s="13" t="n">
        <x:f>IF(OR(P858="",Q858="",P858=0),"",((Q858/30)/(P858/31))-1)</x:f>
        <x:v>-0.7933333333333333</x:v>
      </x:c>
      <x:c r="T858" s="11" t="n">
        <x:v>1746</x:v>
      </x:c>
      <x:c r="U858" s="11" t="n">
        <x:v>1202</x:v>
      </x:c>
      <x:c r="V858" s="14" t="n">
        <x:v>0.0008319467554076539</x:v>
      </x:c>
      <x:c r="W858" s="12" t="n">
        <x:v>9.429284525790349</x:v>
      </x:c>
      <x:c r="X858" s="11" t="n">
        <x:v>3</x:v>
      </x:c>
      <x:c r="Y858" s="11" t="n">
        <x:v>3</x:v>
      </x:c>
      <x:c r="Z858" s="4" t="str">
        <x:v>https://blog.skyairline.com/lagunillas-en-el-cajon-del-maipo/</x:v>
      </x:c>
      <x:c r="AA858" s="4" t="str">
        <x:v>https://blog.skyairline.com/lagunillas-en-el-cajon-del-maipo/</x:v>
      </x:c>
      <x:c r="AB858" s="4" t="str">
        <x:v>Coincidencia URL</x:v>
      </x:c>
      <x:c r="AC858" s="4" t="str">
        <x:v>Publicado hasta septiembre</x:v>
      </x:c>
      <x:c r="AD858" s="4" t="str">
        <x:v>/lagunillas-en-el-cajon-del-maipo/</x:v>
      </x:c>
      <x:c r="AE858" s="4"/>
      <x:c r="AF858" s="16" t="b">
        <x:v>0</x:v>
      </x:c>
    </x:row>
    <x:row r="859" ht="44" customHeight="1">
      <x:c r="A859" s="4" t="n">
        <x:v>6803</x:v>
      </x:c>
      <x:c r="B859" s="4" t="str">
        <x:v>https://blog.skyairline.com/sky-suma-nueva-conexion-de-buenos-aires-a-miami-2/</x:v>
      </x:c>
      <x:c r="C859" s="9" t="str">
        <x:v>SKY suma nueva conexión de Buenos Aires a Miami</x:v>
      </x:c>
      <x:c r="D859" s="17" t="d">
        <x:v>2025-08-12T00:00:00.000Z</x:v>
      </x:c>
      <x:c r="E859" s="17" t="d">
        <x:v>2025-08-12T00:00:00.000Z</x:v>
      </x:c>
      <x:c r="F859" s="4" t="str">
        <x:v>Noticias</x:v>
      </x:c>
      <x:c r="G859" s="11" t="n">
        <x:v>216</x:v>
      </x:c>
      <x:c r="H859" s="11" t="n">
        <x:v>200</x:v>
      </x:c>
      <x:c r="I859" s="11" t="n">
        <x:v>1</x:v>
      </x:c>
      <x:c r="J859" s="4" t="str">
        <x:v>https://blog.skyairline.com/sky-suma-nueva-conexion-de-buenos-aires-a-miami-2/</x:v>
      </x:c>
      <x:c r="K859" s="16" t="b">
        <x:v>0</x:v>
      </x:c>
      <x:c r="L859" s="11" t="n">
        <x:v>0</x:v>
      </x:c>
      <x:c r="M859" s="11" t="n">
        <x:v>0</x:v>
      </x:c>
      <x:c r="N859" s="4" t="str">
        <x:v>T04</x:v>
      </x:c>
      <x:c r="O859" s="4" t="str">
        <x:v>C03</x:v>
      </x:c>
      <x:c r="P859" s="11" t="n">
        <x:v>0</x:v>
      </x:c>
      <x:c r="Q859" s="11" t="n">
        <x:v>1</x:v>
      </x:c>
      <x:c r="R859" s="11" t="str">
        <x:f>IF(OR(P859="",Q859=""),"",Q859-P859)</x:f>
      </x:c>
      <x:c r="S859" s="13" t="str">
        <x:f>IF(OR(P859="",Q859="",P859=0),"",((Q859/30)/(P859/31))-1)</x:f>
      </x:c>
      <x:c r="T859" s="11" t="n">
        <x:v>19</x:v>
      </x:c>
      <x:c r="U859" s="11" t="n">
        <x:v>119</x:v>
      </x:c>
      <x:c r="V859" s="14" t="n">
        <x:v>0.008403361344537815</x:v>
      </x:c>
      <x:c r="W859" s="12" t="n">
        <x:v>7.445378151260504</x:v>
      </x:c>
      <x:c r="X859" s="11" t="n">
        <x:v>1</x:v>
      </x:c>
      <x:c r="Y859" s="11" t="n">
        <x:v>1</x:v>
      </x:c>
      <x:c r="Z859" s="4" t="str">
        <x:v>https://blog.skyairline.com/sky-suma-nueva-conexion-de-buenos-aires-a-miami-2/</x:v>
      </x:c>
      <x:c r="AA859" s="4" t="str">
        <x:v>https://blog.skyairline.com/sky-suma-nueva-conexion-de-buenos-aires-a-miami-2/</x:v>
      </x:c>
      <x:c r="AB859" s="4" t="str">
        <x:v>Coincidencia URL</x:v>
      </x:c>
      <x:c r="AC859" s="4" t="str">
        <x:v>Publicado hasta septiembre</x:v>
      </x:c>
      <x:c r="AD859" s="4" t="str">
        <x:v>/sky-suma-nueva-conexion-de-buenos-aires-a-miami-2/</x:v>
      </x:c>
      <x:c r="AE859" s="4"/>
      <x:c r="AF859" s="16" t="b">
        <x:v>0</x:v>
      </x:c>
    </x:row>
    <x:row r="860" ht="44" customHeight="1">
      <x:c r="A860" s="4" t="n">
        <x:v>6830</x:v>
      </x:c>
      <x:c r="B860" s="4" t="str">
        <x:v>https://blog.skyairline.com/punta-cana/</x:v>
      </x:c>
      <x:c r="C860" s="9" t="str">
        <x:v>Punta Cana vs Salvador de Bahía: ¿Cuál es el mejor destino para tu próximo viaje?</x:v>
      </x:c>
      <x:c r="D860" s="17" t="d">
        <x:v>2025-09-25T00:00:00.000Z</x:v>
      </x:c>
      <x:c r="E860" s="17" t="d">
        <x:v>2025-09-25T00:00:00.000Z</x:v>
      </x:c>
      <x:c r="F860" s="4" t="str">
        <x:v>Destinos</x:v>
      </x:c>
      <x:c r="G860" s="11" t="n">
        <x:v>1049</x:v>
      </x:c>
      <x:c r="H860" s="11" t="n">
        <x:v>200</x:v>
      </x:c>
      <x:c r="I860" s="11" t="n">
        <x:v>1</x:v>
      </x:c>
      <x:c r="J860" s="4" t="str">
        <x:v>https://blog.skyairline.com/punta-cana/</x:v>
      </x:c>
      <x:c r="K860" s="16" t="b">
        <x:v>0</x:v>
      </x:c>
      <x:c r="L860" s="11" t="n">
        <x:v>0</x:v>
      </x:c>
      <x:c r="M860" s="11" t="n">
        <x:v>4</x:v>
      </x:c>
      <x:c r="N860" s="4"/>
      <x:c r="O860" s="4"/>
      <x:c r="P860" s="11" t="n">
        <x:v>3</x:v>
      </x:c>
      <x:c r="Q860" s="11" t="n">
        <x:v>1</x:v>
      </x:c>
      <x:c r="R860" s="11" t="n">
        <x:f>IF(OR(P860="",Q860=""),"",Q860-P860)</x:f>
        <x:v>-2</x:v>
      </x:c>
      <x:c r="S860" s="13" t="n">
        <x:f>IF(OR(P860="",Q860="",P860=0),"",((Q860/30)/(P860/31))-1)</x:f>
        <x:v>-0.6555555555555556</x:v>
      </x:c>
      <x:c r="T860" s="11" t="n">
        <x:v>58</x:v>
      </x:c>
      <x:c r="U860" s="11" t="n">
        <x:v>53</x:v>
      </x:c>
      <x:c r="V860" s="14" t="n">
        <x:v>0.018867924528301886</x:v>
      </x:c>
      <x:c r="W860" s="12" t="n">
        <x:v>5.735849056603773</x:v>
      </x:c>
      <x:c r="X860" s="11" t="n">
        <x:v>1</x:v>
      </x:c>
      <x:c r="Y860" s="11" t="n">
        <x:v>3</x:v>
      </x:c>
      <x:c r="Z860" s="4" t="str">
        <x:v>https://blog.skyairline.com/punta-cana/</x:v>
      </x:c>
      <x:c r="AA860" s="4" t="str">
        <x:v>https://blog.skyairline.com/punta-cana/</x:v>
      </x:c>
      <x:c r="AB860" s="4" t="str">
        <x:v>Coincidencia URL</x:v>
      </x:c>
      <x:c r="AC860" s="4" t="str">
        <x:v>Publicado hasta septiembre</x:v>
      </x:c>
      <x:c r="AD860" s="4" t="str">
        <x:v>/punta-cana/</x:v>
      </x:c>
      <x:c r="AE860" s="4"/>
      <x:c r="AF860" s="16" t="b">
        <x:v>0</x:v>
      </x:c>
    </x:row>
    <x:row r="861" ht="44" customHeight="1">
      <x:c r="A861" s="4" t="n">
        <x:v>7120</x:v>
      </x:c>
      <x:c r="B861" s="4" t="str">
        <x:v>https://blog.skyairline.com/carnavales-de-rio-de-janeiro-2/</x:v>
      </x:c>
      <x:c r="C861" s="9" t="str">
        <x:v>Carnaval de Río de Janeiro 2026: guía completa para planificar tu viaje</x:v>
      </x:c>
      <x:c r="D861" s="17" t="d">
        <x:v>2025-11-30T00:00:00.000Z</x:v>
      </x:c>
      <x:c r="E861" s="17" t="d">
        <x:v>2026-01-12T00:00:00.000Z</x:v>
      </x:c>
      <x:c r="F861" s="4" t="str">
        <x:v>Destinos</x:v>
      </x:c>
      <x:c r="G861" s="11" t="n">
        <x:v>1072</x:v>
      </x:c>
      <x:c r="H861" s="11" t="n">
        <x:v>200</x:v>
      </x:c>
      <x:c r="I861" s="11" t="n">
        <x:v>1</x:v>
      </x:c>
      <x:c r="J861" s="4" t="str">
        <x:v>https://blog.skyairline.com/carnavales-de-rio-de-janeiro-2/</x:v>
      </x:c>
      <x:c r="K861" s="16" t="b">
        <x:v>0</x:v>
      </x:c>
      <x:c r="L861" s="11" t="n">
        <x:v>0</x:v>
      </x:c>
      <x:c r="M861" s="11" t="n">
        <x:v>4</x:v>
      </x:c>
      <x:c r="N861" s="4"/>
      <x:c r="O861" s="4"/>
      <x:c r="P861" s="11" t="n">
        <x:v>0</x:v>
      </x:c>
      <x:c r="Q861" s="11" t="n">
        <x:v>1</x:v>
      </x:c>
      <x:c r="R861" s="11" t="str">
        <x:f>IF(OR(P861="",Q861=""),"",Q861-P861)</x:f>
      </x:c>
      <x:c r="S861" s="13" t="str">
        <x:f>IF(OR(P861="",Q861="",P861=0),"",((Q861/30)/(P861/31))-1)</x:f>
      </x:c>
      <x:c r="T861" s="11" t="n">
        <x:v>318</x:v>
      </x:c>
      <x:c r="U861" s="11" t="n">
        <x:v>246</x:v>
      </x:c>
      <x:c r="V861" s="14" t="n">
        <x:v>0.0040650406504065045</x:v>
      </x:c>
      <x:c r="W861" s="12" t="n">
        <x:v>21.0609756097561</x:v>
      </x:c>
      <x:c r="X861" s="11" t="n">
        <x:v>2</x:v>
      </x:c>
      <x:c r="Y861" s="11" t="n">
        <x:v>2</x:v>
      </x:c>
      <x:c r="Z861" s="4" t="str">
        <x:v>https://blog.skyairline.com/carnavales-de-rio-de-janeiro-2/</x:v>
      </x:c>
      <x:c r="AA861" s="4" t="str">
        <x:v>https://blog.skyairline.com/carnavales-de-rio-de-janeiro-2/</x:v>
      </x:c>
      <x:c r="AB861" s="4" t="str">
        <x:v>Coincidencia URL</x:v>
      </x:c>
      <x:c r="AC861" s="4" t="str">
        <x:v>Publicado hasta septiembre</x:v>
      </x:c>
      <x:c r="AD861" s="4" t="str">
        <x:v>/carnavales-de-rio-de-janeiro-2/</x:v>
      </x:c>
      <x:c r="AE861" s="4"/>
      <x:c r="AF861" s="16" t="b">
        <x:v>0</x:v>
      </x:c>
    </x:row>
    <x:row r="862" ht="44" customHeight="1">
      <x:c r="A862" s="4" t="n">
        <x:v>7121</x:v>
      </x:c>
      <x:c r="B862" s="4" t="str">
        <x:v>https://blog.skyairline.com/planifica-tu-viaje-2/</x:v>
      </x:c>
      <x:c r="C862" s="9" t="str">
        <x:v>Planifica tu viaje para poder viajar tranquilo: tips esenciales</x:v>
      </x:c>
      <x:c r="D862" s="17" t="d">
        <x:v>2025-06-16T00:00:00.000Z</x:v>
      </x:c>
      <x:c r="E862" s="17" t="d">
        <x:v>2025-12-19T00:00:00.000Z</x:v>
      </x:c>
      <x:c r="F862" s="4" t="str">
        <x:v>Planificación de Viaje</x:v>
      </x:c>
      <x:c r="G862" s="11" t="n">
        <x:v>2067</x:v>
      </x:c>
      <x:c r="H862" s="11" t="n">
        <x:v>200</x:v>
      </x:c>
      <x:c r="I862" s="11" t="n">
        <x:v>1</x:v>
      </x:c>
      <x:c r="J862" s="4" t="str">
        <x:v>https://blog.skyairline.com/planifica-tu-viaje-2/</x:v>
      </x:c>
      <x:c r="K862" s="16" t="b">
        <x:v>0</x:v>
      </x:c>
      <x:c r="L862" s="11" t="n">
        <x:v>0</x:v>
      </x:c>
      <x:c r="M862" s="11" t="n">
        <x:v>6</x:v>
      </x:c>
      <x:c r="N862" s="4"/>
      <x:c r="O862" s="4"/>
      <x:c r="P862" s="11" t="n">
        <x:v>0</x:v>
      </x:c>
      <x:c r="Q862" s="11" t="n">
        <x:v>1</x:v>
      </x:c>
      <x:c r="R862" s="11" t="str">
        <x:f>IF(OR(P862="",Q862=""),"",Q862-P862)</x:f>
      </x:c>
      <x:c r="S862" s="13" t="str">
        <x:f>IF(OR(P862="",Q862="",P862=0),"",((Q862/30)/(P862/31))-1)</x:f>
      </x:c>
      <x:c r="T862" s="11" t="n">
        <x:v>173</x:v>
      </x:c>
      <x:c r="U862" s="11" t="n">
        <x:v>890</x:v>
      </x:c>
      <x:c r="V862" s="14" t="n">
        <x:v>0.0011235955056179776</x:v>
      </x:c>
      <x:c r="W862" s="12" t="n">
        <x:v>3.847191011235955</x:v>
      </x:c>
      <x:c r="X862" s="11" t="n">
        <x:v>1</x:v>
      </x:c>
      <x:c r="Y862" s="11" t="n">
        <x:v>1</x:v>
      </x:c>
      <x:c r="Z862" s="4" t="str">
        <x:v>https://blog.skyairline.com/planifica-tu-viaje-2/</x:v>
      </x:c>
      <x:c r="AA862" s="4" t="str">
        <x:v>https://blog.skyairline.com/planifica-tu-viaje-2/</x:v>
      </x:c>
      <x:c r="AB862" s="4" t="str">
        <x:v>Coincidencia URL</x:v>
      </x:c>
      <x:c r="AC862" s="4" t="str">
        <x:v>Publicado hasta septiembre</x:v>
      </x:c>
      <x:c r="AD862" s="4" t="str">
        <x:v>/planifica-tu-viaje-2/</x:v>
      </x:c>
      <x:c r="AE862" s="4"/>
      <x:c r="AF862" s="16" t="b">
        <x:v>0</x:v>
      </x:c>
    </x:row>
    <x:row r="863" ht="44" customHeight="1">
      <x:c r="A863" s="4" t="n">
        <x:v>7208</x:v>
      </x:c>
      <x:c r="B863" s="4" t="str">
        <x:v>https://blog.skyairline.com/sky-retoma-vuelos-directos-a-el-calafate/</x:v>
      </x:c>
      <x:c r="C863" s="9" t="str">
        <x:v>SKY retoma vuelos directos a El Calafate</x:v>
      </x:c>
      <x:c r="D863" s="17" t="d">
        <x:v>2025-09-09T00:00:00.000Z</x:v>
      </x:c>
      <x:c r="E863" s="17" t="d">
        <x:v>2025-09-09T00:00:00.000Z</x:v>
      </x:c>
      <x:c r="F863" s="4" t="str">
        <x:v>Noticias</x:v>
      </x:c>
      <x:c r="G863" s="11" t="n">
        <x:v>163</x:v>
      </x:c>
      <x:c r="H863" s="11" t="n">
        <x:v>200</x:v>
      </x:c>
      <x:c r="I863" s="11" t="n">
        <x:v>1</x:v>
      </x:c>
      <x:c r="J863" s="4" t="str">
        <x:v>https://blog.skyairline.com/sky-retoma-vuelos-directos-a-el-calafate/</x:v>
      </x:c>
      <x:c r="K863" s="16" t="b">
        <x:v>0</x:v>
      </x:c>
      <x:c r="L863" s="11" t="n">
        <x:v>0</x:v>
      </x:c>
      <x:c r="M863" s="11" t="n">
        <x:v>0</x:v>
      </x:c>
      <x:c r="N863" s="4"/>
      <x:c r="O863" s="4"/>
      <x:c r="P863" s="11" t="n">
        <x:v>4</x:v>
      </x:c>
      <x:c r="Q863" s="11" t="n">
        <x:v>1</x:v>
      </x:c>
      <x:c r="R863" s="11" t="n">
        <x:f>IF(OR(P863="",Q863=""),"",Q863-P863)</x:f>
        <x:v>-3</x:v>
      </x:c>
      <x:c r="S863" s="13" t="n">
        <x:f>IF(OR(P863="",Q863="",P863=0),"",((Q863/30)/(P863/31))-1)</x:f>
        <x:v>-0.7416666666666667</x:v>
      </x:c>
      <x:c r="T863" s="11" t="n">
        <x:v>91</x:v>
      </x:c>
      <x:c r="U863" s="11" t="n">
        <x:v>94</x:v>
      </x:c>
      <x:c r="V863" s="14" t="n">
        <x:v>0.010638297872340425</x:v>
      </x:c>
      <x:c r="W863" s="12" t="n">
        <x:v>5.531914893617022</x:v>
      </x:c>
      <x:c r="X863" s="11" t="n">
        <x:v>1</x:v>
      </x:c>
      <x:c r="Y863" s="11" t="n">
        <x:v>2</x:v>
      </x:c>
      <x:c r="Z863" s="4" t="str">
        <x:v>https://blog.skyairline.com/sky-retoma-vuelos-directos-a-el-calafate/</x:v>
      </x:c>
      <x:c r="AA863" s="4" t="str">
        <x:v>https://blog.skyairline.com/sky-retoma-vuelos-directos-a-el-calafate/</x:v>
      </x:c>
      <x:c r="AB863" s="4" t="str">
        <x:v>Coincidencia URL</x:v>
      </x:c>
      <x:c r="AC863" s="4" t="str">
        <x:v>Publicado hasta septiembre</x:v>
      </x:c>
      <x:c r="AD863" s="4" t="str">
        <x:v>/sky-retoma-vuelos-directos-a-el-calafate/</x:v>
      </x:c>
      <x:c r="AE863" s="4"/>
      <x:c r="AF863" s="16" t="b">
        <x:v>0</x:v>
      </x:c>
    </x:row>
    <x:row r="864" ht="44" customHeight="1">
      <x:c r="A864" s="4" t="n">
        <x:v>7209</x:v>
      </x:c>
      <x:c r="B864" s="4" t="str">
        <x:v>https://blog.skyairline.com/sky-y-air-canada-firman-alianza/</x:v>
      </x:c>
      <x:c r="C864" s="9" t="str">
        <x:v>SKY y Air Canada firman alianza</x:v>
      </x:c>
      <x:c r="D864" s="17" t="d">
        <x:v>2025-09-09T00:00:00.000Z</x:v>
      </x:c>
      <x:c r="E864" s="17" t="d">
        <x:v>2025-09-09T00:00:00.000Z</x:v>
      </x:c>
      <x:c r="F864" s="4" t="str">
        <x:v>Noticias</x:v>
      </x:c>
      <x:c r="G864" s="11" t="n">
        <x:v>195</x:v>
      </x:c>
      <x:c r="H864" s="11" t="n">
        <x:v>200</x:v>
      </x:c>
      <x:c r="I864" s="11" t="n">
        <x:v>1</x:v>
      </x:c>
      <x:c r="J864" s="4" t="str">
        <x:v>https://blog.skyairline.com/sky-y-air-canada-firman-alianza/</x:v>
      </x:c>
      <x:c r="K864" s="16" t="b">
        <x:v>0</x:v>
      </x:c>
      <x:c r="L864" s="11" t="n">
        <x:v>0</x:v>
      </x:c>
      <x:c r="M864" s="11" t="n">
        <x:v>0</x:v>
      </x:c>
      <x:c r="N864" s="4"/>
      <x:c r="O864" s="4"/>
      <x:c r="P864" s="11" t="n">
        <x:v>1</x:v>
      </x:c>
      <x:c r="Q864" s="11" t="n">
        <x:v>1</x:v>
      </x:c>
      <x:c r="R864" s="11" t="n">
        <x:f>IF(OR(P864="",Q864=""),"",Q864-P864)</x:f>
        <x:v>0</x:v>
      </x:c>
      <x:c r="S864" s="13" t="n">
        <x:f>IF(OR(P864="",Q864="",P864=0),"",((Q864/30)/(P864/31))-1)</x:f>
        <x:v>0.03333333333333344</x:v>
      </x:c>
      <x:c r="T864" s="11" t="n">
        <x:v>221</x:v>
      </x:c>
      <x:c r="U864" s="11" t="n">
        <x:v>222</x:v>
      </x:c>
      <x:c r="V864" s="14" t="n">
        <x:v>0.0045045045045045045</x:v>
      </x:c>
      <x:c r="W864" s="12" t="n">
        <x:v>6.63063063063063</x:v>
      </x:c>
      <x:c r="X864" s="11" t="n">
        <x:v>1</x:v>
      </x:c>
      <x:c r="Y864" s="11" t="n">
        <x:v>2</x:v>
      </x:c>
      <x:c r="Z864" s="4" t="str">
        <x:v>https://blog.skyairline.com/sky-y-air-canada-firman-alianza/</x:v>
      </x:c>
      <x:c r="AA864" s="4" t="str">
        <x:v>https://blog.skyairline.com/sky-y-air-canada-firman-alianza/</x:v>
      </x:c>
      <x:c r="AB864" s="4" t="str">
        <x:v>Coincidencia URL</x:v>
      </x:c>
      <x:c r="AC864" s="4" t="str">
        <x:v>Publicado hasta septiembre</x:v>
      </x:c>
      <x:c r="AD864" s="4" t="str">
        <x:v>/sky-y-air-canada-firman-alianza/</x:v>
      </x:c>
      <x:c r="AE864" s="4"/>
      <x:c r="AF864" s="16" t="b">
        <x:v>0</x:v>
      </x:c>
    </x:row>
    <x:row r="865" ht="44" customHeight="1">
      <x:c r="A865" s="4" t="n">
        <x:v>7210</x:v>
      </x:c>
      <x:c r="B865" s="4" t="str">
        <x:v>https://blog.skyairline.com/sky-y-ucsc-impulsan-proyecto-para-producir-combustible-sostenible-de-aviacion/</x:v>
      </x:c>
      <x:c r="C865" s="9" t="str">
        <x:v>SKY y UCSC impulsan proyecto para producir combustible sostenible de aviación</x:v>
      </x:c>
      <x:c r="D865" s="17" t="d">
        <x:v>2025-09-09T00:00:00.000Z</x:v>
      </x:c>
      <x:c r="E865" s="17" t="d">
        <x:v>2025-09-09T00:00:00.000Z</x:v>
      </x:c>
      <x:c r="F865" s="4" t="str">
        <x:v>Noticias</x:v>
      </x:c>
      <x:c r="G865" s="11" t="n">
        <x:v>213</x:v>
      </x:c>
      <x:c r="H865" s="11" t="n">
        <x:v>200</x:v>
      </x:c>
      <x:c r="I865" s="11" t="n">
        <x:v>1</x:v>
      </x:c>
      <x:c r="J865" s="4" t="str">
        <x:v>https://blog.skyairline.com/sky-y-ucsc-impulsan-proyecto-para-producir-combustible-sostenible-de-aviacion/</x:v>
      </x:c>
      <x:c r="K865" s="16" t="b">
        <x:v>0</x:v>
      </x:c>
      <x:c r="L865" s="11" t="n">
        <x:v>0</x:v>
      </x:c>
      <x:c r="M865" s="11" t="n">
        <x:v>0</x:v>
      </x:c>
      <x:c r="N865" s="4"/>
      <x:c r="O865" s="4" t="str">
        <x:v>C02</x:v>
      </x:c>
      <x:c r="P865" s="11" t="n">
        <x:v>1</x:v>
      </x:c>
      <x:c r="Q865" s="11" t="n">
        <x:v>1</x:v>
      </x:c>
      <x:c r="R865" s="11" t="n">
        <x:f>IF(OR(P865="",Q865=""),"",Q865-P865)</x:f>
        <x:v>0</x:v>
      </x:c>
      <x:c r="S865" s="13" t="n">
        <x:f>IF(OR(P865="",Q865="",P865=0),"",((Q865/30)/(P865/31))-1)</x:f>
        <x:v>0.03333333333333344</x:v>
      </x:c>
      <x:c r="T865" s="11" t="n">
        <x:v>31</x:v>
      </x:c>
      <x:c r="U865" s="11" t="n">
        <x:v>16</x:v>
      </x:c>
      <x:c r="V865" s="14" t="n">
        <x:v>0.0625</x:v>
      </x:c>
      <x:c r="W865" s="12" t="n">
        <x:v>7.1875</x:v>
      </x:c>
      <x:c r="X865" s="11" t="n">
        <x:v>2</x:v>
      </x:c>
      <x:c r="Y865" s="11" t="n">
        <x:v>2</x:v>
      </x:c>
      <x:c r="Z865" s="4" t="str">
        <x:v>https://blog.skyairline.com/sky-y-ucsc-impulsan-proyecto-para-producir-combustible-sostenible-de-aviacion/</x:v>
      </x:c>
      <x:c r="AA865" s="4" t="str">
        <x:v>https://blog.skyairline.com/sky-y-ucsc-impulsan-proyecto-para-producir-combustible-sostenible-de-aviacion/</x:v>
      </x:c>
      <x:c r="AB865" s="4" t="str">
        <x:v>Coincidencia URL</x:v>
      </x:c>
      <x:c r="AC865" s="4" t="str">
        <x:v>Publicado hasta septiembre</x:v>
      </x:c>
      <x:c r="AD865" s="4" t="str">
        <x:v>/sky-y-ucsc-impulsan-proyecto-para-producir-combustible-sostenible-de-aviacion/</x:v>
      </x:c>
      <x:c r="AE865" s="4"/>
      <x:c r="AF865" s="16" t="b">
        <x:v>0</x:v>
      </x:c>
    </x:row>
    <x:row r="866" ht="44" customHeight="1">
      <x:c r="A866" s="4" t="n">
        <x:v>7259</x:v>
      </x:c>
      <x:c r="B866" s="4" t="str">
        <x:v>https://blog.skyairline.com/claves-para-comprar-pasajes-4-tips-para-encontrar-precios-convenientes/</x:v>
      </x:c>
      <x:c r="C866" s="9" t="str">
        <x:v>Claves para comprar pasajes: 4 tips para encontrar precios convenientes</x:v>
      </x:c>
      <x:c r="D866" s="17" t="d">
        <x:v>2025-10-14T00:00:00.000Z</x:v>
      </x:c>
      <x:c r="E866" s="17" t="d">
        <x:v>2025-10-14T00:00:00.000Z</x:v>
      </x:c>
      <x:c r="F866" s="4" t="str">
        <x:v>Noticias</x:v>
      </x:c>
      <x:c r="G866" s="11" t="n">
        <x:v>209</x:v>
      </x:c>
      <x:c r="H866" s="11" t="n">
        <x:v>200</x:v>
      </x:c>
      <x:c r="I866" s="11" t="n">
        <x:v>1</x:v>
      </x:c>
      <x:c r="J866" s="4" t="str">
        <x:v>https://blog.skyairline.com/claves-para-comprar-pasajes-4-tips-para-encontrar-precios-convenientes/</x:v>
      </x:c>
      <x:c r="K866" s="16" t="b">
        <x:v>0</x:v>
      </x:c>
      <x:c r="L866" s="11" t="n">
        <x:v>0</x:v>
      </x:c>
      <x:c r="M866" s="11" t="n">
        <x:v>0</x:v>
      </x:c>
      <x:c r="N866" s="4"/>
      <x:c r="O866" s="4"/>
      <x:c r="P866" s="11" t="n">
        <x:v>0</x:v>
      </x:c>
      <x:c r="Q866" s="11" t="n">
        <x:v>1</x:v>
      </x:c>
      <x:c r="R866" s="11" t="str">
        <x:f>IF(OR(P866="",Q866=""),"",Q866-P866)</x:f>
      </x:c>
      <x:c r="S866" s="13" t="str">
        <x:f>IF(OR(P866="",Q866="",P866=0),"",((Q866/30)/(P866/31))-1)</x:f>
      </x:c>
      <x:c r="T866" s="11" t="n">
        <x:v>46</x:v>
      </x:c>
      <x:c r="U866" s="11" t="n">
        <x:v>78</x:v>
      </x:c>
      <x:c r="V866" s="14" t="n">
        <x:v>0.01282051282051282</x:v>
      </x:c>
      <x:c r="W866" s="12" t="n">
        <x:v>5.923076923076923</x:v>
      </x:c>
      <x:c r="X866" s="11" t="n">
        <x:v>1</x:v>
      </x:c>
      <x:c r="Y866" s="11" t="n">
        <x:v>2</x:v>
      </x:c>
      <x:c r="Z866" s="4" t="str">
        <x:v>https://blog.skyairline.com/claves-para-comprar-pasajes-4-tips-para-encontrar-precios-convenientes/</x:v>
      </x:c>
      <x:c r="AA866" s="4" t="str">
        <x:v>https://blog.skyairline.com/claves-para-comprar-pasajes-4-tips-para-encontrar-precios-convenientes/</x:v>
      </x:c>
      <x:c r="AB866" s="4" t="str">
        <x:v>Coincidencia URL</x:v>
      </x:c>
      <x:c r="AC866" s="4" t="str">
        <x:v>Publicado hasta septiembre</x:v>
      </x:c>
      <x:c r="AD866" s="4" t="str">
        <x:v>/claves-para-comprar-pasajes-4-tips-para-encontrar-precios-convenientes/</x:v>
      </x:c>
      <x:c r="AE866" s="4"/>
      <x:c r="AF866" s="16" t="b">
        <x:v>0</x:v>
      </x:c>
    </x:row>
    <x:row r="867" ht="44" customHeight="1">
      <x:c r="A867" s="4" t="n">
        <x:v>7280</x:v>
      </x:c>
      <x:c r="B867" s="4" t="str">
        <x:v>https://blog.skyairline.com/dia-de-la-aviacion-nacional-en-peru/</x:v>
      </x:c>
      <x:c r="C867" s="9" t="str">
        <x:v>Día de la Aviación Nacional en Perú</x:v>
      </x:c>
      <x:c r="D867" s="17" t="d">
        <x:v>2025-10-14T00:00:00.000Z</x:v>
      </x:c>
      <x:c r="E867" s="17" t="d">
        <x:v>2025-10-14T00:00:00.000Z</x:v>
      </x:c>
      <x:c r="F867" s="4" t="str">
        <x:v>Noticias, Uncategorized</x:v>
      </x:c>
      <x:c r="G867" s="11" t="n">
        <x:v>252</x:v>
      </x:c>
      <x:c r="H867" s="11" t="n">
        <x:v>200</x:v>
      </x:c>
      <x:c r="I867" s="11" t="n">
        <x:v>1</x:v>
      </x:c>
      <x:c r="J867" s="4" t="str">
        <x:v>https://blog.skyairline.com/dia-de-la-aviacion-nacional-en-peru/</x:v>
      </x:c>
      <x:c r="K867" s="16" t="b">
        <x:v>0</x:v>
      </x:c>
      <x:c r="L867" s="11" t="n">
        <x:v>0</x:v>
      </x:c>
      <x:c r="M867" s="11" t="n">
        <x:v>0</x:v>
      </x:c>
      <x:c r="N867" s="4"/>
      <x:c r="O867" s="4"/>
      <x:c r="P867" s="11" t="n">
        <x:v>2</x:v>
      </x:c>
      <x:c r="Q867" s="11" t="n">
        <x:v>1</x:v>
      </x:c>
      <x:c r="R867" s="11" t="n">
        <x:f>IF(OR(P867="",Q867=""),"",Q867-P867)</x:f>
        <x:v>-1</x:v>
      </x:c>
      <x:c r="S867" s="13" t="n">
        <x:f>IF(OR(P867="",Q867="",P867=0),"",((Q867/30)/(P867/31))-1)</x:f>
        <x:v>-0.4833333333333333</x:v>
      </x:c>
      <x:c r="T867" s="11" t="n">
        <x:v>99</x:v>
      </x:c>
      <x:c r="U867" s="11" t="n">
        <x:v>258</x:v>
      </x:c>
      <x:c r="V867" s="14" t="n">
        <x:v>0.003875968992248062</x:v>
      </x:c>
      <x:c r="W867" s="12" t="n">
        <x:v>8.468992248062015</x:v>
      </x:c>
      <x:c r="X867" s="11" t="n">
        <x:v>1</x:v>
      </x:c>
      <x:c r="Y867" s="11" t="n">
        <x:v>1</x:v>
      </x:c>
      <x:c r="Z867" s="4" t="str">
        <x:v>https://blog.skyairline.com/dia-de-la-aviacion-nacional-en-peru/</x:v>
      </x:c>
      <x:c r="AA867" s="4" t="str">
        <x:v>https://blog.skyairline.com/dia-de-la-aviacion-nacional-en-peru/</x:v>
      </x:c>
      <x:c r="AB867" s="4" t="str">
        <x:v>Coincidencia URL</x:v>
      </x:c>
      <x:c r="AC867" s="4" t="str">
        <x:v>Publicado hasta septiembre</x:v>
      </x:c>
      <x:c r="AD867" s="4" t="str">
        <x:v>/dia-de-la-aviacion-nacional-en-peru/</x:v>
      </x:c>
      <x:c r="AE867" s="4"/>
      <x:c r="AF867" s="16" t="b">
        <x:v>0</x:v>
      </x:c>
    </x:row>
    <x:row r="868" ht="44" customHeight="1">
      <x:c r="A868" s="4" t="n">
        <x:v>7358</x:v>
      </x:c>
      <x:c r="B868" s="4" t="str">
        <x:v>https://blog.skyairline.com/vuelos-a-jauja/</x:v>
      </x:c>
      <x:c r="C868" s="9" t="str">
        <x:v>Vuelos a Jauja, la primera capital del Perú es un destino SKY</x:v>
      </x:c>
      <x:c r="D868" s="17" t="d">
        <x:v>2025-10-29T00:00:00.000Z</x:v>
      </x:c>
      <x:c r="E868" s="17" t="d">
        <x:v>2025-10-27T00:00:00.000Z</x:v>
      </x:c>
      <x:c r="F868" s="4" t="str">
        <x:v>Destinos</x:v>
      </x:c>
      <x:c r="G868" s="11" t="n">
        <x:v>1022</x:v>
      </x:c>
      <x:c r="H868" s="11" t="n">
        <x:v>200</x:v>
      </x:c>
      <x:c r="I868" s="11" t="n">
        <x:v>1</x:v>
      </x:c>
      <x:c r="J868" s="4" t="str">
        <x:v>https://blog.skyairline.com/vuelos-a-jauja/</x:v>
      </x:c>
      <x:c r="K868" s="16" t="b">
        <x:v>0</x:v>
      </x:c>
      <x:c r="L868" s="11" t="n">
        <x:v>0</x:v>
      </x:c>
      <x:c r="M868" s="11" t="n">
        <x:v>3</x:v>
      </x:c>
      <x:c r="N868" s="4"/>
      <x:c r="O868" s="4"/>
      <x:c r="P868" s="11" t="n">
        <x:v>2</x:v>
      </x:c>
      <x:c r="Q868" s="11" t="n">
        <x:v>1</x:v>
      </x:c>
      <x:c r="R868" s="11" t="n">
        <x:f>IF(OR(P868="",Q868=""),"",Q868-P868)</x:f>
        <x:v>-1</x:v>
      </x:c>
      <x:c r="S868" s="13" t="n">
        <x:f>IF(OR(P868="",Q868="",P868=0),"",((Q868/30)/(P868/31))-1)</x:f>
        <x:v>-0.4833333333333333</x:v>
      </x:c>
      <x:c r="T868" s="11" t="n">
        <x:v>1187</x:v>
      </x:c>
      <x:c r="U868" s="11" t="n">
        <x:v>1152</x:v>
      </x:c>
      <x:c r="V868" s="14" t="n">
        <x:v>0.0008680555555555555</x:v>
      </x:c>
      <x:c r="W868" s="12" t="n">
        <x:v>10.512152777777779</x:v>
      </x:c>
      <x:c r="X868" s="11" t="n">
        <x:v>2</x:v>
      </x:c>
      <x:c r="Y868" s="11" t="n">
        <x:v>2</x:v>
      </x:c>
      <x:c r="Z868" s="4" t="str">
        <x:v>https://blog.skyairline.com/vuelos-a-jauja/</x:v>
      </x:c>
      <x:c r="AA868" s="4" t="str">
        <x:v>https://blog.skyairline.com/vuelos-a-jauja/</x:v>
      </x:c>
      <x:c r="AB868" s="4" t="str">
        <x:v>Coincidencia URL</x:v>
      </x:c>
      <x:c r="AC868" s="4" t="str">
        <x:v>Publicado hasta septiembre</x:v>
      </x:c>
      <x:c r="AD868" s="4" t="str">
        <x:v>/vuelos-a-jauja/</x:v>
      </x:c>
      <x:c r="AE868" s="4"/>
      <x:c r="AF868" s="16" t="b">
        <x:v>0</x:v>
      </x:c>
    </x:row>
    <x:row r="869" ht="44" customHeight="1">
      <x:c r="A869" s="4" t="n">
        <x:v>7386</x:v>
      </x:c>
      <x:c r="B869" s="4" t="str">
        <x:v>https://blog.skyairline.com/pasajes-a-iquique/</x:v>
      </x:c>
      <x:c r="C869" s="9" t="str">
        <x:v>Pasajes a Iquique, encuéntralos en SKY Airline</x:v>
      </x:c>
      <x:c r="D869" s="17" t="d">
        <x:v>2025-11-01T00:00:00.000Z</x:v>
      </x:c>
      <x:c r="E869" s="17" t="d">
        <x:v>2025-10-27T00:00:00.000Z</x:v>
      </x:c>
      <x:c r="F869" s="4" t="str">
        <x:v>Destinos</x:v>
      </x:c>
      <x:c r="G869" s="11" t="n">
        <x:v>1067</x:v>
      </x:c>
      <x:c r="H869" s="11" t="n">
        <x:v>200</x:v>
      </x:c>
      <x:c r="I869" s="11" t="n">
        <x:v>1</x:v>
      </x:c>
      <x:c r="J869" s="4" t="str">
        <x:v>https://blog.skyairline.com/pasajes-a-iquique/</x:v>
      </x:c>
      <x:c r="K869" s="16" t="b">
        <x:v>0</x:v>
      </x:c>
      <x:c r="L869" s="11" t="n">
        <x:v>0</x:v>
      </x:c>
      <x:c r="M869" s="11" t="n">
        <x:v>3</x:v>
      </x:c>
      <x:c r="N869" s="4"/>
      <x:c r="O869" s="4"/>
      <x:c r="P869" s="11" t="n">
        <x:v>0</x:v>
      </x:c>
      <x:c r="Q869" s="11" t="n">
        <x:v>1</x:v>
      </x:c>
      <x:c r="R869" s="11" t="str">
        <x:f>IF(OR(P869="",Q869=""),"",Q869-P869)</x:f>
      </x:c>
      <x:c r="S869" s="13" t="str">
        <x:f>IF(OR(P869="",Q869="",P869=0),"",((Q869/30)/(P869/31))-1)</x:f>
      </x:c>
      <x:c r="T869" s="11" t="n">
        <x:v>124</x:v>
      </x:c>
      <x:c r="U869" s="11" t="n">
        <x:v>325</x:v>
      </x:c>
      <x:c r="V869" s="14" t="n">
        <x:v>0.003076923076923077</x:v>
      </x:c>
      <x:c r="W869" s="12" t="n">
        <x:v>8.280000000000001</x:v>
      </x:c>
      <x:c r="X869" s="11" t="n">
        <x:v>1</x:v>
      </x:c>
      <x:c r="Y869" s="11" t="n">
        <x:v>1</x:v>
      </x:c>
      <x:c r="Z869" s="4" t="str">
        <x:v>https://blog.skyairline.com/pasajes-a-iquique/</x:v>
      </x:c>
      <x:c r="AA869" s="4" t="str">
        <x:v>https://blog.skyairline.com/pasajes-a-iquique/</x:v>
      </x:c>
      <x:c r="AB869" s="4" t="str">
        <x:v>Coincidencia URL</x:v>
      </x:c>
      <x:c r="AC869" s="4" t="str">
        <x:v>Publicado hasta septiembre</x:v>
      </x:c>
      <x:c r="AD869" s="4" t="str">
        <x:v>/pasajes-a-iquique/</x:v>
      </x:c>
      <x:c r="AE869" s="4"/>
      <x:c r="AF869" s="16" t="b">
        <x:v>0</x:v>
      </x:c>
    </x:row>
    <x:row r="870" ht="44" customHeight="1">
      <x:c r="A870" s="4" t="n">
        <x:v>7389</x:v>
      </x:c>
      <x:c r="B870" s="4" t="str">
        <x:v>https://blog.skyairline.com/vuelos-a-brasil/</x:v>
      </x:c>
      <x:c r="C870" s="9" t="str">
        <x:v>Vuelos a Brasil, el destino internacional favorito de los chilenos</x:v>
      </x:c>
      <x:c r="D870" s="17" t="d">
        <x:v>2025-11-01T00:00:00.000Z</x:v>
      </x:c>
      <x:c r="E870" s="17" t="d">
        <x:v>2025-10-27T00:00:00.000Z</x:v>
      </x:c>
      <x:c r="F870" s="4" t="str">
        <x:v>Destinos</x:v>
      </x:c>
      <x:c r="G870" s="11" t="n">
        <x:v>1039</x:v>
      </x:c>
      <x:c r="H870" s="11" t="n">
        <x:v>200</x:v>
      </x:c>
      <x:c r="I870" s="11" t="n">
        <x:v>1</x:v>
      </x:c>
      <x:c r="J870" s="4" t="str">
        <x:v>https://blog.skyairline.com/vuelos-a-brasil/</x:v>
      </x:c>
      <x:c r="K870" s="16" t="b">
        <x:v>0</x:v>
      </x:c>
      <x:c r="L870" s="11" t="n">
        <x:v>0</x:v>
      </x:c>
      <x:c r="M870" s="11" t="n">
        <x:v>4</x:v>
      </x:c>
      <x:c r="N870" s="4"/>
      <x:c r="O870" s="4"/>
      <x:c r="P870" s="11" t="n">
        <x:v>2</x:v>
      </x:c>
      <x:c r="Q870" s="11" t="n">
        <x:v>1</x:v>
      </x:c>
      <x:c r="R870" s="11" t="n">
        <x:f>IF(OR(P870="",Q870=""),"",Q870-P870)</x:f>
        <x:v>-1</x:v>
      </x:c>
      <x:c r="S870" s="13" t="n">
        <x:f>IF(OR(P870="",Q870="",P870=0),"",((Q870/30)/(P870/31))-1)</x:f>
        <x:v>-0.4833333333333333</x:v>
      </x:c>
      <x:c r="T870" s="11" t="n">
        <x:v>477</x:v>
      </x:c>
      <x:c r="U870" s="11" t="n">
        <x:v>356</x:v>
      </x:c>
      <x:c r="V870" s="14" t="n">
        <x:v>0.0028089887640449437</x:v>
      </x:c>
      <x:c r="W870" s="12" t="n">
        <x:v>9.362359550561798</x:v>
      </x:c>
      <x:c r="X870" s="11"/>
      <x:c r="Y870" s="11"/>
      <x:c r="Z870" s="4" t="str">
        <x:v>https://blog.skyairline.com/vuelos-a-brasil/</x:v>
      </x:c>
      <x:c r="AA870" s="4" t="str">
        <x:v>https://blog.skyairline.com/vuelos-a-brasil/</x:v>
      </x:c>
      <x:c r="AB870" s="4" t="str">
        <x:v>Coincidencia URL</x:v>
      </x:c>
      <x:c r="AC870" s="4" t="str">
        <x:v>Publicado hasta septiembre</x:v>
      </x:c>
      <x:c r="AD870" s="4"/>
      <x:c r="AE870" s="4"/>
      <x:c r="AF870" s="16" t="b">
        <x:v>0</x:v>
      </x:c>
    </x:row>
    <x:row r="871" ht="44" customHeight="1">
      <x:c r="A871" s="4" t="n">
        <x:v>7414</x:v>
      </x:c>
      <x:c r="B871" s="4" t="str">
        <x:v>https://blog.skyairline.com/chile-argentina/</x:v>
      </x:c>
      <x:c r="C871" s="9" t="str">
        <x:v>Pasos fronterizos lacustres: Chile Argentina en un solo viaje.</x:v>
      </x:c>
      <x:c r="D871" s="17" t="d">
        <x:v>2025-11-03T00:00:00.000Z</x:v>
      </x:c>
      <x:c r="E871" s="17" t="d">
        <x:v>2025-10-31T00:00:00.000Z</x:v>
      </x:c>
      <x:c r="F871" s="4" t="str">
        <x:v>Destinos</x:v>
      </x:c>
      <x:c r="G871" s="11" t="n">
        <x:v>1158</x:v>
      </x:c>
      <x:c r="H871" s="11" t="n">
        <x:v>200</x:v>
      </x:c>
      <x:c r="I871" s="11" t="n">
        <x:v>1</x:v>
      </x:c>
      <x:c r="J871" s="4" t="str">
        <x:v>https://blog.skyairline.com/chile-argentina/</x:v>
      </x:c>
      <x:c r="K871" s="16" t="b">
        <x:v>0</x:v>
      </x:c>
      <x:c r="L871" s="11" t="n">
        <x:v>0</x:v>
      </x:c>
      <x:c r="M871" s="11" t="n">
        <x:v>0</x:v>
      </x:c>
      <x:c r="N871" s="4"/>
      <x:c r="O871" s="4"/>
      <x:c r="P871" s="11" t="n">
        <x:v>1</x:v>
      </x:c>
      <x:c r="Q871" s="11" t="n">
        <x:v>1</x:v>
      </x:c>
      <x:c r="R871" s="11" t="n">
        <x:f>IF(OR(P871="",Q871=""),"",Q871-P871)</x:f>
        <x:v>0</x:v>
      </x:c>
      <x:c r="S871" s="13" t="n">
        <x:f>IF(OR(P871="",Q871="",P871=0),"",((Q871/30)/(P871/31))-1)</x:f>
        <x:v>0.03333333333333344</x:v>
      </x:c>
      <x:c r="T871" s="11" t="n">
        <x:v>327</x:v>
      </x:c>
      <x:c r="U871" s="11" t="n">
        <x:v>246</x:v>
      </x:c>
      <x:c r="V871" s="14" t="n">
        <x:v>0.0040650406504065045</x:v>
      </x:c>
      <x:c r="W871" s="12" t="n">
        <x:v>14.434959349593496</x:v>
      </x:c>
      <x:c r="X871" s="11" t="n">
        <x:v>1</x:v>
      </x:c>
      <x:c r="Y871" s="11" t="n">
        <x:v>1</x:v>
      </x:c>
      <x:c r="Z871" s="4" t="str">
        <x:v>https://blog.skyairline.com/chile-argentina/</x:v>
      </x:c>
      <x:c r="AA871" s="4" t="str">
        <x:v>https://blog.skyairline.com/chile-argentina/</x:v>
      </x:c>
      <x:c r="AB871" s="4" t="str">
        <x:v>Coincidencia URL</x:v>
      </x:c>
      <x:c r="AC871" s="4" t="str">
        <x:v>Publicado hasta septiembre</x:v>
      </x:c>
      <x:c r="AD871" s="4" t="str">
        <x:v>/chile-argentina/</x:v>
      </x:c>
      <x:c r="AE871" s="4"/>
      <x:c r="AF871" s="16" t="b">
        <x:v>0</x:v>
      </x:c>
    </x:row>
    <x:row r="872" ht="44" customHeight="1">
      <x:c r="A872" s="4" t="n">
        <x:v>7549</x:v>
      </x:c>
      <x:c r="B872" s="4" t="str">
        <x:v>https://blog.skyairline.com/euros-a-pesos-chilenos/</x:v>
      </x:c>
      <x:c r="C872" s="9" t="str">
        <x:v>Cómo convertir euros a pesos chilenos: guía para viajeros</x:v>
      </x:c>
      <x:c r="D872" s="17" t="d">
        <x:v>2025-11-12T00:00:00.000Z</x:v>
      </x:c>
      <x:c r="E872" s="17" t="d">
        <x:v>2025-11-10T00:00:00.000Z</x:v>
      </x:c>
      <x:c r="F872" s="4" t="str">
        <x:v>Destinos</x:v>
      </x:c>
      <x:c r="G872" s="11" t="n">
        <x:v>995</x:v>
      </x:c>
      <x:c r="H872" s="11" t="n">
        <x:v>200</x:v>
      </x:c>
      <x:c r="I872" s="11" t="n">
        <x:v>1</x:v>
      </x:c>
      <x:c r="J872" s="4" t="str">
        <x:v>https://blog.skyairline.com/euros-a-pesos-chilenos/</x:v>
      </x:c>
      <x:c r="K872" s="16" t="b">
        <x:v>0</x:v>
      </x:c>
      <x:c r="L872" s="11" t="n">
        <x:v>0</x:v>
      </x:c>
      <x:c r="M872" s="11" t="n">
        <x:v>3</x:v>
      </x:c>
      <x:c r="N872" s="4"/>
      <x:c r="O872" s="4"/>
      <x:c r="P872" s="11" t="n">
        <x:v>3</x:v>
      </x:c>
      <x:c r="Q872" s="11" t="n">
        <x:v>1</x:v>
      </x:c>
      <x:c r="R872" s="11" t="n">
        <x:f>IF(OR(P872="",Q872=""),"",Q872-P872)</x:f>
        <x:v>-2</x:v>
      </x:c>
      <x:c r="S872" s="13" t="n">
        <x:f>IF(OR(P872="",Q872="",P872=0),"",((Q872/30)/(P872/31))-1)</x:f>
        <x:v>-0.6555555555555556</x:v>
      </x:c>
      <x:c r="T872" s="11" t="n">
        <x:v>2805</x:v>
      </x:c>
      <x:c r="U872" s="11" t="n">
        <x:v>3677</x:v>
      </x:c>
      <x:c r="V872" s="14" t="n">
        <x:v>0.0002719608376393799</x:v>
      </x:c>
      <x:c r="W872" s="12" t="n">
        <x:v>10.608648354636932</x:v>
      </x:c>
      <x:c r="X872" s="11" t="n">
        <x:v>2</x:v>
      </x:c>
      <x:c r="Y872" s="11" t="n">
        <x:v>2</x:v>
      </x:c>
      <x:c r="Z872" s="4" t="str">
        <x:v>https://blog.skyairline.com/euros-a-pesos-chilenos/</x:v>
      </x:c>
      <x:c r="AA872" s="4" t="str">
        <x:v>https://blog.skyairline.com/euros-a-pesos-chilenos/</x:v>
      </x:c>
      <x:c r="AB872" s="4" t="str">
        <x:v>Coincidencia URL</x:v>
      </x:c>
      <x:c r="AC872" s="4" t="str">
        <x:v>Publicado hasta septiembre</x:v>
      </x:c>
      <x:c r="AD872" s="4" t="str">
        <x:v>/euros-a-pesos-chilenos/</x:v>
      </x:c>
      <x:c r="AE872" s="4"/>
      <x:c r="AF872" s="16" t="b">
        <x:v>0</x:v>
      </x:c>
    </x:row>
    <x:row r="873" ht="44" customHeight="1">
      <x:c r="A873" s="4" t="n">
        <x:v>7555</x:v>
      </x:c>
      <x:c r="B873" s="4" t="str">
        <x:v>https://blog.skyairline.com/pasajes-santiago-la-serena/</x:v>
      </x:c>
      <x:c r="C873" s="9" t="str">
        <x:v>Cómo conseguir pasajes económicos de Santiago a La Serena</x:v>
      </x:c>
      <x:c r="D873" s="17" t="d">
        <x:v>2025-11-14T00:00:00.000Z</x:v>
      </x:c>
      <x:c r="E873" s="17" t="d">
        <x:v>2025-11-11T00:00:00.000Z</x:v>
      </x:c>
      <x:c r="F873" s="4" t="str">
        <x:v>Destinos</x:v>
      </x:c>
      <x:c r="G873" s="11" t="n">
        <x:v>1037</x:v>
      </x:c>
      <x:c r="H873" s="11" t="n">
        <x:v>200</x:v>
      </x:c>
      <x:c r="I873" s="11" t="n">
        <x:v>1</x:v>
      </x:c>
      <x:c r="J873" s="4" t="str">
        <x:v>https://blog.skyairline.com/pasajes-santiago-la-serena/</x:v>
      </x:c>
      <x:c r="K873" s="16" t="b">
        <x:v>0</x:v>
      </x:c>
      <x:c r="L873" s="11" t="n">
        <x:v>0</x:v>
      </x:c>
      <x:c r="M873" s="11" t="n">
        <x:v>4</x:v>
      </x:c>
      <x:c r="N873" s="4"/>
      <x:c r="O873" s="4"/>
      <x:c r="P873" s="11" t="n">
        <x:v>0</x:v>
      </x:c>
      <x:c r="Q873" s="11" t="n">
        <x:v>1</x:v>
      </x:c>
      <x:c r="R873" s="11" t="str">
        <x:f>IF(OR(P873="",Q873=""),"",Q873-P873)</x:f>
      </x:c>
      <x:c r="S873" s="13" t="str">
        <x:f>IF(OR(P873="",Q873="",P873=0),"",((Q873/30)/(P873/31))-1)</x:f>
      </x:c>
      <x:c r="T873" s="11" t="n">
        <x:v>745</x:v>
      </x:c>
      <x:c r="U873" s="11" t="n">
        <x:v>284</x:v>
      </x:c>
      <x:c r="V873" s="14" t="n">
        <x:v>0.0035211267605633804</x:v>
      </x:c>
      <x:c r="W873" s="12" t="n">
        <x:v>22.422535211267604</x:v>
      </x:c>
      <x:c r="X873" s="11" t="n">
        <x:v>1</x:v>
      </x:c>
      <x:c r="Y873" s="11" t="n">
        <x:v>2</x:v>
      </x:c>
      <x:c r="Z873" s="4" t="str">
        <x:v>https://blog.skyairline.com/pasajes-santiago-la-serena/</x:v>
      </x:c>
      <x:c r="AA873" s="4" t="str">
        <x:v>https://blog.skyairline.com/pasajes-santiago-la-serena/</x:v>
      </x:c>
      <x:c r="AB873" s="4" t="str">
        <x:v>Coincidencia URL</x:v>
      </x:c>
      <x:c r="AC873" s="4" t="str">
        <x:v>Publicado hasta septiembre</x:v>
      </x:c>
      <x:c r="AD873" s="4" t="str">
        <x:v>/pasajes-santiago-la-serena/</x:v>
      </x:c>
      <x:c r="AE873" s="4"/>
      <x:c r="AF873" s="16" t="b">
        <x:v>0</x:v>
      </x:c>
    </x:row>
    <x:row r="874" ht="44" customHeight="1">
      <x:c r="A874" s="4" t="n">
        <x:v>7594</x:v>
      </x:c>
      <x:c r="B874" s="4" t="str">
        <x:v>https://blog.skyairline.com/auto-automatico/</x:v>
      </x:c>
      <x:c r="C874" s="9" t="str">
        <x:v>Todo lo que debes saber sobre automóviles automáticos para tu viaje</x:v>
      </x:c>
      <x:c r="D874" s="17" t="d">
        <x:v>2025-11-20T00:00:00.000Z</x:v>
      </x:c>
      <x:c r="E874" s="17" t="d">
        <x:v>2025-11-11T00:00:00.000Z</x:v>
      </x:c>
      <x:c r="F874" s="4" t="str">
        <x:v>Destinos</x:v>
      </x:c>
      <x:c r="G874" s="11" t="n">
        <x:v>1070</x:v>
      </x:c>
      <x:c r="H874" s="11" t="n">
        <x:v>200</x:v>
      </x:c>
      <x:c r="I874" s="11" t="n">
        <x:v>1</x:v>
      </x:c>
      <x:c r="J874" s="4" t="str">
        <x:v>https://blog.skyairline.com/auto-automatico/</x:v>
      </x:c>
      <x:c r="K874" s="16" t="b">
        <x:v>0</x:v>
      </x:c>
      <x:c r="L874" s="11" t="n">
        <x:v>0</x:v>
      </x:c>
      <x:c r="M874" s="11" t="n">
        <x:v>4</x:v>
      </x:c>
      <x:c r="N874" s="4"/>
      <x:c r="O874" s="4"/>
      <x:c r="P874" s="11" t="n">
        <x:v>1</x:v>
      </x:c>
      <x:c r="Q874" s="11" t="n">
        <x:v>1</x:v>
      </x:c>
      <x:c r="R874" s="11" t="n">
        <x:f>IF(OR(P874="",Q874=""),"",Q874-P874)</x:f>
        <x:v>0</x:v>
      </x:c>
      <x:c r="S874" s="13" t="n">
        <x:f>IF(OR(P874="",Q874="",P874=0),"",((Q874/30)/(P874/31))-1)</x:f>
        <x:v>0.03333333333333344</x:v>
      </x:c>
      <x:c r="T874" s="11" t="n">
        <x:v>272</x:v>
      </x:c>
      <x:c r="U874" s="11" t="n">
        <x:v>112</x:v>
      </x:c>
      <x:c r="V874" s="14" t="n">
        <x:v>0.008928571428571428</x:v>
      </x:c>
      <x:c r="W874" s="12" t="n">
        <x:v>7.205357142857143</x:v>
      </x:c>
      <x:c r="X874" s="11" t="n">
        <x:v>1</x:v>
      </x:c>
      <x:c r="Y874" s="11" t="n">
        <x:v>3</x:v>
      </x:c>
      <x:c r="Z874" s="4" t="str">
        <x:v>https://blog.skyairline.com/auto-automatico/</x:v>
      </x:c>
      <x:c r="AA874" s="4" t="str">
        <x:v>https://blog.skyairline.com/auto-automatico/</x:v>
      </x:c>
      <x:c r="AB874" s="4" t="str">
        <x:v>Coincidencia URL</x:v>
      </x:c>
      <x:c r="AC874" s="4" t="str">
        <x:v>Publicado hasta septiembre</x:v>
      </x:c>
      <x:c r="AD874" s="4" t="str">
        <x:v>/auto-automatico/</x:v>
      </x:c>
      <x:c r="AE874" s="4"/>
      <x:c r="AF874" s="16" t="b">
        <x:v>0</x:v>
      </x:c>
    </x:row>
    <x:row r="875" ht="44" customHeight="1">
      <x:c r="A875" s="4" t="n">
        <x:v>7649</x:v>
      </x:c>
      <x:c r="B875" s="4" t="str">
        <x:v>https://blog.skyairline.com/sky-y-united-airlines-se-conectan-para-llegar-mas-lejos/</x:v>
      </x:c>
      <x:c r="C875" s="9" t="str">
        <x:v>SKY y UNITED Airlines se conectan para llegar más lejos</x:v>
      </x:c>
      <x:c r="D875" s="17" t="d">
        <x:v>2025-11-11T00:00:00.000Z</x:v>
      </x:c>
      <x:c r="E875" s="17" t="d">
        <x:v>2025-11-11T00:00:00.000Z</x:v>
      </x:c>
      <x:c r="F875" s="4" t="str">
        <x:v>Noticias</x:v>
      </x:c>
      <x:c r="G875" s="11" t="n">
        <x:v>110</x:v>
      </x:c>
      <x:c r="H875" s="11" t="n">
        <x:v>200</x:v>
      </x:c>
      <x:c r="I875" s="11" t="n">
        <x:v>1</x:v>
      </x:c>
      <x:c r="J875" s="4" t="str">
        <x:v>https://blog.skyairline.com/sky-y-united-airlines-se-conectan-para-llegar-mas-lejos/</x:v>
      </x:c>
      <x:c r="K875" s="16" t="b">
        <x:v>0</x:v>
      </x:c>
      <x:c r="L875" s="11" t="n">
        <x:v>0</x:v>
      </x:c>
      <x:c r="M875" s="11" t="n">
        <x:v>0</x:v>
      </x:c>
      <x:c r="N875" s="4"/>
      <x:c r="O875" s="4"/>
      <x:c r="P875" s="11" t="n">
        <x:v>2</x:v>
      </x:c>
      <x:c r="Q875" s="11" t="n">
        <x:v>1</x:v>
      </x:c>
      <x:c r="R875" s="11" t="n">
        <x:f>IF(OR(P875="",Q875=""),"",Q875-P875)</x:f>
        <x:v>-1</x:v>
      </x:c>
      <x:c r="S875" s="13" t="n">
        <x:f>IF(OR(P875="",Q875="",P875=0),"",((Q875/30)/(P875/31))-1)</x:f>
        <x:v>-0.4833333333333333</x:v>
      </x:c>
      <x:c r="T875" s="11" t="n">
        <x:v>51</x:v>
      </x:c>
      <x:c r="U875" s="11" t="n">
        <x:v>37</x:v>
      </x:c>
      <x:c r="V875" s="14" t="n">
        <x:v>0.02702702702702703</x:v>
      </x:c>
      <x:c r="W875" s="12" t="n">
        <x:v>6.945945945945946</x:v>
      </x:c>
      <x:c r="X875" s="11" t="n">
        <x:v>1</x:v>
      </x:c>
      <x:c r="Y875" s="11" t="n">
        <x:v>2</x:v>
      </x:c>
      <x:c r="Z875" s="4" t="str">
        <x:v>https://blog.skyairline.com/sky-y-united-airlines-se-conectan-para-llegar-mas-lejos/</x:v>
      </x:c>
      <x:c r="AA875" s="4" t="str">
        <x:v>https://blog.skyairline.com/sky-y-united-airlines-se-conectan-para-llegar-mas-lejos/</x:v>
      </x:c>
      <x:c r="AB875" s="4" t="str">
        <x:v>Coincidencia URL</x:v>
      </x:c>
      <x:c r="AC875" s="4" t="str">
        <x:v>Publicado hasta septiembre</x:v>
      </x:c>
      <x:c r="AD875" s="4" t="str">
        <x:v>/sky-y-united-airlines-se-conectan-para-llegar-mas-lejos/</x:v>
      </x:c>
      <x:c r="AE875" s="4"/>
      <x:c r="AF875" s="16" t="b">
        <x:v>0</x:v>
      </x:c>
    </x:row>
    <x:row r="876" ht="44" customHeight="1">
      <x:c r="A876" s="4" t="n">
        <x:v>7654</x:v>
      </x:c>
      <x:c r="B876" s="4" t="str">
        <x:v>https://blog.skyairline.com/sky-y-desafio-levantemos-chile-renuevan-su-compromiso-social/</x:v>
      </x:c>
      <x:c r="C876" s="9" t="str">
        <x:v>SKY y Desafío Levantemos Chile renuevan su compromiso social</x:v>
      </x:c>
      <x:c r="D876" s="17" t="d">
        <x:v>2025-11-11T00:00:00.000Z</x:v>
      </x:c>
      <x:c r="E876" s="17" t="d">
        <x:v>2025-11-12T00:00:00.000Z</x:v>
      </x:c>
      <x:c r="F876" s="4" t="str">
        <x:v>Noticias</x:v>
      </x:c>
      <x:c r="G876" s="11" t="n">
        <x:v>203</x:v>
      </x:c>
      <x:c r="H876" s="11" t="n">
        <x:v>200</x:v>
      </x:c>
      <x:c r="I876" s="11" t="n">
        <x:v>1</x:v>
      </x:c>
      <x:c r="J876" s="4" t="str">
        <x:v>https://blog.skyairline.com/sky-y-desafio-levantemos-chile-renuevan-su-compromiso-social/</x:v>
      </x:c>
      <x:c r="K876" s="16" t="b">
        <x:v>0</x:v>
      </x:c>
      <x:c r="L876" s="11" t="n">
        <x:v>0</x:v>
      </x:c>
      <x:c r="M876" s="11" t="n">
        <x:v>0</x:v>
      </x:c>
      <x:c r="N876" s="4"/>
      <x:c r="O876" s="4"/>
      <x:c r="P876" s="11" t="n">
        <x:v>2</x:v>
      </x:c>
      <x:c r="Q876" s="11" t="n">
        <x:v>1</x:v>
      </x:c>
      <x:c r="R876" s="11" t="n">
        <x:f>IF(OR(P876="",Q876=""),"",Q876-P876)</x:f>
        <x:v>-1</x:v>
      </x:c>
      <x:c r="S876" s="13" t="n">
        <x:f>IF(OR(P876="",Q876="",P876=0),"",((Q876/30)/(P876/31))-1)</x:f>
        <x:v>-0.4833333333333333</x:v>
      </x:c>
      <x:c r="T876" s="11" t="n">
        <x:v>34</x:v>
      </x:c>
      <x:c r="U876" s="11" t="n">
        <x:v>22</x:v>
      </x:c>
      <x:c r="V876" s="14" t="n">
        <x:v>0.045454545454545456</x:v>
      </x:c>
      <x:c r="W876" s="12" t="n">
        <x:v>4.363636363636363</x:v>
      </x:c>
      <x:c r="X876" s="11" t="n">
        <x:v>1</x:v>
      </x:c>
      <x:c r="Y876" s="11" t="n">
        <x:v>1</x:v>
      </x:c>
      <x:c r="Z876" s="4" t="str">
        <x:v>https://blog.skyairline.com/sky-y-desafio-levantemos-chile-renuevan-su-compromiso-social/</x:v>
      </x:c>
      <x:c r="AA876" s="4" t="str">
        <x:v>https://blog.skyairline.com/sky-y-desafio-levantemos-chile-renuevan-su-compromiso-social/</x:v>
      </x:c>
      <x:c r="AB876" s="4" t="str">
        <x:v>Coincidencia URL</x:v>
      </x:c>
      <x:c r="AC876" s="4" t="str">
        <x:v>Publicado hasta septiembre</x:v>
      </x:c>
      <x:c r="AD876" s="4" t="str">
        <x:v>/sky-y-desafio-levantemos-chile-renuevan-su-compromiso-social/</x:v>
      </x:c>
      <x:c r="AE876" s="4"/>
      <x:c r="AF876" s="16" t="b">
        <x:v>0</x:v>
      </x:c>
    </x:row>
    <x:row r="877" ht="44" customHeight="1">
      <x:c r="A877" s="4" t="n">
        <x:v>7675</x:v>
      </x:c>
      <x:c r="B877" s="4" t="str">
        <x:v>https://blog.skyairline.com/nueva-alianza-entre-sky-y-united-airlines-para-llegar-mas-lejos/</x:v>
      </x:c>
      <x:c r="C877" s="9" t="str">
        <x:v>Nueva alianza entre SKY y United Airlines para llegar más lejos</x:v>
      </x:c>
      <x:c r="D877" s="17" t="d">
        <x:v>2025-11-12T00:00:00.000Z</x:v>
      </x:c>
      <x:c r="E877" s="17" t="d">
        <x:v>2025-11-12T00:00:00.000Z</x:v>
      </x:c>
      <x:c r="F877" s="4" t="str">
        <x:v>Noticias</x:v>
      </x:c>
      <x:c r="G877" s="11" t="n">
        <x:v>111</x:v>
      </x:c>
      <x:c r="H877" s="11" t="n">
        <x:v>200</x:v>
      </x:c>
      <x:c r="I877" s="11" t="n">
        <x:v>1</x:v>
      </x:c>
      <x:c r="J877" s="4" t="str">
        <x:v>https://blog.skyairline.com/nueva-alianza-entre-sky-y-united-airlines-para-llegar-mas-lejos/</x:v>
      </x:c>
      <x:c r="K877" s="16" t="b">
        <x:v>0</x:v>
      </x:c>
      <x:c r="L877" s="11" t="n">
        <x:v>0</x:v>
      </x:c>
      <x:c r="M877" s="11" t="n">
        <x:v>0</x:v>
      </x:c>
      <x:c r="N877" s="4"/>
      <x:c r="O877" s="4"/>
      <x:c r="P877" s="11" t="n">
        <x:v>3</x:v>
      </x:c>
      <x:c r="Q877" s="11" t="n">
        <x:v>1</x:v>
      </x:c>
      <x:c r="R877" s="11" t="n">
        <x:f>IF(OR(P877="",Q877=""),"",Q877-P877)</x:f>
        <x:v>-2</x:v>
      </x:c>
      <x:c r="S877" s="13" t="n">
        <x:f>IF(OR(P877="",Q877="",P877=0),"",((Q877/30)/(P877/31))-1)</x:f>
        <x:v>-0.6555555555555556</x:v>
      </x:c>
      <x:c r="T877" s="11" t="n">
        <x:v>116</x:v>
      </x:c>
      <x:c r="U877" s="11" t="n">
        <x:v>85</x:v>
      </x:c>
      <x:c r="V877" s="14" t="n">
        <x:v>0.011764705882352941</x:v>
      </x:c>
      <x:c r="W877" s="12" t="n">
        <x:v>4.870588235294118</x:v>
      </x:c>
      <x:c r="X877" s="11" t="n">
        <x:v>1</x:v>
      </x:c>
      <x:c r="Y877" s="11" t="n">
        <x:v>1</x:v>
      </x:c>
      <x:c r="Z877" s="4" t="str">
        <x:v>https://blog.skyairline.com/nueva-alianza-entre-sky-y-united-airlines-para-llegar-mas-lejos/</x:v>
      </x:c>
      <x:c r="AA877" s="4" t="str">
        <x:v>https://blog.skyairline.com/nueva-alianza-entre-sky-y-united-airlines-para-llegar-mas-lejos/</x:v>
      </x:c>
      <x:c r="AB877" s="4" t="str">
        <x:v>Coincidencia URL</x:v>
      </x:c>
      <x:c r="AC877" s="4" t="str">
        <x:v>Publicado hasta septiembre</x:v>
      </x:c>
      <x:c r="AD877" s="4" t="str">
        <x:v>/nueva-alianza-entre-sky-y-united-airlines-para-llegar-mas-lejos/</x:v>
      </x:c>
      <x:c r="AE877" s="4"/>
      <x:c r="AF877" s="16" t="b">
        <x:v>0</x:v>
      </x:c>
    </x:row>
    <x:row r="878" ht="44" customHeight="1">
      <x:c r="A878" s="4" t="n">
        <x:v>7697</x:v>
      </x:c>
      <x:c r="B878" s="4" t="str">
        <x:v>https://blog.skyairline.com/pasajes-a-argentina/</x:v>
      </x:c>
      <x:c r="C878" s="9" t="str">
        <x:v>Pasajes a Argentina: destinos y rutas de SKY Airline</x:v>
      </x:c>
      <x:c r="D878" s="17" t="d">
        <x:v>2025-11-25T00:00:00.000Z</x:v>
      </x:c>
      <x:c r="E878" s="17" t="d">
        <x:v>2025-11-17T00:00:00.000Z</x:v>
      </x:c>
      <x:c r="F878" s="4" t="str">
        <x:v>Destinos</x:v>
      </x:c>
      <x:c r="G878" s="11" t="n">
        <x:v>1987</x:v>
      </x:c>
      <x:c r="H878" s="11" t="n">
        <x:v>200</x:v>
      </x:c>
      <x:c r="I878" s="11" t="n">
        <x:v>1</x:v>
      </x:c>
      <x:c r="J878" s="4" t="str">
        <x:v>https://blog.skyairline.com/pasajes-a-argentina/</x:v>
      </x:c>
      <x:c r="K878" s="16" t="b">
        <x:v>0</x:v>
      </x:c>
      <x:c r="L878" s="11" t="n">
        <x:v>0</x:v>
      </x:c>
      <x:c r="M878" s="11" t="n">
        <x:v>6</x:v>
      </x:c>
      <x:c r="N878" s="4"/>
      <x:c r="O878" s="4"/>
      <x:c r="P878" s="11" t="n">
        <x:v>1</x:v>
      </x:c>
      <x:c r="Q878" s="11" t="n">
        <x:v>1</x:v>
      </x:c>
      <x:c r="R878" s="11" t="n">
        <x:f>IF(OR(P878="",Q878=""),"",Q878-P878)</x:f>
        <x:v>0</x:v>
      </x:c>
      <x:c r="S878" s="13" t="n">
        <x:f>IF(OR(P878="",Q878="",P878=0),"",((Q878/30)/(P878/31))-1)</x:f>
        <x:v>0.03333333333333344</x:v>
      </x:c>
      <x:c r="T878" s="11" t="n">
        <x:v>199</x:v>
      </x:c>
      <x:c r="U878" s="11" t="n">
        <x:v>418</x:v>
      </x:c>
      <x:c r="V878" s="14" t="n">
        <x:v>0.0023923444976076554</x:v>
      </x:c>
      <x:c r="W878" s="12" t="n">
        <x:v>10.222488038277511</x:v>
      </x:c>
      <x:c r="X878" s="11"/>
      <x:c r="Y878" s="11"/>
      <x:c r="Z878" s="4" t="str">
        <x:v>https://blog.skyairline.com/pasajes-a-argentina/</x:v>
      </x:c>
      <x:c r="AA878" s="4" t="str">
        <x:v>https://blog.skyairline.com/pasajes-a-argentina/</x:v>
      </x:c>
      <x:c r="AB878" s="4" t="str">
        <x:v>Coincidencia URL</x:v>
      </x:c>
      <x:c r="AC878" s="4" t="str">
        <x:v>Publicado hasta septiembre</x:v>
      </x:c>
      <x:c r="AD878" s="4"/>
      <x:c r="AE878" s="4"/>
      <x:c r="AF878" s="16" t="b">
        <x:v>0</x:v>
      </x:c>
    </x:row>
    <x:row r="879" ht="44" customHeight="1">
      <x:c r="A879" s="4" t="n">
        <x:v>7706</x:v>
      </x:c>
      <x:c r="B879" s="4" t="str">
        <x:v>https://blog.skyairline.com/republica-dominicana/</x:v>
      </x:c>
      <x:c r="C879" s="9" t="str">
        <x:v>Viaje a República Dominicana con SKY, la puerta de entrada al Caribe</x:v>
      </x:c>
      <x:c r="D879" s="17" t="d">
        <x:v>2025-11-26T00:00:00.000Z</x:v>
      </x:c>
      <x:c r="E879" s="17" t="d">
        <x:v>2025-11-17T00:00:00.000Z</x:v>
      </x:c>
      <x:c r="F879" s="4" t="str">
        <x:v>Destinos</x:v>
      </x:c>
      <x:c r="G879" s="11" t="n">
        <x:v>1496</x:v>
      </x:c>
      <x:c r="H879" s="11" t="n">
        <x:v>200</x:v>
      </x:c>
      <x:c r="I879" s="11" t="n">
        <x:v>1</x:v>
      </x:c>
      <x:c r="J879" s="4" t="str">
        <x:v>https://blog.skyairline.com/republica-dominicana/</x:v>
      </x:c>
      <x:c r="K879" s="16" t="b">
        <x:v>0</x:v>
      </x:c>
      <x:c r="L879" s="11" t="n">
        <x:v>0</x:v>
      </x:c>
      <x:c r="M879" s="11" t="n">
        <x:v>3</x:v>
      </x:c>
      <x:c r="N879" s="4"/>
      <x:c r="O879" s="4"/>
      <x:c r="P879" s="11" t="n">
        <x:v>3</x:v>
      </x:c>
      <x:c r="Q879" s="11" t="n">
        <x:v>1</x:v>
      </x:c>
      <x:c r="R879" s="11" t="n">
        <x:f>IF(OR(P879="",Q879=""),"",Q879-P879)</x:f>
        <x:v>-2</x:v>
      </x:c>
      <x:c r="S879" s="13" t="n">
        <x:f>IF(OR(P879="",Q879="",P879=0),"",((Q879/30)/(P879/31))-1)</x:f>
        <x:v>-0.6555555555555556</x:v>
      </x:c>
      <x:c r="T879" s="11" t="n">
        <x:v>515</x:v>
      </x:c>
      <x:c r="U879" s="11" t="n">
        <x:v>232</x:v>
      </x:c>
      <x:c r="V879" s="14" t="n">
        <x:v>0.004310344827586207</x:v>
      </x:c>
      <x:c r="W879" s="12" t="n">
        <x:v>7.142241379310345</x:v>
      </x:c>
      <x:c r="X879" s="11"/>
      <x:c r="Y879" s="11"/>
      <x:c r="Z879" s="4" t="str">
        <x:v>https://blog.skyairline.com/republica-dominicana/</x:v>
      </x:c>
      <x:c r="AA879" s="4" t="str">
        <x:v>https://blog.skyairline.com/republica-dominicana/</x:v>
      </x:c>
      <x:c r="AB879" s="4" t="str">
        <x:v>Coincidencia URL</x:v>
      </x:c>
      <x:c r="AC879" s="4" t="str">
        <x:v>Publicado hasta septiembre</x:v>
      </x:c>
      <x:c r="AD879" s="4"/>
      <x:c r="AE879" s="4"/>
      <x:c r="AF879" s="16" t="b">
        <x:v>0</x:v>
      </x:c>
    </x:row>
    <x:row r="880" ht="44" customHeight="1">
      <x:c r="A880" s="4" t="n">
        <x:v>7721</x:v>
      </x:c>
      <x:c r="B880" s="4" t="str">
        <x:v>https://blog.skyairline.com/vuelos-a-pucallpa/</x:v>
      </x:c>
      <x:c r="C880" s="9" t="str">
        <x:v>SKY te lleva a Pucallpa, el corazón de la Amazonía</x:v>
      </x:c>
      <x:c r="D880" s="17" t="d">
        <x:v>2025-11-28T00:00:00.000Z</x:v>
      </x:c>
      <x:c r="E880" s="17" t="d">
        <x:v>2025-11-17T00:00:00.000Z</x:v>
      </x:c>
      <x:c r="F880" s="4" t="str">
        <x:v>Destinos</x:v>
      </x:c>
      <x:c r="G880" s="11" t="n">
        <x:v>1015</x:v>
      </x:c>
      <x:c r="H880" s="11" t="n">
        <x:v>200</x:v>
      </x:c>
      <x:c r="I880" s="11" t="n">
        <x:v>1</x:v>
      </x:c>
      <x:c r="J880" s="4" t="str">
        <x:v>https://blog.skyairline.com/vuelos-a-pucallpa/</x:v>
      </x:c>
      <x:c r="K880" s="16" t="b">
        <x:v>0</x:v>
      </x:c>
      <x:c r="L880" s="11" t="n">
        <x:v>0</x:v>
      </x:c>
      <x:c r="M880" s="11" t="n">
        <x:v>2</x:v>
      </x:c>
      <x:c r="N880" s="4"/>
      <x:c r="O880" s="4"/>
      <x:c r="P880" s="11" t="n">
        <x:v>2</x:v>
      </x:c>
      <x:c r="Q880" s="11" t="n">
        <x:v>1</x:v>
      </x:c>
      <x:c r="R880" s="11" t="n">
        <x:f>IF(OR(P880="",Q880=""),"",Q880-P880)</x:f>
        <x:v>-1</x:v>
      </x:c>
      <x:c r="S880" s="13" t="n">
        <x:f>IF(OR(P880="",Q880="",P880=0),"",((Q880/30)/(P880/31))-1)</x:f>
        <x:v>-0.4833333333333333</x:v>
      </x:c>
      <x:c r="T880" s="11" t="n">
        <x:v>1347</x:v>
      </x:c>
      <x:c r="U880" s="11" t="n">
        <x:v>1129</x:v>
      </x:c>
      <x:c r="V880" s="14" t="n">
        <x:v>0.0008857395925597874</x:v>
      </x:c>
      <x:c r="W880" s="12" t="n">
        <x:v>8.45792736935341</x:v>
      </x:c>
      <x:c r="X880" s="11" t="n">
        <x:v>2</x:v>
      </x:c>
      <x:c r="Y880" s="11" t="n">
        <x:v>2</x:v>
      </x:c>
      <x:c r="Z880" s="4" t="str">
        <x:v>https://blog.skyairline.com/vuelos-a-pucallpa/</x:v>
      </x:c>
      <x:c r="AA880" s="4" t="str">
        <x:v>https://blog.skyairline.com/vuelos-a-pucallpa/</x:v>
      </x:c>
      <x:c r="AB880" s="4" t="str">
        <x:v>Coincidencia URL</x:v>
      </x:c>
      <x:c r="AC880" s="4" t="str">
        <x:v>Publicado hasta septiembre</x:v>
      </x:c>
      <x:c r="AD880" s="4" t="str">
        <x:v>/vuelos-a-pucallpa/</x:v>
      </x:c>
      <x:c r="AE880" s="4"/>
      <x:c r="AF880" s="16" t="b">
        <x:v>0</x:v>
      </x:c>
    </x:row>
    <x:row r="881" ht="44" customHeight="1">
      <x:c r="A881" s="4" t="n">
        <x:v>7748</x:v>
      </x:c>
      <x:c r="B881" s="4" t="str">
        <x:v>https://blog.skyairline.com/brunch/</x:v>
      </x:c>
      <x:c r="C881" s="9" t="str">
        <x:v>Brunch en Santiago de Chile</x:v>
      </x:c>
      <x:c r="D881" s="17" t="d">
        <x:v>2025-12-04T00:00:00.000Z</x:v>
      </x:c>
      <x:c r="E881" s="17" t="d">
        <x:v>2025-11-17T00:00:00.000Z</x:v>
      </x:c>
      <x:c r="F881" s="4" t="str">
        <x:v>Cultura</x:v>
      </x:c>
      <x:c r="G881" s="11" t="n">
        <x:v>1009</x:v>
      </x:c>
      <x:c r="H881" s="11" t="n">
        <x:v>200</x:v>
      </x:c>
      <x:c r="I881" s="11" t="n">
        <x:v>1</x:v>
      </x:c>
      <x:c r="J881" s="4" t="str">
        <x:v>https://blog.skyairline.com/brunch/</x:v>
      </x:c>
      <x:c r="K881" s="16" t="b">
        <x:v>0</x:v>
      </x:c>
      <x:c r="L881" s="11" t="n">
        <x:v>0</x:v>
      </x:c>
      <x:c r="M881" s="11" t="n">
        <x:v>0</x:v>
      </x:c>
      <x:c r="N881" s="4"/>
      <x:c r="O881" s="4"/>
      <x:c r="P881" s="11" t="n">
        <x:v>1</x:v>
      </x:c>
      <x:c r="Q881" s="11" t="n">
        <x:v>1</x:v>
      </x:c>
      <x:c r="R881" s="11" t="n">
        <x:f>IF(OR(P881="",Q881=""),"",Q881-P881)</x:f>
        <x:v>0</x:v>
      </x:c>
      <x:c r="S881" s="13" t="n">
        <x:f>IF(OR(P881="",Q881="",P881=0),"",((Q881/30)/(P881/31))-1)</x:f>
        <x:v>0.03333333333333344</x:v>
      </x:c>
      <x:c r="T881" s="11" t="n">
        <x:v>514</x:v>
      </x:c>
      <x:c r="U881" s="11" t="n">
        <x:v>476</x:v>
      </x:c>
      <x:c r="V881" s="14" t="n">
        <x:v>0.0021008403361344537</x:v>
      </x:c>
      <x:c r="W881" s="12" t="n">
        <x:v>15.542016806722689</x:v>
      </x:c>
      <x:c r="X881" s="11" t="n">
        <x:v>1</x:v>
      </x:c>
      <x:c r="Y881" s="11" t="n">
        <x:v>1</x:v>
      </x:c>
      <x:c r="Z881" s="4" t="str">
        <x:v>https://blog.skyairline.com/brunch/</x:v>
      </x:c>
      <x:c r="AA881" s="4" t="str">
        <x:v>https://blog.skyairline.com/brunch/</x:v>
      </x:c>
      <x:c r="AB881" s="4" t="str">
        <x:v>Coincidencia URL</x:v>
      </x:c>
      <x:c r="AC881" s="4" t="str">
        <x:v>Publicado hasta septiembre</x:v>
      </x:c>
      <x:c r="AD881" s="4" t="str">
        <x:v>/brunch/</x:v>
      </x:c>
      <x:c r="AE881" s="4"/>
      <x:c r="AF881" s="16" t="b">
        <x:v>0</x:v>
      </x:c>
    </x:row>
    <x:row r="882" ht="44" customHeight="1">
      <x:c r="A882" s="4" t="n">
        <x:v>7820</x:v>
      </x:c>
      <x:c r="B882" s="4" t="str">
        <x:v>https://blog.skyairline.com/morro-de-arica/</x:v>
      </x:c>
      <x:c r="C882" s="9" t="str">
        <x:v>Visita el Morro de Arica: El mirador del norte de Chile</x:v>
      </x:c>
      <x:c r="D882" s="17" t="d">
        <x:v>2025-12-11T00:00:00.000Z</x:v>
      </x:c>
      <x:c r="E882" s="17" t="d">
        <x:v>2025-12-04T00:00:00.000Z</x:v>
      </x:c>
      <x:c r="F882" s="4" t="str">
        <x:v>Destinos</x:v>
      </x:c>
      <x:c r="G882" s="11" t="n">
        <x:v>961</x:v>
      </x:c>
      <x:c r="H882" s="11" t="n">
        <x:v>200</x:v>
      </x:c>
      <x:c r="I882" s="11" t="n">
        <x:v>1</x:v>
      </x:c>
      <x:c r="J882" s="4" t="str">
        <x:v>https://blog.skyairline.com/morro-de-arica/</x:v>
      </x:c>
      <x:c r="K882" s="16" t="b">
        <x:v>0</x:v>
      </x:c>
      <x:c r="L882" s="11" t="n">
        <x:v>0</x:v>
      </x:c>
      <x:c r="M882" s="11" t="n">
        <x:v>0</x:v>
      </x:c>
      <x:c r="N882" s="4"/>
      <x:c r="O882" s="4"/>
      <x:c r="P882" s="11" t="n">
        <x:v>0</x:v>
      </x:c>
      <x:c r="Q882" s="11" t="n">
        <x:v>1</x:v>
      </x:c>
      <x:c r="R882" s="11" t="str">
        <x:f>IF(OR(P882="",Q882=""),"",Q882-P882)</x:f>
      </x:c>
      <x:c r="S882" s="13" t="str">
        <x:f>IF(OR(P882="",Q882="",P882=0),"",((Q882/30)/(P882/31))-1)</x:f>
      </x:c>
      <x:c r="T882" s="11" t="n">
        <x:v>335</x:v>
      </x:c>
      <x:c r="U882" s="11" t="n">
        <x:v>183</x:v>
      </x:c>
      <x:c r="V882" s="14" t="n">
        <x:v>0.00546448087431694</x:v>
      </x:c>
      <x:c r="W882" s="12" t="n">
        <x:v>14.05464480874317</x:v>
      </x:c>
      <x:c r="X882" s="11" t="n">
        <x:v>1</x:v>
      </x:c>
      <x:c r="Y882" s="11" t="n">
        <x:v>3</x:v>
      </x:c>
      <x:c r="Z882" s="4" t="str">
        <x:v>https://blog.skyairline.com/morro-de-arica/</x:v>
      </x:c>
      <x:c r="AA882" s="4" t="str">
        <x:v>https://blog.skyairline.com/morro-de-arica/</x:v>
      </x:c>
      <x:c r="AB882" s="4" t="str">
        <x:v>Coincidencia URL</x:v>
      </x:c>
      <x:c r="AC882" s="4" t="str">
        <x:v>Publicado hasta septiembre</x:v>
      </x:c>
      <x:c r="AD882" s="4" t="str">
        <x:v>/morro-de-arica/</x:v>
      </x:c>
      <x:c r="AE882" s="4"/>
      <x:c r="AF882" s="16" t="b">
        <x:v>0</x:v>
      </x:c>
    </x:row>
    <x:row r="883" ht="44" customHeight="1">
      <x:c r="A883" s="4" t="n">
        <x:v>7836</x:v>
      </x:c>
      <x:c r="B883" s="4" t="str">
        <x:v>https://blog.skyairline.com/chuquicamata/</x:v>
      </x:c>
      <x:c r="C883" s="9" t="str">
        <x:v>Chuquicamata: visita la mina más grande de Chile</x:v>
      </x:c>
      <x:c r="D883" s="17" t="d">
        <x:v>2025-12-14T00:00:00.000Z</x:v>
      </x:c>
      <x:c r="E883" s="17" t="d">
        <x:v>2025-12-04T00:00:00.000Z</x:v>
      </x:c>
      <x:c r="F883" s="4" t="str">
        <x:v>Destinos</x:v>
      </x:c>
      <x:c r="G883" s="11" t="n">
        <x:v>988</x:v>
      </x:c>
      <x:c r="H883" s="11" t="n">
        <x:v>200</x:v>
      </x:c>
      <x:c r="I883" s="11" t="n">
        <x:v>1</x:v>
      </x:c>
      <x:c r="J883" s="4" t="str">
        <x:v>https://blog.skyairline.com/chuquicamata/</x:v>
      </x:c>
      <x:c r="K883" s="16" t="b">
        <x:v>0</x:v>
      </x:c>
      <x:c r="L883" s="11" t="n">
        <x:v>0</x:v>
      </x:c>
      <x:c r="M883" s="11" t="n">
        <x:v>0</x:v>
      </x:c>
      <x:c r="N883" s="4"/>
      <x:c r="O883" s="4"/>
      <x:c r="P883" s="11" t="n">
        <x:v>2</x:v>
      </x:c>
      <x:c r="Q883" s="11" t="n">
        <x:v>1</x:v>
      </x:c>
      <x:c r="R883" s="11" t="n">
        <x:f>IF(OR(P883="",Q883=""),"",Q883-P883)</x:f>
        <x:v>-1</x:v>
      </x:c>
      <x:c r="S883" s="13" t="n">
        <x:f>IF(OR(P883="",Q883="",P883=0),"",((Q883/30)/(P883/31))-1)</x:f>
        <x:v>-0.4833333333333333</x:v>
      </x:c>
      <x:c r="T883" s="11" t="n">
        <x:v>543</x:v>
      </x:c>
      <x:c r="U883" s="11" t="n">
        <x:v>548</x:v>
      </x:c>
      <x:c r="V883" s="14" t="n">
        <x:v>0.0018248175182481751</x:v>
      </x:c>
      <x:c r="W883" s="12" t="n">
        <x:v>9.266423357664234</x:v>
      </x:c>
      <x:c r="X883" s="11" t="n">
        <x:v>1</x:v>
      </x:c>
      <x:c r="Y883" s="11" t="n">
        <x:v>1</x:v>
      </x:c>
      <x:c r="Z883" s="4" t="str">
        <x:v>https://blog.skyairline.com/chuquicamata/</x:v>
      </x:c>
      <x:c r="AA883" s="4" t="str">
        <x:v>https://blog.skyairline.com/chuquicamata/</x:v>
      </x:c>
      <x:c r="AB883" s="4" t="str">
        <x:v>Coincidencia URL</x:v>
      </x:c>
      <x:c r="AC883" s="4" t="str">
        <x:v>Publicado hasta septiembre</x:v>
      </x:c>
      <x:c r="AD883" s="4" t="str">
        <x:v>/chuquicamata/</x:v>
      </x:c>
      <x:c r="AE883" s="4"/>
      <x:c r="AF883" s="16" t="b">
        <x:v>0</x:v>
      </x:c>
    </x:row>
    <x:row r="884" ht="44" customHeight="1">
      <x:c r="A884" s="4" t="n">
        <x:v>7839</x:v>
      </x:c>
      <x:c r="B884" s="4" t="str">
        <x:v>https://blog.skyairline.com/geyser-del-tatio/</x:v>
      </x:c>
      <x:c r="C884" s="9" t="str">
        <x:v>Geyser del Tatio: cómo planear tu visita y consejos útiles para disfrutar</x:v>
      </x:c>
      <x:c r="D884" s="17" t="d">
        <x:v>2025-12-15T00:00:00.000Z</x:v>
      </x:c>
      <x:c r="E884" s="17" t="d">
        <x:v>2025-12-04T00:00:00.000Z</x:v>
      </x:c>
      <x:c r="F884" s="4" t="str">
        <x:v>Destinos</x:v>
      </x:c>
      <x:c r="G884" s="11" t="n">
        <x:v>995</x:v>
      </x:c>
      <x:c r="H884" s="11" t="n">
        <x:v>200</x:v>
      </x:c>
      <x:c r="I884" s="11" t="n">
        <x:v>1</x:v>
      </x:c>
      <x:c r="J884" s="4" t="str">
        <x:v>https://blog.skyairline.com/geyser-del-tatio/</x:v>
      </x:c>
      <x:c r="K884" s="16" t="b">
        <x:v>0</x:v>
      </x:c>
      <x:c r="L884" s="11" t="n">
        <x:v>0</x:v>
      </x:c>
      <x:c r="M884" s="11" t="n">
        <x:v>0</x:v>
      </x:c>
      <x:c r="N884" s="4"/>
      <x:c r="O884" s="4"/>
      <x:c r="P884" s="11" t="n">
        <x:v>0</x:v>
      </x:c>
      <x:c r="Q884" s="11" t="n">
        <x:v>1</x:v>
      </x:c>
      <x:c r="R884" s="11" t="str">
        <x:f>IF(OR(P884="",Q884=""),"",Q884-P884)</x:f>
      </x:c>
      <x:c r="S884" s="13" t="str">
        <x:f>IF(OR(P884="",Q884="",P884=0),"",((Q884/30)/(P884/31))-1)</x:f>
      </x:c>
      <x:c r="T884" s="11" t="n">
        <x:v>574</x:v>
      </x:c>
      <x:c r="U884" s="11" t="n">
        <x:v>682</x:v>
      </x:c>
      <x:c r="V884" s="14" t="n">
        <x:v>0.001466275659824047</x:v>
      </x:c>
      <x:c r="W884" s="12" t="n">
        <x:v>8.526392961876834</x:v>
      </x:c>
      <x:c r="X884" s="11" t="n">
        <x:v>2</x:v>
      </x:c>
      <x:c r="Y884" s="11" t="n">
        <x:v>2</x:v>
      </x:c>
      <x:c r="Z884" s="4" t="str">
        <x:v>https://blog.skyairline.com/geyser-del-tatio/</x:v>
      </x:c>
      <x:c r="AA884" s="4" t="str">
        <x:v>https://blog.skyairline.com/geyser-del-tatio/</x:v>
      </x:c>
      <x:c r="AB884" s="4" t="str">
        <x:v>Coincidencia URL</x:v>
      </x:c>
      <x:c r="AC884" s="4" t="str">
        <x:v>Publicado hasta septiembre</x:v>
      </x:c>
      <x:c r="AD884" s="4" t="str">
        <x:v>/geyser-del-tatio/</x:v>
      </x:c>
      <x:c r="AE884" s="4"/>
      <x:c r="AF884" s="16" t="b">
        <x:v>0</x:v>
      </x:c>
    </x:row>
    <x:row r="885" ht="44" customHeight="1">
      <x:c r="A885" s="4" t="n">
        <x:v>7845</x:v>
      </x:c>
      <x:c r="B885" s="4" t="str">
        <x:v>https://blog.skyairline.com/san-pedro-de-atacama/</x:v>
      </x:c>
      <x:c r="C885" s="9" t="str">
        <x:v>San Pedro de Atacama: guía para planificar tu viaje</x:v>
      </x:c>
      <x:c r="D885" s="17" t="d">
        <x:v>2025-12-16T00:00:00.000Z</x:v>
      </x:c>
      <x:c r="E885" s="17" t="d">
        <x:v>2025-12-04T00:00:00.000Z</x:v>
      </x:c>
      <x:c r="F885" s="4" t="str">
        <x:v>Destinos</x:v>
      </x:c>
      <x:c r="G885" s="11" t="n">
        <x:v>1187</x:v>
      </x:c>
      <x:c r="H885" s="11" t="n">
        <x:v>200</x:v>
      </x:c>
      <x:c r="I885" s="11" t="n">
        <x:v>1</x:v>
      </x:c>
      <x:c r="J885" s="4" t="str">
        <x:v>https://blog.skyairline.com/san-pedro-de-atacama/</x:v>
      </x:c>
      <x:c r="K885" s="16" t="b">
        <x:v>0</x:v>
      </x:c>
      <x:c r="L885" s="11" t="n">
        <x:v>0</x:v>
      </x:c>
      <x:c r="M885" s="11" t="n">
        <x:v>0</x:v>
      </x:c>
      <x:c r="N885" s="4"/>
      <x:c r="O885" s="4"/>
      <x:c r="P885" s="11" t="n">
        <x:v>1</x:v>
      </x:c>
      <x:c r="Q885" s="11" t="n">
        <x:v>1</x:v>
      </x:c>
      <x:c r="R885" s="11" t="n">
        <x:f>IF(OR(P885="",Q885=""),"",Q885-P885)</x:f>
        <x:v>0</x:v>
      </x:c>
      <x:c r="S885" s="13" t="n">
        <x:f>IF(OR(P885="",Q885="",P885=0),"",((Q885/30)/(P885/31))-1)</x:f>
        <x:v>0.03333333333333344</x:v>
      </x:c>
      <x:c r="T885" s="11" t="n">
        <x:v>384</x:v>
      </x:c>
      <x:c r="U885" s="11" t="n">
        <x:v>438</x:v>
      </x:c>
      <x:c r="V885" s="14" t="n">
        <x:v>0.00228310502283105</x:v>
      </x:c>
      <x:c r="W885" s="12" t="n">
        <x:v>8.942922374429223</x:v>
      </x:c>
      <x:c r="X885" s="11" t="n">
        <x:v>2</x:v>
      </x:c>
      <x:c r="Y885" s="11" t="n">
        <x:v>2</x:v>
      </x:c>
      <x:c r="Z885" s="4" t="str">
        <x:v>https://blog.skyairline.com/san-pedro-de-atacama/</x:v>
      </x:c>
      <x:c r="AA885" s="4" t="str">
        <x:v>https://blog.skyairline.com/san-pedro-de-atacama/</x:v>
      </x:c>
      <x:c r="AB885" s="4" t="str">
        <x:v>Coincidencia URL</x:v>
      </x:c>
      <x:c r="AC885" s="4" t="str">
        <x:v>Publicado hasta septiembre</x:v>
      </x:c>
      <x:c r="AD885" s="4" t="str">
        <x:v>/san-pedro-de-atacama/</x:v>
      </x:c>
      <x:c r="AE885" s="4"/>
      <x:c r="AF885" s="16" t="b">
        <x:v>0</x:v>
      </x:c>
    </x:row>
    <x:row r="886" ht="44" customHeight="1">
      <x:c r="A886" s="4" t="n">
        <x:v>7857</x:v>
      </x:c>
      <x:c r="B886" s="4" t="str">
        <x:v>https://blog.skyairline.com/taltal/</x:v>
      </x:c>
      <x:c r="C886" s="9" t="str">
        <x:v>Taltal: Playas, naturaleza y mucha calma</x:v>
      </x:c>
      <x:c r="D886" s="17" t="d">
        <x:v>2025-12-18T00:00:00.000Z</x:v>
      </x:c>
      <x:c r="E886" s="17" t="d">
        <x:v>2025-12-04T00:00:00.000Z</x:v>
      </x:c>
      <x:c r="F886" s="4" t="str">
        <x:v>Destinos</x:v>
      </x:c>
      <x:c r="G886" s="11" t="n">
        <x:v>1036</x:v>
      </x:c>
      <x:c r="H886" s="11" t="n">
        <x:v>200</x:v>
      </x:c>
      <x:c r="I886" s="11" t="n">
        <x:v>1</x:v>
      </x:c>
      <x:c r="J886" s="4" t="str">
        <x:v>https://blog.skyairline.com/taltal/</x:v>
      </x:c>
      <x:c r="K886" s="16" t="b">
        <x:v>0</x:v>
      </x:c>
      <x:c r="L886" s="11" t="n">
        <x:v>0</x:v>
      </x:c>
      <x:c r="M886" s="11" t="n">
        <x:v>0</x:v>
      </x:c>
      <x:c r="N886" s="4"/>
      <x:c r="O886" s="4"/>
      <x:c r="P886" s="11" t="n">
        <x:v>1</x:v>
      </x:c>
      <x:c r="Q886" s="11" t="n">
        <x:v>1</x:v>
      </x:c>
      <x:c r="R886" s="11" t="n">
        <x:f>IF(OR(P886="",Q886=""),"",Q886-P886)</x:f>
        <x:v>0</x:v>
      </x:c>
      <x:c r="S886" s="13" t="n">
        <x:f>IF(OR(P886="",Q886="",P886=0),"",((Q886/30)/(P886/31))-1)</x:f>
        <x:v>0.03333333333333344</x:v>
      </x:c>
      <x:c r="T886" s="11" t="n">
        <x:v>2531</x:v>
      </x:c>
      <x:c r="U886" s="11" t="n">
        <x:v>994</x:v>
      </x:c>
      <x:c r="V886" s="14" t="n">
        <x:v>0.001006036217303823</x:v>
      </x:c>
      <x:c r="W886" s="12" t="n">
        <x:v>8.810865191146881</x:v>
      </x:c>
      <x:c r="X886" s="11" t="n">
        <x:v>1</x:v>
      </x:c>
      <x:c r="Y886" s="11" t="n">
        <x:v>1</x:v>
      </x:c>
      <x:c r="Z886" s="4" t="str">
        <x:v>https://blog.skyairline.com/taltal/</x:v>
      </x:c>
      <x:c r="AA886" s="4" t="str">
        <x:v>https://blog.skyairline.com/taltal/</x:v>
      </x:c>
      <x:c r="AB886" s="4" t="str">
        <x:v>Coincidencia URL</x:v>
      </x:c>
      <x:c r="AC886" s="4" t="str">
        <x:v>Publicado hasta septiembre</x:v>
      </x:c>
      <x:c r="AD886" s="4" t="str">
        <x:v>/taltal/</x:v>
      </x:c>
      <x:c r="AE886" s="4"/>
      <x:c r="AF886" s="16" t="b">
        <x:v>0</x:v>
      </x:c>
    </x:row>
    <x:row r="887" ht="44" customHeight="1">
      <x:c r="A887" s="4" t="n">
        <x:v>7877</x:v>
      </x:c>
      <x:c r="B887" s="4" t="str">
        <x:v>https://blog.skyairline.com/manglares-de-tumbes/</x:v>
      </x:c>
      <x:c r="C887" s="9" t="str">
        <x:v>Manglares de Tumbes: todo para preparar tu próximo viaje</x:v>
      </x:c>
      <x:c r="D887" s="17" t="d">
        <x:v>2025-12-22T00:00:00.000Z</x:v>
      </x:c>
      <x:c r="E887" s="17" t="d">
        <x:v>2025-12-05T00:00:00.000Z</x:v>
      </x:c>
      <x:c r="F887" s="4" t="str">
        <x:v>Planificación de Viaje</x:v>
      </x:c>
      <x:c r="G887" s="11" t="n">
        <x:v>1047</x:v>
      </x:c>
      <x:c r="H887" s="11" t="n">
        <x:v>200</x:v>
      </x:c>
      <x:c r="I887" s="11" t="n">
        <x:v>1</x:v>
      </x:c>
      <x:c r="J887" s="4" t="str">
        <x:v>https://blog.skyairline.com/manglares-de-tumbes/</x:v>
      </x:c>
      <x:c r="K887" s="16" t="b">
        <x:v>0</x:v>
      </x:c>
      <x:c r="L887" s="11" t="n">
        <x:v>0</x:v>
      </x:c>
      <x:c r="M887" s="11" t="n">
        <x:v>0</x:v>
      </x:c>
      <x:c r="N887" s="4"/>
      <x:c r="O887" s="4"/>
      <x:c r="P887" s="11" t="n">
        <x:v>2</x:v>
      </x:c>
      <x:c r="Q887" s="11" t="n">
        <x:v>1</x:v>
      </x:c>
      <x:c r="R887" s="11" t="n">
        <x:f>IF(OR(P887="",Q887=""),"",Q887-P887)</x:f>
        <x:v>-1</x:v>
      </x:c>
      <x:c r="S887" s="13" t="n">
        <x:f>IF(OR(P887="",Q887="",P887=0),"",((Q887/30)/(P887/31))-1)</x:f>
        <x:v>-0.4833333333333333</x:v>
      </x:c>
      <x:c r="T887" s="11" t="n">
        <x:v>188</x:v>
      </x:c>
      <x:c r="U887" s="11" t="n">
        <x:v>142</x:v>
      </x:c>
      <x:c r="V887" s="14" t="n">
        <x:v>0.007042253521126761</x:v>
      </x:c>
      <x:c r="W887" s="12" t="n">
        <x:v>9.683098591549296</x:v>
      </x:c>
      <x:c r="X887" s="11" t="n">
        <x:v>2</x:v>
      </x:c>
      <x:c r="Y887" s="11" t="n">
        <x:v>2</x:v>
      </x:c>
      <x:c r="Z887" s="4" t="str">
        <x:v>https://blog.skyairline.com/manglares-de-tumbes/</x:v>
      </x:c>
      <x:c r="AA887" s="4" t="str">
        <x:v>https://blog.skyairline.com/manglares-de-tumbes/</x:v>
      </x:c>
      <x:c r="AB887" s="4" t="str">
        <x:v>Coincidencia URL</x:v>
      </x:c>
      <x:c r="AC887" s="4" t="str">
        <x:v>Publicado hasta septiembre</x:v>
      </x:c>
      <x:c r="AD887" s="4" t="str">
        <x:v>/manglares-de-tumbes/</x:v>
      </x:c>
      <x:c r="AE887" s="4"/>
      <x:c r="AF887" s="16" t="b">
        <x:v>0</x:v>
      </x:c>
    </x:row>
    <x:row r="888" ht="44" customHeight="1">
      <x:c r="A888" s="4" t="n">
        <x:v>7883</x:v>
      </x:c>
      <x:c r="B888" s="4" t="str">
        <x:v>https://blog.skyairline.com/el-tiempo-en-puerto-maldonado/</x:v>
      </x:c>
      <x:c r="C888" s="9" t="str">
        <x:v>El tiempo en Puerto Maldonado</x:v>
      </x:c>
      <x:c r="D888" s="17" t="d">
        <x:v>2025-12-23T00:00:00.000Z</x:v>
      </x:c>
      <x:c r="E888" s="17" t="d">
        <x:v>2025-12-05T00:00:00.000Z</x:v>
      </x:c>
      <x:c r="F888" s="4" t="str">
        <x:v>Destinos</x:v>
      </x:c>
      <x:c r="G888" s="11" t="n">
        <x:v>1240</x:v>
      </x:c>
      <x:c r="H888" s="11" t="n">
        <x:v>200</x:v>
      </x:c>
      <x:c r="I888" s="11" t="n">
        <x:v>1</x:v>
      </x:c>
      <x:c r="J888" s="4" t="str">
        <x:v>https://blog.skyairline.com/el-tiempo-en-puerto-maldonado/</x:v>
      </x:c>
      <x:c r="K888" s="16" t="b">
        <x:v>0</x:v>
      </x:c>
      <x:c r="L888" s="11" t="n">
        <x:v>0</x:v>
      </x:c>
      <x:c r="M888" s="11" t="n">
        <x:v>0</x:v>
      </x:c>
      <x:c r="N888" s="4"/>
      <x:c r="O888" s="4"/>
      <x:c r="P888" s="11" t="n">
        <x:v>2</x:v>
      </x:c>
      <x:c r="Q888" s="11" t="n">
        <x:v>1</x:v>
      </x:c>
      <x:c r="R888" s="11" t="n">
        <x:f>IF(OR(P888="",Q888=""),"",Q888-P888)</x:f>
        <x:v>-1</x:v>
      </x:c>
      <x:c r="S888" s="13" t="n">
        <x:f>IF(OR(P888="",Q888="",P888=0),"",((Q888/30)/(P888/31))-1)</x:f>
        <x:v>-0.4833333333333333</x:v>
      </x:c>
      <x:c r="T888" s="11" t="n">
        <x:v>2348</x:v>
      </x:c>
      <x:c r="U888" s="11" t="n">
        <x:v>1981</x:v>
      </x:c>
      <x:c r="V888" s="14" t="n">
        <x:v>0.0005047955577990914</x:v>
      </x:c>
      <x:c r="W888" s="12" t="n">
        <x:v>9.254416961130742</x:v>
      </x:c>
      <x:c r="X888" s="11" t="n">
        <x:v>4</x:v>
      </x:c>
      <x:c r="Y888" s="11" t="n">
        <x:v>4</x:v>
      </x:c>
      <x:c r="Z888" s="4" t="str">
        <x:v>https://blog.skyairline.com/el-tiempo-en-puerto-maldonado/</x:v>
      </x:c>
      <x:c r="AA888" s="4" t="str">
        <x:v>https://blog.skyairline.com/el-tiempo-en-puerto-maldonado/</x:v>
      </x:c>
      <x:c r="AB888" s="4" t="str">
        <x:v>Coincidencia URL</x:v>
      </x:c>
      <x:c r="AC888" s="4" t="str">
        <x:v>Publicado hasta septiembre</x:v>
      </x:c>
      <x:c r="AD888" s="4" t="str">
        <x:v>/el-tiempo-en-puerto-maldonado/</x:v>
      </x:c>
      <x:c r="AE888" s="4"/>
      <x:c r="AF888" s="16" t="b">
        <x:v>0</x:v>
      </x:c>
    </x:row>
    <x:row r="889" ht="44" customHeight="1">
      <x:c r="A889" s="4" t="n">
        <x:v>7918</x:v>
      </x:c>
      <x:c r="B889" s="4" t="str">
        <x:v>https://blog.skyairline.com/emprendedores-alzan-vuelo-hacia-etmday-2025-con-sky/</x:v>
      </x:c>
      <x:c r="C889" s="9" t="str">
        <x:v>Emprendedores alzan vuelo hacia EtMday 2025 con SKY</x:v>
      </x:c>
      <x:c r="D889" s="17" t="d">
        <x:v>2025-12-09T00:00:00.000Z</x:v>
      </x:c>
      <x:c r="E889" s="17" t="d">
        <x:v>2025-12-10T00:00:00.000Z</x:v>
      </x:c>
      <x:c r="F889" s="4" t="str">
        <x:v>Noticias</x:v>
      </x:c>
      <x:c r="G889" s="11" t="n">
        <x:v>196</x:v>
      </x:c>
      <x:c r="H889" s="11" t="n">
        <x:v>200</x:v>
      </x:c>
      <x:c r="I889" s="11" t="n">
        <x:v>1</x:v>
      </x:c>
      <x:c r="J889" s="4" t="str">
        <x:v>https://blog.skyairline.com/emprendedores-alzan-vuelo-hacia-etmday-2025-con-sky/</x:v>
      </x:c>
      <x:c r="K889" s="16" t="b">
        <x:v>0</x:v>
      </x:c>
      <x:c r="L889" s="11" t="n">
        <x:v>0</x:v>
      </x:c>
      <x:c r="M889" s="11" t="n">
        <x:v>0</x:v>
      </x:c>
      <x:c r="N889" s="4"/>
      <x:c r="O889" s="4"/>
      <x:c r="P889" s="11" t="n">
        <x:v>0</x:v>
      </x:c>
      <x:c r="Q889" s="11" t="n">
        <x:v>1</x:v>
      </x:c>
      <x:c r="R889" s="11" t="str">
        <x:f>IF(OR(P889="",Q889=""),"",Q889-P889)</x:f>
      </x:c>
      <x:c r="S889" s="13" t="str">
        <x:f>IF(OR(P889="",Q889="",P889=0),"",((Q889/30)/(P889/31))-1)</x:f>
      </x:c>
      <x:c r="T889" s="11" t="n">
        <x:v>2</x:v>
      </x:c>
      <x:c r="U889" s="11" t="n">
        <x:v>6</x:v>
      </x:c>
      <x:c r="V889" s="14" t="n">
        <x:v>0.16666666666666666</x:v>
      </x:c>
      <x:c r="W889" s="12" t="n">
        <x:v>4.5</x:v>
      </x:c>
      <x:c r="X889" s="11"/>
      <x:c r="Y889" s="11"/>
      <x:c r="Z889" s="4" t="str">
        <x:v>https://blog.skyairline.com/emprendedores-alzan-vuelo-hacia-etmday-2025-con-sky/</x:v>
      </x:c>
      <x:c r="AA889" s="4" t="str">
        <x:v>https://blog.skyairline.com/emprendedores-alzan-vuelo-hacia-etmday-2025-con-sky/</x:v>
      </x:c>
      <x:c r="AB889" s="4" t="str">
        <x:v>Coincidencia URL</x:v>
      </x:c>
      <x:c r="AC889" s="4" t="str">
        <x:v>Publicado hasta septiembre</x:v>
      </x:c>
      <x:c r="AD889" s="4"/>
      <x:c r="AE889" s="4"/>
      <x:c r="AF889" s="16" t="b">
        <x:v>0</x:v>
      </x:c>
    </x:row>
    <x:row r="890" ht="44" customHeight="1">
      <x:c r="A890" s="4" t="n">
        <x:v>7935</x:v>
      </x:c>
      <x:c r="B890" s="4" t="str">
        <x:v>https://blog.skyairline.com/sky-y-care-peru-un-ano-volando-por-la-igualdad-de-oportunidades/</x:v>
      </x:c>
      <x:c r="C890" s="9" t="str">
        <x:v>SKY y CARE Perú: un año volando por la igualdad de oportunidades</x:v>
      </x:c>
      <x:c r="D890" s="17" t="d">
        <x:v>2025-12-10T00:00:00.000Z</x:v>
      </x:c>
      <x:c r="E890" s="17" t="d">
        <x:v>2025-12-10T00:00:00.000Z</x:v>
      </x:c>
      <x:c r="F890" s="4" t="str">
        <x:v>Noticias</x:v>
      </x:c>
      <x:c r="G890" s="11" t="n">
        <x:v>243</x:v>
      </x:c>
      <x:c r="H890" s="11" t="n">
        <x:v>200</x:v>
      </x:c>
      <x:c r="I890" s="11" t="n">
        <x:v>1</x:v>
      </x:c>
      <x:c r="J890" s="4" t="str">
        <x:v>https://blog.skyairline.com/sky-y-care-peru-un-ano-volando-por-la-igualdad-de-oportunidades/</x:v>
      </x:c>
      <x:c r="K890" s="16" t="b">
        <x:v>0</x:v>
      </x:c>
      <x:c r="L890" s="11" t="n">
        <x:v>0</x:v>
      </x:c>
      <x:c r="M890" s="11" t="n">
        <x:v>0</x:v>
      </x:c>
      <x:c r="N890" s="4"/>
      <x:c r="O890" s="4"/>
      <x:c r="P890" s="11" t="n">
        <x:v>0</x:v>
      </x:c>
      <x:c r="Q890" s="11" t="n">
        <x:v>1</x:v>
      </x:c>
      <x:c r="R890" s="11" t="str">
        <x:f>IF(OR(P890="",Q890=""),"",Q890-P890)</x:f>
      </x:c>
      <x:c r="S890" s="13" t="str">
        <x:f>IF(OR(P890="",Q890="",P890=0),"",((Q890/30)/(P890/31))-1)</x:f>
      </x:c>
      <x:c r="T890" s="11" t="n">
        <x:v>34</x:v>
      </x:c>
      <x:c r="U890" s="11" t="n">
        <x:v>49</x:v>
      </x:c>
      <x:c r="V890" s="14" t="n">
        <x:v>0.02040816326530612</x:v>
      </x:c>
      <x:c r="W890" s="12" t="n">
        <x:v>4.6938775510204085</x:v>
      </x:c>
      <x:c r="X890" s="11" t="n">
        <x:v>1</x:v>
      </x:c>
      <x:c r="Y890" s="11" t="n">
        <x:v>2</x:v>
      </x:c>
      <x:c r="Z890" s="4" t="str">
        <x:v>https://blog.skyairline.com/sky-y-care-peru-un-ano-volando-por-la-igualdad-de-oportunidades/</x:v>
      </x:c>
      <x:c r="AA890" s="4" t="str">
        <x:v>https://blog.skyairline.com/sky-y-care-peru-un-ano-volando-por-la-igualdad-de-oportunidades/</x:v>
      </x:c>
      <x:c r="AB890" s="4" t="str">
        <x:v>Coincidencia URL</x:v>
      </x:c>
      <x:c r="AC890" s="4" t="str">
        <x:v>Publicado hasta septiembre</x:v>
      </x:c>
      <x:c r="AD890" s="4" t="str">
        <x:v>/sky-y-care-peru-un-ano-volando-por-la-igualdad-de-oportunidades/</x:v>
      </x:c>
      <x:c r="AE890" s="4"/>
      <x:c r="AF890" s="16" t="b">
        <x:v>0</x:v>
      </x:c>
    </x:row>
    <x:row r="891" ht="44" customHeight="1">
      <x:c r="A891" s="4" t="n">
        <x:v>8033</x:v>
      </x:c>
      <x:c r="B891" s="4" t="str">
        <x:v>https://blog.skyairline.com/lota/</x:v>
      </x:c>
      <x:c r="C891" s="9" t="str">
        <x:v>Lota: legado histórico y cultural a una hora de Concepción</x:v>
      </x:c>
      <x:c r="D891" s="17" t="d">
        <x:v>2025-12-26T00:00:00.000Z</x:v>
      </x:c>
      <x:c r="E891" s="17" t="d">
        <x:v>2025-12-23T00:00:00.000Z</x:v>
      </x:c>
      <x:c r="F891" s="4" t="str">
        <x:v>Cultura</x:v>
      </x:c>
      <x:c r="G891" s="11" t="n">
        <x:v>999</x:v>
      </x:c>
      <x:c r="H891" s="11" t="n">
        <x:v>200</x:v>
      </x:c>
      <x:c r="I891" s="11" t="n">
        <x:v>1</x:v>
      </x:c>
      <x:c r="J891" s="4" t="str">
        <x:v>https://blog.skyairline.com/lota/</x:v>
      </x:c>
      <x:c r="K891" s="16" t="b">
        <x:v>0</x:v>
      </x:c>
      <x:c r="L891" s="11" t="n">
        <x:v>0</x:v>
      </x:c>
      <x:c r="M891" s="11" t="n">
        <x:v>0</x:v>
      </x:c>
      <x:c r="N891" s="4"/>
      <x:c r="O891" s="4"/>
      <x:c r="P891" s="11" t="n">
        <x:v>0</x:v>
      </x:c>
      <x:c r="Q891" s="11" t="n">
        <x:v>1</x:v>
      </x:c>
      <x:c r="R891" s="11" t="str">
        <x:f>IF(OR(P891="",Q891=""),"",Q891-P891)</x:f>
      </x:c>
      <x:c r="S891" s="13" t="str">
        <x:f>IF(OR(P891="",Q891="",P891=0),"",((Q891/30)/(P891/31))-1)</x:f>
      </x:c>
      <x:c r="T891" s="11" t="n">
        <x:v>271</x:v>
      </x:c>
      <x:c r="U891" s="11" t="n">
        <x:v>219</x:v>
      </x:c>
      <x:c r="V891" s="14" t="n">
        <x:v>0.0045662100456621</x:v>
      </x:c>
      <x:c r="W891" s="12" t="n">
        <x:v>9.415525114155251</x:v>
      </x:c>
      <x:c r="X891" s="11" t="n">
        <x:v>2</x:v>
      </x:c>
      <x:c r="Y891" s="11" t="n">
        <x:v>3</x:v>
      </x:c>
      <x:c r="Z891" s="4" t="str">
        <x:v>https://blog.skyairline.com/lota/</x:v>
      </x:c>
      <x:c r="AA891" s="4" t="str">
        <x:v>https://blog.skyairline.com/lota/</x:v>
      </x:c>
      <x:c r="AB891" s="4" t="str">
        <x:v>Coincidencia URL</x:v>
      </x:c>
      <x:c r="AC891" s="4" t="str">
        <x:v>Publicado hasta septiembre</x:v>
      </x:c>
      <x:c r="AD891" s="4" t="str">
        <x:v>/lota/</x:v>
      </x:c>
      <x:c r="AE891" s="4"/>
      <x:c r="AF891" s="16" t="b">
        <x:v>0</x:v>
      </x:c>
    </x:row>
    <x:row r="892" ht="44" customHeight="1">
      <x:c r="A892" s="4" t="n">
        <x:v>8051</x:v>
      </x:c>
      <x:c r="B892" s="4" t="str">
        <x:v>https://blog.skyairline.com/kunstmann-valdivia/</x:v>
      </x:c>
      <x:c r="C892" s="9" t="str">
        <x:v>Kunstmann Valdivia y otras cervecerías imperdibles para un viaje cervecero en el sur</x:v>
      </x:c>
      <x:c r="D892" s="17" t="d">
        <x:v>2025-12-29T00:00:00.000Z</x:v>
      </x:c>
      <x:c r="E892" s="17" t="d">
        <x:v>2025-12-23T00:00:00.000Z</x:v>
      </x:c>
      <x:c r="F892" s="4" t="str">
        <x:v>Destinos</x:v>
      </x:c>
      <x:c r="G892" s="11" t="n">
        <x:v>1025</x:v>
      </x:c>
      <x:c r="H892" s="11" t="n">
        <x:v>200</x:v>
      </x:c>
      <x:c r="I892" s="11" t="n">
        <x:v>1</x:v>
      </x:c>
      <x:c r="J892" s="4" t="str">
        <x:v>https://blog.skyairline.com/kunstmann-valdivia/</x:v>
      </x:c>
      <x:c r="K892" s="16" t="b">
        <x:v>0</x:v>
      </x:c>
      <x:c r="L892" s="11" t="n">
        <x:v>0</x:v>
      </x:c>
      <x:c r="M892" s="11" t="n">
        <x:v>0</x:v>
      </x:c>
      <x:c r="N892" s="4"/>
      <x:c r="O892" s="4"/>
      <x:c r="P892" s="11" t="n">
        <x:v>2</x:v>
      </x:c>
      <x:c r="Q892" s="11" t="n">
        <x:v>1</x:v>
      </x:c>
      <x:c r="R892" s="11" t="n">
        <x:f>IF(OR(P892="",Q892=""),"",Q892-P892)</x:f>
        <x:v>-1</x:v>
      </x:c>
      <x:c r="S892" s="13" t="n">
        <x:f>IF(OR(P892="",Q892="",P892=0),"",((Q892/30)/(P892/31))-1)</x:f>
        <x:v>-0.4833333333333333</x:v>
      </x:c>
      <x:c r="T892" s="11" t="n">
        <x:v>419</x:v>
      </x:c>
      <x:c r="U892" s="11" t="n">
        <x:v>509</x:v>
      </x:c>
      <x:c r="V892" s="14" t="n">
        <x:v>0.0019646365422396855</x:v>
      </x:c>
      <x:c r="W892" s="12" t="n">
        <x:v>10.779960707269154</x:v>
      </x:c>
      <x:c r="X892" s="11" t="n">
        <x:v>1</x:v>
      </x:c>
      <x:c r="Y892" s="11" t="n">
        <x:v>2</x:v>
      </x:c>
      <x:c r="Z892" s="4" t="str">
        <x:v>https://blog.skyairline.com/kunstmann-valdivia/</x:v>
      </x:c>
      <x:c r="AA892" s="4" t="str">
        <x:v>https://blog.skyairline.com/kunstmann-valdivia/</x:v>
      </x:c>
      <x:c r="AB892" s="4" t="str">
        <x:v>Coincidencia URL</x:v>
      </x:c>
      <x:c r="AC892" s="4" t="str">
        <x:v>Publicado hasta septiembre</x:v>
      </x:c>
      <x:c r="AD892" s="4" t="str">
        <x:v>/kunstmann-valdivia/</x:v>
      </x:c>
      <x:c r="AE892" s="4"/>
      <x:c r="AF892" s="16" t="b">
        <x:v>0</x:v>
      </x:c>
    </x:row>
    <x:row r="893" ht="44" customHeight="1">
      <x:c r="A893" s="4" t="n">
        <x:v>8054</x:v>
      </x:c>
      <x:c r="B893" s="4" t="str">
        <x:v>https://blog.skyairline.com/semana-valdiviana/</x:v>
      </x:c>
      <x:c r="C893" s="9" t="str">
        <x:v>Semana Valdiviana 2026: fechas, actividades y consejos para vivir la mejor fiesta </x:v>
      </x:c>
      <x:c r="D893" s="17" t="d">
        <x:v>2025-12-30T00:00:00.000Z</x:v>
      </x:c>
      <x:c r="E893" s="17" t="d">
        <x:v>2026-01-08T00:00:00.000Z</x:v>
      </x:c>
      <x:c r="F893" s="4" t="str">
        <x:v>Cultura</x:v>
      </x:c>
      <x:c r="G893" s="11" t="n">
        <x:v>1030</x:v>
      </x:c>
      <x:c r="H893" s="11" t="n">
        <x:v>200</x:v>
      </x:c>
      <x:c r="I893" s="11" t="n">
        <x:v>1</x:v>
      </x:c>
      <x:c r="J893" s="4" t="str">
        <x:v>https://blog.skyairline.com/semana-valdiviana/</x:v>
      </x:c>
      <x:c r="K893" s="16" t="b">
        <x:v>0</x:v>
      </x:c>
      <x:c r="L893" s="11" t="n">
        <x:v>0</x:v>
      </x:c>
      <x:c r="M893" s="11" t="n">
        <x:v>0</x:v>
      </x:c>
      <x:c r="N893" s="4"/>
      <x:c r="O893" s="4"/>
      <x:c r="P893" s="11" t="n">
        <x:v>4</x:v>
      </x:c>
      <x:c r="Q893" s="11" t="n">
        <x:v>1</x:v>
      </x:c>
      <x:c r="R893" s="11" t="n">
        <x:f>IF(OR(P893="",Q893=""),"",Q893-P893)</x:f>
        <x:v>-3</x:v>
      </x:c>
      <x:c r="S893" s="13" t="n">
        <x:f>IF(OR(P893="",Q893="",P893=0),"",((Q893/30)/(P893/31))-1)</x:f>
        <x:v>-0.7416666666666667</x:v>
      </x:c>
      <x:c r="T893" s="11" t="n">
        <x:v>2149</x:v>
      </x:c>
      <x:c r="U893" s="11" t="n">
        <x:v>850</x:v>
      </x:c>
      <x:c r="V893" s="14" t="n">
        <x:v>0.001176470588235294</x:v>
      </x:c>
      <x:c r="W893" s="12" t="n">
        <x:v>8.376470588235295</x:v>
      </x:c>
      <x:c r="X893" s="11" t="n">
        <x:v>3</x:v>
      </x:c>
      <x:c r="Y893" s="11" t="n">
        <x:v>5</x:v>
      </x:c>
      <x:c r="Z893" s="4" t="str">
        <x:v>https://blog.skyairline.com/semana-valdiviana/</x:v>
      </x:c>
      <x:c r="AA893" s="4" t="str">
        <x:v>https://blog.skyairline.com/semana-valdiviana/</x:v>
      </x:c>
      <x:c r="AB893" s="4" t="str">
        <x:v>Coincidencia URL</x:v>
      </x:c>
      <x:c r="AC893" s="4" t="str">
        <x:v>Publicado hasta septiembre</x:v>
      </x:c>
      <x:c r="AD893" s="4" t="str">
        <x:v>/semana-valdiviana/</x:v>
      </x:c>
      <x:c r="AE893" s="4"/>
      <x:c r="AF893" s="16" t="b">
        <x:v>0</x:v>
      </x:c>
    </x:row>
    <x:row r="894" ht="44" customHeight="1">
      <x:c r="A894" s="4" t="n">
        <x:v>8091</x:v>
      </x:c>
      <x:c r="B894" s="4" t="str">
        <x:v>https://blog.skyairline.com/salvador-de-bahia-playas/</x:v>
      </x:c>
      <x:c r="C894" s="9" t="str">
        <x:v>Playas de Salvador de Bahía: cuáles visitar y cómo llegar volando con SKY</x:v>
      </x:c>
      <x:c r="D894" s="17" t="d">
        <x:v>2026-01-06T00:00:00.000Z</x:v>
      </x:c>
      <x:c r="E894" s="17" t="d">
        <x:v>2025-12-29T00:00:00.000Z</x:v>
      </x:c>
      <x:c r="F894" s="4" t="str">
        <x:v>Destinos</x:v>
      </x:c>
      <x:c r="G894" s="11" t="n">
        <x:v>1001</x:v>
      </x:c>
      <x:c r="H894" s="11" t="n">
        <x:v>200</x:v>
      </x:c>
      <x:c r="I894" s="11" t="n">
        <x:v>1</x:v>
      </x:c>
      <x:c r="J894" s="4" t="str">
        <x:v>https://blog.skyairline.com/salvador-de-bahia-playas/</x:v>
      </x:c>
      <x:c r="K894" s="16" t="b">
        <x:v>0</x:v>
      </x:c>
      <x:c r="L894" s="11" t="n">
        <x:v>0</x:v>
      </x:c>
      <x:c r="M894" s="11" t="n">
        <x:v>0</x:v>
      </x:c>
      <x:c r="N894" s="4"/>
      <x:c r="O894" s="4"/>
      <x:c r="P894" s="11" t="n">
        <x:v>3</x:v>
      </x:c>
      <x:c r="Q894" s="11" t="n">
        <x:v>1</x:v>
      </x:c>
      <x:c r="R894" s="11" t="n">
        <x:f>IF(OR(P894="",Q894=""),"",Q894-P894)</x:f>
        <x:v>-2</x:v>
      </x:c>
      <x:c r="S894" s="13" t="n">
        <x:f>IF(OR(P894="",Q894="",P894=0),"",((Q894/30)/(P894/31))-1)</x:f>
        <x:v>-0.6555555555555556</x:v>
      </x:c>
      <x:c r="T894" s="11" t="n">
        <x:v>201</x:v>
      </x:c>
      <x:c r="U894" s="11" t="n">
        <x:v>149</x:v>
      </x:c>
      <x:c r="V894" s="14" t="n">
        <x:v>0.006711409395973154</x:v>
      </x:c>
      <x:c r="W894" s="12" t="n">
        <x:v>29.416107382550337</x:v>
      </x:c>
      <x:c r="X894" s="11" t="n">
        <x:v>1</x:v>
      </x:c>
      <x:c r="Y894" s="11" t="n">
        <x:v>1</x:v>
      </x:c>
      <x:c r="Z894" s="4" t="str">
        <x:v>https://blog.skyairline.com/salvador-de-bahia-playas/</x:v>
      </x:c>
      <x:c r="AA894" s="4" t="str">
        <x:v>https://blog.skyairline.com/salvador-de-bahia-playas/</x:v>
      </x:c>
      <x:c r="AB894" s="4" t="str">
        <x:v>Coincidencia URL</x:v>
      </x:c>
      <x:c r="AC894" s="4" t="str">
        <x:v>Publicado hasta septiembre</x:v>
      </x:c>
      <x:c r="AD894" s="4" t="str">
        <x:v>/salvador-de-bahia-playas/</x:v>
      </x:c>
      <x:c r="AE894" s="4"/>
      <x:c r="AF894" s="16" t="b">
        <x:v>0</x:v>
      </x:c>
    </x:row>
    <x:row r="895" ht="44" customHeight="1">
      <x:c r="A895" s="4" t="n">
        <x:v>8320</x:v>
      </x:c>
      <x:c r="B895" s="4" t="str">
        <x:v>https://blog.skyairline.com/mas-de-17-mil-toneladas-viajaron-por-el-cielo-con-sky-carga-2/</x:v>
      </x:c>
      <x:c r="C895" s="9" t="str">
        <x:v>Más de 17 mil toneladas viajaron por el cielo con SKY Carga</x:v>
      </x:c>
      <x:c r="D895" s="17" t="d">
        <x:v>2026-02-18T00:00:00.000Z</x:v>
      </x:c>
      <x:c r="E895" s="17" t="d">
        <x:v>2026-02-18T00:00:00.000Z</x:v>
      </x:c>
      <x:c r="F895" s="4" t="str">
        <x:v>Noticias</x:v>
      </x:c>
      <x:c r="G895" s="11" t="n">
        <x:v>189</x:v>
      </x:c>
      <x:c r="H895" s="11" t="n">
        <x:v>200</x:v>
      </x:c>
      <x:c r="I895" s="11" t="n">
        <x:v>1</x:v>
      </x:c>
      <x:c r="J895" s="4" t="str">
        <x:v>https://blog.skyairline.com/mas-de-17-mil-toneladas-viajaron-por-el-cielo-con-sky-carga-2/</x:v>
      </x:c>
      <x:c r="K895" s="16" t="b">
        <x:v>0</x:v>
      </x:c>
      <x:c r="L895" s="11" t="n">
        <x:v>0</x:v>
      </x:c>
      <x:c r="M895" s="11" t="n">
        <x:v>0</x:v>
      </x:c>
      <x:c r="N895" s="4" t="str">
        <x:v>T02</x:v>
      </x:c>
      <x:c r="O895" s="4"/>
      <x:c r="P895" s="11" t="n">
        <x:v>1</x:v>
      </x:c>
      <x:c r="Q895" s="11" t="n">
        <x:v>1</x:v>
      </x:c>
      <x:c r="R895" s="11" t="n">
        <x:f>IF(OR(P895="",Q895=""),"",Q895-P895)</x:f>
        <x:v>0</x:v>
      </x:c>
      <x:c r="S895" s="13" t="n">
        <x:f>IF(OR(P895="",Q895="",P895=0),"",((Q895/30)/(P895/31))-1)</x:f>
        <x:v>0.03333333333333344</x:v>
      </x:c>
      <x:c r="T895" s="11" t="n">
        <x:v>100</x:v>
      </x:c>
      <x:c r="U895" s="11" t="n">
        <x:v>64</x:v>
      </x:c>
      <x:c r="V895" s="14" t="n">
        <x:v>0.015625</x:v>
      </x:c>
      <x:c r="W895" s="12" t="n">
        <x:v>6.71875</x:v>
      </x:c>
      <x:c r="X895" s="11" t="n">
        <x:v>2</x:v>
      </x:c>
      <x:c r="Y895" s="11" t="n">
        <x:v>2</x:v>
      </x:c>
      <x:c r="Z895" s="4" t="str">
        <x:v>https://blog.skyairline.com/mas-de-17-mil-toneladas-viajaron-por-el-cielo-con-sky-carga-2/</x:v>
      </x:c>
      <x:c r="AA895" s="4" t="str">
        <x:v>https://blog.skyairline.com/mas-de-17-mil-toneladas-viajaron-por-el-cielo-con-sky-carga-2/</x:v>
      </x:c>
      <x:c r="AB895" s="4" t="str">
        <x:v>Coincidencia URL</x:v>
      </x:c>
      <x:c r="AC895" s="4" t="str">
        <x:v>Publicado hasta septiembre</x:v>
      </x:c>
      <x:c r="AD895" s="4" t="str">
        <x:v>/mas-de-17-mil-toneladas-viajaron-por-el-cielo-con-sky-carga-2/</x:v>
      </x:c>
      <x:c r="AE895" s="4"/>
      <x:c r="AF895" s="16" t="b">
        <x:v>0</x:v>
      </x:c>
    </x:row>
    <x:row r="896" ht="44" customHeight="1">
      <x:c r="A896" s="4" t="n">
        <x:v>8404</x:v>
      </x:c>
      <x:c r="B896" s="4" t="str">
        <x:v>https://blog.skyairline.com/parque-nacional-manu/</x:v>
      </x:c>
      <x:c r="C896" s="9" t="str">
        <x:v>Parque Nacional del Manu: guía para entender su biodiversidad y planificar una visita responsable</x:v>
      </x:c>
      <x:c r="D896" s="17" t="d">
        <x:v>2026-03-05T00:00:00.000Z</x:v>
      </x:c>
      <x:c r="E896" s="17" t="d">
        <x:v>2026-03-02T00:00:00.000Z</x:v>
      </x:c>
      <x:c r="F896" s="4" t="str">
        <x:v>Destinos</x:v>
      </x:c>
      <x:c r="G896" s="11" t="n">
        <x:v>1105</x:v>
      </x:c>
      <x:c r="H896" s="11" t="n">
        <x:v>200</x:v>
      </x:c>
      <x:c r="I896" s="11" t="n">
        <x:v>1</x:v>
      </x:c>
      <x:c r="J896" s="4" t="str">
        <x:v>https://blog.skyairline.com/parque-nacional-manu/</x:v>
      </x:c>
      <x:c r="K896" s="16" t="b">
        <x:v>0</x:v>
      </x:c>
      <x:c r="L896" s="11" t="n">
        <x:v>0</x:v>
      </x:c>
      <x:c r="M896" s="11" t="n">
        <x:v>0</x:v>
      </x:c>
      <x:c r="N896" s="4"/>
      <x:c r="O896" s="4"/>
      <x:c r="P896" s="11" t="n">
        <x:v>4</x:v>
      </x:c>
      <x:c r="Q896" s="11" t="n">
        <x:v>1</x:v>
      </x:c>
      <x:c r="R896" s="11" t="n">
        <x:f>IF(OR(P896="",Q896=""),"",Q896-P896)</x:f>
        <x:v>-3</x:v>
      </x:c>
      <x:c r="S896" s="13" t="n">
        <x:f>IF(OR(P896="",Q896="",P896=0),"",((Q896/30)/(P896/31))-1)</x:f>
        <x:v>-0.7416666666666667</x:v>
      </x:c>
      <x:c r="T896" s="11" t="n">
        <x:v>531</x:v>
      </x:c>
      <x:c r="U896" s="11" t="n">
        <x:v>379</x:v>
      </x:c>
      <x:c r="V896" s="14" t="n">
        <x:v>0.002638522427440633</x:v>
      </x:c>
      <x:c r="W896" s="12" t="n">
        <x:v>15.055408970976254</x:v>
      </x:c>
      <x:c r="X896" s="11"/>
      <x:c r="Y896" s="11"/>
      <x:c r="Z896" s="4" t="str">
        <x:v>https://blog.skyairline.com/parque-nacional-manu/</x:v>
      </x:c>
      <x:c r="AA896" s="4" t="str">
        <x:v>https://blog.skyairline.com/parque-nacional-manu/</x:v>
      </x:c>
      <x:c r="AB896" s="4" t="str">
        <x:v>Coincidencia URL</x:v>
      </x:c>
      <x:c r="AC896" s="4" t="str">
        <x:v>Publicado hasta septiembre</x:v>
      </x:c>
      <x:c r="AD896" s="4"/>
      <x:c r="AE896" s="4"/>
      <x:c r="AF896" s="16" t="b">
        <x:v>0</x:v>
      </x:c>
    </x:row>
    <x:row r="897" ht="44" customHeight="1">
      <x:c r="A897" s="4" t="n">
        <x:v>8448</x:v>
      </x:c>
      <x:c r="B897" s="4" t="str">
        <x:v>https://blog.skyairline.com/arraial-do-cabo/</x:v>
      </x:c>
      <x:c r="C897" s="9" t="str">
        <x:v>Playas de Arraial do Cabo: cuáles visitar y cómo armar tu ruta</x:v>
      </x:c>
      <x:c r="D897" s="17" t="d">
        <x:v>2026-03-10T00:00:00.000Z</x:v>
      </x:c>
      <x:c r="E897" s="17" t="d">
        <x:v>2026-03-10T00:00:00.000Z</x:v>
      </x:c>
      <x:c r="F897" s="4" t="str">
        <x:v>Destinos</x:v>
      </x:c>
      <x:c r="G897" s="11" t="n">
        <x:v>1040</x:v>
      </x:c>
      <x:c r="H897" s="11" t="n">
        <x:v>200</x:v>
      </x:c>
      <x:c r="I897" s="11" t="n">
        <x:v>1</x:v>
      </x:c>
      <x:c r="J897" s="4" t="str">
        <x:v>https://blog.skyairline.com/arraial-do-cabo/</x:v>
      </x:c>
      <x:c r="K897" s="16" t="b">
        <x:v>0</x:v>
      </x:c>
      <x:c r="L897" s="11" t="n">
        <x:v>0</x:v>
      </x:c>
      <x:c r="M897" s="11" t="n">
        <x:v>0</x:v>
      </x:c>
      <x:c r="N897" s="4"/>
      <x:c r="O897" s="4"/>
      <x:c r="P897" s="11" t="n">
        <x:v>1</x:v>
      </x:c>
      <x:c r="Q897" s="11" t="n">
        <x:v>1</x:v>
      </x:c>
      <x:c r="R897" s="11" t="n">
        <x:f>IF(OR(P897="",Q897=""),"",Q897-P897)</x:f>
        <x:v>0</x:v>
      </x:c>
      <x:c r="S897" s="13" t="n">
        <x:f>IF(OR(P897="",Q897="",P897=0),"",((Q897/30)/(P897/31))-1)</x:f>
        <x:v>0.03333333333333344</x:v>
      </x:c>
      <x:c r="T897" s="11" t="n">
        <x:v>912</x:v>
      </x:c>
      <x:c r="U897" s="11" t="n">
        <x:v>659</x:v>
      </x:c>
      <x:c r="V897" s="14" t="n">
        <x:v>0.0015174506828528073</x:v>
      </x:c>
      <x:c r="W897" s="12" t="n">
        <x:v>13.685887708649469</x:v>
      </x:c>
      <x:c r="X897" s="11" t="n">
        <x:v>3</x:v>
      </x:c>
      <x:c r="Y897" s="11" t="n">
        <x:v>3</x:v>
      </x:c>
      <x:c r="Z897" s="4" t="str">
        <x:v>https://blog.skyairline.com/arraial-do-cabo/</x:v>
      </x:c>
      <x:c r="AA897" s="4" t="str">
        <x:v>https://blog.skyairline.com/arraial-do-cabo/</x:v>
      </x:c>
      <x:c r="AB897" s="4" t="str">
        <x:v>Coincidencia URL</x:v>
      </x:c>
      <x:c r="AC897" s="4" t="str">
        <x:v>Publicado hasta septiembre</x:v>
      </x:c>
      <x:c r="AD897" s="4" t="str">
        <x:v>/arraial-do-cabo/</x:v>
      </x:c>
      <x:c r="AE897" s="4"/>
      <x:c r="AF897" s="16" t="b">
        <x:v>0</x:v>
      </x:c>
    </x:row>
    <x:row r="898" ht="44" customHeight="1">
      <x:c r="A898" s="4" t="n">
        <x:v>8468</x:v>
      </x:c>
      <x:c r="B898" s="4" t="str">
        <x:v>https://blog.skyairline.com/museos-en-santiago/</x:v>
      </x:c>
      <x:c r="C898" s="9" t="str">
        <x:v>Museos en Santiago: guía por barrios</x:v>
      </x:c>
      <x:c r="D898" s="17" t="d">
        <x:v>2026-03-09T00:00:00.000Z</x:v>
      </x:c>
      <x:c r="E898" s="17" t="d">
        <x:v>2026-03-10T00:00:00.000Z</x:v>
      </x:c>
      <x:c r="F898" s="4" t="str">
        <x:v>Planificación de Viaje</x:v>
      </x:c>
      <x:c r="G898" s="11" t="n">
        <x:v>997</x:v>
      </x:c>
      <x:c r="H898" s="11" t="n">
        <x:v>200</x:v>
      </x:c>
      <x:c r="I898" s="11" t="n">
        <x:v>1</x:v>
      </x:c>
      <x:c r="J898" s="4" t="str">
        <x:v>https://blog.skyairline.com/museos-en-santiago/</x:v>
      </x:c>
      <x:c r="K898" s="16" t="b">
        <x:v>0</x:v>
      </x:c>
      <x:c r="L898" s="11" t="n">
        <x:v>0</x:v>
      </x:c>
      <x:c r="M898" s="11" t="n">
        <x:v>0</x:v>
      </x:c>
      <x:c r="N898" s="4"/>
      <x:c r="O898" s="4"/>
      <x:c r="P898" s="11" t="n">
        <x:v>2</x:v>
      </x:c>
      <x:c r="Q898" s="11" t="n">
        <x:v>1</x:v>
      </x:c>
      <x:c r="R898" s="11" t="n">
        <x:f>IF(OR(P898="",Q898=""),"",Q898-P898)</x:f>
        <x:v>-1</x:v>
      </x:c>
      <x:c r="S898" s="13" t="n">
        <x:f>IF(OR(P898="",Q898="",P898=0),"",((Q898/30)/(P898/31))-1)</x:f>
        <x:v>-0.4833333333333333</x:v>
      </x:c>
      <x:c r="T898" s="11" t="n">
        <x:v>380</x:v>
      </x:c>
      <x:c r="U898" s="11" t="n">
        <x:v>315</x:v>
      </x:c>
      <x:c r="V898" s="14" t="n">
        <x:v>0.0031746031746031746</x:v>
      </x:c>
      <x:c r="W898" s="12" t="n">
        <x:v>20.244444444444444</x:v>
      </x:c>
      <x:c r="X898" s="11" t="n">
        <x:v>2</x:v>
      </x:c>
      <x:c r="Y898" s="11" t="n">
        <x:v>3</x:v>
      </x:c>
      <x:c r="Z898" s="4" t="str">
        <x:v>https://blog.skyairline.com/museos-en-santiago/</x:v>
      </x:c>
      <x:c r="AA898" s="4" t="str">
        <x:v>https://blog.skyairline.com/museos-en-santiago/</x:v>
      </x:c>
      <x:c r="AB898" s="4" t="str">
        <x:v>Coincidencia URL</x:v>
      </x:c>
      <x:c r="AC898" s="4" t="str">
        <x:v>Publicado hasta septiembre</x:v>
      </x:c>
      <x:c r="AD898" s="4" t="str">
        <x:v>/museos-en-santiago/</x:v>
      </x:c>
      <x:c r="AE898" s="4"/>
      <x:c r="AF898" s="16" t="b">
        <x:v>0</x:v>
      </x:c>
    </x:row>
    <x:row r="899" ht="44" customHeight="1">
      <x:c r="A899" s="4" t="n">
        <x:v>8625</x:v>
      </x:c>
      <x:c r="B899" s="4" t="str">
        <x:v>https://blog.skyairline.com/sky-destaca-como-la-unica-aerolinea-entre-las-mejores-empresas-para-mujeres-jovenes-en-peru/</x:v>
      </x:c>
      <x:c r="C899" s="9" t="str">
        <x:v>SKY destaca como la única aerolínea entre las mejores empresas para mujeres jóvenes en Perú.</x:v>
      </x:c>
      <x:c r="D899" s="17" t="d">
        <x:v>2026-04-08T00:00:00.000Z</x:v>
      </x:c>
      <x:c r="E899" s="17" t="d">
        <x:v>2026-04-08T00:00:00.000Z</x:v>
      </x:c>
      <x:c r="F899" s="4" t="str">
        <x:v>Noticias</x:v>
      </x:c>
      <x:c r="G899" s="11" t="n">
        <x:v>171</x:v>
      </x:c>
      <x:c r="H899" s="11" t="n">
        <x:v>200</x:v>
      </x:c>
      <x:c r="I899" s="11" t="n">
        <x:v>1</x:v>
      </x:c>
      <x:c r="J899" s="4" t="str">
        <x:v>https://blog.skyairline.com/sky-destaca-como-la-unica-aerolinea-entre-las-mejores-empresas-para-mujeres-jovenes-en-peru/</x:v>
      </x:c>
      <x:c r="K899" s="16" t="b">
        <x:v>0</x:v>
      </x:c>
      <x:c r="L899" s="11" t="n">
        <x:v>0</x:v>
      </x:c>
      <x:c r="M899" s="11" t="n">
        <x:v>0</x:v>
      </x:c>
      <x:c r="N899" s="4"/>
      <x:c r="O899" s="4"/>
      <x:c r="P899" s="11" t="n">
        <x:v>1</x:v>
      </x:c>
      <x:c r="Q899" s="11" t="n">
        <x:v>1</x:v>
      </x:c>
      <x:c r="R899" s="11" t="n">
        <x:f>IF(OR(P899="",Q899=""),"",Q899-P899)</x:f>
        <x:v>0</x:v>
      </x:c>
      <x:c r="S899" s="13" t="n">
        <x:f>IF(OR(P899="",Q899="",P899=0),"",((Q899/30)/(P899/31))-1)</x:f>
        <x:v>0.03333333333333344</x:v>
      </x:c>
      <x:c r="T899" s="11" t="n">
        <x:v>32</x:v>
      </x:c>
      <x:c r="U899" s="11" t="n">
        <x:v>12</x:v>
      </x:c>
      <x:c r="V899" s="14" t="n">
        <x:v>0.08333333333333333</x:v>
      </x:c>
      <x:c r="W899" s="12" t="n">
        <x:v>5.166666666666667</x:v>
      </x:c>
      <x:c r="X899" s="11" t="n">
        <x:v>1</x:v>
      </x:c>
      <x:c r="Y899" s="11" t="n">
        <x:v>3</x:v>
      </x:c>
      <x:c r="Z899" s="4" t="str">
        <x:v>https://blog.skyairline.com/sky-destaca-como-la-unica-aerolinea-entre-las-mejores-empresas-para-mujeres-jovenes-en-peru/</x:v>
      </x:c>
      <x:c r="AA899" s="4" t="str">
        <x:v>https://blog.skyairline.com/sky-destaca-como-la-unica-aerolinea-entre-las-mejores-empresas-para-mujeres-jovenes-en-peru/</x:v>
      </x:c>
      <x:c r="AB899" s="4" t="str">
        <x:v>Coincidencia URL</x:v>
      </x:c>
      <x:c r="AC899" s="4" t="str">
        <x:v>Publicado hasta septiembre</x:v>
      </x:c>
      <x:c r="AD899" s="4" t="str">
        <x:v>/sky-destaca-como-la-unica-aerolinea-entre-las-mejores-empresas-para-mujeres-jovenes-en-peru/</x:v>
      </x:c>
      <x:c r="AE899" s="4"/>
      <x:c r="AF899" s="16" t="b">
        <x:v>0</x:v>
      </x:c>
    </x:row>
    <x:row r="900" ht="44" customHeight="1">
      <x:c r="A900" s="4" t="n">
        <x:v>8633</x:v>
      </x:c>
      <x:c r="B900" s="4" t="str">
        <x:v>https://blog.skyairline.com/sky-y-air-europa-concretan-acuerdo-de-codigo-compartido/</x:v>
      </x:c>
      <x:c r="C900" s="9" t="str">
        <x:v>SKY y Air Europa concretan acuerdo de código compartido</x:v>
      </x:c>
      <x:c r="D900" s="17" t="d">
        <x:v>2026-04-08T00:00:00.000Z</x:v>
      </x:c>
      <x:c r="E900" s="17" t="d">
        <x:v>2026-04-08T00:00:00.000Z</x:v>
      </x:c>
      <x:c r="F900" s="4" t="str">
        <x:v>Noticias</x:v>
      </x:c>
      <x:c r="G900" s="11" t="n">
        <x:v>99</x:v>
      </x:c>
      <x:c r="H900" s="11" t="n">
        <x:v>200</x:v>
      </x:c>
      <x:c r="I900" s="11" t="n">
        <x:v>1</x:v>
      </x:c>
      <x:c r="J900" s="4" t="str">
        <x:v>https://blog.skyairline.com/sky-y-air-europa-concretan-acuerdo-de-codigo-compartido/</x:v>
      </x:c>
      <x:c r="K900" s="16" t="b">
        <x:v>0</x:v>
      </x:c>
      <x:c r="L900" s="11" t="n">
        <x:v>0</x:v>
      </x:c>
      <x:c r="M900" s="11" t="n">
        <x:v>0</x:v>
      </x:c>
      <x:c r="N900" s="4"/>
      <x:c r="O900" s="4"/>
      <x:c r="P900" s="11" t="n">
        <x:v>3</x:v>
      </x:c>
      <x:c r="Q900" s="11" t="n">
        <x:v>1</x:v>
      </x:c>
      <x:c r="R900" s="11" t="n">
        <x:f>IF(OR(P900="",Q900=""),"",Q900-P900)</x:f>
        <x:v>-2</x:v>
      </x:c>
      <x:c r="S900" s="13" t="n">
        <x:f>IF(OR(P900="",Q900="",P900=0),"",((Q900/30)/(P900/31))-1)</x:f>
        <x:v>-0.6555555555555556</x:v>
      </x:c>
      <x:c r="T900" s="11" t="n">
        <x:v>49</x:v>
      </x:c>
      <x:c r="U900" s="11" t="n">
        <x:v>45</x:v>
      </x:c>
      <x:c r="V900" s="14" t="n">
        <x:v>0.022222222222222223</x:v>
      </x:c>
      <x:c r="W900" s="12" t="n">
        <x:v>3.8444444444444446</x:v>
      </x:c>
      <x:c r="X900" s="11" t="n">
        <x:v>1</x:v>
      </x:c>
      <x:c r="Y900" s="11" t="n">
        <x:v>1</x:v>
      </x:c>
      <x:c r="Z900" s="4" t="str">
        <x:v>https://blog.skyairline.com/sky-y-air-europa-concretan-acuerdo-de-codigo-compartido/</x:v>
      </x:c>
      <x:c r="AA900" s="4" t="str">
        <x:v>https://blog.skyairline.com/sky-y-air-europa-concretan-acuerdo-de-codigo-compartido/
https://blog.skyairline.com/sky-y-air-europa-concretan-acuerdo-de-codigo-compartido</x:v>
      </x:c>
      <x:c r="AB900" s="4" t="str">
        <x:v>Alias slash agregado</x:v>
      </x:c>
      <x:c r="AC900" s="4" t="str">
        <x:v>Publicado hasta septiembre</x:v>
      </x:c>
      <x:c r="AD900" s="4" t="str">
        <x:v>/sky-y-air-europa-concretan-acuerdo-de-codigo-compartido/</x:v>
      </x:c>
      <x:c r="AE900" s="4"/>
      <x:c r="AF900" s="16" t="b">
        <x:v>0</x:v>
      </x:c>
    </x:row>
    <x:row r="901" ht="44" customHeight="1">
      <x:c r="A901" s="4" t="n">
        <x:v>8686</x:v>
      </x:c>
      <x:c r="B901" s="4" t="str">
        <x:v>https://blog.skyairline.com/mas-mujeres-al-mando-en-las-cabinas-de-sky/</x:v>
      </x:c>
      <x:c r="C901" s="9" t="str">
        <x:v>Más mujeres al mando en las cabinas de SKY</x:v>
      </x:c>
      <x:c r="D901" s="17" t="d">
        <x:v>2026-05-04T00:00:00.000Z</x:v>
      </x:c>
      <x:c r="E901" s="17" t="d">
        <x:v>2026-05-04T00:00:00.000Z</x:v>
      </x:c>
      <x:c r="F901" s="4" t="str">
        <x:v>Noticias</x:v>
      </x:c>
      <x:c r="G901" s="11" t="n">
        <x:v>165</x:v>
      </x:c>
      <x:c r="H901" s="11" t="n">
        <x:v>200</x:v>
      </x:c>
      <x:c r="I901" s="11" t="n">
        <x:v>1</x:v>
      </x:c>
      <x:c r="J901" s="4" t="str">
        <x:v>https://blog.skyairline.com/mas-mujeres-al-mando-en-las-cabinas-de-sky/</x:v>
      </x:c>
      <x:c r="K901" s="16" t="b">
        <x:v>0</x:v>
      </x:c>
      <x:c r="L901" s="11" t="n">
        <x:v>0</x:v>
      </x:c>
      <x:c r="M901" s="11" t="n">
        <x:v>0</x:v>
      </x:c>
      <x:c r="N901" s="4"/>
      <x:c r="O901" s="4"/>
      <x:c r="P901" s="11" t="n">
        <x:v>1</x:v>
      </x:c>
      <x:c r="Q901" s="11" t="n">
        <x:v>1</x:v>
      </x:c>
      <x:c r="R901" s="11" t="n">
        <x:f>IF(OR(P901="",Q901=""),"",Q901-P901)</x:f>
        <x:v>0</x:v>
      </x:c>
      <x:c r="S901" s="13" t="n">
        <x:f>IF(OR(P901="",Q901="",P901=0),"",((Q901/30)/(P901/31))-1)</x:f>
        <x:v>0.03333333333333344</x:v>
      </x:c>
      <x:c r="T901" s="11" t="n">
        <x:v>38</x:v>
      </x:c>
      <x:c r="U901" s="11" t="n">
        <x:v>16</x:v>
      </x:c>
      <x:c r="V901" s="14" t="n">
        <x:v>0.0625</x:v>
      </x:c>
      <x:c r="W901" s="12" t="n">
        <x:v>6.375</x:v>
      </x:c>
      <x:c r="X901" s="11"/>
      <x:c r="Y901" s="11"/>
      <x:c r="Z901" s="4" t="str">
        <x:v>https://blog.skyairline.com/mas-mujeres-al-mando-en-las-cabinas-de-sky/</x:v>
      </x:c>
      <x:c r="AA901" s="4" t="str">
        <x:v>https://blog.skyairline.com/mas-mujeres-al-mando-en-las-cabinas-de-sky/</x:v>
      </x:c>
      <x:c r="AB901" s="4" t="str">
        <x:v>Coincidencia URL</x:v>
      </x:c>
      <x:c r="AC901" s="4" t="str">
        <x:v>Publicado hasta septiembre</x:v>
      </x:c>
      <x:c r="AD901" s="4"/>
      <x:c r="AE901" s="4"/>
      <x:c r="AF901" s="16" t="b">
        <x:v>0</x:v>
      </x:c>
    </x:row>
    <x:row r="902" ht="44" customHeight="1">
      <x:c r="A902" s="4" t="n">
        <x:v>8696</x:v>
      </x:c>
      <x:c r="B902" s="4" t="str">
        <x:v>https://blog.skyairline.com/sky-airline-movilizo-mas-de-1-200-personas-para-impulsar-iniciativas-sociales-a-traves-de-compromiso-sky/</x:v>
      </x:c>
      <x:c r="C902" s="9" t="str">
        <x:v>Mas de 1.200 personas se movilizaron para impulsar iniciativas sociales a través de Compromiso SKY</x:v>
      </x:c>
      <x:c r="D902" s="17" t="d">
        <x:v>2026-05-04T00:00:00.000Z</x:v>
      </x:c>
      <x:c r="E902" s="17" t="d">
        <x:v>2026-05-08T00:00:00.000Z</x:v>
      </x:c>
      <x:c r="F902" s="4" t="str">
        <x:v>Noticias</x:v>
      </x:c>
      <x:c r="G902" s="11" t="n">
        <x:v>188</x:v>
      </x:c>
      <x:c r="H902" s="11" t="n">
        <x:v>200</x:v>
      </x:c>
      <x:c r="I902" s="11" t="n">
        <x:v>1</x:v>
      </x:c>
      <x:c r="J902" s="4" t="str">
        <x:v>https://blog.skyairline.com/sky-airline-movilizo-mas-de-1-200-personas-para-impulsar-iniciativas-sociales-a-traves-de-compromiso-sky/</x:v>
      </x:c>
      <x:c r="K902" s="16" t="b">
        <x:v>0</x:v>
      </x:c>
      <x:c r="L902" s="11" t="n">
        <x:v>0</x:v>
      </x:c>
      <x:c r="M902" s="11" t="n">
        <x:v>0</x:v>
      </x:c>
      <x:c r="N902" s="4"/>
      <x:c r="O902" s="4"/>
      <x:c r="P902" s="11" t="n">
        <x:v>2</x:v>
      </x:c>
      <x:c r="Q902" s="11" t="n">
        <x:v>1</x:v>
      </x:c>
      <x:c r="R902" s="11" t="n">
        <x:f>IF(OR(P902="",Q902=""),"",Q902-P902)</x:f>
        <x:v>-1</x:v>
      </x:c>
      <x:c r="S902" s="13" t="n">
        <x:f>IF(OR(P902="",Q902="",P902=0),"",((Q902/30)/(P902/31))-1)</x:f>
        <x:v>-0.4833333333333333</x:v>
      </x:c>
      <x:c r="T902" s="11" t="n">
        <x:v>38</x:v>
      </x:c>
      <x:c r="U902" s="11" t="n">
        <x:v>25</x:v>
      </x:c>
      <x:c r="V902" s="14" t="n">
        <x:v>0.04</x:v>
      </x:c>
      <x:c r="W902" s="12" t="n">
        <x:v>4.12</x:v>
      </x:c>
      <x:c r="X902" s="11" t="n">
        <x:v>1</x:v>
      </x:c>
      <x:c r="Y902" s="11" t="n">
        <x:v>1</x:v>
      </x:c>
      <x:c r="Z902" s="4" t="str">
        <x:v>https://blog.skyairline.com/sky-airline-movilizo-mas-de-1-200-personas-para-impulsar-iniciativas-sociales-a-traves-de-compromiso-sky/</x:v>
      </x:c>
      <x:c r="AA902" s="4" t="str">
        <x:v>https://blog.skyairline.com/sky-airline-movilizo-mas-de-1-200-personas-para-impulsar-iniciativas-sociales-a-traves-de-compromiso-sky/</x:v>
      </x:c>
      <x:c r="AB902" s="4" t="str">
        <x:v>Coincidencia URL</x:v>
      </x:c>
      <x:c r="AC902" s="4" t="str">
        <x:v>Publicado hasta septiembre</x:v>
      </x:c>
      <x:c r="AD902" s="4" t="str">
        <x:v>/sky-airline-movilizo-mas-de-1-200-personas-para-impulsar-iniciativas-sociales-a-traves-de-compromiso-sky/</x:v>
      </x:c>
      <x:c r="AE902" s="4"/>
      <x:c r="AF902" s="16" t="b">
        <x:v>0</x:v>
      </x:c>
    </x:row>
    <x:row r="903" ht="44" customHeight="1">
      <x:c r="A903" s="4" t="n">
        <x:v>8714</x:v>
      </x:c>
      <x:c r="B903" s="4" t="str">
        <x:v>https://blog.skyairline.com/aeropuerto-balmaceda/</x:v>
      </x:c>
      <x:c r="C903" s="9" t="str">
        <x:v>Cómo prepararte para tu llegada al Aeropuerto Balmaceda en la Patagonia</x:v>
      </x:c>
      <x:c r="D903" s="17" t="d">
        <x:v>2026-05-11T00:00:00.000Z</x:v>
      </x:c>
      <x:c r="E903" s="17" t="d">
        <x:v>2026-05-05T00:00:00.000Z</x:v>
      </x:c>
      <x:c r="F903" s="4" t="str">
        <x:v>Planificación de Viaje</x:v>
      </x:c>
      <x:c r="G903" s="11" t="n">
        <x:v>1012</x:v>
      </x:c>
      <x:c r="H903" s="11" t="n">
        <x:v>200</x:v>
      </x:c>
      <x:c r="I903" s="11" t="n">
        <x:v>1</x:v>
      </x:c>
      <x:c r="J903" s="4" t="str">
        <x:v>https://blog.skyairline.com/aeropuerto-balmaceda/</x:v>
      </x:c>
      <x:c r="K903" s="16" t="b">
        <x:v>0</x:v>
      </x:c>
      <x:c r="L903" s="11" t="n">
        <x:v>0</x:v>
      </x:c>
      <x:c r="M903" s="11" t="n">
        <x:v>0</x:v>
      </x:c>
      <x:c r="N903" s="4"/>
      <x:c r="O903" s="4"/>
      <x:c r="P903" s="11" t="n">
        <x:v>0</x:v>
      </x:c>
      <x:c r="Q903" s="11" t="n">
        <x:v>1</x:v>
      </x:c>
      <x:c r="R903" s="11" t="str">
        <x:f>IF(OR(P903="",Q903=""),"",Q903-P903)</x:f>
      </x:c>
      <x:c r="S903" s="13" t="str">
        <x:f>IF(OR(P903="",Q903="",P903=0),"",((Q903/30)/(P903/31))-1)</x:f>
      </x:c>
      <x:c r="T903" s="11" t="n">
        <x:v>38</x:v>
      </x:c>
      <x:c r="U903" s="11" t="n">
        <x:v>50</x:v>
      </x:c>
      <x:c r="V903" s="14" t="n">
        <x:v>0.02</x:v>
      </x:c>
      <x:c r="W903" s="12" t="n">
        <x:v>7.64</x:v>
      </x:c>
      <x:c r="X903" s="11" t="n">
        <x:v>1</x:v>
      </x:c>
      <x:c r="Y903" s="11" t="n">
        <x:v>1</x:v>
      </x:c>
      <x:c r="Z903" s="4" t="str">
        <x:v>https://blog.skyairline.com/aeropuerto-balmaceda/</x:v>
      </x:c>
      <x:c r="AA903" s="4" t="str">
        <x:v>https://blog.skyairline.com/aeropuerto-balmaceda/</x:v>
      </x:c>
      <x:c r="AB903" s="4" t="str">
        <x:v>Coincidencia URL</x:v>
      </x:c>
      <x:c r="AC903" s="4" t="str">
        <x:v>Publicado hasta septiembre</x:v>
      </x:c>
      <x:c r="AD903" s="4" t="str">
        <x:v>/aeropuerto-balmaceda/</x:v>
      </x:c>
      <x:c r="AE903" s="4"/>
      <x:c r="AF903" s="16" t="b">
        <x:v>0</x:v>
      </x:c>
    </x:row>
    <x:row r="904" ht="44" customHeight="1">
      <x:c r="A904" s="4" t="n">
        <x:v>8757</x:v>
      </x:c>
      <x:c r="B904" s="4" t="str">
        <x:v>https://blog.skyairline.com/nevado-rajuntay-2/</x:v>
      </x:c>
      <x:c r="C904" s="9" t="str">
        <x:v>Guía para planificar tu trekking en el Nevado Rajuntay</x:v>
      </x:c>
      <x:c r="D904" s="17" t="d">
        <x:v>2026-05-21T00:00:00.000Z</x:v>
      </x:c>
      <x:c r="E904" s="17" t="d">
        <x:v>2026-05-12T00:00:00.000Z</x:v>
      </x:c>
      <x:c r="F904" s="4" t="str">
        <x:v>Destinos</x:v>
      </x:c>
      <x:c r="G904" s="11" t="n">
        <x:v>1089</x:v>
      </x:c>
      <x:c r="H904" s="11" t="n">
        <x:v>200</x:v>
      </x:c>
      <x:c r="I904" s="11" t="n">
        <x:v>1</x:v>
      </x:c>
      <x:c r="J904" s="4" t="str">
        <x:v>https://blog.skyairline.com/nevado-rajuntay-2/</x:v>
      </x:c>
      <x:c r="K904" s="16" t="b">
        <x:v>0</x:v>
      </x:c>
      <x:c r="L904" s="11" t="n">
        <x:v>0</x:v>
      </x:c>
      <x:c r="M904" s="11" t="n">
        <x:v>0</x:v>
      </x:c>
      <x:c r="N904" s="4"/>
      <x:c r="O904" s="4"/>
      <x:c r="P904" s="11" t="n">
        <x:v>1</x:v>
      </x:c>
      <x:c r="Q904" s="11" t="n">
        <x:v>1</x:v>
      </x:c>
      <x:c r="R904" s="11" t="n">
        <x:f>IF(OR(P904="",Q904=""),"",Q904-P904)</x:f>
        <x:v>0</x:v>
      </x:c>
      <x:c r="S904" s="13" t="n">
        <x:f>IF(OR(P904="",Q904="",P904=0),"",((Q904/30)/(P904/31))-1)</x:f>
        <x:v>0.03333333333333344</x:v>
      </x:c>
      <x:c r="T904" s="11" t="n">
        <x:v>697</x:v>
      </x:c>
      <x:c r="U904" s="11" t="n">
        <x:v>382</x:v>
      </x:c>
      <x:c r="V904" s="14" t="n">
        <x:v>0.002617801047120419</x:v>
      </x:c>
      <x:c r="W904" s="12" t="n">
        <x:v>7.486910994764398</x:v>
      </x:c>
      <x:c r="X904" s="11" t="n">
        <x:v>5</x:v>
      </x:c>
      <x:c r="Y904" s="11" t="n">
        <x:v>6</x:v>
      </x:c>
      <x:c r="Z904" s="4" t="str">
        <x:v>https://blog.skyairline.com/nevado-rajuntay-2/</x:v>
      </x:c>
      <x:c r="AA904" s="4" t="str">
        <x:v>https://blog.skyairline.com/nevado-rajuntay-2/</x:v>
      </x:c>
      <x:c r="AB904" s="4" t="str">
        <x:v>Coincidencia URL</x:v>
      </x:c>
      <x:c r="AC904" s="4" t="str">
        <x:v>Publicado hasta septiembre</x:v>
      </x:c>
      <x:c r="AD904" s="4" t="str">
        <x:v>/nevado-rajuntay-2/</x:v>
      </x:c>
      <x:c r="AE904" s="4"/>
      <x:c r="AF904" s="16" t="b">
        <x:v>0</x:v>
      </x:c>
    </x:row>
    <x:row r="905" ht="44" customHeight="1">
      <x:c r="A905" s="4" t="n">
        <x:v>8786</x:v>
      </x:c>
      <x:c r="B905" s="4" t="str">
        <x:v>https://blog.skyairline.com/termas/</x:v>
      </x:c>
      <x:c r="C905" s="9" t="str">
        <x:v>Termas: Desde Biobio a Magallanes, cuales te sugerimos</x:v>
      </x:c>
      <x:c r="D905" s="17" t="d">
        <x:v>2026-05-27T00:00:00.000Z</x:v>
      </x:c>
      <x:c r="E905" s="17" t="d">
        <x:v>2026-05-25T00:00:00.000Z</x:v>
      </x:c>
      <x:c r="F905" s="4" t="str">
        <x:v>Destinos</x:v>
      </x:c>
      <x:c r="G905" s="11" t="n">
        <x:v>1010</x:v>
      </x:c>
      <x:c r="H905" s="11" t="n">
        <x:v>200</x:v>
      </x:c>
      <x:c r="I905" s="11" t="n">
        <x:v>1</x:v>
      </x:c>
      <x:c r="J905" s="4" t="str">
        <x:v>https://blog.skyairline.com/termas/</x:v>
      </x:c>
      <x:c r="K905" s="16" t="b">
        <x:v>0</x:v>
      </x:c>
      <x:c r="L905" s="11" t="n">
        <x:v>0</x:v>
      </x:c>
      <x:c r="M905" s="11" t="n">
        <x:v>0</x:v>
      </x:c>
      <x:c r="N905" s="4"/>
      <x:c r="O905" s="4"/>
      <x:c r="P905" s="11" t="n">
        <x:v>0</x:v>
      </x:c>
      <x:c r="Q905" s="11" t="n">
        <x:v>1</x:v>
      </x:c>
      <x:c r="R905" s="11" t="str">
        <x:f>IF(OR(P905="",Q905=""),"",Q905-P905)</x:f>
      </x:c>
      <x:c r="S905" s="13" t="str">
        <x:f>IF(OR(P905="",Q905="",P905=0),"",((Q905/30)/(P905/31))-1)</x:f>
      </x:c>
      <x:c r="T905" s="11" t="n">
        <x:v>103</x:v>
      </x:c>
      <x:c r="U905" s="11" t="n">
        <x:v>211</x:v>
      </x:c>
      <x:c r="V905" s="14" t="n">
        <x:v>0.004739336492890996</x:v>
      </x:c>
      <x:c r="W905" s="12" t="n">
        <x:v>8.606635071090047</x:v>
      </x:c>
      <x:c r="X905" s="11" t="n">
        <x:v>3</x:v>
      </x:c>
      <x:c r="Y905" s="11" t="n">
        <x:v>4</x:v>
      </x:c>
      <x:c r="Z905" s="4" t="str">
        <x:v>https://blog.skyairline.com/termas/</x:v>
      </x:c>
      <x:c r="AA905" s="4" t="str">
        <x:v>https://blog.skyairline.com/termas/</x:v>
      </x:c>
      <x:c r="AB905" s="4" t="str">
        <x:v>Coincidencia URL</x:v>
      </x:c>
      <x:c r="AC905" s="4" t="str">
        <x:v>Publicado hasta septiembre</x:v>
      </x:c>
      <x:c r="AD905" s="4" t="str">
        <x:v>/termas/</x:v>
      </x:c>
      <x:c r="AE905" s="4"/>
      <x:c r="AF905" s="16" t="b">
        <x:v>0</x:v>
      </x:c>
    </x:row>
    <x:row r="906" ht="44" customHeight="1">
      <x:c r="A906" s="4" t="n">
        <x:v>8798</x:v>
      </x:c>
      <x:c r="B906" s="4" t="str">
        <x:v>https://blog.skyairline.com/comida-selva-peruana/</x:v>
      </x:c>
      <x:c r="C906" s="9" t="str">
        <x:v>Comida de la selva peruana: 5 platos para disfrutar</x:v>
      </x:c>
      <x:c r="D906" s="17" t="d">
        <x:v>2026-06-03T00:00:00.000Z</x:v>
      </x:c>
      <x:c r="E906" s="17" t="d">
        <x:v>2026-05-27T00:00:00.000Z</x:v>
      </x:c>
      <x:c r="F906" s="4" t="str">
        <x:v>Planificación de Viaje</x:v>
      </x:c>
      <x:c r="G906" s="11" t="n">
        <x:v>1013</x:v>
      </x:c>
      <x:c r="H906" s="11" t="n">
        <x:v>200</x:v>
      </x:c>
      <x:c r="I906" s="11" t="n">
        <x:v>1</x:v>
      </x:c>
      <x:c r="J906" s="4" t="str">
        <x:v>https://blog.skyairline.com/comida-selva-peruana/</x:v>
      </x:c>
      <x:c r="K906" s="16" t="b">
        <x:v>0</x:v>
      </x:c>
      <x:c r="L906" s="11" t="n">
        <x:v>0</x:v>
      </x:c>
      <x:c r="M906" s="11" t="n">
        <x:v>0</x:v>
      </x:c>
      <x:c r="N906" s="4"/>
      <x:c r="O906" s="4"/>
      <x:c r="P906" s="11" t="n">
        <x:v>3</x:v>
      </x:c>
      <x:c r="Q906" s="11" t="n">
        <x:v>1</x:v>
      </x:c>
      <x:c r="R906" s="11" t="n">
        <x:f>IF(OR(P906="",Q906=""),"",Q906-P906)</x:f>
        <x:v>-2</x:v>
      </x:c>
      <x:c r="S906" s="13" t="n">
        <x:f>IF(OR(P906="",Q906="",P906=0),"",((Q906/30)/(P906/31))-1)</x:f>
        <x:v>-0.6555555555555556</x:v>
      </x:c>
      <x:c r="T906" s="11" t="n">
        <x:v>1773</x:v>
      </x:c>
      <x:c r="U906" s="11" t="n">
        <x:v>821</x:v>
      </x:c>
      <x:c r="V906" s="14" t="n">
        <x:v>0.001218026796589525</x:v>
      </x:c>
      <x:c r="W906" s="12" t="n">
        <x:v>14.71863580998782</x:v>
      </x:c>
      <x:c r="X906" s="11" t="n">
        <x:v>3</x:v>
      </x:c>
      <x:c r="Y906" s="11" t="n">
        <x:v>2</x:v>
      </x:c>
      <x:c r="Z906" s="4" t="str">
        <x:v>https://blog.skyairline.com/comida-selva-peruana/</x:v>
      </x:c>
      <x:c r="AA906" s="4" t="str">
        <x:v>https://blog.skyairline.com/comida-selva-peruana/</x:v>
      </x:c>
      <x:c r="AB906" s="4" t="str">
        <x:v>Coincidencia URL</x:v>
      </x:c>
      <x:c r="AC906" s="4" t="str">
        <x:v>Publicado hasta septiembre</x:v>
      </x:c>
      <x:c r="AD906" s="4" t="str">
        <x:v>/comida-selva-peruana/</x:v>
      </x:c>
      <x:c r="AE906" s="4"/>
      <x:c r="AF906" s="16" t="b">
        <x:v>0</x:v>
      </x:c>
    </x:row>
    <x:row r="907" ht="44" customHeight="1">
      <x:c r="A907" s="4" t="n">
        <x:v>8799</x:v>
      </x:c>
      <x:c r="B907" s="4" t="str">
        <x:v>https://blog.skyairline.com/hospedaje-santiago/</x:v>
      </x:c>
      <x:c r="C907" s="9" t="str">
        <x:v>Hospedaje en Santiago: Guía Completa para Elegir el lugar Ideal</x:v>
      </x:c>
      <x:c r="D907" s="17" t="d">
        <x:v>2026-06-02T00:00:00.000Z</x:v>
      </x:c>
      <x:c r="E907" s="17" t="d">
        <x:v>2026-05-27T00:00:00.000Z</x:v>
      </x:c>
      <x:c r="F907" s="4" t="str">
        <x:v>Planificación de Viaje</x:v>
      </x:c>
      <x:c r="G907" s="11" t="n">
        <x:v>1168</x:v>
      </x:c>
      <x:c r="H907" s="11" t="n">
        <x:v>200</x:v>
      </x:c>
      <x:c r="I907" s="11" t="n">
        <x:v>1</x:v>
      </x:c>
      <x:c r="J907" s="4" t="str">
        <x:v>https://blog.skyairline.com/hospedaje-santiago/</x:v>
      </x:c>
      <x:c r="K907" s="16" t="b">
        <x:v>0</x:v>
      </x:c>
      <x:c r="L907" s="11" t="n">
        <x:v>0</x:v>
      </x:c>
      <x:c r="M907" s="11" t="n">
        <x:v>0</x:v>
      </x:c>
      <x:c r="N907" s="4"/>
      <x:c r="O907" s="4"/>
      <x:c r="P907" s="11" t="n">
        <x:v>1</x:v>
      </x:c>
      <x:c r="Q907" s="11" t="n">
        <x:v>1</x:v>
      </x:c>
      <x:c r="R907" s="11" t="n">
        <x:f>IF(OR(P907="",Q907=""),"",Q907-P907)</x:f>
        <x:v>0</x:v>
      </x:c>
      <x:c r="S907" s="13" t="n">
        <x:f>IF(OR(P907="",Q907="",P907=0),"",((Q907/30)/(P907/31))-1)</x:f>
        <x:v>0.03333333333333344</x:v>
      </x:c>
      <x:c r="T907" s="11" t="n">
        <x:v>26</x:v>
      </x:c>
      <x:c r="U907" s="11" t="n">
        <x:v>24</x:v>
      </x:c>
      <x:c r="V907" s="14" t="n">
        <x:v>0.041666666666666664</x:v>
      </x:c>
      <x:c r="W907" s="12" t="n">
        <x:v>9.791666666666666</x:v>
      </x:c>
      <x:c r="X907" s="11" t="n">
        <x:v>3</x:v>
      </x:c>
      <x:c r="Y907" s="11" t="n">
        <x:v>3</x:v>
      </x:c>
      <x:c r="Z907" s="4" t="str">
        <x:v>https://blog.skyairline.com/hospedaje-santiago/</x:v>
      </x:c>
      <x:c r="AA907" s="4" t="str">
        <x:v>https://blog.skyairline.com/hospedaje-santiago/</x:v>
      </x:c>
      <x:c r="AB907" s="4" t="str">
        <x:v>Coincidencia URL</x:v>
      </x:c>
      <x:c r="AC907" s="4" t="str">
        <x:v>Publicado hasta septiembre</x:v>
      </x:c>
      <x:c r="AD907" s="4" t="str">
        <x:v>/hospedaje-santiago/</x:v>
      </x:c>
      <x:c r="AE907" s="4"/>
      <x:c r="AF907" s="16" t="b">
        <x:v>0</x:v>
      </x:c>
    </x:row>
    <x:row r="908" ht="44" customHeight="1">
      <x:c r="A908" s="4" t="n">
        <x:v>8848</x:v>
      </x:c>
      <x:c r="B908" s="4" t="str">
        <x:v>https://blog.skyairline.com/sky-invita-a-viajar-dentro-de-chile-durante-vacaciones-de-invierno/</x:v>
      </x:c>
      <x:c r="C908" s="9" t="str">
        <x:v>SKY invita a viajar dentro de Chile durante vacaciones de invierno</x:v>
      </x:c>
      <x:c r="D908" s="17" t="d">
        <x:v>2026-06-02T00:00:00.000Z</x:v>
      </x:c>
      <x:c r="E908" s="17" t="d">
        <x:v>2026-06-02T00:00:00.000Z</x:v>
      </x:c>
      <x:c r="F908" s="4" t="str">
        <x:v>Noticias</x:v>
      </x:c>
      <x:c r="G908" s="11" t="n">
        <x:v>210</x:v>
      </x:c>
      <x:c r="H908" s="11" t="n">
        <x:v>200</x:v>
      </x:c>
      <x:c r="I908" s="11" t="n">
        <x:v>1</x:v>
      </x:c>
      <x:c r="J908" s="4" t="str">
        <x:v>https://blog.skyairline.com/sky-invita-a-viajar-dentro-de-chile-durante-vacaciones-de-invierno/</x:v>
      </x:c>
      <x:c r="K908" s="16" t="b">
        <x:v>0</x:v>
      </x:c>
      <x:c r="L908" s="11" t="n">
        <x:v>0</x:v>
      </x:c>
      <x:c r="M908" s="11" t="n">
        <x:v>0</x:v>
      </x:c>
      <x:c r="N908" s="4"/>
      <x:c r="O908" s="4"/>
      <x:c r="P908" s="11" t="n">
        <x:v>0</x:v>
      </x:c>
      <x:c r="Q908" s="11" t="n">
        <x:v>1</x:v>
      </x:c>
      <x:c r="R908" s="11" t="str">
        <x:f>IF(OR(P908="",Q908=""),"",Q908-P908)</x:f>
      </x:c>
      <x:c r="S908" s="13" t="str">
        <x:f>IF(OR(P908="",Q908="",P908=0),"",((Q908/30)/(P908/31))-1)</x:f>
      </x:c>
      <x:c r="T908" s="11" t="n">
        <x:v>17</x:v>
      </x:c>
      <x:c r="U908" s="11" t="n">
        <x:v>18</x:v>
      </x:c>
      <x:c r="V908" s="14" t="n">
        <x:v>0.05555555555555555</x:v>
      </x:c>
      <x:c r="W908" s="12" t="n">
        <x:v>9.722222222222221</x:v>
      </x:c>
      <x:c r="X908" s="11" t="n">
        <x:v>1</x:v>
      </x:c>
      <x:c r="Y908" s="11" t="n">
        <x:v>1</x:v>
      </x:c>
      <x:c r="Z908" s="4" t="str">
        <x:v>https://blog.skyairline.com/sky-invita-a-viajar-dentro-de-chile-durante-vacaciones-de-invierno/</x:v>
      </x:c>
      <x:c r="AA908" s="4" t="str">
        <x:v>https://blog.skyairline.com/sky-invita-a-viajar-dentro-de-chile-durante-vacaciones-de-invierno/</x:v>
      </x:c>
      <x:c r="AB908" s="4" t="str">
        <x:v>Coincidencia URL</x:v>
      </x:c>
      <x:c r="AC908" s="4" t="str">
        <x:v>Publicado hasta septiembre</x:v>
      </x:c>
      <x:c r="AD908" s="4" t="str">
        <x:v>/sky-invita-a-viajar-dentro-de-chile-durante-vacaciones-de-invierno/</x:v>
      </x:c>
      <x:c r="AE908" s="4"/>
      <x:c r="AF908" s="16" t="b">
        <x:v>0</x:v>
      </x:c>
    </x:row>
    <x:row r="909" ht="44" customHeight="1">
      <x:c r="A909" s="4" t="n">
        <x:v>8929</x:v>
      </x:c>
      <x:c r="B909" s="4" t="str">
        <x:v>https://blog.skyairline.com/playa-lo-organos/</x:v>
      </x:c>
      <x:c r="C909" s="9" t="str">
        <x:v>Playa Los Órganos, destino familiar cerca de Piura</x:v>
      </x:c>
      <x:c r="D909" s="17" t="d">
        <x:v>2026-06-18T00:00:00.000Z</x:v>
      </x:c>
      <x:c r="E909" s="17" t="d">
        <x:v>2026-06-19T00:00:00.000Z</x:v>
      </x:c>
      <x:c r="F909" s="4" t="str">
        <x:v>Destinos</x:v>
      </x:c>
      <x:c r="G909" s="11" t="n">
        <x:v>1062</x:v>
      </x:c>
      <x:c r="H909" s="11" t="n">
        <x:v>200</x:v>
      </x:c>
      <x:c r="I909" s="11" t="n">
        <x:v>1</x:v>
      </x:c>
      <x:c r="J909" s="4" t="str">
        <x:v>https://blog.skyairline.com/playa-lo-organos/</x:v>
      </x:c>
      <x:c r="K909" s="16" t="b">
        <x:v>0</x:v>
      </x:c>
      <x:c r="L909" s="11" t="n">
        <x:v>0</x:v>
      </x:c>
      <x:c r="M909" s="11" t="n">
        <x:v>0</x:v>
      </x:c>
      <x:c r="N909" s="4"/>
      <x:c r="O909" s="4"/>
      <x:c r="P909" s="11" t="n">
        <x:v>0</x:v>
      </x:c>
      <x:c r="Q909" s="11" t="n">
        <x:v>1</x:v>
      </x:c>
      <x:c r="R909" s="11" t="str">
        <x:f>IF(OR(P909="",Q909=""),"",Q909-P909)</x:f>
      </x:c>
      <x:c r="S909" s="13" t="str">
        <x:f>IF(OR(P909="",Q909="",P909=0),"",((Q909/30)/(P909/31))-1)</x:f>
      </x:c>
      <x:c r="T909" s="11" t="n">
        <x:v>175</x:v>
      </x:c>
      <x:c r="U909" s="11" t="n">
        <x:v>188</x:v>
      </x:c>
      <x:c r="V909" s="14" t="n">
        <x:v>0.005319148936170213</x:v>
      </x:c>
      <x:c r="W909" s="12" t="n">
        <x:v>9.111702127659575</x:v>
      </x:c>
      <x:c r="X909" s="11" t="n">
        <x:v>2</x:v>
      </x:c>
      <x:c r="Y909" s="11" t="n">
        <x:v>3</x:v>
      </x:c>
      <x:c r="Z909" s="4" t="str">
        <x:v>https://blog.skyairline.com/playa-lo-organos/</x:v>
      </x:c>
      <x:c r="AA909" s="4" t="str">
        <x:v>https://blog.skyairline.com/playa-lo-organos/</x:v>
      </x:c>
      <x:c r="AB909" s="4" t="str">
        <x:v>Coincidencia URL</x:v>
      </x:c>
      <x:c r="AC909" s="4" t="str">
        <x:v>Publicado hasta septiembre</x:v>
      </x:c>
      <x:c r="AD909" s="4" t="str">
        <x:v>/playa-lo-organos/</x:v>
      </x:c>
      <x:c r="AE909" s="4"/>
      <x:c r="AF909" s="16" t="b">
        <x:v>0</x:v>
      </x:c>
    </x:row>
    <x:row r="910" ht="44" customHeight="1">
      <x:c r="A910" s="4" t="n">
        <x:v>8950</x:v>
      </x:c>
      <x:c r="B910" s="4" t="str">
        <x:v>https://blog.skyairline.com/huacachina/</x:v>
      </x:c>
      <x:c r="C910" s="9" t="str">
        <x:v>Huacachina: Un oasis en el desierto peruano</x:v>
      </x:c>
      <x:c r="D910" s="17" t="d">
        <x:v>2026-06-24T00:00:00.000Z</x:v>
      </x:c>
      <x:c r="E910" s="17" t="d">
        <x:v>2026-06-23T00:00:00.000Z</x:v>
      </x:c>
      <x:c r="F910" s="4" t="str">
        <x:v>Destinos</x:v>
      </x:c>
      <x:c r="G910" s="11" t="n">
        <x:v>1011</x:v>
      </x:c>
      <x:c r="H910" s="11" t="n">
        <x:v>200</x:v>
      </x:c>
      <x:c r="I910" s="11" t="n">
        <x:v>1</x:v>
      </x:c>
      <x:c r="J910" s="4" t="str">
        <x:v>https://blog.skyairline.com/huacachina/</x:v>
      </x:c>
      <x:c r="K910" s="16" t="b">
        <x:v>0</x:v>
      </x:c>
      <x:c r="L910" s="11" t="n">
        <x:v>0</x:v>
      </x:c>
      <x:c r="M910" s="11" t="n">
        <x:v>0</x:v>
      </x:c>
      <x:c r="N910" s="4"/>
      <x:c r="O910" s="4"/>
      <x:c r="P910" s="11" t="n">
        <x:v>3</x:v>
      </x:c>
      <x:c r="Q910" s="11" t="n">
        <x:v>1</x:v>
      </x:c>
      <x:c r="R910" s="11" t="n">
        <x:f>IF(OR(P910="",Q910=""),"",Q910-P910)</x:f>
        <x:v>-2</x:v>
      </x:c>
      <x:c r="S910" s="13" t="n">
        <x:f>IF(OR(P910="",Q910="",P910=0),"",((Q910/30)/(P910/31))-1)</x:f>
        <x:v>-0.6555555555555556</x:v>
      </x:c>
      <x:c r="T910" s="11" t="n">
        <x:v>380</x:v>
      </x:c>
      <x:c r="U910" s="11" t="n">
        <x:v>450</x:v>
      </x:c>
      <x:c r="V910" s="14" t="n">
        <x:v>0.0022222222222222222</x:v>
      </x:c>
      <x:c r="W910" s="12" t="n">
        <x:v>20.022222222222222</x:v>
      </x:c>
      <x:c r="X910" s="11" t="n">
        <x:v>2</x:v>
      </x:c>
      <x:c r="Y910" s="11" t="n">
        <x:v>2</x:v>
      </x:c>
      <x:c r="Z910" s="4" t="str">
        <x:v>https://blog.skyairline.com/huacachina/</x:v>
      </x:c>
      <x:c r="AA910" s="4" t="str">
        <x:v>https://blog.skyairline.com/huacachina/</x:v>
      </x:c>
      <x:c r="AB910" s="4" t="str">
        <x:v>Coincidencia URL</x:v>
      </x:c>
      <x:c r="AC910" s="4" t="str">
        <x:v>Publicado hasta septiembre</x:v>
      </x:c>
      <x:c r="AD910" s="4" t="str">
        <x:v>/huacachina/</x:v>
      </x:c>
      <x:c r="AE910" s="4"/>
      <x:c r="AF910" s="16" t="b">
        <x:v>0</x:v>
      </x:c>
    </x:row>
    <x:row r="911" ht="44" customHeight="1">
      <x:c r="A911" s="4" t="n">
        <x:v>8985</x:v>
      </x:c>
      <x:c r="B911" s="4" t="str">
        <x:v>https://blog.skyairline.com/termas-de-cacheuta/</x:v>
      </x:c>
      <x:c r="C911" s="9" t="str">
        <x:v>Termas de Cacheuta: Bienestar a minutos de Mendoza</x:v>
      </x:c>
      <x:c r="D911" s="17" t="d">
        <x:v>2026-07-06T00:00:00.000Z</x:v>
      </x:c>
      <x:c r="E911" s="17" t="d">
        <x:v>2026-07-03T00:00:00.000Z</x:v>
      </x:c>
      <x:c r="F911" s="4" t="str">
        <x:v>Destinos</x:v>
      </x:c>
      <x:c r="G911" s="11" t="n">
        <x:v>977</x:v>
      </x:c>
      <x:c r="H911" s="11" t="n">
        <x:v>200</x:v>
      </x:c>
      <x:c r="I911" s="11" t="n">
        <x:v>1</x:v>
      </x:c>
      <x:c r="J911" s="4" t="str">
        <x:v>https://blog.skyairline.com/termas-de-cacheuta/</x:v>
      </x:c>
      <x:c r="K911" s="16" t="b">
        <x:v>0</x:v>
      </x:c>
      <x:c r="L911" s="11" t="n">
        <x:v>0</x:v>
      </x:c>
      <x:c r="M911" s="11" t="n">
        <x:v>0</x:v>
      </x:c>
      <x:c r="N911" s="4"/>
      <x:c r="O911" s="4"/>
      <x:c r="P911" s="11" t="n">
        <x:v>1</x:v>
      </x:c>
      <x:c r="Q911" s="11" t="n">
        <x:v>1</x:v>
      </x:c>
      <x:c r="R911" s="11" t="n">
        <x:f>IF(OR(P911="",Q911=""),"",Q911-P911)</x:f>
        <x:v>0</x:v>
      </x:c>
      <x:c r="S911" s="13" t="n">
        <x:f>IF(OR(P911="",Q911="",P911=0),"",((Q911/30)/(P911/31))-1)</x:f>
        <x:v>0.03333333333333344</x:v>
      </x:c>
      <x:c r="T911" s="11" t="n">
        <x:v>380</x:v>
      </x:c>
      <x:c r="U911" s="11" t="n">
        <x:v>140</x:v>
      </x:c>
      <x:c r="V911" s="14" t="n">
        <x:v>0.007142857142857143</x:v>
      </x:c>
      <x:c r="W911" s="12" t="n">
        <x:v>18.6</x:v>
      </x:c>
      <x:c r="X911" s="11" t="n">
        <x:v>1</x:v>
      </x:c>
      <x:c r="Y911" s="11" t="n">
        <x:v>1</x:v>
      </x:c>
      <x:c r="Z911" s="4" t="str">
        <x:v>https://blog.skyairline.com/termas-de-cacheuta/</x:v>
      </x:c>
      <x:c r="AA911" s="4" t="str">
        <x:v>https://blog.skyairline.com/termas-de-cacheuta/</x:v>
      </x:c>
      <x:c r="AB911" s="4" t="str">
        <x:v>Coincidencia URL</x:v>
      </x:c>
      <x:c r="AC911" s="4" t="str">
        <x:v>Publicado hasta septiembre</x:v>
      </x:c>
      <x:c r="AD911" s="4" t="str">
        <x:v>/termas-de-cacheuta/</x:v>
      </x:c>
      <x:c r="AE911" s="4"/>
      <x:c r="AF911" s="16" t="b">
        <x:v>0</x:v>
      </x:c>
    </x:row>
    <x:row r="912" ht="44" customHeight="1">
      <x:c r="A912" s="4" t="n">
        <x:v>8996</x:v>
      </x:c>
      <x:c r="B912" s="4" t="str">
        <x:v>https://blog.skyairline.com/celebramos-25-anos-con-emotivo-homenaje-creado-con-inteligencia-artificial/</x:v>
      </x:c>
      <x:c r="C912" s="9" t="str">
        <x:v>Celebramos 25 años con emotivo homenaje creado con inteligencia artificial</x:v>
      </x:c>
      <x:c r="D912" s="17" t="d">
        <x:v>2026-07-14T00:00:00.000Z</x:v>
      </x:c>
      <x:c r="E912" s="17" t="d">
        <x:v>2026-07-17T00:00:00.000Z</x:v>
      </x:c>
      <x:c r="F912" s="4" t="str">
        <x:v>Noticias</x:v>
      </x:c>
      <x:c r="G912" s="11" t="n">
        <x:v>216</x:v>
      </x:c>
      <x:c r="H912" s="11" t="n">
        <x:v>200</x:v>
      </x:c>
      <x:c r="I912" s="11" t="n">
        <x:v>1</x:v>
      </x:c>
      <x:c r="J912" s="4" t="str">
        <x:v>https://blog.skyairline.com/celebramos-25-anos-con-emotivo-homenaje-creado-con-inteligencia-artificial/</x:v>
      </x:c>
      <x:c r="K912" s="16" t="b">
        <x:v>0</x:v>
      </x:c>
      <x:c r="L912" s="11" t="n">
        <x:v>0</x:v>
      </x:c>
      <x:c r="M912" s="11" t="n">
        <x:v>0</x:v>
      </x:c>
      <x:c r="N912" s="4"/>
      <x:c r="O912" s="4"/>
      <x:c r="P912" s="11" t="n">
        <x:v>6</x:v>
      </x:c>
      <x:c r="Q912" s="11" t="n">
        <x:v>1</x:v>
      </x:c>
      <x:c r="R912" s="11" t="n">
        <x:f>IF(OR(P912="",Q912=""),"",Q912-P912)</x:f>
        <x:v>-5</x:v>
      </x:c>
      <x:c r="S912" s="13" t="n">
        <x:f>IF(OR(P912="",Q912="",P912=0),"",((Q912/30)/(P912/31))-1)</x:f>
        <x:v>-0.8277777777777777</x:v>
      </x:c>
      <x:c r="T912" s="11" t="n">
        <x:v>108</x:v>
      </x:c>
      <x:c r="U912" s="11" t="n">
        <x:v>47</x:v>
      </x:c>
      <x:c r="V912" s="14" t="n">
        <x:v>0.02127659574468085</x:v>
      </x:c>
      <x:c r="W912" s="12" t="n">
        <x:v>5.723404255319149</x:v>
      </x:c>
      <x:c r="X912" s="11" t="n">
        <x:v>1</x:v>
      </x:c>
      <x:c r="Y912" s="11" t="n">
        <x:v>1</x:v>
      </x:c>
      <x:c r="Z912" s="4" t="str">
        <x:v>https://blog.skyairline.com/celebramos-25-anos-con-emotivo-homenaje-creado-con-inteligencia-artificial/</x:v>
      </x:c>
      <x:c r="AA912" s="4" t="str">
        <x:v>https://blog.skyairline.com/celebramos-25-anos-con-emotivo-homenaje-creado-con-inteligencia-artificial/</x:v>
      </x:c>
      <x:c r="AB912" s="4" t="str">
        <x:v>Coincidencia URL</x:v>
      </x:c>
      <x:c r="AC912" s="4" t="str">
        <x:v>Publicado hasta septiembre</x:v>
      </x:c>
      <x:c r="AD912" s="4" t="str">
        <x:v>/celebramos-25-anos-con-emotivo-homenaje-creado-con-inteligencia-artificial/</x:v>
      </x:c>
      <x:c r="AE912" s="4"/>
      <x:c r="AF912" s="16" t="b">
        <x:v>0</x:v>
      </x:c>
    </x:row>
    <x:row r="913" ht="44" customHeight="1">
      <x:c r="A913" s="4" t="n">
        <x:v>9045</x:v>
      </x:c>
      <x:c r="B913" s="4" t="str">
        <x:v>https://blog.skyairline.com/cuando-son-las-vacaciones-de-invierno-en-chile/</x:v>
      </x:c>
      <x:c r="C913" s="9" t="str">
        <x:v>¿Cuándo son las vacaciones de invierno en Chile?</x:v>
      </x:c>
      <x:c r="D913" s="17" t="d">
        <x:v>2026-07-26T00:00:00.000Z</x:v>
      </x:c>
      <x:c r="E913" s="17" t="d">
        <x:v>2026-07-20T00:00:00.000Z</x:v>
      </x:c>
      <x:c r="F913" s="4" t="str">
        <x:v>Planificación de Viaje</x:v>
      </x:c>
      <x:c r="G913" s="11" t="n">
        <x:v>1009</x:v>
      </x:c>
      <x:c r="H913" s="11" t="n">
        <x:v>200</x:v>
      </x:c>
      <x:c r="I913" s="11" t="n">
        <x:v>1</x:v>
      </x:c>
      <x:c r="J913" s="4" t="str">
        <x:v>https://blog.skyairline.com/cuando-son-las-vacaciones-de-invierno-en-chile/</x:v>
      </x:c>
      <x:c r="K913" s="16" t="b">
        <x:v>0</x:v>
      </x:c>
      <x:c r="L913" s="11" t="n">
        <x:v>0</x:v>
      </x:c>
      <x:c r="M913" s="11" t="n">
        <x:v>0</x:v>
      </x:c>
      <x:c r="N913" s="4"/>
      <x:c r="O913" s="4"/>
      <x:c r="P913" s="11" t="n">
        <x:v>1</x:v>
      </x:c>
      <x:c r="Q913" s="11" t="n">
        <x:v>1</x:v>
      </x:c>
      <x:c r="R913" s="11" t="n">
        <x:f>IF(OR(P913="",Q913=""),"",Q913-P913)</x:f>
        <x:v>0</x:v>
      </x:c>
      <x:c r="S913" s="13" t="n">
        <x:f>IF(OR(P913="",Q913="",P913=0),"",((Q913/30)/(P913/31))-1)</x:f>
        <x:v>0.03333333333333344</x:v>
      </x:c>
      <x:c r="T913" s="11" t="n">
        <x:v>1654</x:v>
      </x:c>
      <x:c r="U913" s="11" t="n">
        <x:v>1550</x:v>
      </x:c>
      <x:c r="V913" s="14" t="n">
        <x:v>0.0006451612903225806</x:v>
      </x:c>
      <x:c r="W913" s="12" t="n">
        <x:v>7.244516129032258</x:v>
      </x:c>
      <x:c r="X913" s="11" t="n">
        <x:v>3</x:v>
      </x:c>
      <x:c r="Y913" s="11" t="n">
        <x:v>3</x:v>
      </x:c>
      <x:c r="Z913" s="4" t="str">
        <x:v>https://blog.skyairline.com/cuando-son-las-vacaciones-de-invierno-en-chile/</x:v>
      </x:c>
      <x:c r="AA913" s="4" t="str">
        <x:v>https://blog.skyairline.com/cuando-son-las-vacaciones-de-invierno-en-chile/</x:v>
      </x:c>
      <x:c r="AB913" s="4" t="str">
        <x:v>Coincidencia URL</x:v>
      </x:c>
      <x:c r="AC913" s="4" t="str">
        <x:v>Publicado hasta septiembre</x:v>
      </x:c>
      <x:c r="AD913" s="4" t="str">
        <x:v>/cuando-son-las-vacaciones-de-invierno-en-chile/</x:v>
      </x:c>
      <x:c r="AE913" s="4"/>
      <x:c r="AF913" s="16" t="b">
        <x:v>0</x:v>
      </x:c>
    </x:row>
    <x:row r="914" ht="44" customHeight="1">
      <x:c r="A914" s="4" t="n">
        <x:v>9046</x:v>
      </x:c>
      <x:c r="B914" s="4" t="str">
        <x:v>https://blog.skyairline.com/cerro-catedral-bariloche/</x:v>
      </x:c>
      <x:c r="C914" s="9" t="str">
        <x:v>Cerro Catedral Bariloche: qué hacer en cada estación del año</x:v>
      </x:c>
      <x:c r="D914" s="17" t="d">
        <x:v>2026-07-25T00:00:00.000Z</x:v>
      </x:c>
      <x:c r="E914" s="17" t="d">
        <x:v>2026-07-20T00:00:00.000Z</x:v>
      </x:c>
      <x:c r="F914" s="4" t="str">
        <x:v>Destinos</x:v>
      </x:c>
      <x:c r="G914" s="11" t="n">
        <x:v>1165</x:v>
      </x:c>
      <x:c r="H914" s="11" t="n">
        <x:v>200</x:v>
      </x:c>
      <x:c r="I914" s="11" t="n">
        <x:v>1</x:v>
      </x:c>
      <x:c r="J914" s="4" t="str">
        <x:v>https://blog.skyairline.com/cerro-catedral-bariloche/</x:v>
      </x:c>
      <x:c r="K914" s="16" t="b">
        <x:v>0</x:v>
      </x:c>
      <x:c r="L914" s="11" t="n">
        <x:v>0</x:v>
      </x:c>
      <x:c r="M914" s="11" t="n">
        <x:v>0</x:v>
      </x:c>
      <x:c r="N914" s="4"/>
      <x:c r="O914" s="4"/>
      <x:c r="P914" s="11" t="n">
        <x:v>1</x:v>
      </x:c>
      <x:c r="Q914" s="11" t="n">
        <x:v>1</x:v>
      </x:c>
      <x:c r="R914" s="11" t="n">
        <x:f>IF(OR(P914="",Q914=""),"",Q914-P914)</x:f>
        <x:v>0</x:v>
      </x:c>
      <x:c r="S914" s="13" t="n">
        <x:f>IF(OR(P914="",Q914="",P914=0),"",((Q914/30)/(P914/31))-1)</x:f>
        <x:v>0.03333333333333344</x:v>
      </x:c>
      <x:c r="T914" s="11" t="n">
        <x:v>153</x:v>
      </x:c>
      <x:c r="U914" s="11" t="n">
        <x:v>64</x:v>
      </x:c>
      <x:c r="V914" s="14" t="n">
        <x:v>0.015625</x:v>
      </x:c>
      <x:c r="W914" s="12" t="n">
        <x:v>14.859375</x:v>
      </x:c>
      <x:c r="X914" s="11" t="n">
        <x:v>1</x:v>
      </x:c>
      <x:c r="Y914" s="11" t="n">
        <x:v>1</x:v>
      </x:c>
      <x:c r="Z914" s="4" t="str">
        <x:v>https://blog.skyairline.com/cerro-catedral-bariloche/</x:v>
      </x:c>
      <x:c r="AA914" s="4" t="str">
        <x:v>https://blog.skyairline.com/cerro-catedral-bariloche/</x:v>
      </x:c>
      <x:c r="AB914" s="4" t="str">
        <x:v>Coincidencia URL</x:v>
      </x:c>
      <x:c r="AC914" s="4" t="str">
        <x:v>Publicado hasta septiembre</x:v>
      </x:c>
      <x:c r="AD914" s="4" t="str">
        <x:v>/cerro-catedral-bariloche/</x:v>
      </x:c>
      <x:c r="AE914" s="4"/>
      <x:c r="AF914" s="16" t="b">
        <x:v>0</x:v>
      </x:c>
    </x:row>
    <x:row r="915" ht="44" customHeight="1">
      <x:c r="A915" s="4" t="n">
        <x:v>9050</x:v>
      </x:c>
      <x:c r="B915" s="4" t="str">
        <x:v>https://blog.skyairline.com/vuelos-ushuaia/</x:v>
      </x:c>
      <x:c r="C915" s="9" t="str">
        <x:v>Vuelos a Ushuaia: todo lo que necesitas saber para visitar el fin del mundo</x:v>
      </x:c>
      <x:c r="D915" s="17" t="d">
        <x:v>2026-07-22T00:00:00.000Z</x:v>
      </x:c>
      <x:c r="E915" s="17" t="d">
        <x:v>2026-07-20T00:00:00.000Z</x:v>
      </x:c>
      <x:c r="F915" s="4" t="str">
        <x:v>Planificación de Viaje</x:v>
      </x:c>
      <x:c r="G915" s="11" t="n">
        <x:v>999</x:v>
      </x:c>
      <x:c r="H915" s="11" t="n">
        <x:v>200</x:v>
      </x:c>
      <x:c r="I915" s="11" t="n">
        <x:v>1</x:v>
      </x:c>
      <x:c r="J915" s="4" t="str">
        <x:v>https://blog.skyairline.com/vuelos-ushuaia/</x:v>
      </x:c>
      <x:c r="K915" s="16" t="b">
        <x:v>0</x:v>
      </x:c>
      <x:c r="L915" s="11" t="n">
        <x:v>0</x:v>
      </x:c>
      <x:c r="M915" s="11" t="n">
        <x:v>0</x:v>
      </x:c>
      <x:c r="N915" s="4"/>
      <x:c r="O915" s="4"/>
      <x:c r="P915" s="11" t="n">
        <x:v>1</x:v>
      </x:c>
      <x:c r="Q915" s="11" t="n">
        <x:v>1</x:v>
      </x:c>
      <x:c r="R915" s="11" t="n">
        <x:f>IF(OR(P915="",Q915=""),"",Q915-P915)</x:f>
        <x:v>0</x:v>
      </x:c>
      <x:c r="S915" s="13" t="n">
        <x:f>IF(OR(P915="",Q915="",P915=0),"",((Q915/30)/(P915/31))-1)</x:f>
        <x:v>0.03333333333333344</x:v>
      </x:c>
      <x:c r="T915" s="11" t="n">
        <x:v>221</x:v>
      </x:c>
      <x:c r="U915" s="11" t="n">
        <x:v>179</x:v>
      </x:c>
      <x:c r="V915" s="14" t="n">
        <x:v>0.00558659217877095</x:v>
      </x:c>
      <x:c r="W915" s="12" t="n">
        <x:v>9.162011173184357</x:v>
      </x:c>
      <x:c r="X915" s="11" t="n">
        <x:v>4</x:v>
      </x:c>
      <x:c r="Y915" s="11" t="n">
        <x:v>4</x:v>
      </x:c>
      <x:c r="Z915" s="4" t="str">
        <x:v>https://blog.skyairline.com/vuelos-ushuaia/</x:v>
      </x:c>
      <x:c r="AA915" s="4" t="str">
        <x:v>https://blog.skyairline.com/vuelos-ushuaia/</x:v>
      </x:c>
      <x:c r="AB915" s="4" t="str">
        <x:v>Coincidencia URL</x:v>
      </x:c>
      <x:c r="AC915" s="4" t="str">
        <x:v>Publicado hasta septiembre</x:v>
      </x:c>
      <x:c r="AD915" s="4" t="str">
        <x:v>/vuelos-ushuaia/</x:v>
      </x:c>
      <x:c r="AE915" s="4"/>
      <x:c r="AF915" s="16" t="b">
        <x:v>0</x:v>
      </x:c>
    </x:row>
    <x:row r="916" ht="44" customHeight="1">
      <x:c r="A916" s="4" t="n">
        <x:v>9114</x:v>
      </x:c>
      <x:c r="B916" s="4" t="str">
        <x:v>https://blog.skyairline.com/lideres-de-la-sostenibilidad-en-la-industria-aerea-de-chile/</x:v>
      </x:c>
      <x:c r="C916" s="9" t="str">
        <x:v>Líderes de la sostenibilidad en la industria aérea de Chile</x:v>
      </x:c>
      <x:c r="D916" s="17" t="d">
        <x:v>2026-08-05T00:00:00.000Z</x:v>
      </x:c>
      <x:c r="E916" s="17" t="d">
        <x:v>2026-08-05T00:00:00.000Z</x:v>
      </x:c>
      <x:c r="F916" s="4" t="str">
        <x:v>Noticias</x:v>
      </x:c>
      <x:c r="G916" s="11" t="n">
        <x:v>285</x:v>
      </x:c>
      <x:c r="H916" s="11" t="n">
        <x:v>200</x:v>
      </x:c>
      <x:c r="I916" s="11" t="n">
        <x:v>1</x:v>
      </x:c>
      <x:c r="J916" s="4" t="str">
        <x:v>https://blog.skyairline.com/lideres-de-la-sostenibilidad-en-la-industria-aerea-de-chile/</x:v>
      </x:c>
      <x:c r="K916" s="16" t="b">
        <x:v>0</x:v>
      </x:c>
      <x:c r="L916" s="11" t="n">
        <x:v>0</x:v>
      </x:c>
      <x:c r="M916" s="11" t="n">
        <x:v>0</x:v>
      </x:c>
      <x:c r="N916" s="4"/>
      <x:c r="O916" s="4"/>
      <x:c r="P916" s="11" t="n">
        <x:v>0</x:v>
      </x:c>
      <x:c r="Q916" s="11" t="n">
        <x:v>1</x:v>
      </x:c>
      <x:c r="R916" s="11" t="str">
        <x:f>IF(OR(P916="",Q916=""),"",Q916-P916)</x:f>
      </x:c>
      <x:c r="S916" s="13" t="str">
        <x:f>IF(OR(P916="",Q916="",P916=0),"",((Q916/30)/(P916/31))-1)</x:f>
      </x:c>
      <x:c r="T916" s="11" t="n">
        <x:v>41</x:v>
      </x:c>
      <x:c r="U916" s="11" t="n">
        <x:v>13</x:v>
      </x:c>
      <x:c r="V916" s="14" t="n">
        <x:v>0.07692307692307693</x:v>
      </x:c>
      <x:c r="W916" s="12" t="n">
        <x:v>5.846153846153846</x:v>
      </x:c>
      <x:c r="X916" s="11" t="n">
        <x:v>1</x:v>
      </x:c>
      <x:c r="Y916" s="11" t="n">
        <x:v>1</x:v>
      </x:c>
      <x:c r="Z916" s="4" t="str">
        <x:v>https://blog.skyairline.com/lideres-de-la-sostenibilidad-en-la-industria-aerea-de-chile/</x:v>
      </x:c>
      <x:c r="AA916" s="4" t="str">
        <x:v>https://blog.skyairline.com/lideres-de-la-sostenibilidad-en-la-industria-aerea-de-chile/</x:v>
      </x:c>
      <x:c r="AB916" s="4" t="str">
        <x:v>Coincidencia URL</x:v>
      </x:c>
      <x:c r="AC916" s="4" t="str">
        <x:v>Publicado hasta septiembre</x:v>
      </x:c>
      <x:c r="AD916" s="4" t="str">
        <x:v>/lideres-de-la-sostenibilidad-en-la-industria-aerea-de-chile/</x:v>
      </x:c>
      <x:c r="AE916" s="4"/>
      <x:c r="AF916" s="16" t="b">
        <x:v>0</x:v>
      </x:c>
    </x:row>
    <x:row r="917" ht="44" customHeight="1">
      <x:c r="A917" s="4" t="n">
        <x:v>9138</x:v>
      </x:c>
      <x:c r="B917" s="4" t="str">
        <x:v>https://blog.skyairline.com/termas-geometricas/</x:v>
      </x:c>
      <x:c r="C917" s="9" t="str">
        <x:v>Termas Geométricas: Un encanto entre la Araucanía y la Región de los Ríos</x:v>
      </x:c>
      <x:c r="D917" s="17" t="d">
        <x:v>2026-08-09T00:00:00.000Z</x:v>
      </x:c>
      <x:c r="E917" s="17" t="d">
        <x:v>2026-08-11T00:00:00.000Z</x:v>
      </x:c>
      <x:c r="F917" s="4" t="str">
        <x:v>Destinos</x:v>
      </x:c>
      <x:c r="G917" s="11" t="n">
        <x:v>1022</x:v>
      </x:c>
      <x:c r="H917" s="11" t="n">
        <x:v>200</x:v>
      </x:c>
      <x:c r="I917" s="11" t="n">
        <x:v>1</x:v>
      </x:c>
      <x:c r="J917" s="4" t="str">
        <x:v>https://blog.skyairline.com/termas-geometricas/</x:v>
      </x:c>
      <x:c r="K917" s="16" t="b">
        <x:v>0</x:v>
      </x:c>
      <x:c r="L917" s="11" t="n">
        <x:v>0</x:v>
      </x:c>
      <x:c r="M917" s="11" t="n">
        <x:v>0</x:v>
      </x:c>
      <x:c r="N917" s="4"/>
      <x:c r="O917" s="4"/>
      <x:c r="P917" s="11" t="n">
        <x:v>1</x:v>
      </x:c>
      <x:c r="Q917" s="11" t="n">
        <x:v>1</x:v>
      </x:c>
      <x:c r="R917" s="11" t="n">
        <x:f>IF(OR(P917="",Q917=""),"",Q917-P917)</x:f>
        <x:v>0</x:v>
      </x:c>
      <x:c r="S917" s="13" t="n">
        <x:f>IF(OR(P917="",Q917="",P917=0),"",((Q917/30)/(P917/31))-1)</x:f>
        <x:v>0.03333333333333344</x:v>
      </x:c>
      <x:c r="T917" s="11" t="n">
        <x:v>483</x:v>
      </x:c>
      <x:c r="U917" s="11" t="n">
        <x:v>887</x:v>
      </x:c>
      <x:c r="V917" s="14" t="n">
        <x:v>0.0011273957158962795</x:v>
      </x:c>
      <x:c r="W917" s="12" t="n">
        <x:v>10.977452085682074</x:v>
      </x:c>
      <x:c r="X917" s="11" t="n">
        <x:v>1</x:v>
      </x:c>
      <x:c r="Y917" s="11" t="n">
        <x:v>4</x:v>
      </x:c>
      <x:c r="Z917" s="4" t="str">
        <x:v>https://blog.skyairline.com/termas-geometricas/</x:v>
      </x:c>
      <x:c r="AA917" s="4" t="str">
        <x:v>https://blog.skyairline.com/termas-geometricas/</x:v>
      </x:c>
      <x:c r="AB917" s="4" t="str">
        <x:v>Coincidencia URL</x:v>
      </x:c>
      <x:c r="AC917" s="4" t="str">
        <x:v>Publicado hasta septiembre</x:v>
      </x:c>
      <x:c r="AD917" s="4" t="str">
        <x:v>/termas-geometricas/</x:v>
      </x:c>
      <x:c r="AE917" s="4"/>
      <x:c r="AF917" s="16" t="b">
        <x:v>0</x:v>
      </x:c>
    </x:row>
    <x:row r="918" ht="44" customHeight="1">
      <x:c r="A918" s="4" t="n">
        <x:v>9139</x:v>
      </x:c>
      <x:c r="B918" s="4" t="str">
        <x:v>https://blog.skyairline.com/que-hacer-en-chiclayo/</x:v>
      </x:c>
      <x:c r="C918" s="9" t="str">
        <x:v>Qué hacer en Chiclayo: Ciudad de la amistad</x:v>
      </x:c>
      <x:c r="D918" s="17" t="d">
        <x:v>2026-08-08T00:00:00.000Z</x:v>
      </x:c>
      <x:c r="E918" s="17" t="d">
        <x:v>2026-08-11T00:00:00.000Z</x:v>
      </x:c>
      <x:c r="F918" s="4" t="str">
        <x:v>Planificación de Viaje</x:v>
      </x:c>
      <x:c r="G918" s="11" t="n">
        <x:v>1090</x:v>
      </x:c>
      <x:c r="H918" s="11" t="n">
        <x:v>200</x:v>
      </x:c>
      <x:c r="I918" s="11" t="n">
        <x:v>1</x:v>
      </x:c>
      <x:c r="J918" s="4" t="str">
        <x:v>https://blog.skyairline.com/que-hacer-en-chiclayo/</x:v>
      </x:c>
      <x:c r="K918" s="16" t="b">
        <x:v>0</x:v>
      </x:c>
      <x:c r="L918" s="11" t="n">
        <x:v>0</x:v>
      </x:c>
      <x:c r="M918" s="11" t="n">
        <x:v>0</x:v>
      </x:c>
      <x:c r="N918" s="4"/>
      <x:c r="O918" s="4"/>
      <x:c r="P918" s="11" t="n">
        <x:v>0</x:v>
      </x:c>
      <x:c r="Q918" s="11" t="n">
        <x:v>1</x:v>
      </x:c>
      <x:c r="R918" s="11" t="str">
        <x:f>IF(OR(P918="",Q918=""),"",Q918-P918)</x:f>
      </x:c>
      <x:c r="S918" s="13" t="str">
        <x:f>IF(OR(P918="",Q918="",P918=0),"",((Q918/30)/(P918/31))-1)</x:f>
      </x:c>
      <x:c r="T918" s="11" t="n">
        <x:v>191</x:v>
      </x:c>
      <x:c r="U918" s="11" t="n">
        <x:v>114</x:v>
      </x:c>
      <x:c r="V918" s="14" t="n">
        <x:v>0.008771929824561403</x:v>
      </x:c>
      <x:c r="W918" s="12" t="n">
        <x:v>22.25438596491228</x:v>
      </x:c>
      <x:c r="X918" s="11" t="n">
        <x:v>2</x:v>
      </x:c>
      <x:c r="Y918" s="11" t="n">
        <x:v>2</x:v>
      </x:c>
      <x:c r="Z918" s="4" t="str">
        <x:v>https://blog.skyairline.com/que-hacer-en-chiclayo/</x:v>
      </x:c>
      <x:c r="AA918" s="4" t="str">
        <x:v>https://blog.skyairline.com/que-hacer-en-chiclayo/</x:v>
      </x:c>
      <x:c r="AB918" s="4" t="str">
        <x:v>Coincidencia URL</x:v>
      </x:c>
      <x:c r="AC918" s="4" t="str">
        <x:v>Publicado hasta septiembre</x:v>
      </x:c>
      <x:c r="AD918" s="4" t="str">
        <x:v>/que-hacer-en-chiclayo/</x:v>
      </x:c>
      <x:c r="AE918" s="4"/>
      <x:c r="AF918" s="16" t="b">
        <x:v>0</x:v>
      </x:c>
    </x:row>
    <x:row r="919" ht="44" customHeight="1">
      <x:c r="A919" s="4" t="n">
        <x:v>9140</x:v>
      </x:c>
      <x:c r="B919" s="4" t="str">
        <x:v>https://blog.skyairline.com/siete-tazas/</x:v>
      </x:c>
      <x:c r="C919" s="9" t="str">
        <x:v>Siete Tazas: un parque nacional con cascadas y piscinas naturales</x:v>
      </x:c>
      <x:c r="D919" s="17" t="d">
        <x:v>2026-08-07T00:00:00.000Z</x:v>
      </x:c>
      <x:c r="E919" s="17" t="d">
        <x:v>2026-08-06T00:00:00.000Z</x:v>
      </x:c>
      <x:c r="F919" s="4" t="str">
        <x:v>Destinos</x:v>
      </x:c>
      <x:c r="G919" s="11" t="n">
        <x:v>1128</x:v>
      </x:c>
      <x:c r="H919" s="11" t="n">
        <x:v>200</x:v>
      </x:c>
      <x:c r="I919" s="11" t="n">
        <x:v>1</x:v>
      </x:c>
      <x:c r="J919" s="4" t="str">
        <x:v>https://blog.skyairline.com/siete-tazas/</x:v>
      </x:c>
      <x:c r="K919" s="16" t="b">
        <x:v>0</x:v>
      </x:c>
      <x:c r="L919" s="11" t="n">
        <x:v>0</x:v>
      </x:c>
      <x:c r="M919" s="11" t="n">
        <x:v>0</x:v>
      </x:c>
      <x:c r="N919" s="4"/>
      <x:c r="O919" s="4"/>
      <x:c r="P919" s="11" t="n">
        <x:v>1</x:v>
      </x:c>
      <x:c r="Q919" s="11" t="n">
        <x:v>1</x:v>
      </x:c>
      <x:c r="R919" s="11" t="n">
        <x:f>IF(OR(P919="",Q919=""),"",Q919-P919)</x:f>
        <x:v>0</x:v>
      </x:c>
      <x:c r="S919" s="13" t="n">
        <x:f>IF(OR(P919="",Q919="",P919=0),"",((Q919/30)/(P919/31))-1)</x:f>
        <x:v>0.03333333333333344</x:v>
      </x:c>
      <x:c r="T919" s="11" t="n">
        <x:v>275</x:v>
      </x:c>
      <x:c r="U919" s="11" t="n">
        <x:v>716</x:v>
      </x:c>
      <x:c r="V919" s="14" t="n">
        <x:v>0.0013966480446927375</x:v>
      </x:c>
      <x:c r="W919" s="12" t="n">
        <x:v>9.201117318435754</x:v>
      </x:c>
      <x:c r="X919" s="11" t="n">
        <x:v>1</x:v>
      </x:c>
      <x:c r="Y919" s="11" t="n">
        <x:v>1</x:v>
      </x:c>
      <x:c r="Z919" s="4" t="str">
        <x:v>https://blog.skyairline.com/siete-tazas/</x:v>
      </x:c>
      <x:c r="AA919" s="4" t="str">
        <x:v>https://blog.skyairline.com/siete-tazas/</x:v>
      </x:c>
      <x:c r="AB919" s="4" t="str">
        <x:v>Coincidencia URL</x:v>
      </x:c>
      <x:c r="AC919" s="4" t="str">
        <x:v>Publicado hasta septiembre</x:v>
      </x:c>
      <x:c r="AD919" s="4" t="str">
        <x:v>/siete-tazas/</x:v>
      </x:c>
      <x:c r="AE919" s="4"/>
      <x:c r="AF919" s="16" t="b">
        <x:v>0</x:v>
      </x:c>
    </x:row>
    <x:row r="920" ht="44" customHeight="1">
      <x:c r="A920" s="4" t="n">
        <x:v>9148</x:v>
      </x:c>
      <x:c r="B920" s="4" t="str">
        <x:v>https://blog.skyairline.com/caleta-condor-2/</x:v>
      </x:c>
      <x:c r="C920" s="9" t="str">
        <x:v>Caleta Cóndor: qué hacer, cómo planificar la visita y consejos para un viaje responsable</x:v>
      </x:c>
      <x:c r="D920" s="17" t="d">
        <x:v>2026-08-11T00:00:00.000Z</x:v>
      </x:c>
      <x:c r="E920" s="17" t="d">
        <x:v>2026-08-06T00:00:00.000Z</x:v>
      </x:c>
      <x:c r="F920" s="4" t="str">
        <x:v>Destinos</x:v>
      </x:c>
      <x:c r="G920" s="11" t="n">
        <x:v>1007</x:v>
      </x:c>
      <x:c r="H920" s="11" t="n">
        <x:v>200</x:v>
      </x:c>
      <x:c r="I920" s="11" t="n">
        <x:v>1</x:v>
      </x:c>
      <x:c r="J920" s="4" t="str">
        <x:v>https://blog.skyairline.com/caleta-condor-2/</x:v>
      </x:c>
      <x:c r="K920" s="16" t="b">
        <x:v>0</x:v>
      </x:c>
      <x:c r="L920" s="11" t="n">
        <x:v>0</x:v>
      </x:c>
      <x:c r="M920" s="11" t="n">
        <x:v>0</x:v>
      </x:c>
      <x:c r="N920" s="4"/>
      <x:c r="O920" s="4"/>
      <x:c r="P920" s="11" t="n">
        <x:v>0</x:v>
      </x:c>
      <x:c r="Q920" s="11" t="n">
        <x:v>1</x:v>
      </x:c>
      <x:c r="R920" s="11" t="str">
        <x:f>IF(OR(P920="",Q920=""),"",Q920-P920)</x:f>
      </x:c>
      <x:c r="S920" s="13" t="str">
        <x:f>IF(OR(P920="",Q920="",P920=0),"",((Q920/30)/(P920/31))-1)</x:f>
      </x:c>
      <x:c r="T920" s="11" t="n">
        <x:v>157</x:v>
      </x:c>
      <x:c r="U920" s="11" t="n">
        <x:v>169</x:v>
      </x:c>
      <x:c r="V920" s="14" t="n">
        <x:v>0.005917159763313609</x:v>
      </x:c>
      <x:c r="W920" s="12" t="n">
        <x:v>12.633136094674557</x:v>
      </x:c>
      <x:c r="X920" s="11" t="n">
        <x:v>1</x:v>
      </x:c>
      <x:c r="Y920" s="11" t="n">
        <x:v>1</x:v>
      </x:c>
      <x:c r="Z920" s="4" t="str">
        <x:v>https://blog.skyairline.com/caleta-condor-2/</x:v>
      </x:c>
      <x:c r="AA920" s="4" t="str">
        <x:v>https://blog.skyairline.com/caleta-condor-2/</x:v>
      </x:c>
      <x:c r="AB920" s="4" t="str">
        <x:v>Coincidencia URL</x:v>
      </x:c>
      <x:c r="AC920" s="4" t="str">
        <x:v>Publicado hasta septiembre</x:v>
      </x:c>
      <x:c r="AD920" s="4" t="str">
        <x:v>/caleta-condor-2/</x:v>
      </x:c>
      <x:c r="AE920" s="4"/>
      <x:c r="AF920" s="16" t="b">
        <x:v>0</x:v>
      </x:c>
    </x:row>
    <x:row r="921" ht="44" customHeight="1">
      <x:c r="A921" s="4" t="n">
        <x:v>9172</x:v>
      </x:c>
      <x:c r="B921" s="4" t="str">
        <x:v>https://blog.skyairline.com/tesoro-escondido-orillas-del-lago-ranco/</x:v>
      </x:c>
      <x:c r="C921" s="9" t="str">
        <x:v>Encántate con Futrono: el tesoro escondido a orillas del Lago Ranco</x:v>
      </x:c>
      <x:c r="D921" s="17" t="d">
        <x:v>2026-08-23T00:00:00.000Z</x:v>
      </x:c>
      <x:c r="E921" s="17" t="d">
        <x:v>2026-08-20T00:00:00.000Z</x:v>
      </x:c>
      <x:c r="F921" s="4" t="str">
        <x:v>Destinos</x:v>
      </x:c>
      <x:c r="G921" s="11" t="n">
        <x:v>1083</x:v>
      </x:c>
      <x:c r="H921" s="11" t="n">
        <x:v>200</x:v>
      </x:c>
      <x:c r="I921" s="11" t="n">
        <x:v>1</x:v>
      </x:c>
      <x:c r="J921" s="4" t="str">
        <x:v>https://blog.skyairline.com/tesoro-escondido-orillas-del-lago-ranco/</x:v>
      </x:c>
      <x:c r="K921" s="16" t="b">
        <x:v>0</x:v>
      </x:c>
      <x:c r="L921" s="11" t="n">
        <x:v>0</x:v>
      </x:c>
      <x:c r="M921" s="11" t="n">
        <x:v>0</x:v>
      </x:c>
      <x:c r="N921" s="4"/>
      <x:c r="O921" s="4"/>
      <x:c r="P921" s="11" t="n">
        <x:v>1</x:v>
      </x:c>
      <x:c r="Q921" s="11" t="n">
        <x:v>1</x:v>
      </x:c>
      <x:c r="R921" s="11" t="n">
        <x:f>IF(OR(P921="",Q921=""),"",Q921-P921)</x:f>
        <x:v>0</x:v>
      </x:c>
      <x:c r="S921" s="13" t="n">
        <x:f>IF(OR(P921="",Q921="",P921=0),"",((Q921/30)/(P921/31))-1)</x:f>
        <x:v>0.03333333333333344</x:v>
      </x:c>
      <x:c r="T921" s="11" t="n">
        <x:v>337</x:v>
      </x:c>
      <x:c r="U921" s="11" t="n">
        <x:v>941</x:v>
      </x:c>
      <x:c r="V921" s="14" t="n">
        <x:v>0.0010626992561105207</x:v>
      </x:c>
      <x:c r="W921" s="12" t="n">
        <x:v>9.453772582359193</x:v>
      </x:c>
      <x:c r="X921" s="11" t="n">
        <x:v>1</x:v>
      </x:c>
      <x:c r="Y921" s="11" t="n">
        <x:v>1</x:v>
      </x:c>
      <x:c r="Z921" s="4" t="str">
        <x:v>https://blog.skyairline.com/tesoro-escondido-orillas-del-lago-ranco/</x:v>
      </x:c>
      <x:c r="AA921" s="4" t="str">
        <x:v>https://blog.skyairline.com/tesoro-escondido-orillas-del-lago-ranco/
https://blog.skyairline.com/tesoro-escondido-orillas-del-lago-ranco</x:v>
      </x:c>
      <x:c r="AB921" s="4" t="str">
        <x:v>Alias slash agregado</x:v>
      </x:c>
      <x:c r="AC921" s="4" t="str">
        <x:v>Publicado hasta septiembre</x:v>
      </x:c>
      <x:c r="AD921" s="4" t="str">
        <x:v>/tesoro-escondido-orillas-del-lago-ranco/</x:v>
      </x:c>
      <x:c r="AE921" s="4"/>
      <x:c r="AF921" s="16" t="b">
        <x:v>0</x:v>
      </x:c>
    </x:row>
    <x:row r="922" ht="44" customHeight="1">
      <x:c r="A922" s="4" t="n">
        <x:v>9186</x:v>
      </x:c>
      <x:c r="B922" s="4" t="str">
        <x:v>https://blog.skyairline.com/antillanca/</x:v>
      </x:c>
      <x:c r="C922" s="9" t="str">
        <x:v>Antillanca: centro de esquí y montaña en el corazón del parque nacional Puyehue</x:v>
      </x:c>
      <x:c r="D922" s="17" t="d">
        <x:v>2026-08-31T00:00:00.000Z</x:v>
      </x:c>
      <x:c r="E922" s="17" t="d">
        <x:v>2026-08-28T00:00:00.000Z</x:v>
      </x:c>
      <x:c r="F922" s="4" t="str">
        <x:v>Destinos</x:v>
      </x:c>
      <x:c r="G922" s="11" t="n">
        <x:v>1046</x:v>
      </x:c>
      <x:c r="H922" s="11" t="n">
        <x:v>200</x:v>
      </x:c>
      <x:c r="I922" s="11" t="n">
        <x:v>1</x:v>
      </x:c>
      <x:c r="J922" s="4" t="str">
        <x:v>https://blog.skyairline.com/antillanca/</x:v>
      </x:c>
      <x:c r="K922" s="16" t="b">
        <x:v>0</x:v>
      </x:c>
      <x:c r="L922" s="11" t="n">
        <x:v>0</x:v>
      </x:c>
      <x:c r="M922" s="11" t="n">
        <x:v>0</x:v>
      </x:c>
      <x:c r="N922" s="4"/>
      <x:c r="O922" s="4"/>
      <x:c r="P922" s="11" t="n">
        <x:v>0</x:v>
      </x:c>
      <x:c r="Q922" s="11" t="n">
        <x:v>1</x:v>
      </x:c>
      <x:c r="R922" s="11" t="str">
        <x:f>IF(OR(P922="",Q922=""),"",Q922-P922)</x:f>
      </x:c>
      <x:c r="S922" s="13" t="str">
        <x:f>IF(OR(P922="",Q922="",P922=0),"",((Q922/30)/(P922/31))-1)</x:f>
      </x:c>
      <x:c r="T922" s="11" t="n">
        <x:v>1</x:v>
      </x:c>
      <x:c r="U922" s="11" t="n">
        <x:v>590</x:v>
      </x:c>
      <x:c r="V922" s="14" t="n">
        <x:v>0.001694915254237288</x:v>
      </x:c>
      <x:c r="W922" s="12" t="n">
        <x:v>7.828813559322034</x:v>
      </x:c>
      <x:c r="X922" s="11" t="n">
        <x:v>2</x:v>
      </x:c>
      <x:c r="Y922" s="11" t="n">
        <x:v>2</x:v>
      </x:c>
      <x:c r="Z922" s="4" t="str">
        <x:v>https://blog.skyairline.com/antillanca/</x:v>
      </x:c>
      <x:c r="AA922" s="4" t="str">
        <x:v>https://blog.skyairline.com/antillanca/</x:v>
      </x:c>
      <x:c r="AB922" s="4" t="str">
        <x:v>Coincidencia URL</x:v>
      </x:c>
      <x:c r="AC922" s="4" t="str">
        <x:v>Publicado hasta septiembre</x:v>
      </x:c>
      <x:c r="AD922" s="4" t="str">
        <x:v>/antillanca/</x:v>
      </x:c>
      <x:c r="AE922" s="4"/>
      <x:c r="AF922" s="16" t="b">
        <x:v>0</x:v>
      </x:c>
    </x:row>
    <x:row r="923" ht="44" customHeight="1">
      <x:c r="A923" s="4" t="n">
        <x:v>9189</x:v>
      </x:c>
      <x:c r="B923" s="4" t="str">
        <x:v>https://blog.skyairline.com/termas-de-chillan/</x:v>
      </x:c>
      <x:c r="C923" s="9" t="str">
        <x:v>Termas de Chillán: termas y nieve en un solo lugar</x:v>
      </x:c>
      <x:c r="D923" s="17" t="d">
        <x:v>2026-08-29T00:00:00.000Z</x:v>
      </x:c>
      <x:c r="E923" s="17" t="d">
        <x:v>2026-08-28T00:00:00.000Z</x:v>
      </x:c>
      <x:c r="F923" s="4" t="str">
        <x:v>Destinos</x:v>
      </x:c>
      <x:c r="G923" s="11" t="n">
        <x:v>1093</x:v>
      </x:c>
      <x:c r="H923" s="11" t="n">
        <x:v>200</x:v>
      </x:c>
      <x:c r="I923" s="11" t="n">
        <x:v>1</x:v>
      </x:c>
      <x:c r="J923" s="4" t="str">
        <x:v>https://blog.skyairline.com/termas-de-chillan/</x:v>
      </x:c>
      <x:c r="K923" s="16" t="b">
        <x:v>0</x:v>
      </x:c>
      <x:c r="L923" s="11" t="n">
        <x:v>0</x:v>
      </x:c>
      <x:c r="M923" s="11" t="n">
        <x:v>0</x:v>
      </x:c>
      <x:c r="N923" s="4"/>
      <x:c r="O923" s="4"/>
      <x:c r="P923" s="11" t="n">
        <x:v>0</x:v>
      </x:c>
      <x:c r="Q923" s="11" t="n">
        <x:v>1</x:v>
      </x:c>
      <x:c r="R923" s="11" t="str">
        <x:f>IF(OR(P923="",Q923=""),"",Q923-P923)</x:f>
      </x:c>
      <x:c r="S923" s="13" t="str">
        <x:f>IF(OR(P923="",Q923="",P923=0),"",((Q923/30)/(P923/31))-1)</x:f>
      </x:c>
      <x:c r="T923" s="11" t="n">
        <x:v>48</x:v>
      </x:c>
      <x:c r="U923" s="11" t="n">
        <x:v>774</x:v>
      </x:c>
      <x:c r="V923" s="14" t="n">
        <x:v>0.0012919896640826874</x:v>
      </x:c>
      <x:c r="W923" s="12" t="n">
        <x:v>13.213178294573643</x:v>
      </x:c>
      <x:c r="X923" s="11" t="n">
        <x:v>3</x:v>
      </x:c>
      <x:c r="Y923" s="11" t="n">
        <x:v>4</x:v>
      </x:c>
      <x:c r="Z923" s="4" t="str">
        <x:v>https://blog.skyairline.com/termas-de-chillan/</x:v>
      </x:c>
      <x:c r="AA923" s="4" t="str">
        <x:v>https://blog.skyairline.com/termas-de-chillan/</x:v>
      </x:c>
      <x:c r="AB923" s="4" t="str">
        <x:v>Coincidencia URL</x:v>
      </x:c>
      <x:c r="AC923" s="4" t="str">
        <x:v>Publicado hasta septiembre</x:v>
      </x:c>
      <x:c r="AD923" s="4" t="str">
        <x:v>/termas-de-chillan/</x:v>
      </x:c>
      <x:c r="AE923" s="4"/>
      <x:c r="AF923" s="16" t="b">
        <x:v>0</x:v>
      </x:c>
    </x:row>
    <x:row r="924" ht="44" customHeight="1">
      <x:c r="A924" s="4" t="n">
        <x:v>9221</x:v>
      </x:c>
      <x:c r="B924" s="4" t="str">
        <x:v>https://blog.skyairline.com/cultura-lambayeque/</x:v>
      </x:c>
      <x:c r="C924" s="9" t="str">
        <x:v>Viaje arqueológico al norte de Perú y sumérgete en la cultura Lambayeque</x:v>
      </x:c>
      <x:c r="D924" s="17" t="d">
        <x:v>2026-09-03T00:00:00.000Z</x:v>
      </x:c>
      <x:c r="E924" s="17" t="d">
        <x:v>2026-09-04T00:00:00.000Z</x:v>
      </x:c>
      <x:c r="F924" s="4" t="str">
        <x:v>Cultura</x:v>
      </x:c>
      <x:c r="G924" s="11" t="n">
        <x:v>988</x:v>
      </x:c>
      <x:c r="H924" s="11" t="n">
        <x:v>200</x:v>
      </x:c>
      <x:c r="I924" s="11" t="n">
        <x:v>1</x:v>
      </x:c>
      <x:c r="J924" s="4" t="str">
        <x:v>https://blog.skyairline.com/cultura-lambayeque/</x:v>
      </x:c>
      <x:c r="K924" s="16" t="b">
        <x:v>0</x:v>
      </x:c>
      <x:c r="L924" s="11" t="n">
        <x:v>0</x:v>
      </x:c>
      <x:c r="M924" s="11" t="n">
        <x:v>0</x:v>
      </x:c>
      <x:c r="N924" s="4"/>
      <x:c r="O924" s="4"/>
      <x:c r="P924" s="11"/>
      <x:c r="Q924" s="11" t="n">
        <x:v>1</x:v>
      </x:c>
      <x:c r="R924" s="11" t="str">
        <x:f>IF(OR(P924="",Q924=""),"",Q924-P924)</x:f>
      </x:c>
      <x:c r="S924" s="13" t="str">
        <x:f>IF(OR(P924="",Q924="",P924=0),"",((Q924/30)/(P924/31))-1)</x:f>
      </x:c>
      <x:c r="T924" s="11"/>
      <x:c r="U924" s="11" t="n">
        <x:v>81</x:v>
      </x:c>
      <x:c r="V924" s="14" t="n">
        <x:v>0.012345679012345678</x:v>
      </x:c>
      <x:c r="W924" s="12" t="n">
        <x:v>7.888888888888889</x:v>
      </x:c>
      <x:c r="X924" s="11" t="n">
        <x:v>1</x:v>
      </x:c>
      <x:c r="Y924" s="11" t="n">
        <x:v>1</x:v>
      </x:c>
      <x:c r="Z924" s="4"/>
      <x:c r="AA924" s="4" t="str">
        <x:v>https://blog.skyairline.com/cultura-lambayeque/</x:v>
      </x:c>
      <x:c r="AB924" s="4" t="str">
        <x:v>Coincidencia URL</x:v>
      </x:c>
      <x:c r="AC924" s="4" t="str">
        <x:v>Publicado hasta septiembre</x:v>
      </x:c>
      <x:c r="AD924" s="4" t="str">
        <x:v>/cultura-lambayeque/</x:v>
      </x:c>
      <x:c r="AE924" s="4"/>
      <x:c r="AF924" s="16" t="b">
        <x:v>0</x:v>
      </x:c>
    </x:row>
    <x:row r="925" ht="44" customHeight="1">
      <x:c r="A925" s="4" t="n">
        <x:v>9232</x:v>
      </x:c>
      <x:c r="B925" s="4" t="str">
        <x:v>https://blog.skyairline.com/catedral-metropolitana-de-buenos-aires/</x:v>
      </x:c>
      <x:c r="C925" s="9" t="str">
        <x:v>Visita la Catedral Metropolitana de Buenos Aires</x:v>
      </x:c>
      <x:c r="D925" s="17" t="d">
        <x:v>2026-09-06T00:00:00.000Z</x:v>
      </x:c>
      <x:c r="E925" s="17" t="d">
        <x:v>2026-09-04T00:00:00.000Z</x:v>
      </x:c>
      <x:c r="F925" s="4" t="str">
        <x:v>Destinos</x:v>
      </x:c>
      <x:c r="G925" s="11" t="n">
        <x:v>1071</x:v>
      </x:c>
      <x:c r="H925" s="11" t="n">
        <x:v>200</x:v>
      </x:c>
      <x:c r="I925" s="11" t="n">
        <x:v>1</x:v>
      </x:c>
      <x:c r="J925" s="4" t="str">
        <x:v>https://blog.skyairline.com/catedral-metropolitana-de-buenos-aires/</x:v>
      </x:c>
      <x:c r="K925" s="16" t="b">
        <x:v>0</x:v>
      </x:c>
      <x:c r="L925" s="11" t="n">
        <x:v>0</x:v>
      </x:c>
      <x:c r="M925" s="11" t="n">
        <x:v>0</x:v>
      </x:c>
      <x:c r="N925" s="4"/>
      <x:c r="O925" s="4"/>
      <x:c r="P925" s="11"/>
      <x:c r="Q925" s="11" t="n">
        <x:v>1</x:v>
      </x:c>
      <x:c r="R925" s="11" t="str">
        <x:f>IF(OR(P925="",Q925=""),"",Q925-P925)</x:f>
      </x:c>
      <x:c r="S925" s="13" t="str">
        <x:f>IF(OR(P925="",Q925="",P925=0),"",((Q925/30)/(P925/31))-1)</x:f>
      </x:c>
      <x:c r="T925" s="11"/>
      <x:c r="U925" s="11" t="n">
        <x:v>156</x:v>
      </x:c>
      <x:c r="V925" s="14" t="n">
        <x:v>0.00641025641025641</x:v>
      </x:c>
      <x:c r="W925" s="12" t="n">
        <x:v>10.666666666666666</x:v>
      </x:c>
      <x:c r="X925" s="11" t="n">
        <x:v>4</x:v>
      </x:c>
      <x:c r="Y925" s="11" t="n">
        <x:v>4</x:v>
      </x:c>
      <x:c r="Z925" s="4"/>
      <x:c r="AA925" s="4" t="str">
        <x:v>https://blog.skyairline.com/catedral-metropolitana-de-buenos-aires/</x:v>
      </x:c>
      <x:c r="AB925" s="4" t="str">
        <x:v>Coincidencia URL</x:v>
      </x:c>
      <x:c r="AC925" s="4" t="str">
        <x:v>Publicado hasta septiembre</x:v>
      </x:c>
      <x:c r="AD925" s="4" t="str">
        <x:v>/catedral-metropolitana-de-buenos-aires/</x:v>
      </x:c>
      <x:c r="AE925" s="4"/>
      <x:c r="AF925" s="16" t="b">
        <x:v>0</x:v>
      </x:c>
    </x:row>
    <x:row r="926" ht="44" customHeight="1">
      <x:c r="A926" s="4" t="n">
        <x:v>9305</x:v>
      </x:c>
      <x:c r="B926" s="4" t="str">
        <x:v>https://blog.skyairline.com/pelourinho-bahia/</x:v>
      </x:c>
      <x:c r="C926" s="9" t="str">
        <x:v>Pelourinho: el corazón histórico y cultural de Salvador de Bahía</x:v>
      </x:c>
      <x:c r="D926" s="17" t="d">
        <x:v>2026-09-20T00:00:00.000Z</x:v>
      </x:c>
      <x:c r="E926" s="17" t="d">
        <x:v>2026-09-15T00:00:00.000Z</x:v>
      </x:c>
      <x:c r="F926" s="4" t="str">
        <x:v>Destinos</x:v>
      </x:c>
      <x:c r="G926" s="11" t="n">
        <x:v>1052</x:v>
      </x:c>
      <x:c r="H926" s="11" t="n">
        <x:v>200</x:v>
      </x:c>
      <x:c r="I926" s="11" t="n">
        <x:v>1</x:v>
      </x:c>
      <x:c r="J926" s="4" t="str">
        <x:v>https://blog.skyairline.com/pelourinho-bahia/</x:v>
      </x:c>
      <x:c r="K926" s="16" t="b">
        <x:v>0</x:v>
      </x:c>
      <x:c r="L926" s="11" t="n">
        <x:v>0</x:v>
      </x:c>
      <x:c r="M926" s="11" t="n">
        <x:v>0</x:v>
      </x:c>
      <x:c r="N926" s="4"/>
      <x:c r="O926" s="4"/>
      <x:c r="P926" s="11"/>
      <x:c r="Q926" s="11" t="n">
        <x:v>1</x:v>
      </x:c>
      <x:c r="R926" s="11" t="str">
        <x:f>IF(OR(P926="",Q926=""),"",Q926-P926)</x:f>
      </x:c>
      <x:c r="S926" s="13" t="str">
        <x:f>IF(OR(P926="",Q926="",P926=0),"",((Q926/30)/(P926/31))-1)</x:f>
      </x:c>
      <x:c r="T926" s="11"/>
      <x:c r="U926" s="11" t="n">
        <x:v>331</x:v>
      </x:c>
      <x:c r="V926" s="14" t="n">
        <x:v>0.0030211480362537764</x:v>
      </x:c>
      <x:c r="W926" s="12" t="n">
        <x:v>6.75226586102719</x:v>
      </x:c>
      <x:c r="X926" s="11" t="n">
        <x:v>1</x:v>
      </x:c>
      <x:c r="Y926" s="11" t="n">
        <x:v>1</x:v>
      </x:c>
      <x:c r="Z926" s="4"/>
      <x:c r="AA926" s="4" t="str">
        <x:v>https://blog.skyairline.com/pelourinho-bahia/</x:v>
      </x:c>
      <x:c r="AB926" s="4" t="str">
        <x:v>Coincidencia URL</x:v>
      </x:c>
      <x:c r="AC926" s="4" t="str">
        <x:v>Publicado hasta septiembre</x:v>
      </x:c>
      <x:c r="AD926" s="4" t="str">
        <x:v>/pelourinho-bahia/</x:v>
      </x:c>
      <x:c r="AE926" s="4"/>
      <x:c r="AF926" s="16" t="b">
        <x:v>0</x:v>
      </x:c>
    </x:row>
    <x:row r="927" ht="44" customHeight="1">
      <x:c r="A927" s="4" t="n">
        <x:v>9320</x:v>
      </x:c>
      <x:c r="B927" s="4" t="str">
        <x:v>https://blog.skyairline.com/cochamo/</x:v>
      </x:c>
      <x:c r="C927" s="9" t="str">
        <x:v>Cochamó: qué hacer, cómo llegar y qué visitar en este destino de la Patagonia Verde</x:v>
      </x:c>
      <x:c r="D927" s="17" t="d">
        <x:v>2026-09-25T00:00:00.000Z</x:v>
      </x:c>
      <x:c r="E927" s="17" t="d">
        <x:v>2026-09-21T00:00:00.000Z</x:v>
      </x:c>
      <x:c r="F927" s="4" t="str">
        <x:v>Destinos</x:v>
      </x:c>
      <x:c r="G927" s="11" t="n">
        <x:v>1103</x:v>
      </x:c>
      <x:c r="H927" s="11" t="n">
        <x:v>200</x:v>
      </x:c>
      <x:c r="I927" s="11" t="n">
        <x:v>1</x:v>
      </x:c>
      <x:c r="J927" s="4" t="str">
        <x:v>https://blog.skyairline.com/cochamo/</x:v>
      </x:c>
      <x:c r="K927" s="16" t="b">
        <x:v>0</x:v>
      </x:c>
      <x:c r="L927" s="11" t="n">
        <x:v>0</x:v>
      </x:c>
      <x:c r="M927" s="11" t="n">
        <x:v>0</x:v>
      </x:c>
      <x:c r="N927" s="4"/>
      <x:c r="O927" s="4"/>
      <x:c r="P927" s="11"/>
      <x:c r="Q927" s="11" t="n">
        <x:v>1</x:v>
      </x:c>
      <x:c r="R927" s="11" t="str">
        <x:f>IF(OR(P927="",Q927=""),"",Q927-P927)</x:f>
      </x:c>
      <x:c r="S927" s="13" t="str">
        <x:f>IF(OR(P927="",Q927="",P927=0),"",((Q927/30)/(P927/31))-1)</x:f>
      </x:c>
      <x:c r="T927" s="11"/>
      <x:c r="U927" s="11" t="n">
        <x:v>369</x:v>
      </x:c>
      <x:c r="V927" s="14" t="n">
        <x:v>0.0027100271002710027</x:v>
      </x:c>
      <x:c r="W927" s="12" t="n">
        <x:v>10.588075880758808</x:v>
      </x:c>
      <x:c r="X927" s="11" t="n">
        <x:v>1</x:v>
      </x:c>
      <x:c r="Y927" s="11" t="n">
        <x:v>1</x:v>
      </x:c>
      <x:c r="Z927" s="4"/>
      <x:c r="AA927" s="4" t="str">
        <x:v>https://blog.skyairline.com/cochamo/</x:v>
      </x:c>
      <x:c r="AB927" s="4" t="str">
        <x:v>Coincidencia URL</x:v>
      </x:c>
      <x:c r="AC927" s="4" t="str">
        <x:v>Publicado hasta septiembre</x:v>
      </x:c>
      <x:c r="AD927" s="4" t="str">
        <x:v>/cochamo/</x:v>
      </x:c>
      <x:c r="AE927" s="4"/>
      <x:c r="AF927" s="16" t="b">
        <x:v>0</x:v>
      </x:c>
    </x:row>
    <x:row r="928" ht="44" customHeight="1">
      <x:c r="A928" s="4" t="n">
        <x:v>9411</x:v>
      </x:c>
      <x:c r="B928" s="4" t="str">
        <x:v>https://blog.skyairline.com/oceania-se-incorpora-a-la-red-de-sky-gracias-a-un-acuerdo-interlineal-con-qantas-airways/</x:v>
      </x:c>
      <x:c r="C928" s="9" t="str">
        <x:v>Qantas Airways conecta a SKY con Oceanía por primera vez</x:v>
      </x:c>
      <x:c r="D928" s="17" t="d">
        <x:v>2026-09-28T00:00:00.000Z</x:v>
      </x:c>
      <x:c r="E928" s="17" t="d">
        <x:v>2026-09-28T00:00:00.000Z</x:v>
      </x:c>
      <x:c r="F928" s="4" t="str">
        <x:v>Noticias</x:v>
      </x:c>
      <x:c r="G928" s="11" t="n">
        <x:v>178</x:v>
      </x:c>
      <x:c r="H928" s="11" t="n">
        <x:v>200</x:v>
      </x:c>
      <x:c r="I928" s="11" t="n">
        <x:v>1</x:v>
      </x:c>
      <x:c r="J928" s="4" t="str">
        <x:v>https://blog.skyairline.com/oceania-se-incorpora-a-la-red-de-sky-gracias-a-un-acuerdo-interlineal-con-qantas-airways/</x:v>
      </x:c>
      <x:c r="K928" s="16" t="b">
        <x:v>0</x:v>
      </x:c>
      <x:c r="L928" s="11" t="n">
        <x:v>0</x:v>
      </x:c>
      <x:c r="M928" s="11" t="n">
        <x:v>0</x:v>
      </x:c>
      <x:c r="N928" s="4"/>
      <x:c r="O928" s="4"/>
      <x:c r="P928" s="11"/>
      <x:c r="Q928" s="11" t="n">
        <x:v>1</x:v>
      </x:c>
      <x:c r="R928" s="11" t="str">
        <x:f>IF(OR(P928="",Q928=""),"",Q928-P928)</x:f>
      </x:c>
      <x:c r="S928" s="13" t="str">
        <x:f>IF(OR(P928="",Q928="",P928=0),"",((Q928/30)/(P928/31))-1)</x:f>
      </x:c>
      <x:c r="T928" s="11"/>
      <x:c r="U928" s="11" t="n">
        <x:v>60</x:v>
      </x:c>
      <x:c r="V928" s="14" t="n">
        <x:v>0.016666666666666666</x:v>
      </x:c>
      <x:c r="W928" s="12" t="n">
        <x:v>4.483333333333333</x:v>
      </x:c>
      <x:c r="X928" s="11" t="n">
        <x:v>3</x:v>
      </x:c>
      <x:c r="Y928" s="11" t="n">
        <x:v>4</x:v>
      </x:c>
      <x:c r="Z928" s="4"/>
      <x:c r="AA928" s="4" t="str">
        <x:v>https://blog.skyairline.com/oceania-se-incorpora-a-la-red-de-sky-gracias-a-un-acuerdo-interlineal-con-qantas-airways/</x:v>
      </x:c>
      <x:c r="AB928" s="4" t="str">
        <x:v>Coincidencia URL</x:v>
      </x:c>
      <x:c r="AC928" s="4" t="str">
        <x:v>Publicado hasta septiembre</x:v>
      </x:c>
      <x:c r="AD928" s="4" t="str">
        <x:v>/oceania-se-incorpora-a-la-red-de-sky-gracias-a-un-acuerdo-interlineal-con-qantas-airways/</x:v>
      </x:c>
      <x:c r="AE928" s="4"/>
      <x:c r="AF928" s="16" t="b">
        <x:v>0</x:v>
      </x:c>
    </x:row>
    <x:row r="929" ht="44" customHeight="1">
      <x:c r="A929" s="4" t="n">
        <x:v>29</x:v>
      </x:c>
      <x:c r="B929" s="4" t="str">
        <x:v>https://blog.skyairline.com/viajar-dentro-de-chile/</x:v>
      </x:c>
      <x:c r="C929" s="9" t="str">
        <x:v>Viajar dentro de Chile: conoce los mejores destinos</x:v>
      </x:c>
      <x:c r="D929" s="17" t="d">
        <x:v>2021-05-27T00:00:00.000Z</x:v>
      </x:c>
      <x:c r="E929" s="17" t="d">
        <x:v>2021-05-27T00:00:00.000Z</x:v>
      </x:c>
      <x:c r="F929" s="4" t="str">
        <x:v>Destinos</x:v>
      </x:c>
      <x:c r="G929" s="11" t="n">
        <x:v>1071</x:v>
      </x:c>
      <x:c r="H929" s="11" t="n">
        <x:v>200</x:v>
      </x:c>
      <x:c r="I929" s="11" t="n">
        <x:v>1</x:v>
      </x:c>
      <x:c r="J929" s="4" t="str">
        <x:v>https://blog.skyairline.com/viajar-dentro-de-chile/</x:v>
      </x:c>
      <x:c r="K929" s="16" t="b">
        <x:v>0</x:v>
      </x:c>
      <x:c r="L929" s="11" t="n">
        <x:v>0</x:v>
      </x:c>
      <x:c r="M929" s="11" t="n">
        <x:v>0</x:v>
      </x:c>
      <x:c r="N929" s="4"/>
      <x:c r="O929" s="4"/>
      <x:c r="P929" s="11" t="n">
        <x:v>0</x:v>
      </x:c>
      <x:c r="Q929" s="11" t="n">
        <x:v>0</x:v>
      </x:c>
      <x:c r="R929" s="11" t="str">
        <x:f>IF(OR(P929="",Q929=""),"",Q929-P929)</x:f>
      </x:c>
      <x:c r="S929" s="13" t="str">
        <x:f>IF(OR(P929="",Q929="",P929=0),"",((Q929/30)/(P929/31))-1)</x:f>
      </x:c>
      <x:c r="T929" s="11" t="n">
        <x:v>95</x:v>
      </x:c>
      <x:c r="U929" s="11" t="n">
        <x:v>50</x:v>
      </x:c>
      <x:c r="V929" s="14" t="n">
        <x:v>0</x:v>
      </x:c>
      <x:c r="W929" s="12" t="n">
        <x:v>10.48</x:v>
      </x:c>
      <x:c r="X929" s="11" t="n">
        <x:v>2</x:v>
      </x:c>
      <x:c r="Y929" s="11" t="n">
        <x:v>2</x:v>
      </x:c>
      <x:c r="Z929" s="4" t="str">
        <x:v>https://blog.skyairline.com/viajar-dentro-de-chile/</x:v>
      </x:c>
      <x:c r="AA929" s="4" t="str">
        <x:v>https://blog.skyairline.com/viajar-dentro-de-chile/</x:v>
      </x:c>
      <x:c r="AB929" s="4" t="str">
        <x:v>Coincidencia URL</x:v>
      </x:c>
      <x:c r="AC929" s="4" t="str">
        <x:v>Publicado hasta septiembre</x:v>
      </x:c>
      <x:c r="AD929" s="4" t="str">
        <x:v>/viajar-dentro-de-chile/</x:v>
      </x:c>
      <x:c r="AE929" s="4"/>
      <x:c r="AF929" s="16" t="b">
        <x:v>0</x:v>
      </x:c>
    </x:row>
    <x:row r="930" ht="44" customHeight="1">
      <x:c r="A930" s="4" t="n">
        <x:v>32</x:v>
      </x:c>
      <x:c r="B930" s="4" t="str">
        <x:v>https://blog.skyairline.com/lugares-para-visitar-en-invierno-en-chile/</x:v>
      </x:c>
      <x:c r="C930" s="9" t="str">
        <x:v>6 lugares que debes visitar para disfrutar de la belleza del invierno chileno</x:v>
      </x:c>
      <x:c r="D930" s="17" t="d">
        <x:v>2021-05-31T00:00:00.000Z</x:v>
      </x:c>
      <x:c r="E930" s="17" t="d">
        <x:v>2021-05-31T00:00:00.000Z</x:v>
      </x:c>
      <x:c r="F930" s="4" t="str">
        <x:v>Destinos</x:v>
      </x:c>
      <x:c r="G930" s="11" t="n">
        <x:v>1104</x:v>
      </x:c>
      <x:c r="H930" s="11" t="n">
        <x:v>200</x:v>
      </x:c>
      <x:c r="I930" s="11" t="n">
        <x:v>1</x:v>
      </x:c>
      <x:c r="J930" s="4" t="str">
        <x:v>https://blog.skyairline.com/lugares-para-visitar-en-invierno-en-chile/</x:v>
      </x:c>
      <x:c r="K930" s="16" t="b">
        <x:v>0</x:v>
      </x:c>
      <x:c r="L930" s="11" t="n">
        <x:v>0</x:v>
      </x:c>
      <x:c r="M930" s="11" t="n">
        <x:v>0</x:v>
      </x:c>
      <x:c r="N930" s="4"/>
      <x:c r="O930" s="4"/>
      <x:c r="P930" s="11" t="n">
        <x:v>1</x:v>
      </x:c>
      <x:c r="Q930" s="11" t="n">
        <x:v>0</x:v>
      </x:c>
      <x:c r="R930" s="11" t="str">
        <x:f>IF(OR(P930="",Q930=""),"",Q930-P930)</x:f>
      </x:c>
      <x:c r="S930" s="13" t="str">
        <x:f>IF(OR(P930="",Q930="",P930=0),"",((Q930/30)/(P930/31))-1)</x:f>
      </x:c>
      <x:c r="T930" s="11" t="n">
        <x:v>71</x:v>
      </x:c>
      <x:c r="U930" s="11" t="n">
        <x:v>47</x:v>
      </x:c>
      <x:c r="V930" s="14" t="n">
        <x:v>0</x:v>
      </x:c>
      <x:c r="W930" s="12" t="n">
        <x:v>41.787234042553195</x:v>
      </x:c>
      <x:c r="X930" s="11"/>
      <x:c r="Y930" s="11"/>
      <x:c r="Z930" s="4" t="str">
        <x:v>https://blog.skyairline.com/lugares-para-visitar-en-invierno-en-chile/</x:v>
      </x:c>
      <x:c r="AA930" s="4" t="str">
        <x:v>https://blog.skyairline.com/lugares-para-visitar-en-invierno-en-chile/</x:v>
      </x:c>
      <x:c r="AB930" s="4" t="str">
        <x:v>Coincidencia URL</x:v>
      </x:c>
      <x:c r="AC930" s="4" t="str">
        <x:v>Publicado hasta septiembre</x:v>
      </x:c>
      <x:c r="AD930" s="4"/>
      <x:c r="AE930" s="4"/>
      <x:c r="AF930" s="16" t="b">
        <x:v>0</x:v>
      </x:c>
    </x:row>
    <x:row r="931" ht="44" customHeight="1">
      <x:c r="A931" s="4" t="n">
        <x:v>36</x:v>
      </x:c>
      <x:c r="B931" s="4" t="str">
        <x:v>https://blog.skyairline.com/medidas-de-bioseguridad/</x:v>
      </x:c>
      <x:c r="C931" s="9" t="str">
        <x:v>4 medidas de bioseguridad que están adoptando las aerolíneas</x:v>
      </x:c>
      <x:c r="D931" s="17" t="d">
        <x:v>2021-05-20T00:00:00.000Z</x:v>
      </x:c>
      <x:c r="E931" s="17" t="d">
        <x:v>2021-05-20T00:00:00.000Z</x:v>
      </x:c>
      <x:c r="F931" s="4" t="str">
        <x:v>Cultura</x:v>
      </x:c>
      <x:c r="G931" s="11" t="n">
        <x:v>1037</x:v>
      </x:c>
      <x:c r="H931" s="11" t="n">
        <x:v>200</x:v>
      </x:c>
      <x:c r="I931" s="11" t="n">
        <x:v>1</x:v>
      </x:c>
      <x:c r="J931" s="4" t="str">
        <x:v>https://blog.skyairline.com/medidas-de-bioseguridad/</x:v>
      </x:c>
      <x:c r="K931" s="16" t="b">
        <x:v>0</x:v>
      </x:c>
      <x:c r="L931" s="11" t="n">
        <x:v>0</x:v>
      </x:c>
      <x:c r="M931" s="11" t="n">
        <x:v>0</x:v>
      </x:c>
      <x:c r="N931" s="4"/>
      <x:c r="O931" s="4"/>
      <x:c r="P931" s="11" t="n">
        <x:v>0</x:v>
      </x:c>
      <x:c r="Q931" s="11" t="n">
        <x:v>0</x:v>
      </x:c>
      <x:c r="R931" s="11" t="str">
        <x:f>IF(OR(P931="",Q931=""),"",Q931-P931)</x:f>
      </x:c>
      <x:c r="S931" s="13" t="str">
        <x:f>IF(OR(P931="",Q931="",P931=0),"",((Q931/30)/(P931/31))-1)</x:f>
      </x:c>
      <x:c r="T931" s="11" t="n">
        <x:v>95</x:v>
      </x:c>
      <x:c r="U931" s="11" t="n">
        <x:v>55</x:v>
      </x:c>
      <x:c r="V931" s="14" t="n">
        <x:v>0</x:v>
      </x:c>
      <x:c r="W931" s="12" t="n">
        <x:v>5.545454545454546</x:v>
      </x:c>
      <x:c r="X931" s="11" t="n">
        <x:v>5</x:v>
      </x:c>
      <x:c r="Y931" s="11" t="n">
        <x:v>6</x:v>
      </x:c>
      <x:c r="Z931" s="4" t="str">
        <x:v>https://blog.skyairline.com/medidas-de-bioseguridad/</x:v>
      </x:c>
      <x:c r="AA931" s="4" t="str">
        <x:v>https://blog.skyairline.com/medidas-de-bioseguridad/</x:v>
      </x:c>
      <x:c r="AB931" s="4" t="str">
        <x:v>Coincidencia URL</x:v>
      </x:c>
      <x:c r="AC931" s="4" t="str">
        <x:v>Publicado hasta septiembre</x:v>
      </x:c>
      <x:c r="AD931" s="4" t="str">
        <x:v>/medidas-de-bioseguridad/</x:v>
      </x:c>
      <x:c r="AE931" s="4"/>
      <x:c r="AF931" s="16" t="b">
        <x:v>0</x:v>
      </x:c>
    </x:row>
    <x:row r="932" ht="44" customHeight="1">
      <x:c r="A932" s="4" t="n">
        <x:v>40</x:v>
      </x:c>
      <x:c r="B932" s="4" t="str">
        <x:v>https://blog.skyairline.com/itinerario-de-viaje/</x:v>
      </x:c>
      <x:c r="C932" s="9" t="str">
        <x:v>¿Qué incluye un buen itinerario de viaje?</x:v>
      </x:c>
      <x:c r="D932" s="17" t="d">
        <x:v>2021-05-24T00:00:00.000Z</x:v>
      </x:c>
      <x:c r="E932" s="17" t="d">
        <x:v>2021-05-24T00:00:00.000Z</x:v>
      </x:c>
      <x:c r="F932" s="4" t="str">
        <x:v>Planificación de Viaje</x:v>
      </x:c>
      <x:c r="G932" s="11" t="n">
        <x:v>1005</x:v>
      </x:c>
      <x:c r="H932" s="11" t="n">
        <x:v>200</x:v>
      </x:c>
      <x:c r="I932" s="11" t="n">
        <x:v>1</x:v>
      </x:c>
      <x:c r="J932" s="4" t="str">
        <x:v>https://blog.skyairline.com/itinerario-de-viaje/</x:v>
      </x:c>
      <x:c r="K932" s="16" t="b">
        <x:v>0</x:v>
      </x:c>
      <x:c r="L932" s="11" t="n">
        <x:v>0</x:v>
      </x:c>
      <x:c r="M932" s="11" t="n">
        <x:v>0</x:v>
      </x:c>
      <x:c r="N932" s="4"/>
      <x:c r="O932" s="4"/>
      <x:c r="P932" s="11" t="n">
        <x:v>2</x:v>
      </x:c>
      <x:c r="Q932" s="11" t="n">
        <x:v>0</x:v>
      </x:c>
      <x:c r="R932" s="11" t="str">
        <x:f>IF(OR(P932="",Q932=""),"",Q932-P932)</x:f>
      </x:c>
      <x:c r="S932" s="13" t="str">
        <x:f>IF(OR(P932="",Q932="",P932=0),"",((Q932/30)/(P932/31))-1)</x:f>
      </x:c>
      <x:c r="T932" s="11" t="n">
        <x:v>469</x:v>
      </x:c>
      <x:c r="U932" s="11" t="n">
        <x:v>274</x:v>
      </x:c>
      <x:c r="V932" s="14" t="n">
        <x:v>0</x:v>
      </x:c>
      <x:c r="W932" s="12" t="n">
        <x:v>25.773722627737225</x:v>
      </x:c>
      <x:c r="X932" s="11" t="n">
        <x:v>1</x:v>
      </x:c>
      <x:c r="Y932" s="11" t="n">
        <x:v>1</x:v>
      </x:c>
      <x:c r="Z932" s="4" t="str">
        <x:v>https://blog.skyairline.com/itinerario-de-viaje/</x:v>
      </x:c>
      <x:c r="AA932" s="4" t="str">
        <x:v>https://blog.skyairline.com/itinerario-de-viaje/</x:v>
      </x:c>
      <x:c r="AB932" s="4" t="str">
        <x:v>Coincidencia URL</x:v>
      </x:c>
      <x:c r="AC932" s="4" t="str">
        <x:v>Publicado hasta septiembre</x:v>
      </x:c>
      <x:c r="AD932" s="4" t="str">
        <x:v>/itinerario-de-viaje/</x:v>
      </x:c>
      <x:c r="AE932" s="4"/>
      <x:c r="AF932" s="16" t="b">
        <x:v>0</x:v>
      </x:c>
    </x:row>
    <x:row r="933" ht="44" customHeight="1">
      <x:c r="A933" s="4" t="n">
        <x:v>43</x:v>
      </x:c>
      <x:c r="B933" s="4" t="str">
        <x:v>https://blog.skyairline.com/viajes-economicos/</x:v>
      </x:c>
      <x:c r="C933" s="9" t="str">
        <x:v> Viajes económicos: 7 consejos para volar barato</x:v>
      </x:c>
      <x:c r="D933" s="17" t="d">
        <x:v>2021-06-04T00:00:00.000Z</x:v>
      </x:c>
      <x:c r="E933" s="17" t="d">
        <x:v>2021-06-04T00:00:00.000Z</x:v>
      </x:c>
      <x:c r="F933" s="4" t="str">
        <x:v>Planificación de Viaje</x:v>
      </x:c>
      <x:c r="G933" s="11" t="n">
        <x:v>1032</x:v>
      </x:c>
      <x:c r="H933" s="11" t="n">
        <x:v>200</x:v>
      </x:c>
      <x:c r="I933" s="11" t="n">
        <x:v>1</x:v>
      </x:c>
      <x:c r="J933" s="4" t="str">
        <x:v>https://blog.skyairline.com/viajes-economicos/</x:v>
      </x:c>
      <x:c r="K933" s="16" t="b">
        <x:v>0</x:v>
      </x:c>
      <x:c r="L933" s="11" t="n">
        <x:v>0</x:v>
      </x:c>
      <x:c r="M933" s="11" t="n">
        <x:v>4</x:v>
      </x:c>
      <x:c r="N933" s="4"/>
      <x:c r="O933" s="4"/>
      <x:c r="P933" s="11" t="n">
        <x:v>1</x:v>
      </x:c>
      <x:c r="Q933" s="11" t="n">
        <x:v>0</x:v>
      </x:c>
      <x:c r="R933" s="11" t="str">
        <x:f>IF(OR(P933="",Q933=""),"",Q933-P933)</x:f>
      </x:c>
      <x:c r="S933" s="13" t="str">
        <x:f>IF(OR(P933="",Q933="",P933=0),"",((Q933/30)/(P933/31))-1)</x:f>
      </x:c>
      <x:c r="T933" s="11" t="n">
        <x:v>34</x:v>
      </x:c>
      <x:c r="U933" s="11" t="n">
        <x:v>248</x:v>
      </x:c>
      <x:c r="V933" s="14" t="n">
        <x:v>0</x:v>
      </x:c>
      <x:c r="W933" s="12" t="n">
        <x:v>6.358870967741935</x:v>
      </x:c>
      <x:c r="X933" s="11"/>
      <x:c r="Y933" s="11"/>
      <x:c r="Z933" s="4" t="str">
        <x:v>https://blog.skyairline.com/viajes-economicos/</x:v>
      </x:c>
      <x:c r="AA933" s="4" t="str">
        <x:v>https://blog.skyairline.com/viajes-economicos/</x:v>
      </x:c>
      <x:c r="AB933" s="4" t="str">
        <x:v>Coincidencia URL</x:v>
      </x:c>
      <x:c r="AC933" s="4" t="str">
        <x:v>Publicado hasta septiembre</x:v>
      </x:c>
      <x:c r="AD933" s="4"/>
      <x:c r="AE933" s="4"/>
      <x:c r="AF933" s="16" t="b">
        <x:v>0</x:v>
      </x:c>
    </x:row>
    <x:row r="934" ht="44" customHeight="1">
      <x:c r="A934" s="4" t="n">
        <x:v>53</x:v>
      </x:c>
      <x:c r="B934" s="4" t="str">
        <x:v>https://blog.skyairline.com/organizar-un-viaje/</x:v>
      </x:c>
      <x:c r="C934" s="9" t="str">
        <x:v>Planifica tu viaje paso a paso (checklist sin estrés)</x:v>
      </x:c>
      <x:c r="D934" s="17" t="d">
        <x:v>2026-03-04T00:00:00.000Z</x:v>
      </x:c>
      <x:c r="E934" s="17" t="d">
        <x:v>2026-03-02T00:00:00.000Z</x:v>
      </x:c>
      <x:c r="F934" s="4" t="str">
        <x:v>Planificación de Viaje</x:v>
      </x:c>
      <x:c r="G934" s="11" t="n">
        <x:v>1013</x:v>
      </x:c>
      <x:c r="H934" s="11" t="n">
        <x:v>200</x:v>
      </x:c>
      <x:c r="I934" s="11" t="n">
        <x:v>1</x:v>
      </x:c>
      <x:c r="J934" s="4" t="str">
        <x:v>https://blog.skyairline.com/organizar-un-viaje/</x:v>
      </x:c>
      <x:c r="K934" s="16" t="b">
        <x:v>0</x:v>
      </x:c>
      <x:c r="L934" s="11" t="n">
        <x:v>0</x:v>
      </x:c>
      <x:c r="M934" s="11" t="n">
        <x:v>0</x:v>
      </x:c>
      <x:c r="N934" s="4"/>
      <x:c r="O934" s="4"/>
      <x:c r="P934" s="11" t="n">
        <x:v>2</x:v>
      </x:c>
      <x:c r="Q934" s="11" t="n">
        <x:v>0</x:v>
      </x:c>
      <x:c r="R934" s="11" t="str">
        <x:f>IF(OR(P934="",Q934=""),"",Q934-P934)</x:f>
      </x:c>
      <x:c r="S934" s="13" t="str">
        <x:f>IF(OR(P934="",Q934="",P934=0),"",((Q934/30)/(P934/31))-1)</x:f>
      </x:c>
      <x:c r="T934" s="11" t="n">
        <x:v>470</x:v>
      </x:c>
      <x:c r="U934" s="11" t="n">
        <x:v>202</x:v>
      </x:c>
      <x:c r="V934" s="14" t="n">
        <x:v>0</x:v>
      </x:c>
      <x:c r="W934" s="12" t="n">
        <x:v>32.66831683168317</x:v>
      </x:c>
      <x:c r="X934" s="11" t="n">
        <x:v>2</x:v>
      </x:c>
      <x:c r="Y934" s="11" t="n">
        <x:v>2</x:v>
      </x:c>
      <x:c r="Z934" s="4" t="str">
        <x:v>https://blog.skyairline.com/organizar-un-viaje/</x:v>
      </x:c>
      <x:c r="AA934" s="4" t="str">
        <x:v>https://blog.skyairline.com/organizar-un-viaje/</x:v>
      </x:c>
      <x:c r="AB934" s="4" t="str">
        <x:v>Coincidencia URL</x:v>
      </x:c>
      <x:c r="AC934" s="4" t="str">
        <x:v>Publicado hasta septiembre</x:v>
      </x:c>
      <x:c r="AD934" s="4" t="str">
        <x:v>/organizar-un-viaje/</x:v>
      </x:c>
      <x:c r="AE934" s="4"/>
      <x:c r="AF934" s="16" t="b">
        <x:v>0</x:v>
      </x:c>
    </x:row>
    <x:row r="935" ht="44" customHeight="1">
      <x:c r="A935" s="4" t="n">
        <x:v>66</x:v>
      </x:c>
      <x:c r="B935" s="4" t="str">
        <x:v>https://blog.skyairline.com/viaje-barato/</x:v>
      </x:c>
      <x:c r="C935" s="9" t="str">
        <x:v>Planificación: El primer paso para lograr un viaje barato</x:v>
      </x:c>
      <x:c r="D935" s="17" t="d">
        <x:v>2021-06-11T00:00:00.000Z</x:v>
      </x:c>
      <x:c r="E935" s="17" t="d">
        <x:v>2021-06-11T00:00:00.000Z</x:v>
      </x:c>
      <x:c r="F935" s="4" t="str">
        <x:v>Planificación de Viaje</x:v>
      </x:c>
      <x:c r="G935" s="11" t="n">
        <x:v>3029</x:v>
      </x:c>
      <x:c r="H935" s="11" t="n">
        <x:v>200</x:v>
      </x:c>
      <x:c r="I935" s="11" t="n">
        <x:v>1</x:v>
      </x:c>
      <x:c r="J935" s="4" t="str">
        <x:v>https://blog.skyairline.com/viaje-barato/</x:v>
      </x:c>
      <x:c r="K935" s="16" t="b">
        <x:v>0</x:v>
      </x:c>
      <x:c r="L935" s="11" t="n">
        <x:v>0</x:v>
      </x:c>
      <x:c r="M935" s="11" t="n">
        <x:v>0</x:v>
      </x:c>
      <x:c r="N935" s="4"/>
      <x:c r="O935" s="4"/>
      <x:c r="P935" s="11" t="n">
        <x:v>0</x:v>
      </x:c>
      <x:c r="Q935" s="11" t="n">
        <x:v>0</x:v>
      </x:c>
      <x:c r="R935" s="11" t="str">
        <x:f>IF(OR(P935="",Q935=""),"",Q935-P935)</x:f>
      </x:c>
      <x:c r="S935" s="13" t="str">
        <x:f>IF(OR(P935="",Q935="",P935=0),"",((Q935/30)/(P935/31))-1)</x:f>
      </x:c>
      <x:c r="T935" s="11" t="n">
        <x:v>28</x:v>
      </x:c>
      <x:c r="U935" s="11" t="n">
        <x:v>47</x:v>
      </x:c>
      <x:c r="V935" s="14" t="n">
        <x:v>0</x:v>
      </x:c>
      <x:c r="W935" s="12" t="n">
        <x:v>4.680851063829787</x:v>
      </x:c>
      <x:c r="X935" s="11"/>
      <x:c r="Y935" s="11"/>
      <x:c r="Z935" s="4" t="str">
        <x:v>https://blog.skyairline.com/viaje-barato/</x:v>
      </x:c>
      <x:c r="AA935" s="4" t="str">
        <x:v>https://blog.skyairline.com/viaje-barato/</x:v>
      </x:c>
      <x:c r="AB935" s="4" t="str">
        <x:v>Coincidencia URL</x:v>
      </x:c>
      <x:c r="AC935" s="4" t="str">
        <x:v>Publicado hasta septiembre</x:v>
      </x:c>
      <x:c r="AD935" s="4"/>
      <x:c r="AE935" s="4"/>
      <x:c r="AF935" s="16" t="b">
        <x:v>0</x:v>
      </x:c>
    </x:row>
    <x:row r="936" ht="44" customHeight="1">
      <x:c r="A936" s="4" t="n">
        <x:v>75</x:v>
      </x:c>
      <x:c r="B936" s="4" t="str">
        <x:v>https://blog.skyairline.com/museo-virtual/</x:v>
      </x:c>
      <x:c r="C936" s="9" t="str">
        <x:v>Museo virtual: Viaja sin salir de tu casa</x:v>
      </x:c>
      <x:c r="D936" s="17" t="d">
        <x:v>2021-06-16T00:00:00.000Z</x:v>
      </x:c>
      <x:c r="E936" s="17" t="d">
        <x:v>2021-06-16T00:00:00.000Z</x:v>
      </x:c>
      <x:c r="F936" s="4" t="str">
        <x:v>Cultura</x:v>
      </x:c>
      <x:c r="G936" s="11" t="n">
        <x:v>1116</x:v>
      </x:c>
      <x:c r="H936" s="11" t="n">
        <x:v>200</x:v>
      </x:c>
      <x:c r="I936" s="11" t="n">
        <x:v>1</x:v>
      </x:c>
      <x:c r="J936" s="4" t="str">
        <x:v>https://blog.skyairline.com/museo-virtual/</x:v>
      </x:c>
      <x:c r="K936" s="16" t="b">
        <x:v>0</x:v>
      </x:c>
      <x:c r="L936" s="11" t="n">
        <x:v>0</x:v>
      </x:c>
      <x:c r="M936" s="11" t="n">
        <x:v>0</x:v>
      </x:c>
      <x:c r="N936" s="4"/>
      <x:c r="O936" s="4"/>
      <x:c r="P936" s="11" t="n">
        <x:v>0</x:v>
      </x:c>
      <x:c r="Q936" s="11" t="n">
        <x:v>0</x:v>
      </x:c>
      <x:c r="R936" s="11" t="str">
        <x:f>IF(OR(P936="",Q936=""),"",Q936-P936)</x:f>
      </x:c>
      <x:c r="S936" s="13" t="str">
        <x:f>IF(OR(P936="",Q936="",P936=0),"",((Q936/30)/(P936/31))-1)</x:f>
      </x:c>
      <x:c r="T936" s="11" t="n">
        <x:v>5</x:v>
      </x:c>
      <x:c r="U936" s="11" t="n">
        <x:v>10</x:v>
      </x:c>
      <x:c r="V936" s="14" t="n">
        <x:v>0</x:v>
      </x:c>
      <x:c r="W936" s="12" t="n">
        <x:v>10.4</x:v>
      </x:c>
      <x:c r="X936" s="11"/>
      <x:c r="Y936" s="11"/>
      <x:c r="Z936" s="4" t="str">
        <x:v>https://blog.skyairline.com/museo-virtual/</x:v>
      </x:c>
      <x:c r="AA936" s="4" t="str">
        <x:v>https://blog.skyairline.com/museo-virtual/</x:v>
      </x:c>
      <x:c r="AB936" s="4" t="str">
        <x:v>Coincidencia URL</x:v>
      </x:c>
      <x:c r="AC936" s="4" t="str">
        <x:v>Publicado hasta septiembre</x:v>
      </x:c>
      <x:c r="AD936" s="4"/>
      <x:c r="AE936" s="4"/>
      <x:c r="AF936" s="16" t="b">
        <x:v>0</x:v>
      </x:c>
    </x:row>
    <x:row r="937" ht="44" customHeight="1">
      <x:c r="A937" s="4" t="n">
        <x:v>78</x:v>
      </x:c>
      <x:c r="B937" s="4" t="str">
        <x:v>https://blog.skyairline.com/reservar-hotel/</x:v>
      </x:c>
      <x:c r="C937" s="9" t="str">
        <x:v>Reservar hotel: Tips para encontrar la mejor opción para ti</x:v>
      </x:c>
      <x:c r="D937" s="17" t="d">
        <x:v>2021-06-17T00:00:00.000Z</x:v>
      </x:c>
      <x:c r="E937" s="17" t="d">
        <x:v>2021-06-17T00:00:00.000Z</x:v>
      </x:c>
      <x:c r="F937" s="4" t="str">
        <x:v>Planificación de Viaje</x:v>
      </x:c>
      <x:c r="G937" s="11" t="n">
        <x:v>1031</x:v>
      </x:c>
      <x:c r="H937" s="11" t="n">
        <x:v>200</x:v>
      </x:c>
      <x:c r="I937" s="11" t="n">
        <x:v>1</x:v>
      </x:c>
      <x:c r="J937" s="4" t="str">
        <x:v>https://blog.skyairline.com/reservar-hotel/</x:v>
      </x:c>
      <x:c r="K937" s="16" t="b">
        <x:v>0</x:v>
      </x:c>
      <x:c r="L937" s="11" t="n">
        <x:v>0</x:v>
      </x:c>
      <x:c r="M937" s="11" t="n">
        <x:v>0</x:v>
      </x:c>
      <x:c r="N937" s="4"/>
      <x:c r="O937" s="4"/>
      <x:c r="P937" s="11" t="n">
        <x:v>0</x:v>
      </x:c>
      <x:c r="Q937" s="11" t="n">
        <x:v>0</x:v>
      </x:c>
      <x:c r="R937" s="11" t="str">
        <x:f>IF(OR(P937="",Q937=""),"",Q937-P937)</x:f>
      </x:c>
      <x:c r="S937" s="13" t="str">
        <x:f>IF(OR(P937="",Q937="",P937=0),"",((Q937/30)/(P937/31))-1)</x:f>
      </x:c>
      <x:c r="T937" s="11" t="n">
        <x:v>44</x:v>
      </x:c>
      <x:c r="U937" s="11" t="n">
        <x:v>33</x:v>
      </x:c>
      <x:c r="V937" s="14" t="n">
        <x:v>0</x:v>
      </x:c>
      <x:c r="W937" s="12" t="n">
        <x:v>12.030303030303031</x:v>
      </x:c>
      <x:c r="X937" s="11"/>
      <x:c r="Y937" s="11"/>
      <x:c r="Z937" s="4" t="str">
        <x:v>https://blog.skyairline.com/reservar-hotel/</x:v>
      </x:c>
      <x:c r="AA937" s="4" t="str">
        <x:v>https://blog.skyairline.com/reservar-hotel/</x:v>
      </x:c>
      <x:c r="AB937" s="4" t="str">
        <x:v>Coincidencia URL</x:v>
      </x:c>
      <x:c r="AC937" s="4" t="str">
        <x:v>Publicado hasta septiembre</x:v>
      </x:c>
      <x:c r="AD937" s="4"/>
      <x:c r="AE937" s="4"/>
      <x:c r="AF937" s="16" t="b">
        <x:v>0</x:v>
      </x:c>
    </x:row>
    <x:row r="938" ht="44" customHeight="1">
      <x:c r="A938" s="4" t="n">
        <x:v>87</x:v>
      </x:c>
      <x:c r="B938" s="4" t="str">
        <x:v>https://blog.skyairline.com/planificacion-de-viajes/</x:v>
      </x:c>
      <x:c r="C938" s="9" t="str">
        <x:v>9 Tips básicos de planificación de viajes que te ayudarán a evitar preocupaciones.</x:v>
      </x:c>
      <x:c r="D938" s="17" t="d">
        <x:v>2021-06-25T00:00:00.000Z</x:v>
      </x:c>
      <x:c r="E938" s="17" t="d">
        <x:v>2021-06-25T00:00:00.000Z</x:v>
      </x:c>
      <x:c r="F938" s="4" t="str">
        <x:v>Planificación de Viaje</x:v>
      </x:c>
      <x:c r="G938" s="11" t="n">
        <x:v>1105</x:v>
      </x:c>
      <x:c r="H938" s="11" t="n">
        <x:v>200</x:v>
      </x:c>
      <x:c r="I938" s="11" t="n">
        <x:v>1</x:v>
      </x:c>
      <x:c r="J938" s="4" t="str">
        <x:v>https://blog.skyairline.com/planificacion-de-viajes/</x:v>
      </x:c>
      <x:c r="K938" s="16" t="b">
        <x:v>0</x:v>
      </x:c>
      <x:c r="L938" s="11" t="n">
        <x:v>0</x:v>
      </x:c>
      <x:c r="M938" s="11" t="n">
        <x:v>0</x:v>
      </x:c>
      <x:c r="N938" s="4"/>
      <x:c r="O938" s="4"/>
      <x:c r="P938" s="11" t="n">
        <x:v>0</x:v>
      </x:c>
      <x:c r="Q938" s="11" t="n">
        <x:v>0</x:v>
      </x:c>
      <x:c r="R938" s="11" t="str">
        <x:f>IF(OR(P938="",Q938=""),"",Q938-P938)</x:f>
      </x:c>
      <x:c r="S938" s="13" t="str">
        <x:f>IF(OR(P938="",Q938="",P938=0),"",((Q938/30)/(P938/31))-1)</x:f>
      </x:c>
      <x:c r="T938" s="11" t="n">
        <x:v>12</x:v>
      </x:c>
      <x:c r="U938" s="11" t="n">
        <x:v>29</x:v>
      </x:c>
      <x:c r="V938" s="14" t="n">
        <x:v>0</x:v>
      </x:c>
      <x:c r="W938" s="12" t="n">
        <x:v>15.931034482758621</x:v>
      </x:c>
      <x:c r="X938" s="11" t="n">
        <x:v>1</x:v>
      </x:c>
      <x:c r="Y938" s="11" t="n">
        <x:v>1</x:v>
      </x:c>
      <x:c r="Z938" s="4" t="str">
        <x:v>https://blog.skyairline.com/planificacion-de-viajes/</x:v>
      </x:c>
      <x:c r="AA938" s="4" t="str">
        <x:v>https://blog.skyairline.com/planificacion-de-viajes/</x:v>
      </x:c>
      <x:c r="AB938" s="4" t="str">
        <x:v>Coincidencia URL</x:v>
      </x:c>
      <x:c r="AC938" s="4" t="str">
        <x:v>Publicado hasta septiembre</x:v>
      </x:c>
      <x:c r="AD938" s="4" t="str">
        <x:v>/planificacion-de-viajes/</x:v>
      </x:c>
      <x:c r="AE938" s="4"/>
      <x:c r="AF938" s="16" t="b">
        <x:v>0</x:v>
      </x:c>
    </x:row>
    <x:row r="939" ht="44" customHeight="1">
      <x:c r="A939" s="4" t="n">
        <x:v>90</x:v>
      </x:c>
      <x:c r="B939" s="4" t="str">
        <x:v>https://blog.skyairline.com/low-cost/</x:v>
      </x:c>
      <x:c r="C939" s="9" t="str">
        <x:v>Low cost: 6 ventajas de los vuelos de bajo costo</x:v>
      </x:c>
      <x:c r="D939" s="17" t="d">
        <x:v>2023-10-06T00:00:00.000Z</x:v>
      </x:c>
      <x:c r="E939" s="17" t="d">
        <x:v>2023-10-06T00:00:00.000Z</x:v>
      </x:c>
      <x:c r="F939" s="4" t="str">
        <x:v>Planificación de Viaje</x:v>
      </x:c>
      <x:c r="G939" s="11" t="n">
        <x:v>1084</x:v>
      </x:c>
      <x:c r="H939" s="11" t="n">
        <x:v>200</x:v>
      </x:c>
      <x:c r="I939" s="11" t="n">
        <x:v>1</x:v>
      </x:c>
      <x:c r="J939" s="4" t="str">
        <x:v>https://blog.skyairline.com/low-cost/</x:v>
      </x:c>
      <x:c r="K939" s="16" t="b">
        <x:v>0</x:v>
      </x:c>
      <x:c r="L939" s="11" t="n">
        <x:v>0</x:v>
      </x:c>
      <x:c r="M939" s="11" t="n">
        <x:v>4</x:v>
      </x:c>
      <x:c r="N939" s="4"/>
      <x:c r="O939" s="4"/>
      <x:c r="P939" s="11" t="n">
        <x:v>5</x:v>
      </x:c>
      <x:c r="Q939" s="11" t="n">
        <x:v>0</x:v>
      </x:c>
      <x:c r="R939" s="11" t="str">
        <x:f>IF(OR(P939="",Q939=""),"",Q939-P939)</x:f>
      </x:c>
      <x:c r="S939" s="13" t="str">
        <x:f>IF(OR(P939="",Q939="",P939=0),"",((Q939/30)/(P939/31))-1)</x:f>
      </x:c>
      <x:c r="T939" s="11" t="n">
        <x:v>1157</x:v>
      </x:c>
      <x:c r="U939" s="11" t="n">
        <x:v>949</x:v>
      </x:c>
      <x:c r="V939" s="14" t="n">
        <x:v>0</x:v>
      </x:c>
      <x:c r="W939" s="12" t="n">
        <x:v>7.535300316122234</x:v>
      </x:c>
      <x:c r="X939" s="11" t="n">
        <x:v>3</x:v>
      </x:c>
      <x:c r="Y939" s="11" t="n">
        <x:v>3</x:v>
      </x:c>
      <x:c r="Z939" s="4" t="str">
        <x:v>https://blog.skyairline.com/low-cost/</x:v>
      </x:c>
      <x:c r="AA939" s="4" t="str">
        <x:v>https://blog.skyairline.com/low-cost/</x:v>
      </x:c>
      <x:c r="AB939" s="4" t="str">
        <x:v>Coincidencia URL</x:v>
      </x:c>
      <x:c r="AC939" s="4" t="str">
        <x:v>Publicado hasta septiembre</x:v>
      </x:c>
      <x:c r="AD939" s="4" t="str">
        <x:v>/low-cost/</x:v>
      </x:c>
      <x:c r="AE939" s="4"/>
      <x:c r="AF939" s="16" t="b">
        <x:v>1</x:v>
      </x:c>
    </x:row>
    <x:row r="940" ht="44" customHeight="1">
      <x:c r="A940" s="4" t="n">
        <x:v>97</x:v>
      </x:c>
      <x:c r="B940" s="4" t="str">
        <x:v>https://blog.skyairline.com/como-viajar-con-poco-dinero/</x:v>
      </x:c>
      <x:c r="C940" s="9" t="str">
        <x:v>¿Cómo viajar con poco dinero?: 7 consejos clave que te serán de gran ayuda</x:v>
      </x:c>
      <x:c r="D940" s="17" t="d">
        <x:v>2021-07-08T00:00:00.000Z</x:v>
      </x:c>
      <x:c r="E940" s="17" t="d">
        <x:v>2021-07-08T00:00:00.000Z</x:v>
      </x:c>
      <x:c r="F940" s="4" t="str">
        <x:v>Planificación de Viaje</x:v>
      </x:c>
      <x:c r="G940" s="11" t="n">
        <x:v>1002</x:v>
      </x:c>
      <x:c r="H940" s="11" t="n">
        <x:v>200</x:v>
      </x:c>
      <x:c r="I940" s="11" t="n">
        <x:v>1</x:v>
      </x:c>
      <x:c r="J940" s="4" t="str">
        <x:v>https://blog.skyairline.com/como-viajar-con-poco-dinero/</x:v>
      </x:c>
      <x:c r="K940" s="16" t="b">
        <x:v>0</x:v>
      </x:c>
      <x:c r="L940" s="11" t="n">
        <x:v>0</x:v>
      </x:c>
      <x:c r="M940" s="11" t="n">
        <x:v>0</x:v>
      </x:c>
      <x:c r="N940" s="4"/>
      <x:c r="O940" s="4"/>
      <x:c r="P940" s="11" t="n">
        <x:v>0</x:v>
      </x:c>
      <x:c r="Q940" s="11" t="n">
        <x:v>0</x:v>
      </x:c>
      <x:c r="R940" s="11" t="str">
        <x:f>IF(OR(P940="",Q940=""),"",Q940-P940)</x:f>
      </x:c>
      <x:c r="S940" s="13" t="str">
        <x:f>IF(OR(P940="",Q940="",P940=0),"",((Q940/30)/(P940/31))-1)</x:f>
      </x:c>
      <x:c r="T940" s="11" t="n">
        <x:v>2</x:v>
      </x:c>
      <x:c r="U940" s="11" t="n">
        <x:v>5</x:v>
      </x:c>
      <x:c r="V940" s="14" t="n">
        <x:v>0</x:v>
      </x:c>
      <x:c r="W940" s="12" t="n">
        <x:v>4.6</x:v>
      </x:c>
      <x:c r="X940" s="11"/>
      <x:c r="Y940" s="11"/>
      <x:c r="Z940" s="4" t="str">
        <x:v>https://blog.skyairline.com/como-viajar-con-poco-dinero/</x:v>
      </x:c>
      <x:c r="AA940" s="4" t="str">
        <x:v>https://blog.skyairline.com/como-viajar-con-poco-dinero/</x:v>
      </x:c>
      <x:c r="AB940" s="4" t="str">
        <x:v>Coincidencia URL</x:v>
      </x:c>
      <x:c r="AC940" s="4" t="str">
        <x:v>Publicado hasta septiembre</x:v>
      </x:c>
      <x:c r="AD940" s="4"/>
      <x:c r="AE940" s="4"/>
      <x:c r="AF940" s="16" t="b">
        <x:v>0</x:v>
      </x:c>
    </x:row>
    <x:row r="941" ht="44" customHeight="1">
      <x:c r="A941" s="4" t="n">
        <x:v>103</x:v>
      </x:c>
      <x:c r="B941" s="4" t="str">
        <x:v>https://blog.skyairline.com/mejores-lugares-para-viajar/</x:v>
      </x:c>
      <x:c r="C941" s="9" t="str">
        <x:v>7 de los mejores lugares para viajar en América Latina</x:v>
      </x:c>
      <x:c r="D941" s="17" t="d">
        <x:v>2021-07-07T00:00:00.000Z</x:v>
      </x:c>
      <x:c r="E941" s="17" t="d">
        <x:v>2021-07-07T00:00:00.000Z</x:v>
      </x:c>
      <x:c r="F941" s="4" t="str">
        <x:v>Destinos</x:v>
      </x:c>
      <x:c r="G941" s="11" t="n">
        <x:v>3037</x:v>
      </x:c>
      <x:c r="H941" s="11" t="n">
        <x:v>200</x:v>
      </x:c>
      <x:c r="I941" s="11" t="n">
        <x:v>1</x:v>
      </x:c>
      <x:c r="J941" s="4" t="str">
        <x:v>https://blog.skyairline.com/mejores-lugares-para-viajar/</x:v>
      </x:c>
      <x:c r="K941" s="16" t="b">
        <x:v>0</x:v>
      </x:c>
      <x:c r="L941" s="11" t="n">
        <x:v>0</x:v>
      </x:c>
      <x:c r="M941" s="11" t="n">
        <x:v>0</x:v>
      </x:c>
      <x:c r="N941" s="4"/>
      <x:c r="O941" s="4"/>
      <x:c r="P941" s="11" t="n">
        <x:v>0</x:v>
      </x:c>
      <x:c r="Q941" s="11" t="n">
        <x:v>0</x:v>
      </x:c>
      <x:c r="R941" s="11" t="str">
        <x:f>IF(OR(P941="",Q941=""),"",Q941-P941)</x:f>
      </x:c>
      <x:c r="S941" s="13" t="str">
        <x:f>IF(OR(P941="",Q941="",P941=0),"",((Q941/30)/(P941/31))-1)</x:f>
      </x:c>
      <x:c r="T941" s="11" t="n">
        <x:v>46</x:v>
      </x:c>
      <x:c r="U941" s="11" t="n">
        <x:v>24</x:v>
      </x:c>
      <x:c r="V941" s="14" t="n">
        <x:v>0</x:v>
      </x:c>
      <x:c r="W941" s="12" t="n">
        <x:v>9.5</x:v>
      </x:c>
      <x:c r="X941" s="11"/>
      <x:c r="Y941" s="11"/>
      <x:c r="Z941" s="4" t="str">
        <x:v>https://blog.skyairline.com/mejores-lugares-para-viajar/</x:v>
      </x:c>
      <x:c r="AA941" s="4" t="str">
        <x:v>https://blog.skyairline.com/mejores-lugares-para-viajar/</x:v>
      </x:c>
      <x:c r="AB941" s="4" t="str">
        <x:v>Coincidencia URL</x:v>
      </x:c>
      <x:c r="AC941" s="4" t="str">
        <x:v>Publicado hasta septiembre</x:v>
      </x:c>
      <x:c r="AD941" s="4"/>
      <x:c r="AE941" s="4"/>
      <x:c r="AF941" s="16" t="b">
        <x:v>0</x:v>
      </x:c>
    </x:row>
    <x:row r="942" ht="44" customHeight="1">
      <x:c r="A942" s="4" t="n">
        <x:v>107</x:v>
      </x:c>
      <x:c r="B942" s="4" t="str">
        <x:v>https://blog.skyairline.com/pasajes-al-mejor-precio/</x:v>
      </x:c>
      <x:c r="C942" s="9" t="str">
        <x:v>9 tips claves para encontrar pasajes al mejor precio</x:v>
      </x:c>
      <x:c r="D942" s="17" t="d">
        <x:v>2021-07-23T00:00:00.000Z</x:v>
      </x:c>
      <x:c r="E942" s="17" t="d">
        <x:v>2021-07-23T00:00:00.000Z</x:v>
      </x:c>
      <x:c r="F942" s="4" t="str">
        <x:v>Planificación de Viaje</x:v>
      </x:c>
      <x:c r="G942" s="11" t="n">
        <x:v>982</x:v>
      </x:c>
      <x:c r="H942" s="11" t="n">
        <x:v>200</x:v>
      </x:c>
      <x:c r="I942" s="11" t="n">
        <x:v>1</x:v>
      </x:c>
      <x:c r="J942" s="4" t="str">
        <x:v>https://blog.skyairline.com/pasajes-al-mejor-precio/</x:v>
      </x:c>
      <x:c r="K942" s="16" t="b">
        <x:v>0</x:v>
      </x:c>
      <x:c r="L942" s="11" t="n">
        <x:v>0</x:v>
      </x:c>
      <x:c r="M942" s="11" t="n">
        <x:v>0</x:v>
      </x:c>
      <x:c r="N942" s="4"/>
      <x:c r="O942" s="4"/>
      <x:c r="P942" s="11" t="n">
        <x:v>0</x:v>
      </x:c>
      <x:c r="Q942" s="11" t="n">
        <x:v>0</x:v>
      </x:c>
      <x:c r="R942" s="11" t="str">
        <x:f>IF(OR(P942="",Q942=""),"",Q942-P942)</x:f>
      </x:c>
      <x:c r="S942" s="13" t="str">
        <x:f>IF(OR(P942="",Q942="",P942=0),"",((Q942/30)/(P942/31))-1)</x:f>
      </x:c>
      <x:c r="T942" s="11" t="n">
        <x:v>24</x:v>
      </x:c>
      <x:c r="U942" s="11" t="n">
        <x:v>85</x:v>
      </x:c>
      <x:c r="V942" s="14" t="n">
        <x:v>0</x:v>
      </x:c>
      <x:c r="W942" s="12" t="n">
        <x:v>8.470588235294118</x:v>
      </x:c>
      <x:c r="X942" s="11"/>
      <x:c r="Y942" s="11"/>
      <x:c r="Z942" s="4" t="str">
        <x:v>https://blog.skyairline.com/pasajes-al-mejor-precio/</x:v>
      </x:c>
      <x:c r="AA942" s="4" t="str">
        <x:v>https://blog.skyairline.com/pasajes-al-mejor-precio/</x:v>
      </x:c>
      <x:c r="AB942" s="4" t="str">
        <x:v>Coincidencia URL</x:v>
      </x:c>
      <x:c r="AC942" s="4" t="str">
        <x:v>Publicado hasta septiembre</x:v>
      </x:c>
      <x:c r="AD942" s="4"/>
      <x:c r="AE942" s="4"/>
      <x:c r="AF942" s="16" t="b">
        <x:v>0</x:v>
      </x:c>
    </x:row>
    <x:row r="943" ht="44" customHeight="1">
      <x:c r="A943" s="4" t="n">
        <x:v>113</x:v>
      </x:c>
      <x:c r="B943" s="4" t="str">
        <x:v>https://blog.skyairline.com/vacaciones/</x:v>
      </x:c>
      <x:c r="C943" s="9" t="str">
        <x:v>Vacaciones: ¿Por qué debes pensar en el próximo viaje?</x:v>
      </x:c>
      <x:c r="D943" s="17" t="d">
        <x:v>2022-02-04T00:00:00.000Z</x:v>
      </x:c>
      <x:c r="E943" s="17" t="d">
        <x:v>2022-02-04T00:00:00.000Z</x:v>
      </x:c>
      <x:c r="F943" s="4" t="str">
        <x:v>Planificación de Viaje</x:v>
      </x:c>
      <x:c r="G943" s="11" t="n">
        <x:v>1854</x:v>
      </x:c>
      <x:c r="H943" s="11" t="n">
        <x:v>200</x:v>
      </x:c>
      <x:c r="I943" s="11" t="n">
        <x:v>1</x:v>
      </x:c>
      <x:c r="J943" s="4" t="str">
        <x:v>https://blog.skyairline.com/vacaciones/</x:v>
      </x:c>
      <x:c r="K943" s="16" t="b">
        <x:v>0</x:v>
      </x:c>
      <x:c r="L943" s="11" t="n">
        <x:v>0</x:v>
      </x:c>
      <x:c r="M943" s="11" t="n">
        <x:v>5</x:v>
      </x:c>
      <x:c r="N943" s="4"/>
      <x:c r="O943" s="4"/>
      <x:c r="P943" s="11" t="n">
        <x:v>0</x:v>
      </x:c>
      <x:c r="Q943" s="11" t="n">
        <x:v>0</x:v>
      </x:c>
      <x:c r="R943" s="11" t="str">
        <x:f>IF(OR(P943="",Q943=""),"",Q943-P943)</x:f>
      </x:c>
      <x:c r="S943" s="13" t="str">
        <x:f>IF(OR(P943="",Q943="",P943=0),"",((Q943/30)/(P943/31))-1)</x:f>
      </x:c>
      <x:c r="T943" s="11" t="n">
        <x:v>8</x:v>
      </x:c>
      <x:c r="U943" s="11" t="n">
        <x:v>2821</x:v>
      </x:c>
      <x:c r="V943" s="14" t="n">
        <x:v>0</x:v>
      </x:c>
      <x:c r="W943" s="12" t="n">
        <x:v>9.515420063807161</x:v>
      </x:c>
      <x:c r="X943" s="11"/>
      <x:c r="Y943" s="11"/>
      <x:c r="Z943" s="4" t="str">
        <x:v>https://blog.skyairline.com/vacaciones/</x:v>
      </x:c>
      <x:c r="AA943" s="4" t="str">
        <x:v>https://blog.skyairline.com/vacaciones/</x:v>
      </x:c>
      <x:c r="AB943" s="4" t="str">
        <x:v>Coincidencia URL</x:v>
      </x:c>
      <x:c r="AC943" s="4" t="str">
        <x:v>Publicado hasta septiembre</x:v>
      </x:c>
      <x:c r="AD943" s="4"/>
      <x:c r="AE943" s="4"/>
      <x:c r="AF943" s="16" t="b">
        <x:v>1</x:v>
      </x:c>
    </x:row>
    <x:row r="944" ht="44" customHeight="1">
      <x:c r="A944" s="4" t="n">
        <x:v>122</x:v>
      </x:c>
      <x:c r="B944" s="4" t="str">
        <x:v>https://blog.skyairline.com/viajar-a-lima/</x:v>
      </x:c>
      <x:c r="C944" s="9" t="str">
        <x:v>Viajar a Lima: 20 lugares que no puedes dejar de conocer</x:v>
      </x:c>
      <x:c r="D944" s="17" t="d">
        <x:v>2022-02-04T00:00:00.000Z</x:v>
      </x:c>
      <x:c r="E944" s="17" t="d">
        <x:v>2022-02-04T00:00:00.000Z</x:v>
      </x:c>
      <x:c r="F944" s="4" t="str">
        <x:v>Destinos</x:v>
      </x:c>
      <x:c r="G944" s="11" t="n">
        <x:v>1894</x:v>
      </x:c>
      <x:c r="H944" s="11" t="n">
        <x:v>200</x:v>
      </x:c>
      <x:c r="I944" s="11" t="n">
        <x:v>1</x:v>
      </x:c>
      <x:c r="J944" s="4" t="str">
        <x:v>https://blog.skyairline.com/viajar-a-lima/</x:v>
      </x:c>
      <x:c r="K944" s="16" t="b">
        <x:v>0</x:v>
      </x:c>
      <x:c r="L944" s="11" t="n">
        <x:v>0</x:v>
      </x:c>
      <x:c r="M944" s="11" t="n">
        <x:v>2</x:v>
      </x:c>
      <x:c r="N944" s="4"/>
      <x:c r="O944" s="4"/>
      <x:c r="P944" s="11" t="n">
        <x:v>2</x:v>
      </x:c>
      <x:c r="Q944" s="11" t="n">
        <x:v>0</x:v>
      </x:c>
      <x:c r="R944" s="11" t="str">
        <x:f>IF(OR(P944="",Q944=""),"",Q944-P944)</x:f>
      </x:c>
      <x:c r="S944" s="13" t="str">
        <x:f>IF(OR(P944="",Q944="",P944=0),"",((Q944/30)/(P944/31))-1)</x:f>
      </x:c>
      <x:c r="T944" s="11" t="n">
        <x:v>230</x:v>
      </x:c>
      <x:c r="U944" s="11" t="n">
        <x:v>85</x:v>
      </x:c>
      <x:c r="V944" s="14" t="n">
        <x:v>0</x:v>
      </x:c>
      <x:c r="W944" s="12" t="n">
        <x:v>32.635294117647064</x:v>
      </x:c>
      <x:c r="X944" s="11"/>
      <x:c r="Y944" s="11"/>
      <x:c r="Z944" s="4" t="str">
        <x:v>https://blog.skyairline.com/viajar-a-lima/</x:v>
      </x:c>
      <x:c r="AA944" s="4" t="str">
        <x:v>https://blog.skyairline.com/viajar-a-lima/</x:v>
      </x:c>
      <x:c r="AB944" s="4" t="str">
        <x:v>Coincidencia URL</x:v>
      </x:c>
      <x:c r="AC944" s="4" t="str">
        <x:v>Publicado hasta septiembre</x:v>
      </x:c>
      <x:c r="AD944" s="4"/>
      <x:c r="AE944" s="4"/>
      <x:c r="AF944" s="16" t="b">
        <x:v>0</x:v>
      </x:c>
    </x:row>
    <x:row r="945" ht="44" customHeight="1">
      <x:c r="A945" s="4" t="n">
        <x:v>557</x:v>
      </x:c>
      <x:c r="B945" s="4" t="str">
        <x:v>https://blog.skyairline.com/turismo-en-bogota/</x:v>
      </x:c>
      <x:c r="C945" s="9" t="str">
        <x:v>Turismo en Bogotá: ¿Qué hacer y conocer?</x:v>
      </x:c>
      <x:c r="D945" s="17" t="d">
        <x:v>2021-07-17T00:00:00.000Z</x:v>
      </x:c>
      <x:c r="E945" s="17" t="d">
        <x:v>2021-07-17T00:00:00.000Z</x:v>
      </x:c>
      <x:c r="F945" s="4" t="str">
        <x:v>Destinos</x:v>
      </x:c>
      <x:c r="G945" s="11" t="n">
        <x:v>1892</x:v>
      </x:c>
      <x:c r="H945" s="11" t="n">
        <x:v>200</x:v>
      </x:c>
      <x:c r="I945" s="11" t="n">
        <x:v>1</x:v>
      </x:c>
      <x:c r="J945" s="4" t="str">
        <x:v>https://blog.skyairline.com/turismo-en-bogota/</x:v>
      </x:c>
      <x:c r="K945" s="16" t="b">
        <x:v>0</x:v>
      </x:c>
      <x:c r="L945" s="11" t="n">
        <x:v>0</x:v>
      </x:c>
      <x:c r="M945" s="11" t="n">
        <x:v>3</x:v>
      </x:c>
      <x:c r="N945" s="4"/>
      <x:c r="O945" s="4"/>
      <x:c r="P945" s="11" t="n">
        <x:v>0</x:v>
      </x:c>
      <x:c r="Q945" s="11" t="n">
        <x:v>0</x:v>
      </x:c>
      <x:c r="R945" s="11" t="str">
        <x:f>IF(OR(P945="",Q945=""),"",Q945-P945)</x:f>
      </x:c>
      <x:c r="S945" s="13" t="str">
        <x:f>IF(OR(P945="",Q945="",P945=0),"",((Q945/30)/(P945/31))-1)</x:f>
      </x:c>
      <x:c r="T945" s="11" t="n">
        <x:v>70</x:v>
      </x:c>
      <x:c r="U945" s="11" t="n">
        <x:v>35</x:v>
      </x:c>
      <x:c r="V945" s="14" t="n">
        <x:v>0</x:v>
      </x:c>
      <x:c r="W945" s="12" t="n">
        <x:v>14.971428571428572</x:v>
      </x:c>
      <x:c r="X945" s="11"/>
      <x:c r="Y945" s="11"/>
      <x:c r="Z945" s="4" t="str">
        <x:v>https://blog.skyairline.com/turismo-en-bogota/</x:v>
      </x:c>
      <x:c r="AA945" s="4" t="str">
        <x:v>https://blog.skyairline.com/turismo-en-bogota/</x:v>
      </x:c>
      <x:c r="AB945" s="4" t="str">
        <x:v>Coincidencia URL</x:v>
      </x:c>
      <x:c r="AC945" s="4" t="str">
        <x:v>Publicado hasta septiembre</x:v>
      </x:c>
      <x:c r="AD945" s="4"/>
      <x:c r="AE945" s="4"/>
      <x:c r="AF945" s="16" t="b">
        <x:v>0</x:v>
      </x:c>
    </x:row>
    <x:row r="946" ht="44" customHeight="1">
      <x:c r="A946" s="4" t="n">
        <x:v>562</x:v>
      </x:c>
      <x:c r="B946" s="4" t="str">
        <x:v>https://blog.skyairline.com/ciudades-turisticas-en-peru/</x:v>
      </x:c>
      <x:c r="C946" s="9" t="str">
        <x:v>5 ciudades turísticas en Perú que vale la pena visitar</x:v>
      </x:c>
      <x:c r="D946" s="17" t="d">
        <x:v>2021-07-06T00:00:00.000Z</x:v>
      </x:c>
      <x:c r="E946" s="17" t="d">
        <x:v>2021-07-06T00:00:00.000Z</x:v>
      </x:c>
      <x:c r="F946" s="4" t="str">
        <x:v>Cultura</x:v>
      </x:c>
      <x:c r="G946" s="11" t="n">
        <x:v>1046</x:v>
      </x:c>
      <x:c r="H946" s="11" t="n">
        <x:v>200</x:v>
      </x:c>
      <x:c r="I946" s="11" t="n">
        <x:v>1</x:v>
      </x:c>
      <x:c r="J946" s="4" t="str">
        <x:v>https://blog.skyairline.com/ciudades-turisticas-en-peru/</x:v>
      </x:c>
      <x:c r="K946" s="16" t="b">
        <x:v>0</x:v>
      </x:c>
      <x:c r="L946" s="11" t="n">
        <x:v>0</x:v>
      </x:c>
      <x:c r="M946" s="11" t="n">
        <x:v>0</x:v>
      </x:c>
      <x:c r="N946" s="4"/>
      <x:c r="O946" s="4"/>
      <x:c r="P946" s="11" t="n">
        <x:v>0</x:v>
      </x:c>
      <x:c r="Q946" s="11" t="n">
        <x:v>0</x:v>
      </x:c>
      <x:c r="R946" s="11" t="str">
        <x:f>IF(OR(P946="",Q946=""),"",Q946-P946)</x:f>
      </x:c>
      <x:c r="S946" s="13" t="str">
        <x:f>IF(OR(P946="",Q946="",P946=0),"",((Q946/30)/(P946/31))-1)</x:f>
      </x:c>
      <x:c r="T946" s="11" t="n">
        <x:v>106</x:v>
      </x:c>
      <x:c r="U946" s="11" t="n">
        <x:v>136</x:v>
      </x:c>
      <x:c r="V946" s="14" t="n">
        <x:v>0</x:v>
      </x:c>
      <x:c r="W946" s="12" t="n">
        <x:v>37.6985294117647</x:v>
      </x:c>
      <x:c r="X946" s="11"/>
      <x:c r="Y946" s="11"/>
      <x:c r="Z946" s="4" t="str">
        <x:v>https://blog.skyairline.com/ciudades-turisticas-en-peru/</x:v>
      </x:c>
      <x:c r="AA946" s="4" t="str">
        <x:v>https://blog.skyairline.com/ciudades-turisticas-en-peru/</x:v>
      </x:c>
      <x:c r="AB946" s="4" t="str">
        <x:v>Coincidencia URL</x:v>
      </x:c>
      <x:c r="AC946" s="4" t="str">
        <x:v>Publicado hasta septiembre</x:v>
      </x:c>
      <x:c r="AD946" s="4"/>
      <x:c r="AE946" s="4"/>
      <x:c r="AF946" s="16" t="b">
        <x:v>0</x:v>
      </x:c>
    </x:row>
    <x:row r="947" ht="44" customHeight="1">
      <x:c r="A947" s="4" t="n">
        <x:v>586</x:v>
      </x:c>
      <x:c r="B947" s="4" t="str">
        <x:v>https://blog.skyairline.com/a-donde-viajar-en-familia/</x:v>
      </x:c>
      <x:c r="C947" s="9" t="str">
        <x:v>¿A dónde viajar en familia? ¡Conoce 6 excelentes opciones en Chile!</x:v>
      </x:c>
      <x:c r="D947" s="17" t="d">
        <x:v>2021-07-19T00:00:00.000Z</x:v>
      </x:c>
      <x:c r="E947" s="17" t="d">
        <x:v>2021-07-19T00:00:00.000Z</x:v>
      </x:c>
      <x:c r="F947" s="4" t="str">
        <x:v>Destinos</x:v>
      </x:c>
      <x:c r="G947" s="11" t="n">
        <x:v>1088</x:v>
      </x:c>
      <x:c r="H947" s="11" t="n">
        <x:v>200</x:v>
      </x:c>
      <x:c r="I947" s="11" t="n">
        <x:v>1</x:v>
      </x:c>
      <x:c r="J947" s="4" t="str">
        <x:v>https://blog.skyairline.com/a-donde-viajar-en-familia/</x:v>
      </x:c>
      <x:c r="K947" s="16" t="b">
        <x:v>0</x:v>
      </x:c>
      <x:c r="L947" s="11" t="n">
        <x:v>0</x:v>
      </x:c>
      <x:c r="M947" s="11" t="n">
        <x:v>0</x:v>
      </x:c>
      <x:c r="N947" s="4"/>
      <x:c r="O947" s="4"/>
      <x:c r="P947" s="11" t="n">
        <x:v>1</x:v>
      </x:c>
      <x:c r="Q947" s="11" t="n">
        <x:v>0</x:v>
      </x:c>
      <x:c r="R947" s="11" t="str">
        <x:f>IF(OR(P947="",Q947=""),"",Q947-P947)</x:f>
      </x:c>
      <x:c r="S947" s="13" t="str">
        <x:f>IF(OR(P947="",Q947="",P947=0),"",((Q947/30)/(P947/31))-1)</x:f>
      </x:c>
      <x:c r="T947" s="11" t="n">
        <x:v>45</x:v>
      </x:c>
      <x:c r="U947" s="11" t="n">
        <x:v>115</x:v>
      </x:c>
      <x:c r="V947" s="14" t="n">
        <x:v>0</x:v>
      </x:c>
      <x:c r="W947" s="12" t="n">
        <x:v>12.408695652173913</x:v>
      </x:c>
      <x:c r="X947" s="11"/>
      <x:c r="Y947" s="11"/>
      <x:c r="Z947" s="4" t="str">
        <x:v>https://blog.skyairline.com/a-donde-viajar-en-familia/</x:v>
      </x:c>
      <x:c r="AA947" s="4" t="str">
        <x:v>https://blog.skyairline.com/a-donde-viajar-en-familia/</x:v>
      </x:c>
      <x:c r="AB947" s="4" t="str">
        <x:v>Coincidencia URL</x:v>
      </x:c>
      <x:c r="AC947" s="4" t="str">
        <x:v>Publicado hasta septiembre</x:v>
      </x:c>
      <x:c r="AD947" s="4"/>
      <x:c r="AE947" s="4"/>
      <x:c r="AF947" s="16" t="b">
        <x:v>0</x:v>
      </x:c>
    </x:row>
    <x:row r="948" ht="44" customHeight="1">
      <x:c r="A948" s="4" t="n">
        <x:v>596</x:v>
      </x:c>
      <x:c r="B948" s="4" t="str">
        <x:v>https://blog.skyairline.com/viajar-a-piura/</x:v>
      </x:c>
      <x:c r="C948" s="9" t="str">
        <x:v>Qué hacer en Piura: 7 panoramas para disfrutar tu viaje</x:v>
      </x:c>
      <x:c r="D948" s="17" t="d">
        <x:v>2026-05-25T00:00:00.000Z</x:v>
      </x:c>
      <x:c r="E948" s="17" t="d">
        <x:v>2026-05-20T00:00:00.000Z</x:v>
      </x:c>
      <x:c r="F948" s="4" t="str">
        <x:v>Destinos</x:v>
      </x:c>
      <x:c r="G948" s="11" t="n">
        <x:v>1003</x:v>
      </x:c>
      <x:c r="H948" s="11" t="n">
        <x:v>200</x:v>
      </x:c>
      <x:c r="I948" s="11" t="n">
        <x:v>1</x:v>
      </x:c>
      <x:c r="J948" s="4" t="str">
        <x:v>https://blog.skyairline.com/viajar-a-piura/</x:v>
      </x:c>
      <x:c r="K948" s="16" t="b">
        <x:v>0</x:v>
      </x:c>
      <x:c r="L948" s="11" t="n">
        <x:v>0</x:v>
      </x:c>
      <x:c r="M948" s="11" t="n">
        <x:v>0</x:v>
      </x:c>
      <x:c r="N948" s="4"/>
      <x:c r="O948" s="4"/>
      <x:c r="P948" s="11" t="n">
        <x:v>1</x:v>
      </x:c>
      <x:c r="Q948" s="11" t="n">
        <x:v>0</x:v>
      </x:c>
      <x:c r="R948" s="11" t="str">
        <x:f>IF(OR(P948="",Q948=""),"",Q948-P948)</x:f>
      </x:c>
      <x:c r="S948" s="13" t="str">
        <x:f>IF(OR(P948="",Q948="",P948=0),"",((Q948/30)/(P948/31))-1)</x:f>
      </x:c>
      <x:c r="T948" s="11" t="n">
        <x:v>221</x:v>
      </x:c>
      <x:c r="U948" s="11" t="n">
        <x:v>139</x:v>
      </x:c>
      <x:c r="V948" s="14" t="n">
        <x:v>0</x:v>
      </x:c>
      <x:c r="W948" s="12" t="n">
        <x:v>9.568345323741006</x:v>
      </x:c>
      <x:c r="X948" s="11" t="n">
        <x:v>1</x:v>
      </x:c>
      <x:c r="Y948" s="11" t="n">
        <x:v>1</x:v>
      </x:c>
      <x:c r="Z948" s="4" t="str">
        <x:v>https://blog.skyairline.com/viajar-a-piura/</x:v>
      </x:c>
      <x:c r="AA948" s="4" t="str">
        <x:v>https://blog.skyairline.com/viajar-a-piura/</x:v>
      </x:c>
      <x:c r="AB948" s="4" t="str">
        <x:v>Coincidencia URL</x:v>
      </x:c>
      <x:c r="AC948" s="4" t="str">
        <x:v>Publicado hasta septiembre</x:v>
      </x:c>
      <x:c r="AD948" s="4" t="str">
        <x:v>/viajar-a-piura/</x:v>
      </x:c>
      <x:c r="AE948" s="4"/>
      <x:c r="AF948" s="16" t="b">
        <x:v>0</x:v>
      </x:c>
    </x:row>
    <x:row r="949" ht="44" customHeight="1">
      <x:c r="A949" s="4" t="n">
        <x:v>624</x:v>
      </x:c>
      <x:c r="B949" s="4" t="str">
        <x:v>https://blog.skyairline.com/actividades-para-hacer-en-familia/</x:v>
      </x:c>
      <x:c r="C949" s="9" t="str">
        <x:v>9 actividades para hacer en familia y compartir tiempo juntos</x:v>
      </x:c>
      <x:c r="D949" s="17" t="d">
        <x:v>2021-08-01T00:00:00.000Z</x:v>
      </x:c>
      <x:c r="E949" s="17" t="d">
        <x:v>2021-08-01T00:00:00.000Z</x:v>
      </x:c>
      <x:c r="F949" s="4" t="str">
        <x:v>Planificación de Viaje</x:v>
      </x:c>
      <x:c r="G949" s="11" t="n">
        <x:v>994</x:v>
      </x:c>
      <x:c r="H949" s="11" t="n">
        <x:v>200</x:v>
      </x:c>
      <x:c r="I949" s="11" t="n">
        <x:v>1</x:v>
      </x:c>
      <x:c r="J949" s="4" t="str">
        <x:v>https://blog.skyairline.com/actividades-para-hacer-en-familia/</x:v>
      </x:c>
      <x:c r="K949" s="16" t="b">
        <x:v>0</x:v>
      </x:c>
      <x:c r="L949" s="11" t="n">
        <x:v>0</x:v>
      </x:c>
      <x:c r="M949" s="11" t="n">
        <x:v>0</x:v>
      </x:c>
      <x:c r="N949" s="4"/>
      <x:c r="O949" s="4"/>
      <x:c r="P949" s="11" t="n">
        <x:v>0</x:v>
      </x:c>
      <x:c r="Q949" s="11" t="n">
        <x:v>0</x:v>
      </x:c>
      <x:c r="R949" s="11" t="str">
        <x:f>IF(OR(P949="",Q949=""),"",Q949-P949)</x:f>
      </x:c>
      <x:c r="S949" s="13" t="str">
        <x:f>IF(OR(P949="",Q949="",P949=0),"",((Q949/30)/(P949/31))-1)</x:f>
      </x:c>
      <x:c r="T949" s="11" t="n">
        <x:v>389</x:v>
      </x:c>
      <x:c r="U949" s="11" t="n">
        <x:v>253</x:v>
      </x:c>
      <x:c r="V949" s="14" t="n">
        <x:v>0</x:v>
      </x:c>
      <x:c r="W949" s="12" t="n">
        <x:v>57.11067193675889</x:v>
      </x:c>
      <x:c r="X949" s="11"/>
      <x:c r="Y949" s="11"/>
      <x:c r="Z949" s="4" t="str">
        <x:v>https://blog.skyairline.com/actividades-para-hacer-en-familia/</x:v>
      </x:c>
      <x:c r="AA949" s="4" t="str">
        <x:v>https://blog.skyairline.com/actividades-para-hacer-en-familia/</x:v>
      </x:c>
      <x:c r="AB949" s="4" t="str">
        <x:v>Coincidencia URL</x:v>
      </x:c>
      <x:c r="AC949" s="4" t="str">
        <x:v>Publicado hasta septiembre</x:v>
      </x:c>
      <x:c r="AD949" s="4"/>
      <x:c r="AE949" s="4"/>
      <x:c r="AF949" s="16" t="b">
        <x:v>0</x:v>
      </x:c>
    </x:row>
    <x:row r="950" ht="44" customHeight="1">
      <x:c r="A950" s="4" t="n">
        <x:v>642</x:v>
      </x:c>
      <x:c r="B950" s="4" t="str">
        <x:v>https://blog.skyairline.com/viajar-en-familia/</x:v>
      </x:c>
      <x:c r="C950" s="9" t="str">
        <x:v>Viajar en familia: ¿cómo reducir costos sin sacrificar la comodidad?</x:v>
      </x:c>
      <x:c r="D950" s="17" t="d">
        <x:v>2021-08-06T00:00:00.000Z</x:v>
      </x:c>
      <x:c r="E950" s="17" t="d">
        <x:v>2021-08-06T00:00:00.000Z</x:v>
      </x:c>
      <x:c r="F950" s="4" t="str">
        <x:v>Destinos</x:v>
      </x:c>
      <x:c r="G950" s="11" t="n">
        <x:v>1134</x:v>
      </x:c>
      <x:c r="H950" s="11" t="n">
        <x:v>200</x:v>
      </x:c>
      <x:c r="I950" s="11" t="n">
        <x:v>1</x:v>
      </x:c>
      <x:c r="J950" s="4" t="str">
        <x:v>https://blog.skyairline.com/viajar-en-familia/</x:v>
      </x:c>
      <x:c r="K950" s="16" t="b">
        <x:v>0</x:v>
      </x:c>
      <x:c r="L950" s="11" t="n">
        <x:v>0</x:v>
      </x:c>
      <x:c r="M950" s="11" t="n">
        <x:v>0</x:v>
      </x:c>
      <x:c r="N950" s="4"/>
      <x:c r="O950" s="4"/>
      <x:c r="P950" s="11" t="n">
        <x:v>1</x:v>
      </x:c>
      <x:c r="Q950" s="11" t="n">
        <x:v>0</x:v>
      </x:c>
      <x:c r="R950" s="11" t="str">
        <x:f>IF(OR(P950="",Q950=""),"",Q950-P950)</x:f>
      </x:c>
      <x:c r="S950" s="13" t="str">
        <x:f>IF(OR(P950="",Q950="",P950=0),"",((Q950/30)/(P950/31))-1)</x:f>
      </x:c>
      <x:c r="T950" s="11" t="n">
        <x:v>60</x:v>
      </x:c>
      <x:c r="U950" s="11" t="n">
        <x:v>41</x:v>
      </x:c>
      <x:c r="V950" s="14" t="n">
        <x:v>0</x:v>
      </x:c>
      <x:c r="W950" s="12" t="n">
        <x:v>10.341463414634147</x:v>
      </x:c>
      <x:c r="X950" s="11"/>
      <x:c r="Y950" s="11"/>
      <x:c r="Z950" s="4" t="str">
        <x:v>https://blog.skyairline.com/viajar-en-familia/</x:v>
      </x:c>
      <x:c r="AA950" s="4" t="str">
        <x:v>https://blog.skyairline.com/viajar-en-familia/</x:v>
      </x:c>
      <x:c r="AB950" s="4" t="str">
        <x:v>Coincidencia URL</x:v>
      </x:c>
      <x:c r="AC950" s="4" t="str">
        <x:v>Publicado hasta septiembre</x:v>
      </x:c>
      <x:c r="AD950" s="4"/>
      <x:c r="AE950" s="4"/>
      <x:c r="AF950" s="16" t="b">
        <x:v>0</x:v>
      </x:c>
    </x:row>
    <x:row r="951" ht="44" customHeight="1">
      <x:c r="A951" s="4" t="n">
        <x:v>664</x:v>
      </x:c>
      <x:c r="B951" s="4" t="str">
        <x:v>https://blog.skyairline.com/tipos-de-turismo/</x:v>
      </x:c>
      <x:c r="C951" s="9" t="str">
        <x:v>Tipos de turismo: descubre cuál es tu estilo de viaje ideal</x:v>
      </x:c>
      <x:c r="D951" s="17" t="d">
        <x:v>2026-06-16T00:00:00.000Z</x:v>
      </x:c>
      <x:c r="E951" s="17" t="d">
        <x:v>2026-06-16T00:00:00.000Z</x:v>
      </x:c>
      <x:c r="F951" s="4" t="str">
        <x:v>Planificación de Viaje</x:v>
      </x:c>
      <x:c r="G951" s="11" t="n">
        <x:v>1105</x:v>
      </x:c>
      <x:c r="H951" s="11" t="n">
        <x:v>200</x:v>
      </x:c>
      <x:c r="I951" s="11" t="n">
        <x:v>1</x:v>
      </x:c>
      <x:c r="J951" s="4" t="str">
        <x:v>https://blog.skyairline.com/tipos-de-turismo/</x:v>
      </x:c>
      <x:c r="K951" s="16" t="b">
        <x:v>0</x:v>
      </x:c>
      <x:c r="L951" s="11" t="n">
        <x:v>0</x:v>
      </x:c>
      <x:c r="M951" s="11" t="n">
        <x:v>0</x:v>
      </x:c>
      <x:c r="N951" s="4"/>
      <x:c r="O951" s="4"/>
      <x:c r="P951" s="11" t="n">
        <x:v>2</x:v>
      </x:c>
      <x:c r="Q951" s="11" t="n">
        <x:v>0</x:v>
      </x:c>
      <x:c r="R951" s="11" t="str">
        <x:f>IF(OR(P951="",Q951=""),"",Q951-P951)</x:f>
      </x:c>
      <x:c r="S951" s="13" t="str">
        <x:f>IF(OR(P951="",Q951="",P951=0),"",((Q951/30)/(P951/31))-1)</x:f>
      </x:c>
      <x:c r="T951" s="11" t="n">
        <x:v>302</x:v>
      </x:c>
      <x:c r="U951" s="11" t="n">
        <x:v>158</x:v>
      </x:c>
      <x:c r="V951" s="14" t="n">
        <x:v>0</x:v>
      </x:c>
      <x:c r="W951" s="12" t="n">
        <x:v>9.126582278481013</x:v>
      </x:c>
      <x:c r="X951" s="11" t="n">
        <x:v>1</x:v>
      </x:c>
      <x:c r="Y951" s="11" t="n">
        <x:v>1</x:v>
      </x:c>
      <x:c r="Z951" s="4" t="str">
        <x:v>https://blog.skyairline.com/tipos-de-turismo/</x:v>
      </x:c>
      <x:c r="AA951" s="4" t="str">
        <x:v>https://blog.skyairline.com/tipos-de-turismo/</x:v>
      </x:c>
      <x:c r="AB951" s="4" t="str">
        <x:v>Coincidencia URL</x:v>
      </x:c>
      <x:c r="AC951" s="4" t="str">
        <x:v>Publicado hasta septiembre</x:v>
      </x:c>
      <x:c r="AD951" s="4" t="str">
        <x:v>/tipos-de-turismo/</x:v>
      </x:c>
      <x:c r="AE951" s="4"/>
      <x:c r="AF951" s="16" t="b">
        <x:v>0</x:v>
      </x:c>
    </x:row>
    <x:row r="952" ht="44" customHeight="1">
      <x:c r="A952" s="4" t="n">
        <x:v>667</x:v>
      </x:c>
      <x:c r="B952" s="4" t="str">
        <x:v>https://blog.skyairline.com/a-donde-viajar/</x:v>
      </x:c>
      <x:c r="C952" s="9" t="str">
        <x:v>¿A dónde viajar en tus próximas vacaciones? 6 excelentes destinos en Sudamérica</x:v>
      </x:c>
      <x:c r="D952" s="17" t="d">
        <x:v>2021-08-14T00:00:00.000Z</x:v>
      </x:c>
      <x:c r="E952" s="17" t="d">
        <x:v>2021-08-14T00:00:00.000Z</x:v>
      </x:c>
      <x:c r="F952" s="4" t="str">
        <x:v>Destinos</x:v>
      </x:c>
      <x:c r="G952" s="11" t="n">
        <x:v>1029</x:v>
      </x:c>
      <x:c r="H952" s="11" t="n">
        <x:v>200</x:v>
      </x:c>
      <x:c r="I952" s="11" t="n">
        <x:v>1</x:v>
      </x:c>
      <x:c r="J952" s="4" t="str">
        <x:v>https://blog.skyairline.com/a-donde-viajar/</x:v>
      </x:c>
      <x:c r="K952" s="16" t="b">
        <x:v>0</x:v>
      </x:c>
      <x:c r="L952" s="11" t="n">
        <x:v>0</x:v>
      </x:c>
      <x:c r="M952" s="11" t="n">
        <x:v>2</x:v>
      </x:c>
      <x:c r="N952" s="4"/>
      <x:c r="O952" s="4"/>
      <x:c r="P952" s="11" t="n">
        <x:v>0</x:v>
      </x:c>
      <x:c r="Q952" s="11" t="n">
        <x:v>0</x:v>
      </x:c>
      <x:c r="R952" s="11" t="str">
        <x:f>IF(OR(P952="",Q952=""),"",Q952-P952)</x:f>
      </x:c>
      <x:c r="S952" s="13" t="str">
        <x:f>IF(OR(P952="",Q952="",P952=0),"",((Q952/30)/(P952/31))-1)</x:f>
      </x:c>
      <x:c r="T952" s="11" t="n">
        <x:v>19</x:v>
      </x:c>
      <x:c r="U952" s="11" t="n">
        <x:v>16</x:v>
      </x:c>
      <x:c r="V952" s="14" t="n">
        <x:v>0</x:v>
      </x:c>
      <x:c r="W952" s="12" t="n">
        <x:v>59.75</x:v>
      </x:c>
      <x:c r="X952" s="11"/>
      <x:c r="Y952" s="11"/>
      <x:c r="Z952" s="4" t="str">
        <x:v>https://blog.skyairline.com/a-donde-viajar/</x:v>
      </x:c>
      <x:c r="AA952" s="4" t="str">
        <x:v>https://blog.skyairline.com/a-donde-viajar/</x:v>
      </x:c>
      <x:c r="AB952" s="4" t="str">
        <x:v>Coincidencia URL</x:v>
      </x:c>
      <x:c r="AC952" s="4" t="str">
        <x:v>Publicado hasta septiembre</x:v>
      </x:c>
      <x:c r="AD952" s="4"/>
      <x:c r="AE952" s="4"/>
      <x:c r="AF952" s="16" t="b">
        <x:v>0</x:v>
      </x:c>
    </x:row>
    <x:row r="953" ht="44" customHeight="1">
      <x:c r="A953" s="4" t="n">
        <x:v>676</x:v>
      </x:c>
      <x:c r="B953" s="4" t="str">
        <x:v>https://blog.skyairline.com/vacaciones-familiares/</x:v>
      </x:c>
      <x:c r="C953" s="9" t="str">
        <x:v>Vacaciones familiares: aplicaciones para una planificación eficiente</x:v>
      </x:c>
      <x:c r="D953" s="17" t="d">
        <x:v>2025-11-16T00:00:00.000Z</x:v>
      </x:c>
      <x:c r="E953" s="17" t="d">
        <x:v>2026-01-12T00:00:00.000Z</x:v>
      </x:c>
      <x:c r="F953" s="4" t="str">
        <x:v>Destinos</x:v>
      </x:c>
      <x:c r="G953" s="11" t="n">
        <x:v>1024</x:v>
      </x:c>
      <x:c r="H953" s="11" t="n">
        <x:v>200</x:v>
      </x:c>
      <x:c r="I953" s="11" t="n">
        <x:v>1</x:v>
      </x:c>
      <x:c r="J953" s="4" t="str">
        <x:v>https://blog.skyairline.com/vacaciones-familiares/</x:v>
      </x:c>
      <x:c r="K953" s="16" t="b">
        <x:v>0</x:v>
      </x:c>
      <x:c r="L953" s="11" t="n">
        <x:v>0</x:v>
      </x:c>
      <x:c r="M953" s="11" t="n">
        <x:v>3</x:v>
      </x:c>
      <x:c r="N953" s="4"/>
      <x:c r="O953" s="4"/>
      <x:c r="P953" s="11" t="n">
        <x:v>0</x:v>
      </x:c>
      <x:c r="Q953" s="11" t="n">
        <x:v>0</x:v>
      </x:c>
      <x:c r="R953" s="11" t="str">
        <x:f>IF(OR(P953="",Q953=""),"",Q953-P953)</x:f>
      </x:c>
      <x:c r="S953" s="13" t="str">
        <x:f>IF(OR(P953="",Q953="",P953=0),"",((Q953/30)/(P953/31))-1)</x:f>
      </x:c>
      <x:c r="T953" s="11" t="n">
        <x:v>14</x:v>
      </x:c>
      <x:c r="U953" s="11" t="n">
        <x:v>6</x:v>
      </x:c>
      <x:c r="V953" s="14" t="n">
        <x:v>0</x:v>
      </x:c>
      <x:c r="W953" s="12" t="n">
        <x:v>2.5</x:v>
      </x:c>
      <x:c r="X953" s="11"/>
      <x:c r="Y953" s="11"/>
      <x:c r="Z953" s="4" t="str">
        <x:v>https://blog.skyairline.com/vacaciones-familiares/</x:v>
      </x:c>
      <x:c r="AA953" s="4" t="str">
        <x:v>https://blog.skyairline.com/vacaciones-familiares/</x:v>
      </x:c>
      <x:c r="AB953" s="4" t="str">
        <x:v>Coincidencia URL</x:v>
      </x:c>
      <x:c r="AC953" s="4" t="str">
        <x:v>Publicado hasta septiembre</x:v>
      </x:c>
      <x:c r="AD953" s="4"/>
      <x:c r="AE953" s="4"/>
      <x:c r="AF953" s="16" t="b">
        <x:v>0</x:v>
      </x:c>
    </x:row>
    <x:row r="954" ht="44" customHeight="1">
      <x:c r="A954" s="4" t="n">
        <x:v>686</x:v>
      </x:c>
      <x:c r="B954" s="4" t="str">
        <x:v>https://blog.skyairline.com/viajar-a-cancun/</x:v>
      </x:c>
      <x:c r="C954" s="9" t="str">
        <x:v>¿Cuál es la mejor fecha para viajar a Cancún?</x:v>
      </x:c>
      <x:c r="D954" s="17" t="d">
        <x:v>2021-08-18T00:00:00.000Z</x:v>
      </x:c>
      <x:c r="E954" s="17" t="d">
        <x:v>2021-08-18T00:00:00.000Z</x:v>
      </x:c>
      <x:c r="F954" s="4" t="str">
        <x:v>Planificación de Viaje</x:v>
      </x:c>
      <x:c r="G954" s="11" t="n">
        <x:v>981</x:v>
      </x:c>
      <x:c r="H954" s="11" t="n">
        <x:v>200</x:v>
      </x:c>
      <x:c r="I954" s="11" t="n">
        <x:v>1</x:v>
      </x:c>
      <x:c r="J954" s="4" t="str">
        <x:v>https://blog.skyairline.com/viajar-a-cancun/</x:v>
      </x:c>
      <x:c r="K954" s="16" t="b">
        <x:v>0</x:v>
      </x:c>
      <x:c r="L954" s="11" t="n">
        <x:v>0</x:v>
      </x:c>
      <x:c r="M954" s="11" t="n">
        <x:v>1</x:v>
      </x:c>
      <x:c r="N954" s="4"/>
      <x:c r="O954" s="4"/>
      <x:c r="P954" s="11" t="n">
        <x:v>0</x:v>
      </x:c>
      <x:c r="Q954" s="11" t="n">
        <x:v>0</x:v>
      </x:c>
      <x:c r="R954" s="11" t="str">
        <x:f>IF(OR(P954="",Q954=""),"",Q954-P954)</x:f>
      </x:c>
      <x:c r="S954" s="13" t="str">
        <x:f>IF(OR(P954="",Q954="",P954=0),"",((Q954/30)/(P954/31))-1)</x:f>
      </x:c>
      <x:c r="T954" s="11" t="n">
        <x:v>197</x:v>
      </x:c>
      <x:c r="U954" s="11" t="n">
        <x:v>152</x:v>
      </x:c>
      <x:c r="V954" s="14" t="n">
        <x:v>0</x:v>
      </x:c>
      <x:c r="W954" s="12" t="n">
        <x:v>47.39473684210526</x:v>
      </x:c>
      <x:c r="X954" s="11"/>
      <x:c r="Y954" s="11"/>
      <x:c r="Z954" s="4" t="str">
        <x:v>https://blog.skyairline.com/viajar-a-cancun/</x:v>
      </x:c>
      <x:c r="AA954" s="4" t="str">
        <x:v>https://blog.skyairline.com/viajar-a-cancun/</x:v>
      </x:c>
      <x:c r="AB954" s="4" t="str">
        <x:v>Coincidencia URL</x:v>
      </x:c>
      <x:c r="AC954" s="4" t="str">
        <x:v>Publicado hasta septiembre</x:v>
      </x:c>
      <x:c r="AD954" s="4"/>
      <x:c r="AE954" s="4"/>
      <x:c r="AF954" s="16" t="b">
        <x:v>0</x:v>
      </x:c>
    </x:row>
    <x:row r="955" ht="44" customHeight="1">
      <x:c r="A955" s="4" t="n">
        <x:v>690</x:v>
      </x:c>
      <x:c r="B955" s="4" t="str">
        <x:v>https://blog.skyairline.com/aerolineas-baratas/</x:v>
      </x:c>
      <x:c r="C955" s="9" t="str">
        <x:v>Aerolíneas baratas: ¿Mito o Verdad?</x:v>
      </x:c>
      <x:c r="D955" s="17" t="d">
        <x:v>2021-08-19T00:00:00.000Z</x:v>
      </x:c>
      <x:c r="E955" s="17" t="d">
        <x:v>2021-08-19T00:00:00.000Z</x:v>
      </x:c>
      <x:c r="F955" s="4" t="str">
        <x:v>Planificación de Viaje</x:v>
      </x:c>
      <x:c r="G955" s="11" t="n">
        <x:v>1032</x:v>
      </x:c>
      <x:c r="H955" s="11" t="n">
        <x:v>200</x:v>
      </x:c>
      <x:c r="I955" s="11" t="n">
        <x:v>1</x:v>
      </x:c>
      <x:c r="J955" s="4" t="str">
        <x:v>https://blog.skyairline.com/aerolineas-baratas/</x:v>
      </x:c>
      <x:c r="K955" s="16" t="b">
        <x:v>0</x:v>
      </x:c>
      <x:c r="L955" s="11" t="n">
        <x:v>0</x:v>
      </x:c>
      <x:c r="M955" s="11" t="n">
        <x:v>3</x:v>
      </x:c>
      <x:c r="N955" s="4"/>
      <x:c r="O955" s="4"/>
      <x:c r="P955" s="11" t="n">
        <x:v>0</x:v>
      </x:c>
      <x:c r="Q955" s="11" t="n">
        <x:v>0</x:v>
      </x:c>
      <x:c r="R955" s="11" t="str">
        <x:f>IF(OR(P955="",Q955=""),"",Q955-P955)</x:f>
      </x:c>
      <x:c r="S955" s="13" t="str">
        <x:f>IF(OR(P955="",Q955="",P955=0),"",((Q955/30)/(P955/31))-1)</x:f>
      </x:c>
      <x:c r="T955" s="11" t="n">
        <x:v>160</x:v>
      </x:c>
      <x:c r="U955" s="11" t="n">
        <x:v>221</x:v>
      </x:c>
      <x:c r="V955" s="14" t="n">
        <x:v>0</x:v>
      </x:c>
      <x:c r="W955" s="12" t="n">
        <x:v>7.737556561085973</x:v>
      </x:c>
      <x:c r="X955" s="11"/>
      <x:c r="Y955" s="11"/>
      <x:c r="Z955" s="4" t="str">
        <x:v>https://blog.skyairline.com/aerolineas-baratas/</x:v>
      </x:c>
      <x:c r="AA955" s="4" t="str">
        <x:v>https://blog.skyairline.com/aerolineas-baratas/</x:v>
      </x:c>
      <x:c r="AB955" s="4" t="str">
        <x:v>Coincidencia URL</x:v>
      </x:c>
      <x:c r="AC955" s="4" t="str">
        <x:v>Publicado hasta septiembre</x:v>
      </x:c>
      <x:c r="AD955" s="4"/>
      <x:c r="AE955" s="4"/>
      <x:c r="AF955" s="16" t="b">
        <x:v>0</x:v>
      </x:c>
    </x:row>
    <x:row r="956" ht="44" customHeight="1">
      <x:c r="A956" s="4" t="n">
        <x:v>693</x:v>
      </x:c>
      <x:c r="B956" s="4" t="str">
        <x:v>https://blog.skyairline.com/como-salir-de-la-rutina/</x:v>
      </x:c>
      <x:c r="C956" s="9" t="str">
        <x:v>¿Cómo salir de la rutina?: 6 excelentes ideas</x:v>
      </x:c>
      <x:c r="D956" s="17" t="d">
        <x:v>2021-08-20T00:00:00.000Z</x:v>
      </x:c>
      <x:c r="E956" s="17" t="d">
        <x:v>2021-08-20T00:00:00.000Z</x:v>
      </x:c>
      <x:c r="F956" s="4" t="str">
        <x:v>Oportunidades</x:v>
      </x:c>
      <x:c r="G956" s="11" t="n">
        <x:v>1213</x:v>
      </x:c>
      <x:c r="H956" s="11" t="n">
        <x:v>200</x:v>
      </x:c>
      <x:c r="I956" s="11" t="n">
        <x:v>1</x:v>
      </x:c>
      <x:c r="J956" s="4" t="str">
        <x:v>https://blog.skyairline.com/como-salir-de-la-rutina/</x:v>
      </x:c>
      <x:c r="K956" s="16" t="b">
        <x:v>0</x:v>
      </x:c>
      <x:c r="L956" s="11" t="n">
        <x:v>0</x:v>
      </x:c>
      <x:c r="M956" s="11" t="n">
        <x:v>0</x:v>
      </x:c>
      <x:c r="N956" s="4"/>
      <x:c r="O956" s="4"/>
      <x:c r="P956" s="11"/>
      <x:c r="Q956" s="11" t="n">
        <x:v>0</x:v>
      </x:c>
      <x:c r="R956" s="11" t="str">
        <x:f>IF(OR(P956="",Q956=""),"",Q956-P956)</x:f>
      </x:c>
      <x:c r="S956" s="13" t="str">
        <x:f>IF(OR(P956="",Q956="",P956=0),"",((Q956/30)/(P956/31))-1)</x:f>
      </x:c>
      <x:c r="T956" s="11"/>
      <x:c r="U956" s="11" t="n">
        <x:v>1</x:v>
      </x:c>
      <x:c r="V956" s="14" t="n">
        <x:v>0</x:v>
      </x:c>
      <x:c r="W956" s="12" t="n">
        <x:v>1</x:v>
      </x:c>
      <x:c r="X956" s="11" t="n">
        <x:v>2</x:v>
      </x:c>
      <x:c r="Y956" s="11" t="n">
        <x:v>2</x:v>
      </x:c>
      <x:c r="Z956" s="4"/>
      <x:c r="AA956" s="4" t="str">
        <x:v>https://blog.skyairline.com/como-salir-de-la-rutina/</x:v>
      </x:c>
      <x:c r="AB956" s="4" t="str">
        <x:v>Coincidencia URL</x:v>
      </x:c>
      <x:c r="AC956" s="4" t="str">
        <x:v>Publicado hasta septiembre</x:v>
      </x:c>
      <x:c r="AD956" s="4" t="str">
        <x:v>/como-salir-de-la-rutina/</x:v>
      </x:c>
      <x:c r="AE956" s="4"/>
      <x:c r="AF956" s="16" t="b">
        <x:v>0</x:v>
      </x:c>
    </x:row>
    <x:row r="957" ht="44" customHeight="1">
      <x:c r="A957" s="4" t="n">
        <x:v>764</x:v>
      </x:c>
      <x:c r="B957" s="4" t="str">
        <x:v>https://blog.skyairline.com/viajar-con-poco-dinero/</x:v>
      </x:c>
      <x:c r="C957" s="9" t="str">
        <x:v>Aprende cómo hacer viajes baratos e inolvidables</x:v>
      </x:c>
      <x:c r="D957" s="17" t="d">
        <x:v>2026-03-11T00:00:00.000Z</x:v>
      </x:c>
      <x:c r="E957" s="17" t="d">
        <x:v>2026-03-10T00:00:00.000Z</x:v>
      </x:c>
      <x:c r="F957" s="4" t="str">
        <x:v>Oportunidades</x:v>
      </x:c>
      <x:c r="G957" s="11" t="n">
        <x:v>1015</x:v>
      </x:c>
      <x:c r="H957" s="11" t="n">
        <x:v>200</x:v>
      </x:c>
      <x:c r="I957" s="11" t="n">
        <x:v>1</x:v>
      </x:c>
      <x:c r="J957" s="4" t="str">
        <x:v>https://blog.skyairline.com/viajar-con-poco-dinero/</x:v>
      </x:c>
      <x:c r="K957" s="16" t="b">
        <x:v>0</x:v>
      </x:c>
      <x:c r="L957" s="11" t="n">
        <x:v>0</x:v>
      </x:c>
      <x:c r="M957" s="11" t="n">
        <x:v>0</x:v>
      </x:c>
      <x:c r="N957" s="4"/>
      <x:c r="O957" s="4"/>
      <x:c r="P957" s="11" t="n">
        <x:v>3</x:v>
      </x:c>
      <x:c r="Q957" s="11" t="n">
        <x:v>0</x:v>
      </x:c>
      <x:c r="R957" s="11" t="str">
        <x:f>IF(OR(P957="",Q957=""),"",Q957-P957)</x:f>
      </x:c>
      <x:c r="S957" s="13" t="str">
        <x:f>IF(OR(P957="",Q957="",P957=0),"",((Q957/30)/(P957/31))-1)</x:f>
      </x:c>
      <x:c r="T957" s="11" t="n">
        <x:v>401</x:v>
      </x:c>
      <x:c r="U957" s="11" t="n">
        <x:v>228</x:v>
      </x:c>
      <x:c r="V957" s="14" t="n">
        <x:v>0</x:v>
      </x:c>
      <x:c r="W957" s="12" t="n">
        <x:v>12.06578947368421</x:v>
      </x:c>
      <x:c r="X957" s="11" t="n">
        <x:v>8</x:v>
      </x:c>
      <x:c r="Y957" s="11" t="n">
        <x:v>10</x:v>
      </x:c>
      <x:c r="Z957" s="4" t="str">
        <x:v>https://blog.skyairline.com/viajar-con-poco-dinero/</x:v>
      </x:c>
      <x:c r="AA957" s="4" t="str">
        <x:v>https://blog.skyairline.com/viajar-con-poco-dinero/</x:v>
      </x:c>
      <x:c r="AB957" s="4" t="str">
        <x:v>Coincidencia URL</x:v>
      </x:c>
      <x:c r="AC957" s="4" t="str">
        <x:v>Publicado hasta septiembre</x:v>
      </x:c>
      <x:c r="AD957" s="4" t="str">
        <x:v>/viajar-con-poco-dinero/</x:v>
      </x:c>
      <x:c r="AE957" s="4"/>
      <x:c r="AF957" s="16" t="b">
        <x:v>0</x:v>
      </x:c>
    </x:row>
    <x:row r="958" ht="44" customHeight="1">
      <x:c r="A958" s="4" t="n">
        <x:v>768</x:v>
      </x:c>
      <x:c r="B958" s="4" t="str">
        <x:v>https://blog.skyairline.com/viajar-a-argentina/</x:v>
      </x:c>
      <x:c r="C958" s="9" t="str">
        <x:v>5 lugares de Argentina que debes visitar en tus próximas vacaciones</x:v>
      </x:c>
      <x:c r="D958" s="17" t="d">
        <x:v>2026-07-21T00:00:00.000Z</x:v>
      </x:c>
      <x:c r="E958" s="17" t="d">
        <x:v>2026-07-20T00:00:00.000Z</x:v>
      </x:c>
      <x:c r="F958" s="4" t="str">
        <x:v>Destinos</x:v>
      </x:c>
      <x:c r="G958" s="11" t="n">
        <x:v>1006</x:v>
      </x:c>
      <x:c r="H958" s="11" t="n">
        <x:v>200</x:v>
      </x:c>
      <x:c r="I958" s="11" t="n">
        <x:v>1</x:v>
      </x:c>
      <x:c r="J958" s="4" t="str">
        <x:v>https://blog.skyairline.com/viajar-a-argentina/</x:v>
      </x:c>
      <x:c r="K958" s="16" t="b">
        <x:v>0</x:v>
      </x:c>
      <x:c r="L958" s="11" t="n">
        <x:v>0</x:v>
      </x:c>
      <x:c r="M958" s="11" t="n">
        <x:v>0</x:v>
      </x:c>
      <x:c r="N958" s="4"/>
      <x:c r="O958" s="4"/>
      <x:c r="P958" s="11" t="n">
        <x:v>0</x:v>
      </x:c>
      <x:c r="Q958" s="11" t="n">
        <x:v>0</x:v>
      </x:c>
      <x:c r="R958" s="11" t="str">
        <x:f>IF(OR(P958="",Q958=""),"",Q958-P958)</x:f>
      </x:c>
      <x:c r="S958" s="13" t="str">
        <x:f>IF(OR(P958="",Q958="",P958=0),"",((Q958/30)/(P958/31))-1)</x:f>
      </x:c>
      <x:c r="T958" s="11" t="n">
        <x:v>103</x:v>
      </x:c>
      <x:c r="U958" s="11" t="n">
        <x:v>15</x:v>
      </x:c>
      <x:c r="V958" s="14" t="n">
        <x:v>0</x:v>
      </x:c>
      <x:c r="W958" s="12" t="n">
        <x:v>5.133333333333334</x:v>
      </x:c>
      <x:c r="X958" s="11" t="n">
        <x:v>1</x:v>
      </x:c>
      <x:c r="Y958" s="11" t="n">
        <x:v>1</x:v>
      </x:c>
      <x:c r="Z958" s="4" t="str">
        <x:v>https://blog.skyairline.com/viajar-a-argentina/</x:v>
      </x:c>
      <x:c r="AA958" s="4" t="str">
        <x:v>https://blog.skyairline.com/viajar-a-argentina/</x:v>
      </x:c>
      <x:c r="AB958" s="4" t="str">
        <x:v>Coincidencia URL</x:v>
      </x:c>
      <x:c r="AC958" s="4" t="str">
        <x:v>Publicado hasta septiembre</x:v>
      </x:c>
      <x:c r="AD958" s="4" t="str">
        <x:v>/viajar-a-argentina/</x:v>
      </x:c>
      <x:c r="AE958" s="4"/>
      <x:c r="AF958" s="16" t="b">
        <x:v>0</x:v>
      </x:c>
    </x:row>
    <x:row r="959" ht="44" customHeight="1">
      <x:c r="A959" s="4" t="n">
        <x:v>773</x:v>
      </x:c>
      <x:c r="B959" s="4" t="str">
        <x:v>https://blog.skyairline.com/paquetes-de-viajes-baratos/</x:v>
      </x:c>
      <x:c r="C959" s="9" t="str">
        <x:v>Paquetes de viaje baratos: ¿cómo encontrarlos?</x:v>
      </x:c>
      <x:c r="D959" s="17" t="d">
        <x:v>2021-08-26T00:00:00.000Z</x:v>
      </x:c>
      <x:c r="E959" s="17" t="d">
        <x:v>2021-08-26T00:00:00.000Z</x:v>
      </x:c>
      <x:c r="F959" s="4" t="str">
        <x:v>Planificación de Viaje</x:v>
      </x:c>
      <x:c r="G959" s="11" t="n">
        <x:v>1082</x:v>
      </x:c>
      <x:c r="H959" s="11" t="n">
        <x:v>200</x:v>
      </x:c>
      <x:c r="I959" s="11" t="n">
        <x:v>1</x:v>
      </x:c>
      <x:c r="J959" s="4" t="str">
        <x:v>https://blog.skyairline.com/paquetes-de-viajes-baratos/</x:v>
      </x:c>
      <x:c r="K959" s="16" t="b">
        <x:v>0</x:v>
      </x:c>
      <x:c r="L959" s="11" t="n">
        <x:v>0</x:v>
      </x:c>
      <x:c r="M959" s="11" t="n">
        <x:v>4</x:v>
      </x:c>
      <x:c r="N959" s="4"/>
      <x:c r="O959" s="4"/>
      <x:c r="P959" s="11" t="n">
        <x:v>0</x:v>
      </x:c>
      <x:c r="Q959" s="11" t="n">
        <x:v>0</x:v>
      </x:c>
      <x:c r="R959" s="11" t="str">
        <x:f>IF(OR(P959="",Q959=""),"",Q959-P959)</x:f>
      </x:c>
      <x:c r="S959" s="13" t="str">
        <x:f>IF(OR(P959="",Q959="",P959=0),"",((Q959/30)/(P959/31))-1)</x:f>
      </x:c>
      <x:c r="T959" s="11" t="n">
        <x:v>20</x:v>
      </x:c>
      <x:c r="U959" s="11" t="n">
        <x:v>37</x:v>
      </x:c>
      <x:c r="V959" s="14" t="n">
        <x:v>0</x:v>
      </x:c>
      <x:c r="W959" s="12" t="n">
        <x:v>10.432432432432432</x:v>
      </x:c>
      <x:c r="X959" s="11"/>
      <x:c r="Y959" s="11"/>
      <x:c r="Z959" s="4" t="str">
        <x:v>https://blog.skyairline.com/paquetes-de-viajes-baratos/</x:v>
      </x:c>
      <x:c r="AA959" s="4" t="str">
        <x:v>https://blog.skyairline.com/paquetes-de-viajes-baratos/</x:v>
      </x:c>
      <x:c r="AB959" s="4" t="str">
        <x:v>Coincidencia URL</x:v>
      </x:c>
      <x:c r="AC959" s="4" t="str">
        <x:v>Publicado hasta septiembre</x:v>
      </x:c>
      <x:c r="AD959" s="4"/>
      <x:c r="AE959" s="4"/>
      <x:c r="AF959" s="16" t="b">
        <x:v>0</x:v>
      </x:c>
    </x:row>
    <x:row r="960" ht="44" customHeight="1">
      <x:c r="A960" s="4" t="n">
        <x:v>776</x:v>
      </x:c>
      <x:c r="B960" s="4" t="str">
        <x:v>https://blog.skyairline.com/encontrar-pasajes-al-mejor-precio/</x:v>
      </x:c>
      <x:c r="C960" s="9" t="str">
        <x:v>8 tips claves para encontrar pasajes al mejor precio</x:v>
      </x:c>
      <x:c r="D960" s="17" t="d">
        <x:v>2021-08-27T00:00:00.000Z</x:v>
      </x:c>
      <x:c r="E960" s="17" t="d">
        <x:v>2021-08-27T00:00:00.000Z</x:v>
      </x:c>
      <x:c r="F960" s="4" t="str">
        <x:v>Planificación de Viaje</x:v>
      </x:c>
      <x:c r="G960" s="11" t="n">
        <x:v>996</x:v>
      </x:c>
      <x:c r="H960" s="11" t="n">
        <x:v>200</x:v>
      </x:c>
      <x:c r="I960" s="11" t="n">
        <x:v>1</x:v>
      </x:c>
      <x:c r="J960" s="4" t="str">
        <x:v>https://blog.skyairline.com/encontrar-pasajes-al-mejor-precio/</x:v>
      </x:c>
      <x:c r="K960" s="16" t="b">
        <x:v>0</x:v>
      </x:c>
      <x:c r="L960" s="11" t="n">
        <x:v>0</x:v>
      </x:c>
      <x:c r="M960" s="11" t="n">
        <x:v>3</x:v>
      </x:c>
      <x:c r="N960" s="4"/>
      <x:c r="O960" s="4"/>
      <x:c r="P960" s="11" t="n">
        <x:v>0</x:v>
      </x:c>
      <x:c r="Q960" s="11" t="n">
        <x:v>0</x:v>
      </x:c>
      <x:c r="R960" s="11" t="str">
        <x:f>IF(OR(P960="",Q960=""),"",Q960-P960)</x:f>
      </x:c>
      <x:c r="S960" s="13" t="str">
        <x:f>IF(OR(P960="",Q960="",P960=0),"",((Q960/30)/(P960/31))-1)</x:f>
      </x:c>
      <x:c r="T960" s="11" t="n">
        <x:v>92</x:v>
      </x:c>
      <x:c r="U960" s="11" t="n">
        <x:v>131</x:v>
      </x:c>
      <x:c r="V960" s="14" t="n">
        <x:v>0</x:v>
      </x:c>
      <x:c r="W960" s="12" t="n">
        <x:v>7.8320610687022905</x:v>
      </x:c>
      <x:c r="X960" s="11"/>
      <x:c r="Y960" s="11"/>
      <x:c r="Z960" s="4" t="str">
        <x:v>https://blog.skyairline.com/encontrar-pasajes-al-mejor-precio/</x:v>
      </x:c>
      <x:c r="AA960" s="4" t="str">
        <x:v>https://blog.skyairline.com/encontrar-pasajes-al-mejor-precio/</x:v>
      </x:c>
      <x:c r="AB960" s="4" t="str">
        <x:v>Coincidencia URL</x:v>
      </x:c>
      <x:c r="AC960" s="4" t="str">
        <x:v>Publicado hasta septiembre</x:v>
      </x:c>
      <x:c r="AD960" s="4"/>
      <x:c r="AE960" s="4"/>
      <x:c r="AF960" s="16" t="b">
        <x:v>0</x:v>
      </x:c>
    </x:row>
    <x:row r="961" ht="44" customHeight="1">
      <x:c r="A961" s="4" t="n">
        <x:v>779</x:v>
      </x:c>
      <x:c r="B961" s="4" t="str">
        <x:v>https://blog.skyairline.com/viaje-en-pareja/</x:v>
      </x:c>
      <x:c r="C961" s="9" t="str">
        <x:v>Viaje en pareja: Los mejores destinos en Perú</x:v>
      </x:c>
      <x:c r="D961" s="17" t="d">
        <x:v>2021-08-28T00:00:00.000Z</x:v>
      </x:c>
      <x:c r="E961" s="17" t="d">
        <x:v>2021-08-28T00:00:00.000Z</x:v>
      </x:c>
      <x:c r="F961" s="4" t="str">
        <x:v>Destinos</x:v>
      </x:c>
      <x:c r="G961" s="11" t="n">
        <x:v>1027</x:v>
      </x:c>
      <x:c r="H961" s="11" t="n">
        <x:v>200</x:v>
      </x:c>
      <x:c r="I961" s="11" t="n">
        <x:v>1</x:v>
      </x:c>
      <x:c r="J961" s="4" t="str">
        <x:v>https://blog.skyairline.com/viaje-en-pareja/</x:v>
      </x:c>
      <x:c r="K961" s="16" t="b">
        <x:v>0</x:v>
      </x:c>
      <x:c r="L961" s="11" t="n">
        <x:v>0</x:v>
      </x:c>
      <x:c r="M961" s="11" t="n">
        <x:v>1</x:v>
      </x:c>
      <x:c r="N961" s="4"/>
      <x:c r="O961" s="4"/>
      <x:c r="P961" s="11" t="n">
        <x:v>0</x:v>
      </x:c>
      <x:c r="Q961" s="11" t="n">
        <x:v>0</x:v>
      </x:c>
      <x:c r="R961" s="11" t="str">
        <x:f>IF(OR(P961="",Q961=""),"",Q961-P961)</x:f>
      </x:c>
      <x:c r="S961" s="13" t="str">
        <x:f>IF(OR(P961="",Q961="",P961=0),"",((Q961/30)/(P961/31))-1)</x:f>
      </x:c>
      <x:c r="T961" s="11" t="n">
        <x:v>52</x:v>
      </x:c>
      <x:c r="U961" s="11" t="n">
        <x:v>40</x:v>
      </x:c>
      <x:c r="V961" s="14" t="n">
        <x:v>0</x:v>
      </x:c>
      <x:c r="W961" s="12" t="n">
        <x:v>21.85</x:v>
      </x:c>
      <x:c r="X961" s="11"/>
      <x:c r="Y961" s="11"/>
      <x:c r="Z961" s="4" t="str">
        <x:v>https://blog.skyairline.com/viaje-en-pareja/</x:v>
      </x:c>
      <x:c r="AA961" s="4" t="str">
        <x:v>https://blog.skyairline.com/viaje-en-pareja/</x:v>
      </x:c>
      <x:c r="AB961" s="4" t="str">
        <x:v>Coincidencia URL</x:v>
      </x:c>
      <x:c r="AC961" s="4" t="str">
        <x:v>Publicado hasta septiembre</x:v>
      </x:c>
      <x:c r="AD961" s="4"/>
      <x:c r="AE961" s="4"/>
      <x:c r="AF961" s="16" t="b">
        <x:v>0</x:v>
      </x:c>
    </x:row>
    <x:row r="962" ht="44" customHeight="1">
      <x:c r="A962" s="4" t="n">
        <x:v>794</x:v>
      </x:c>
      <x:c r="B962" s="4" t="str">
        <x:v>https://blog.skyairline.com/vacaciones-3/</x:v>
      </x:c>
      <x:c r="C962" s="9" t="str">
        <x:v>¿Cómo planificar tus próximas vacaciones?</x:v>
      </x:c>
      <x:c r="D962" s="17" t="d">
        <x:v>2021-09-01T00:00:00.000Z</x:v>
      </x:c>
      <x:c r="E962" s="17" t="d">
        <x:v>2025-11-11T00:00:00.000Z</x:v>
      </x:c>
      <x:c r="F962" s="4" t="str">
        <x:v>Destinos</x:v>
      </x:c>
      <x:c r="G962" s="11" t="n">
        <x:v>1043</x:v>
      </x:c>
      <x:c r="H962" s="11" t="n">
        <x:v>200</x:v>
      </x:c>
      <x:c r="I962" s="11" t="n">
        <x:v>1</x:v>
      </x:c>
      <x:c r="J962" s="4" t="str">
        <x:v>https://blog.skyairline.com/vacaciones-3/</x:v>
      </x:c>
      <x:c r="K962" s="16" t="b">
        <x:v>0</x:v>
      </x:c>
      <x:c r="L962" s="11" t="n">
        <x:v>0</x:v>
      </x:c>
      <x:c r="M962" s="11" t="n">
        <x:v>0</x:v>
      </x:c>
      <x:c r="N962" s="4"/>
      <x:c r="O962" s="4"/>
      <x:c r="P962" s="11" t="n">
        <x:v>0</x:v>
      </x:c>
      <x:c r="Q962" s="11" t="n">
        <x:v>0</x:v>
      </x:c>
      <x:c r="R962" s="11" t="str">
        <x:f>IF(OR(P962="",Q962=""),"",Q962-P962)</x:f>
      </x:c>
      <x:c r="S962" s="13" t="str">
        <x:f>IF(OR(P962="",Q962="",P962=0),"",((Q962/30)/(P962/31))-1)</x:f>
      </x:c>
      <x:c r="T962" s="11" t="n">
        <x:v>46</x:v>
      </x:c>
      <x:c r="U962" s="11" t="n">
        <x:v>181</x:v>
      </x:c>
      <x:c r="V962" s="14" t="n">
        <x:v>0</x:v>
      </x:c>
      <x:c r="W962" s="12" t="n">
        <x:v>10.790055248618785</x:v>
      </x:c>
      <x:c r="X962" s="11"/>
      <x:c r="Y962" s="11"/>
      <x:c r="Z962" s="4" t="str">
        <x:v>https://blog.skyairline.com/vacaciones-3/</x:v>
      </x:c>
      <x:c r="AA962" s="4" t="str">
        <x:v>https://blog.skyairline.com/vacaciones-3/</x:v>
      </x:c>
      <x:c r="AB962" s="4" t="str">
        <x:v>Coincidencia URL</x:v>
      </x:c>
      <x:c r="AC962" s="4" t="str">
        <x:v>Publicado hasta septiembre</x:v>
      </x:c>
      <x:c r="AD962" s="4"/>
      <x:c r="AE962" s="4"/>
      <x:c r="AF962" s="16" t="b">
        <x:v>0</x:v>
      </x:c>
    </x:row>
    <x:row r="963" ht="44" customHeight="1">
      <x:c r="A963" s="4" t="n">
        <x:v>808</x:v>
      </x:c>
      <x:c r="B963" s="4" t="str">
        <x:v>https://blog.skyairline.com/finanzas-familiares/</x:v>
      </x:c>
      <x:c r="C963" s="9" t="str">
        <x:v>9 Tips claves para proteger las finanzas familiares</x:v>
      </x:c>
      <x:c r="D963" s="17" t="d">
        <x:v>2021-09-06T00:00:00.000Z</x:v>
      </x:c>
      <x:c r="E963" s="17" t="d">
        <x:v>2021-09-06T00:00:00.000Z</x:v>
      </x:c>
      <x:c r="F963" s="4" t="str">
        <x:v>Cultura</x:v>
      </x:c>
      <x:c r="G963" s="11" t="n">
        <x:v>973</x:v>
      </x:c>
      <x:c r="H963" s="11" t="n">
        <x:v>200</x:v>
      </x:c>
      <x:c r="I963" s="11" t="n">
        <x:v>1</x:v>
      </x:c>
      <x:c r="J963" s="4" t="str">
        <x:v>https://blog.skyairline.com/finanzas-familiares/</x:v>
      </x:c>
      <x:c r="K963" s="16" t="b">
        <x:v>0</x:v>
      </x:c>
      <x:c r="L963" s="11" t="n">
        <x:v>0</x:v>
      </x:c>
      <x:c r="M963" s="11" t="n">
        <x:v>0</x:v>
      </x:c>
      <x:c r="N963" s="4"/>
      <x:c r="O963" s="4"/>
      <x:c r="P963" s="11"/>
      <x:c r="Q963" s="11" t="n">
        <x:v>0</x:v>
      </x:c>
      <x:c r="R963" s="11" t="str">
        <x:f>IF(OR(P963="",Q963=""),"",Q963-P963)</x:f>
      </x:c>
      <x:c r="S963" s="13" t="str">
        <x:f>IF(OR(P963="",Q963="",P963=0),"",((Q963/30)/(P963/31))-1)</x:f>
      </x:c>
      <x:c r="T963" s="11"/>
      <x:c r="U963" s="11" t="n">
        <x:v>2</x:v>
      </x:c>
      <x:c r="V963" s="14" t="n">
        <x:v>0</x:v>
      </x:c>
      <x:c r="W963" s="12" t="n">
        <x:v>7</x:v>
      </x:c>
      <x:c r="X963" s="11"/>
      <x:c r="Y963" s="11"/>
      <x:c r="Z963" s="4"/>
      <x:c r="AA963" s="4" t="str">
        <x:v>https://blog.skyairline.com/finanzas-familiares/</x:v>
      </x:c>
      <x:c r="AB963" s="4" t="str">
        <x:v>Coincidencia URL</x:v>
      </x:c>
      <x:c r="AC963" s="4" t="str">
        <x:v>Publicado hasta septiembre</x:v>
      </x:c>
      <x:c r="AD963" s="4"/>
      <x:c r="AE963" s="4"/>
      <x:c r="AF963" s="16" t="b">
        <x:v>0</x:v>
      </x:c>
    </x:row>
    <x:row r="964" ht="44" customHeight="1">
      <x:c r="A964" s="4" t="n">
        <x:v>811</x:v>
      </x:c>
      <x:c r="B964" s="4" t="str">
        <x:v>https://blog.skyairline.com/peliculas-de-viajes/</x:v>
      </x:c>
      <x:c r="C964" s="9" t="str">
        <x:v>7 películas de viajes que te darán ganas de volar</x:v>
      </x:c>
      <x:c r="D964" s="17" t="d">
        <x:v>2021-09-07T00:00:00.000Z</x:v>
      </x:c>
      <x:c r="E964" s="17" t="d">
        <x:v>2021-09-07T00:00:00.000Z</x:v>
      </x:c>
      <x:c r="F964" s="4" t="str">
        <x:v>Cultura</x:v>
      </x:c>
      <x:c r="G964" s="11" t="n">
        <x:v>1074</x:v>
      </x:c>
      <x:c r="H964" s="11" t="n">
        <x:v>200</x:v>
      </x:c>
      <x:c r="I964" s="11" t="n">
        <x:v>1</x:v>
      </x:c>
      <x:c r="J964" s="4" t="str">
        <x:v>https://blog.skyairline.com/peliculas-de-viajes/</x:v>
      </x:c>
      <x:c r="K964" s="16" t="b">
        <x:v>0</x:v>
      </x:c>
      <x:c r="L964" s="11" t="n">
        <x:v>0</x:v>
      </x:c>
      <x:c r="M964" s="11" t="n">
        <x:v>3</x:v>
      </x:c>
      <x:c r="N964" s="4"/>
      <x:c r="O964" s="4"/>
      <x:c r="P964" s="11" t="n">
        <x:v>0</x:v>
      </x:c>
      <x:c r="Q964" s="11" t="n">
        <x:v>0</x:v>
      </x:c>
      <x:c r="R964" s="11" t="str">
        <x:f>IF(OR(P964="",Q964=""),"",Q964-P964)</x:f>
      </x:c>
      <x:c r="S964" s="13" t="str">
        <x:f>IF(OR(P964="",Q964="",P964=0),"",((Q964/30)/(P964/31))-1)</x:f>
      </x:c>
      <x:c r="T964" s="11" t="n">
        <x:v>37</x:v>
      </x:c>
      <x:c r="U964" s="11" t="n">
        <x:v>25</x:v>
      </x:c>
      <x:c r="V964" s="14" t="n">
        <x:v>0</x:v>
      </x:c>
      <x:c r="W964" s="12" t="n">
        <x:v>8.16</x:v>
      </x:c>
      <x:c r="X964" s="11"/>
      <x:c r="Y964" s="11"/>
      <x:c r="Z964" s="4" t="str">
        <x:v>https://blog.skyairline.com/peliculas-de-viajes/</x:v>
      </x:c>
      <x:c r="AA964" s="4" t="str">
        <x:v>https://blog.skyairline.com/peliculas-de-viajes/</x:v>
      </x:c>
      <x:c r="AB964" s="4" t="str">
        <x:v>Coincidencia URL</x:v>
      </x:c>
      <x:c r="AC964" s="4" t="str">
        <x:v>Publicado hasta septiembre</x:v>
      </x:c>
      <x:c r="AD964" s="4"/>
      <x:c r="AE964" s="4"/>
      <x:c r="AF964" s="16" t="b">
        <x:v>0</x:v>
      </x:c>
    </x:row>
    <x:row r="965" ht="44" customHeight="1">
      <x:c r="A965" s="4" t="n">
        <x:v>817</x:v>
      </x:c>
      <x:c r="B965" s="4" t="str">
        <x:v>https://blog.skyairline.com/turismo-gastronomico/</x:v>
      </x:c>
      <x:c r="C965" s="9" t="str">
        <x:v>Turismo gastronómico: Recorrido por el arte culinario en Perú y Argentina</x:v>
      </x:c>
      <x:c r="D965" s="17" t="d">
        <x:v>2021-09-08T00:00:00.000Z</x:v>
      </x:c>
      <x:c r="E965" s="17" t="d">
        <x:v>2021-09-08T00:00:00.000Z</x:v>
      </x:c>
      <x:c r="F965" s="4" t="str">
        <x:v>Destinos</x:v>
      </x:c>
      <x:c r="G965" s="11" t="n">
        <x:v>1036</x:v>
      </x:c>
      <x:c r="H965" s="11" t="n">
        <x:v>200</x:v>
      </x:c>
      <x:c r="I965" s="11" t="n">
        <x:v>1</x:v>
      </x:c>
      <x:c r="J965" s="4" t="str">
        <x:v>https://blog.skyairline.com/turismo-gastronomico/</x:v>
      </x:c>
      <x:c r="K965" s="16" t="b">
        <x:v>0</x:v>
      </x:c>
      <x:c r="L965" s="11" t="n">
        <x:v>0</x:v>
      </x:c>
      <x:c r="M965" s="11" t="n">
        <x:v>0</x:v>
      </x:c>
      <x:c r="N965" s="4"/>
      <x:c r="O965" s="4"/>
      <x:c r="P965" s="11" t="n">
        <x:v>0</x:v>
      </x:c>
      <x:c r="Q965" s="11" t="n">
        <x:v>0</x:v>
      </x:c>
      <x:c r="R965" s="11" t="str">
        <x:f>IF(OR(P965="",Q965=""),"",Q965-P965)</x:f>
      </x:c>
      <x:c r="S965" s="13" t="str">
        <x:f>IF(OR(P965="",Q965="",P965=0),"",((Q965/30)/(P965/31))-1)</x:f>
      </x:c>
      <x:c r="T965" s="11" t="n">
        <x:v>15</x:v>
      </x:c>
      <x:c r="U965" s="11" t="n">
        <x:v>25</x:v>
      </x:c>
      <x:c r="V965" s="14" t="n">
        <x:v>0</x:v>
      </x:c>
      <x:c r="W965" s="12" t="n">
        <x:v>13.72</x:v>
      </x:c>
      <x:c r="X965" s="11"/>
      <x:c r="Y965" s="11"/>
      <x:c r="Z965" s="4" t="str">
        <x:v>https://blog.skyairline.com/turismo-gastronomico/</x:v>
      </x:c>
      <x:c r="AA965" s="4" t="str">
        <x:v>https://blog.skyairline.com/turismo-gastronomico/</x:v>
      </x:c>
      <x:c r="AB965" s="4" t="str">
        <x:v>Coincidencia URL</x:v>
      </x:c>
      <x:c r="AC965" s="4" t="str">
        <x:v>Publicado hasta septiembre</x:v>
      </x:c>
      <x:c r="AD965" s="4"/>
      <x:c r="AE965" s="4"/>
      <x:c r="AF965" s="16" t="b">
        <x:v>0</x:v>
      </x:c>
    </x:row>
    <x:row r="966" ht="44" customHeight="1">
      <x:c r="A966" s="4" t="n">
        <x:v>820</x:v>
      </x:c>
      <x:c r="B966" s="4" t="str">
        <x:v>https://blog.skyairline.com/pasajes-aereos-baratos/</x:v>
      </x:c>
      <x:c r="C966" s="9" t="str">
        <x:v>Pasajes aéreos baratos: tips para aprovechar las mejores ofertas</x:v>
      </x:c>
      <x:c r="D966" s="17" t="d">
        <x:v>2021-09-09T00:00:00.000Z</x:v>
      </x:c>
      <x:c r="E966" s="17" t="d">
        <x:v>2021-09-09T00:00:00.000Z</x:v>
      </x:c>
      <x:c r="F966" s="4" t="str">
        <x:v>Planificación de Viaje</x:v>
      </x:c>
      <x:c r="G966" s="11" t="n">
        <x:v>1024</x:v>
      </x:c>
      <x:c r="H966" s="11" t="n">
        <x:v>200</x:v>
      </x:c>
      <x:c r="I966" s="11" t="n">
        <x:v>1</x:v>
      </x:c>
      <x:c r="J966" s="4" t="str">
        <x:v>https://blog.skyairline.com/pasajes-aereos-baratos/</x:v>
      </x:c>
      <x:c r="K966" s="16" t="b">
        <x:v>0</x:v>
      </x:c>
      <x:c r="L966" s="11" t="n">
        <x:v>0</x:v>
      </x:c>
      <x:c r="M966" s="11" t="n">
        <x:v>1</x:v>
      </x:c>
      <x:c r="N966" s="4"/>
      <x:c r="O966" s="4"/>
      <x:c r="P966" s="11" t="n">
        <x:v>0</x:v>
      </x:c>
      <x:c r="Q966" s="11" t="n">
        <x:v>0</x:v>
      </x:c>
      <x:c r="R966" s="11" t="str">
        <x:f>IF(OR(P966="",Q966=""),"",Q966-P966)</x:f>
      </x:c>
      <x:c r="S966" s="13" t="str">
        <x:f>IF(OR(P966="",Q966="",P966=0),"",((Q966/30)/(P966/31))-1)</x:f>
      </x:c>
      <x:c r="T966" s="11" t="n">
        <x:v>5</x:v>
      </x:c>
      <x:c r="U966" s="11" t="n">
        <x:v>161</x:v>
      </x:c>
      <x:c r="V966" s="14" t="n">
        <x:v>0</x:v>
      </x:c>
      <x:c r="W966" s="12" t="n">
        <x:v>12.335403726708075</x:v>
      </x:c>
      <x:c r="X966" s="11"/>
      <x:c r="Y966" s="11"/>
      <x:c r="Z966" s="4" t="str">
        <x:v>https://blog.skyairline.com/pasajes-aereos-baratos/</x:v>
      </x:c>
      <x:c r="AA966" s="4" t="str">
        <x:v>https://blog.skyairline.com/pasajes-aereos-baratos/</x:v>
      </x:c>
      <x:c r="AB966" s="4" t="str">
        <x:v>Coincidencia URL</x:v>
      </x:c>
      <x:c r="AC966" s="4" t="str">
        <x:v>Publicado hasta septiembre</x:v>
      </x:c>
      <x:c r="AD966" s="4"/>
      <x:c r="AE966" s="4"/>
      <x:c r="AF966" s="16" t="b">
        <x:v>0</x:v>
      </x:c>
    </x:row>
    <x:row r="967" ht="44" customHeight="1">
      <x:c r="A967" s="4" t="n">
        <x:v>823</x:v>
      </x:c>
      <x:c r="B967" s="4" t="str">
        <x:v>https://blog.skyairline.com/organizar-menor-el-tiempo/</x:v>
      </x:c>
      <x:c r="C967" s="9" t="str">
        <x:v>¿Cómo organizar mejor el tiempo? ¡10 claves que te ayudarán!</x:v>
      </x:c>
      <x:c r="D967" s="17" t="d">
        <x:v>2021-09-10T00:00:00.000Z</x:v>
      </x:c>
      <x:c r="E967" s="17" t="d">
        <x:v>2021-09-10T00:00:00.000Z</x:v>
      </x:c>
      <x:c r="F967" s="4" t="str">
        <x:v>Cultura</x:v>
      </x:c>
      <x:c r="G967" s="11" t="n">
        <x:v>989</x:v>
      </x:c>
      <x:c r="H967" s="11" t="n">
        <x:v>200</x:v>
      </x:c>
      <x:c r="I967" s="11" t="n">
        <x:v>1</x:v>
      </x:c>
      <x:c r="J967" s="4" t="str">
        <x:v>https://blog.skyairline.com/organizar-menor-el-tiempo/</x:v>
      </x:c>
      <x:c r="K967" s="16" t="b">
        <x:v>0</x:v>
      </x:c>
      <x:c r="L967" s="11" t="n">
        <x:v>0</x:v>
      </x:c>
      <x:c r="M967" s="11" t="n">
        <x:v>0</x:v>
      </x:c>
      <x:c r="N967" s="4"/>
      <x:c r="O967" s="4"/>
      <x:c r="P967" s="11" t="n">
        <x:v>0</x:v>
      </x:c>
      <x:c r="Q967" s="11" t="n">
        <x:v>0</x:v>
      </x:c>
      <x:c r="R967" s="11" t="str">
        <x:f>IF(OR(P967="",Q967=""),"",Q967-P967)</x:f>
      </x:c>
      <x:c r="S967" s="13" t="str">
        <x:f>IF(OR(P967="",Q967="",P967=0),"",((Q967/30)/(P967/31))-1)</x:f>
      </x:c>
      <x:c r="T967" s="11" t="n">
        <x:v>1</x:v>
      </x:c>
      <x:c r="U967" s="11" t="n">
        <x:v>1</x:v>
      </x:c>
      <x:c r="V967" s="14" t="n">
        <x:v>0</x:v>
      </x:c>
      <x:c r="W967" s="12" t="n">
        <x:v>10</x:v>
      </x:c>
      <x:c r="X967" s="11"/>
      <x:c r="Y967" s="11"/>
      <x:c r="Z967" s="4" t="str">
        <x:v>https://blog.skyairline.com/organizar-menor-el-tiempo/</x:v>
      </x:c>
      <x:c r="AA967" s="4" t="str">
        <x:v>https://blog.skyairline.com/organizar-menor-el-tiempo/</x:v>
      </x:c>
      <x:c r="AB967" s="4" t="str">
        <x:v>Coincidencia URL</x:v>
      </x:c>
      <x:c r="AC967" s="4" t="str">
        <x:v>Publicado hasta septiembre</x:v>
      </x:c>
      <x:c r="AD967" s="4"/>
      <x:c r="AE967" s="4"/>
      <x:c r="AF967" s="16" t="b">
        <x:v>0</x:v>
      </x:c>
    </x:row>
    <x:row r="968" ht="44" customHeight="1">
      <x:c r="A968" s="4" t="n">
        <x:v>826</x:v>
      </x:c>
      <x:c r="B968" s="4" t="str">
        <x:v>https://blog.skyairline.com/itinerario-para-viajar-a-chile/</x:v>
      </x:c>
      <x:c r="C968" s="9" t="str">
        <x:v>Chile inolvidable: superitinerario de 15 días</x:v>
      </x:c>
      <x:c r="D968" s="17" t="d">
        <x:v>2021-09-14T00:00:00.000Z</x:v>
      </x:c>
      <x:c r="E968" s="17" t="d">
        <x:v>2021-09-14T00:00:00.000Z</x:v>
      </x:c>
      <x:c r="F968" s="4" t="str">
        <x:v>Destinos</x:v>
      </x:c>
      <x:c r="G968" s="11" t="n">
        <x:v>3622</x:v>
      </x:c>
      <x:c r="H968" s="11" t="n">
        <x:v>200</x:v>
      </x:c>
      <x:c r="I968" s="11" t="n">
        <x:v>1</x:v>
      </x:c>
      <x:c r="J968" s="4" t="str">
        <x:v>https://blog.skyairline.com/itinerario-para-viajar-a-chile/</x:v>
      </x:c>
      <x:c r="K968" s="16" t="b">
        <x:v>0</x:v>
      </x:c>
      <x:c r="L968" s="11" t="n">
        <x:v>0</x:v>
      </x:c>
      <x:c r="M968" s="11" t="n">
        <x:v>3</x:v>
      </x:c>
      <x:c r="N968" s="4"/>
      <x:c r="O968" s="4"/>
      <x:c r="P968" s="11" t="n">
        <x:v>0</x:v>
      </x:c>
      <x:c r="Q968" s="11" t="n">
        <x:v>0</x:v>
      </x:c>
      <x:c r="R968" s="11" t="str">
        <x:f>IF(OR(P968="",Q968=""),"",Q968-P968)</x:f>
      </x:c>
      <x:c r="S968" s="13" t="str">
        <x:f>IF(OR(P968="",Q968="",P968=0),"",((Q968/30)/(P968/31))-1)</x:f>
      </x:c>
      <x:c r="T968" s="11" t="n">
        <x:v>82</x:v>
      </x:c>
      <x:c r="U968" s="11" t="n">
        <x:v>34</x:v>
      </x:c>
      <x:c r="V968" s="14" t="n">
        <x:v>0</x:v>
      </x:c>
      <x:c r="W968" s="12" t="n">
        <x:v>36.205882352941174</x:v>
      </x:c>
      <x:c r="X968" s="11"/>
      <x:c r="Y968" s="11"/>
      <x:c r="Z968" s="4" t="str">
        <x:v>https://blog.skyairline.com/itinerario-para-viajar-a-chile/</x:v>
      </x:c>
      <x:c r="AA968" s="4" t="str">
        <x:v>https://blog.skyairline.com/itinerario-para-viajar-a-chile/</x:v>
      </x:c>
      <x:c r="AB968" s="4" t="str">
        <x:v>Coincidencia URL</x:v>
      </x:c>
      <x:c r="AC968" s="4" t="str">
        <x:v>Publicado hasta septiembre</x:v>
      </x:c>
      <x:c r="AD968" s="4"/>
      <x:c r="AE968" s="4"/>
      <x:c r="AF968" s="16" t="b">
        <x:v>0</x:v>
      </x:c>
    </x:row>
    <x:row r="969" ht="44" customHeight="1">
      <x:c r="A969" s="4" t="n">
        <x:v>829</x:v>
      </x:c>
      <x:c r="B969" s="4" t="str">
        <x:v>https://blog.skyairline.com/a-donde-ir-en-santiago/</x:v>
      </x:c>
      <x:c r="C969" s="9" t="str">
        <x:v>¿A dónde ir en Santiago?: Guía para disfrutar de la capital chilena</x:v>
      </x:c>
      <x:c r="D969" s="17" t="d">
        <x:v>2021-09-12T00:00:00.000Z</x:v>
      </x:c>
      <x:c r="E969" s="17" t="d">
        <x:v>2021-09-12T00:00:00.000Z</x:v>
      </x:c>
      <x:c r="F969" s="4" t="str">
        <x:v>Destinos</x:v>
      </x:c>
      <x:c r="G969" s="11" t="n">
        <x:v>2969</x:v>
      </x:c>
      <x:c r="H969" s="11" t="n">
        <x:v>200</x:v>
      </x:c>
      <x:c r="I969" s="11" t="n">
        <x:v>1</x:v>
      </x:c>
      <x:c r="J969" s="4" t="str">
        <x:v>https://blog.skyairline.com/a-donde-ir-en-santiago/</x:v>
      </x:c>
      <x:c r="K969" s="16" t="b">
        <x:v>0</x:v>
      </x:c>
      <x:c r="L969" s="11" t="n">
        <x:v>0</x:v>
      </x:c>
      <x:c r="M969" s="11" t="n">
        <x:v>3</x:v>
      </x:c>
      <x:c r="N969" s="4"/>
      <x:c r="O969" s="4"/>
      <x:c r="P969" s="11" t="n">
        <x:v>0</x:v>
      </x:c>
      <x:c r="Q969" s="11" t="n">
        <x:v>0</x:v>
      </x:c>
      <x:c r="R969" s="11" t="str">
        <x:f>IF(OR(P969="",Q969=""),"",Q969-P969)</x:f>
      </x:c>
      <x:c r="S969" s="13" t="str">
        <x:f>IF(OR(P969="",Q969="",P969=0),"",((Q969/30)/(P969/31))-1)</x:f>
      </x:c>
      <x:c r="T969" s="11" t="n">
        <x:v>111</x:v>
      </x:c>
      <x:c r="U969" s="11" t="n">
        <x:v>37</x:v>
      </x:c>
      <x:c r="V969" s="14" t="n">
        <x:v>0</x:v>
      </x:c>
      <x:c r="W969" s="12" t="n">
        <x:v>16.91891891891892</x:v>
      </x:c>
      <x:c r="X969" s="11" t="n">
        <x:v>1</x:v>
      </x:c>
      <x:c r="Y969" s="11" t="n">
        <x:v>1</x:v>
      </x:c>
      <x:c r="Z969" s="4" t="str">
        <x:v>https://blog.skyairline.com/a-donde-ir-en-santiago/</x:v>
      </x:c>
      <x:c r="AA969" s="4" t="str">
        <x:v>https://blog.skyairline.com/a-donde-ir-en-santiago/</x:v>
      </x:c>
      <x:c r="AB969" s="4" t="str">
        <x:v>Coincidencia URL</x:v>
      </x:c>
      <x:c r="AC969" s="4" t="str">
        <x:v>Publicado hasta septiembre</x:v>
      </x:c>
      <x:c r="AD969" s="4" t="str">
        <x:v>/a-donde-ir-en-santiago/</x:v>
      </x:c>
      <x:c r="AE969" s="4"/>
      <x:c r="AF969" s="16" t="b">
        <x:v>0</x:v>
      </x:c>
    </x:row>
    <x:row r="970" ht="44" customHeight="1">
      <x:c r="A970" s="4" t="n">
        <x:v>846</x:v>
      </x:c>
      <x:c r="B970" s="4" t="str">
        <x:v>https://blog.skyairline.com/viaje-internacional/</x:v>
      </x:c>
      <x:c r="C970" s="9" t="str">
        <x:v>¿Regresando de un viaje internacional? Tips de prevención a tener en cuenta</x:v>
      </x:c>
      <x:c r="D970" s="17" t="d">
        <x:v>2021-09-17T00:00:00.000Z</x:v>
      </x:c>
      <x:c r="E970" s="17" t="d">
        <x:v>2021-09-17T00:00:00.000Z</x:v>
      </x:c>
      <x:c r="F970" s="4" t="str">
        <x:v>Planificación de Viaje</x:v>
      </x:c>
      <x:c r="G970" s="11" t="n">
        <x:v>982</x:v>
      </x:c>
      <x:c r="H970" s="11" t="n">
        <x:v>200</x:v>
      </x:c>
      <x:c r="I970" s="11" t="n">
        <x:v>1</x:v>
      </x:c>
      <x:c r="J970" s="4" t="str">
        <x:v>https://blog.skyairline.com/viaje-internacional/</x:v>
      </x:c>
      <x:c r="K970" s="16" t="b">
        <x:v>0</x:v>
      </x:c>
      <x:c r="L970" s="11" t="n">
        <x:v>0</x:v>
      </x:c>
      <x:c r="M970" s="11" t="n">
        <x:v>3</x:v>
      </x:c>
      <x:c r="N970" s="4"/>
      <x:c r="O970" s="4"/>
      <x:c r="P970" s="11" t="n">
        <x:v>0</x:v>
      </x:c>
      <x:c r="Q970" s="11" t="n">
        <x:v>0</x:v>
      </x:c>
      <x:c r="R970" s="11" t="str">
        <x:f>IF(OR(P970="",Q970=""),"",Q970-P970)</x:f>
      </x:c>
      <x:c r="S970" s="13" t="str">
        <x:f>IF(OR(P970="",Q970="",P970=0),"",((Q970/30)/(P970/31))-1)</x:f>
      </x:c>
      <x:c r="T970" s="11" t="n">
        <x:v>103</x:v>
      </x:c>
      <x:c r="U970" s="11" t="n">
        <x:v>77</x:v>
      </x:c>
      <x:c r="V970" s="14" t="n">
        <x:v>0</x:v>
      </x:c>
      <x:c r="W970" s="12" t="n">
        <x:v>19.506493506493506</x:v>
      </x:c>
      <x:c r="X970" s="11"/>
      <x:c r="Y970" s="11"/>
      <x:c r="Z970" s="4" t="str">
        <x:v>https://blog.skyairline.com/viaje-internacional/</x:v>
      </x:c>
      <x:c r="AA970" s="4" t="str">
        <x:v>https://blog.skyairline.com/viaje-internacional/</x:v>
      </x:c>
      <x:c r="AB970" s="4" t="str">
        <x:v>Coincidencia URL</x:v>
      </x:c>
      <x:c r="AC970" s="4" t="str">
        <x:v>Publicado hasta septiembre</x:v>
      </x:c>
      <x:c r="AD970" s="4"/>
      <x:c r="AE970" s="4"/>
      <x:c r="AF970" s="16" t="b">
        <x:v>0</x:v>
      </x:c>
    </x:row>
    <x:row r="971" ht="44" customHeight="1">
      <x:c r="A971" s="4" t="n">
        <x:v>849</x:v>
      </x:c>
      <x:c r="B971" s="4" t="str">
        <x:v>https://blog.skyairline.com/medidas-de-seguridad/</x:v>
      </x:c>
      <x:c r="C971" s="9" t="str">
        <x:v>Consejos de seguridad al viajar con niños no vacunados contra el COVID-19</x:v>
      </x:c>
      <x:c r="D971" s="17" t="d">
        <x:v>2021-09-18T00:00:00.000Z</x:v>
      </x:c>
      <x:c r="E971" s="17" t="d">
        <x:v>2021-09-18T00:00:00.000Z</x:v>
      </x:c>
      <x:c r="F971" s="4" t="str">
        <x:v>Planificación de Viaje</x:v>
      </x:c>
      <x:c r="G971" s="11" t="n">
        <x:v>1047</x:v>
      </x:c>
      <x:c r="H971" s="11" t="n">
        <x:v>200</x:v>
      </x:c>
      <x:c r="I971" s="11" t="n">
        <x:v>1</x:v>
      </x:c>
      <x:c r="J971" s="4" t="str">
        <x:v>https://blog.skyairline.com/medidas-de-seguridad/</x:v>
      </x:c>
      <x:c r="K971" s="16" t="b">
        <x:v>0</x:v>
      </x:c>
      <x:c r="L971" s="11" t="n">
        <x:v>0</x:v>
      </x:c>
      <x:c r="M971" s="11" t="n">
        <x:v>3</x:v>
      </x:c>
      <x:c r="N971" s="4"/>
      <x:c r="O971" s="4"/>
      <x:c r="P971" s="11" t="n">
        <x:v>0</x:v>
      </x:c>
      <x:c r="Q971" s="11" t="n">
        <x:v>0</x:v>
      </x:c>
      <x:c r="R971" s="11" t="str">
        <x:f>IF(OR(P971="",Q971=""),"",Q971-P971)</x:f>
      </x:c>
      <x:c r="S971" s="13" t="str">
        <x:f>IF(OR(P971="",Q971="",P971=0),"",((Q971/30)/(P971/31))-1)</x:f>
      </x:c>
      <x:c r="T971" s="11" t="n">
        <x:v>34</x:v>
      </x:c>
      <x:c r="U971" s="11" t="n">
        <x:v>22</x:v>
      </x:c>
      <x:c r="V971" s="14" t="n">
        <x:v>0</x:v>
      </x:c>
      <x:c r="W971" s="12" t="n">
        <x:v>4.818181818181818</x:v>
      </x:c>
      <x:c r="X971" s="11"/>
      <x:c r="Y971" s="11"/>
      <x:c r="Z971" s="4" t="str">
        <x:v>https://blog.skyairline.com/medidas-de-seguridad/</x:v>
      </x:c>
      <x:c r="AA971" s="4" t="str">
        <x:v>https://blog.skyairline.com/medidas-de-seguridad/</x:v>
      </x:c>
      <x:c r="AB971" s="4" t="str">
        <x:v>Coincidencia URL</x:v>
      </x:c>
      <x:c r="AC971" s="4" t="str">
        <x:v>Publicado hasta septiembre</x:v>
      </x:c>
      <x:c r="AD971" s="4"/>
      <x:c r="AE971" s="4"/>
      <x:c r="AF971" s="16" t="b">
        <x:v>0</x:v>
      </x:c>
    </x:row>
    <x:row r="972" ht="44" customHeight="1">
      <x:c r="A972" s="4" t="n">
        <x:v>852</x:v>
      </x:c>
      <x:c r="B972" s="4" t="str">
        <x:v>https://blog.skyairline.com/fiestas-patrias-de-chile/</x:v>
      </x:c>
      <x:c r="C972" s="9" t="str">
        <x:v>Fiestas Patrias de Chile: ¡Conoce los mejores destinos para viajar este 18!</x:v>
      </x:c>
      <x:c r="D972" s="17" t="d">
        <x:v>2021-09-11T00:00:00.000Z</x:v>
      </x:c>
      <x:c r="E972" s="17" t="d">
        <x:v>2021-09-11T00:00:00.000Z</x:v>
      </x:c>
      <x:c r="F972" s="4" t="str">
        <x:v>Cultura</x:v>
      </x:c>
      <x:c r="G972" s="11" t="n">
        <x:v>999</x:v>
      </x:c>
      <x:c r="H972" s="11" t="n">
        <x:v>200</x:v>
      </x:c>
      <x:c r="I972" s="11" t="n">
        <x:v>1</x:v>
      </x:c>
      <x:c r="J972" s="4" t="str">
        <x:v>https://blog.skyairline.com/fiestas-patrias-de-chile/</x:v>
      </x:c>
      <x:c r="K972" s="16" t="b">
        <x:v>0</x:v>
      </x:c>
      <x:c r="L972" s="11" t="n">
        <x:v>0</x:v>
      </x:c>
      <x:c r="M972" s="11" t="n">
        <x:v>3</x:v>
      </x:c>
      <x:c r="N972" s="4"/>
      <x:c r="O972" s="4"/>
      <x:c r="P972" s="11" t="n">
        <x:v>0</x:v>
      </x:c>
      <x:c r="Q972" s="11" t="n">
        <x:v>0</x:v>
      </x:c>
      <x:c r="R972" s="11" t="str">
        <x:f>IF(OR(P972="",Q972=""),"",Q972-P972)</x:f>
      </x:c>
      <x:c r="S972" s="13" t="str">
        <x:f>IF(OR(P972="",Q972="",P972=0),"",((Q972/30)/(P972/31))-1)</x:f>
      </x:c>
      <x:c r="T972" s="11" t="n">
        <x:v>21</x:v>
      </x:c>
      <x:c r="U972" s="11" t="n">
        <x:v>27</x:v>
      </x:c>
      <x:c r="V972" s="14" t="n">
        <x:v>0</x:v>
      </x:c>
      <x:c r="W972" s="12" t="n">
        <x:v>12.925925925925926</x:v>
      </x:c>
      <x:c r="X972" s="11" t="n">
        <x:v>1</x:v>
      </x:c>
      <x:c r="Y972" s="11" t="n">
        <x:v>1</x:v>
      </x:c>
      <x:c r="Z972" s="4" t="str">
        <x:v>https://blog.skyairline.com/fiestas-patrias-de-chile/</x:v>
      </x:c>
      <x:c r="AA972" s="4" t="str">
        <x:v>https://blog.skyairline.com/fiestas-patrias-de-chile/</x:v>
      </x:c>
      <x:c r="AB972" s="4" t="str">
        <x:v>Coincidencia URL</x:v>
      </x:c>
      <x:c r="AC972" s="4" t="str">
        <x:v>Publicado hasta septiembre</x:v>
      </x:c>
      <x:c r="AD972" s="4" t="str">
        <x:v>/fiestas-patrias-de-chile/</x:v>
      </x:c>
      <x:c r="AE972" s="4"/>
      <x:c r="AF972" s="16" t="b">
        <x:v>0</x:v>
      </x:c>
    </x:row>
    <x:row r="973" ht="44" customHeight="1">
      <x:c r="A973" s="4" t="n">
        <x:v>857</x:v>
      </x:c>
      <x:c r="B973" s="4" t="str">
        <x:v>https://blog.skyairline.com/viajar-en-invierno/</x:v>
      </x:c>
      <x:c r="C973" s="9" t="str">
        <x:v>7 tips básicos para viajar en invierno sin pasar malos ratos</x:v>
      </x:c>
      <x:c r="D973" s="17" t="d">
        <x:v>2021-09-20T00:00:00.000Z</x:v>
      </x:c>
      <x:c r="E973" s="17" t="d">
        <x:v>2021-09-20T00:00:00.000Z</x:v>
      </x:c>
      <x:c r="F973" s="4" t="str">
        <x:v>Planificación de Viaje</x:v>
      </x:c>
      <x:c r="G973" s="11" t="n">
        <x:v>1010</x:v>
      </x:c>
      <x:c r="H973" s="11" t="n">
        <x:v>200</x:v>
      </x:c>
      <x:c r="I973" s="11" t="n">
        <x:v>1</x:v>
      </x:c>
      <x:c r="J973" s="4" t="str">
        <x:v>https://blog.skyairline.com/viajar-en-invierno/</x:v>
      </x:c>
      <x:c r="K973" s="16" t="b">
        <x:v>0</x:v>
      </x:c>
      <x:c r="L973" s="11" t="n">
        <x:v>0</x:v>
      </x:c>
      <x:c r="M973" s="11" t="n">
        <x:v>3</x:v>
      </x:c>
      <x:c r="N973" s="4"/>
      <x:c r="O973" s="4"/>
      <x:c r="P973" s="11" t="n">
        <x:v>0</x:v>
      </x:c>
      <x:c r="Q973" s="11" t="n">
        <x:v>0</x:v>
      </x:c>
      <x:c r="R973" s="11" t="str">
        <x:f>IF(OR(P973="",Q973=""),"",Q973-P973)</x:f>
      </x:c>
      <x:c r="S973" s="13" t="str">
        <x:f>IF(OR(P973="",Q973="",P973=0),"",((Q973/30)/(P973/31))-1)</x:f>
      </x:c>
      <x:c r="T973" s="11" t="n">
        <x:v>35</x:v>
      </x:c>
      <x:c r="U973" s="11" t="n">
        <x:v>19</x:v>
      </x:c>
      <x:c r="V973" s="14" t="n">
        <x:v>0</x:v>
      </x:c>
      <x:c r="W973" s="12" t="n">
        <x:v>10.368421052631579</x:v>
      </x:c>
      <x:c r="X973" s="11"/>
      <x:c r="Y973" s="11"/>
      <x:c r="Z973" s="4" t="str">
        <x:v>https://blog.skyairline.com/viajar-en-invierno/</x:v>
      </x:c>
      <x:c r="AA973" s="4" t="str">
        <x:v>https://blog.skyairline.com/viajar-en-invierno/</x:v>
      </x:c>
      <x:c r="AB973" s="4" t="str">
        <x:v>Coincidencia URL</x:v>
      </x:c>
      <x:c r="AC973" s="4" t="str">
        <x:v>Publicado hasta septiembre</x:v>
      </x:c>
      <x:c r="AD973" s="4"/>
      <x:c r="AE973" s="4"/>
      <x:c r="AF973" s="16" t="b">
        <x:v>0</x:v>
      </x:c>
    </x:row>
    <x:row r="974" ht="44" customHeight="1">
      <x:c r="A974" s="4" t="n">
        <x:v>867</x:v>
      </x:c>
      <x:c r="B974" s="4" t="str">
        <x:v>https://blog.skyairline.com/hotel-o-airbnb/</x:v>
      </x:c>
      <x:c r="C974" s="9" t="str">
        <x:v>¿Hotel o Airbnb?: Ventajas y desventajas de cada opción</x:v>
      </x:c>
      <x:c r="D974" s="17" t="d">
        <x:v>2021-09-23T00:00:00.000Z</x:v>
      </x:c>
      <x:c r="E974" s="17" t="d">
        <x:v>2021-09-23T00:00:00.000Z</x:v>
      </x:c>
      <x:c r="F974" s="4" t="str">
        <x:v>Planificación de Viaje</x:v>
      </x:c>
      <x:c r="G974" s="11" t="n">
        <x:v>1150</x:v>
      </x:c>
      <x:c r="H974" s="11" t="n">
        <x:v>200</x:v>
      </x:c>
      <x:c r="I974" s="11" t="n">
        <x:v>1</x:v>
      </x:c>
      <x:c r="J974" s="4" t="str">
        <x:v>https://blog.skyairline.com/hotel-o-airbnb/</x:v>
      </x:c>
      <x:c r="K974" s="16" t="b">
        <x:v>0</x:v>
      </x:c>
      <x:c r="L974" s="11" t="n">
        <x:v>0</x:v>
      </x:c>
      <x:c r="M974" s="11" t="n">
        <x:v>3</x:v>
      </x:c>
      <x:c r="N974" s="4"/>
      <x:c r="O974" s="4"/>
      <x:c r="P974" s="11" t="n">
        <x:v>4</x:v>
      </x:c>
      <x:c r="Q974" s="11" t="n">
        <x:v>0</x:v>
      </x:c>
      <x:c r="R974" s="11" t="str">
        <x:f>IF(OR(P974="",Q974=""),"",Q974-P974)</x:f>
      </x:c>
      <x:c r="S974" s="13" t="str">
        <x:f>IF(OR(P974="",Q974="",P974=0),"",((Q974/30)/(P974/31))-1)</x:f>
      </x:c>
      <x:c r="T974" s="11" t="n">
        <x:v>1668</x:v>
      </x:c>
      <x:c r="U974" s="11" t="n">
        <x:v>387</x:v>
      </x:c>
      <x:c r="V974" s="14" t="n">
        <x:v>0</x:v>
      </x:c>
      <x:c r="W974" s="12" t="n">
        <x:v>11.96640826873385</x:v>
      </x:c>
      <x:c r="X974" s="11" t="n">
        <x:v>1</x:v>
      </x:c>
      <x:c r="Y974" s="11" t="n">
        <x:v>1</x:v>
      </x:c>
      <x:c r="Z974" s="4" t="str">
        <x:v>https://blog.skyairline.com/hotel-o-airbnb/</x:v>
      </x:c>
      <x:c r="AA974" s="4" t="str">
        <x:v>https://blog.skyairline.com/hotel-o-airbnb/</x:v>
      </x:c>
      <x:c r="AB974" s="4" t="str">
        <x:v>Coincidencia URL</x:v>
      </x:c>
      <x:c r="AC974" s="4" t="str">
        <x:v>Publicado hasta septiembre</x:v>
      </x:c>
      <x:c r="AD974" s="4" t="str">
        <x:v>/hotel-o-airbnb/</x:v>
      </x:c>
      <x:c r="AE974" s="4"/>
      <x:c r="AF974" s="16" t="b">
        <x:v>0</x:v>
      </x:c>
    </x:row>
    <x:row r="975" ht="44" customHeight="1">
      <x:c r="A975" s="4" t="n">
        <x:v>887</x:v>
      </x:c>
      <x:c r="B975" s="4" t="str">
        <x:v>https://blog.skyairline.com/mejores-playas-de-latinoamerica/</x:v>
      </x:c>
      <x:c r="C975" s="9" t="str">
        <x:v>Playas que debes conocer en América del Sur</x:v>
      </x:c>
      <x:c r="D975" s="17" t="d">
        <x:v>2026-05-10T00:00:00.000Z</x:v>
      </x:c>
      <x:c r="E975" s="17" t="d">
        <x:v>2026-05-05T00:00:00.000Z</x:v>
      </x:c>
      <x:c r="F975" s="4" t="str">
        <x:v>Destinos</x:v>
      </x:c>
      <x:c r="G975" s="11" t="n">
        <x:v>1022</x:v>
      </x:c>
      <x:c r="H975" s="11" t="n">
        <x:v>200</x:v>
      </x:c>
      <x:c r="I975" s="11" t="n">
        <x:v>1</x:v>
      </x:c>
      <x:c r="J975" s="4" t="str">
        <x:v>https://blog.skyairline.com/mejores-playas-de-latinoamerica/</x:v>
      </x:c>
      <x:c r="K975" s="16" t="b">
        <x:v>0</x:v>
      </x:c>
      <x:c r="L975" s="11" t="n">
        <x:v>0</x:v>
      </x:c>
      <x:c r="M975" s="11" t="n">
        <x:v>0</x:v>
      </x:c>
      <x:c r="N975" s="4"/>
      <x:c r="O975" s="4"/>
      <x:c r="P975" s="11" t="n">
        <x:v>0</x:v>
      </x:c>
      <x:c r="Q975" s="11" t="n">
        <x:v>0</x:v>
      </x:c>
      <x:c r="R975" s="11" t="str">
        <x:f>IF(OR(P975="",Q975=""),"",Q975-P975)</x:f>
      </x:c>
      <x:c r="S975" s="13" t="str">
        <x:f>IF(OR(P975="",Q975="",P975=0),"",((Q975/30)/(P975/31))-1)</x:f>
      </x:c>
      <x:c r="T975" s="11" t="n">
        <x:v>400</x:v>
      </x:c>
      <x:c r="U975" s="11" t="n">
        <x:v>134</x:v>
      </x:c>
      <x:c r="V975" s="14" t="n">
        <x:v>0</x:v>
      </x:c>
      <x:c r="W975" s="12" t="n">
        <x:v>17.01492537313433</x:v>
      </x:c>
      <x:c r="X975" s="11"/>
      <x:c r="Y975" s="11"/>
      <x:c r="Z975" s="4" t="str">
        <x:v>https://blog.skyairline.com/mejores-playas-de-latinoamerica/</x:v>
      </x:c>
      <x:c r="AA975" s="4" t="str">
        <x:v>https://blog.skyairline.com/mejores-playas-de-latinoamerica/</x:v>
      </x:c>
      <x:c r="AB975" s="4" t="str">
        <x:v>Coincidencia URL</x:v>
      </x:c>
      <x:c r="AC975" s="4" t="str">
        <x:v>Publicado hasta septiembre</x:v>
      </x:c>
      <x:c r="AD975" s="4"/>
      <x:c r="AE975" s="4"/>
      <x:c r="AF975" s="16" t="b">
        <x:v>0</x:v>
      </x:c>
    </x:row>
    <x:row r="976" ht="44" customHeight="1">
      <x:c r="A976" s="4" t="n">
        <x:v>896</x:v>
      </x:c>
      <x:c r="B976" s="4" t="str">
        <x:v>https://blog.skyairline.com/viajes-y-covid-19/</x:v>
      </x:c>
      <x:c r="C976" s="9" t="str">
        <x:v>Viajes y COVID-19: ¿Cómo volar sin poner en riesgo tu salud?</x:v>
      </x:c>
      <x:c r="D976" s="17" t="d">
        <x:v>2021-10-02T00:00:00.000Z</x:v>
      </x:c>
      <x:c r="E976" s="17" t="d">
        <x:v>2021-10-02T00:00:00.000Z</x:v>
      </x:c>
      <x:c r="F976" s="4" t="str">
        <x:v>Planificación de Viaje</x:v>
      </x:c>
      <x:c r="G976" s="11" t="n">
        <x:v>1058</x:v>
      </x:c>
      <x:c r="H976" s="11" t="n">
        <x:v>200</x:v>
      </x:c>
      <x:c r="I976" s="11" t="n">
        <x:v>1</x:v>
      </x:c>
      <x:c r="J976" s="4" t="str">
        <x:v>https://blog.skyairline.com/viajes-y-covid-19/</x:v>
      </x:c>
      <x:c r="K976" s="16" t="b">
        <x:v>0</x:v>
      </x:c>
      <x:c r="L976" s="11" t="n">
        <x:v>0</x:v>
      </x:c>
      <x:c r="M976" s="11" t="n">
        <x:v>3</x:v>
      </x:c>
      <x:c r="N976" s="4"/>
      <x:c r="O976" s="4"/>
      <x:c r="P976" s="11" t="n">
        <x:v>0</x:v>
      </x:c>
      <x:c r="Q976" s="11" t="n">
        <x:v>0</x:v>
      </x:c>
      <x:c r="R976" s="11" t="str">
        <x:f>IF(OR(P976="",Q976=""),"",Q976-P976)</x:f>
      </x:c>
      <x:c r="S976" s="13" t="str">
        <x:f>IF(OR(P976="",Q976="",P976=0),"",((Q976/30)/(P976/31))-1)</x:f>
      </x:c>
      <x:c r="T976" s="11" t="n">
        <x:v>30</x:v>
      </x:c>
      <x:c r="U976" s="11" t="n">
        <x:v>38</x:v>
      </x:c>
      <x:c r="V976" s="14" t="n">
        <x:v>0</x:v>
      </x:c>
      <x:c r="W976" s="12" t="n">
        <x:v>6.684210526315789</x:v>
      </x:c>
      <x:c r="X976" s="11"/>
      <x:c r="Y976" s="11"/>
      <x:c r="Z976" s="4" t="str">
        <x:v>https://blog.skyairline.com/viajes-y-covid-19/</x:v>
      </x:c>
      <x:c r="AA976" s="4" t="str">
        <x:v>https://blog.skyairline.com/viajes-y-covid-19/</x:v>
      </x:c>
      <x:c r="AB976" s="4" t="str">
        <x:v>Coincidencia URL</x:v>
      </x:c>
      <x:c r="AC976" s="4" t="str">
        <x:v>Publicado hasta septiembre</x:v>
      </x:c>
      <x:c r="AD976" s="4"/>
      <x:c r="AE976" s="4"/>
      <x:c r="AF976" s="16" t="b">
        <x:v>0</x:v>
      </x:c>
    </x:row>
    <x:row r="977" ht="44" customHeight="1">
      <x:c r="A977" s="4" t="n">
        <x:v>899</x:v>
      </x:c>
      <x:c r="B977" s="4" t="str">
        <x:v>https://blog.skyairline.com/atractivos-turisticos-en-valdivia/</x:v>
      </x:c>
      <x:c r="C977" s="9" t="str">
        <x:v>Qué hacer en Valdivia: atractivos y panoramas imperdibles</x:v>
      </x:c>
      <x:c r="D977" s="17" t="d">
        <x:v>2026-04-01T00:00:00.000Z</x:v>
      </x:c>
      <x:c r="E977" s="17" t="d">
        <x:v>2026-04-15T00:00:00.000Z</x:v>
      </x:c>
      <x:c r="F977" s="4" t="str">
        <x:v>Destinos</x:v>
      </x:c>
      <x:c r="G977" s="11" t="n">
        <x:v>1056</x:v>
      </x:c>
      <x:c r="H977" s="11" t="n">
        <x:v>200</x:v>
      </x:c>
      <x:c r="I977" s="11" t="n">
        <x:v>1</x:v>
      </x:c>
      <x:c r="J977" s="4" t="str">
        <x:v>https://blog.skyairline.com/atractivos-turisticos-en-valdivia/</x:v>
      </x:c>
      <x:c r="K977" s="16" t="b">
        <x:v>0</x:v>
      </x:c>
      <x:c r="L977" s="11" t="n">
        <x:v>0</x:v>
      </x:c>
      <x:c r="M977" s="11" t="n">
        <x:v>0</x:v>
      </x:c>
      <x:c r="N977" s="4"/>
      <x:c r="O977" s="4"/>
      <x:c r="P977" s="11" t="n">
        <x:v>2</x:v>
      </x:c>
      <x:c r="Q977" s="11" t="n">
        <x:v>0</x:v>
      </x:c>
      <x:c r="R977" s="11" t="str">
        <x:f>IF(OR(P977="",Q977=""),"",Q977-P977)</x:f>
      </x:c>
      <x:c r="S977" s="13" t="str">
        <x:f>IF(OR(P977="",Q977="",P977=0),"",((Q977/30)/(P977/31))-1)</x:f>
      </x:c>
      <x:c r="T977" s="11" t="n">
        <x:v>497</x:v>
      </x:c>
      <x:c r="U977" s="11" t="n">
        <x:v>184</x:v>
      </x:c>
      <x:c r="V977" s="14" t="n">
        <x:v>0</x:v>
      </x:c>
      <x:c r="W977" s="12" t="n">
        <x:v>19.972826086956523</x:v>
      </x:c>
      <x:c r="X977" s="11"/>
      <x:c r="Y977" s="11"/>
      <x:c r="Z977" s="4" t="str">
        <x:v>https://blog.skyairline.com/atractivos-turisticos-en-valdivia/</x:v>
      </x:c>
      <x:c r="AA977" s="4" t="str">
        <x:v>https://blog.skyairline.com/atractivos-turisticos-en-valdivia/</x:v>
      </x:c>
      <x:c r="AB977" s="4" t="str">
        <x:v>Coincidencia URL</x:v>
      </x:c>
      <x:c r="AC977" s="4" t="str">
        <x:v>Publicado hasta septiembre</x:v>
      </x:c>
      <x:c r="AD977" s="4"/>
      <x:c r="AE977" s="4"/>
      <x:c r="AF977" s="16" t="b">
        <x:v>0</x:v>
      </x:c>
    </x:row>
    <x:row r="978" ht="44" customHeight="1">
      <x:c r="A978" s="4" t="n">
        <x:v>917</x:v>
      </x:c>
      <x:c r="B978" s="4" t="str">
        <x:v>https://blog.skyairline.com/cyber-days/</x:v>
      </x:c>
      <x:c r="C978" s="9" t="str">
        <x:v>Cyber Days: ¿También son oportunidades únicas para viajeros?</x:v>
      </x:c>
      <x:c r="D978" s="17" t="d">
        <x:v>2021-09-30T00:00:00.000Z</x:v>
      </x:c>
      <x:c r="E978" s="17" t="d">
        <x:v>2021-09-30T00:00:00.000Z</x:v>
      </x:c>
      <x:c r="F978" s="4" t="str">
        <x:v>Cultura</x:v>
      </x:c>
      <x:c r="G978" s="11" t="n">
        <x:v>1045</x:v>
      </x:c>
      <x:c r="H978" s="11" t="n">
        <x:v>200</x:v>
      </x:c>
      <x:c r="I978" s="11" t="n">
        <x:v>1</x:v>
      </x:c>
      <x:c r="J978" s="4" t="str">
        <x:v>https://blog.skyairline.com/cyber-days/</x:v>
      </x:c>
      <x:c r="K978" s="16" t="b">
        <x:v>0</x:v>
      </x:c>
      <x:c r="L978" s="11" t="n">
        <x:v>0</x:v>
      </x:c>
      <x:c r="M978" s="11" t="n">
        <x:v>2</x:v>
      </x:c>
      <x:c r="N978" s="4"/>
      <x:c r="O978" s="4"/>
      <x:c r="P978" s="11" t="n">
        <x:v>0</x:v>
      </x:c>
      <x:c r="Q978" s="11" t="n">
        <x:v>0</x:v>
      </x:c>
      <x:c r="R978" s="11" t="str">
        <x:f>IF(OR(P978="",Q978=""),"",Q978-P978)</x:f>
      </x:c>
      <x:c r="S978" s="13" t="str">
        <x:f>IF(OR(P978="",Q978="",P978=0),"",((Q978/30)/(P978/31))-1)</x:f>
      </x:c>
      <x:c r="T978" s="11" t="n">
        <x:v>34</x:v>
      </x:c>
      <x:c r="U978" s="11" t="n">
        <x:v>49</x:v>
      </x:c>
      <x:c r="V978" s="14" t="n">
        <x:v>0</x:v>
      </x:c>
      <x:c r="W978" s="12" t="n">
        <x:v>20.836734693877553</x:v>
      </x:c>
      <x:c r="X978" s="11"/>
      <x:c r="Y978" s="11"/>
      <x:c r="Z978" s="4" t="str">
        <x:v>https://blog.skyairline.com/cyber-days/</x:v>
      </x:c>
      <x:c r="AA978" s="4" t="str">
        <x:v>https://blog.skyairline.com/cyber-days/</x:v>
      </x:c>
      <x:c r="AB978" s="4" t="str">
        <x:v>Coincidencia URL</x:v>
      </x:c>
      <x:c r="AC978" s="4" t="str">
        <x:v>Publicado hasta septiembre</x:v>
      </x:c>
      <x:c r="AD978" s="4"/>
      <x:c r="AE978" s="4"/>
      <x:c r="AF978" s="16" t="b">
        <x:v>0</x:v>
      </x:c>
    </x:row>
    <x:row r="979" ht="44" customHeight="1">
      <x:c r="A979" s="4" t="n">
        <x:v>933</x:v>
      </x:c>
      <x:c r="B979" s="4" t="str">
        <x:v>https://blog.skyairline.com/cosas-para-hacer-gratis-en-bogota/</x:v>
      </x:c>
      <x:c r="C979" s="9" t="str">
        <x:v>Las 7 mejores cosas para hacer gratis en Bogotá</x:v>
      </x:c>
      <x:c r="D979" s="17" t="d">
        <x:v>2021-10-14T00:00:00.000Z</x:v>
      </x:c>
      <x:c r="E979" s="17" t="d">
        <x:v>2021-10-14T00:00:00.000Z</x:v>
      </x:c>
      <x:c r="F979" s="4" t="str">
        <x:v>Destinos</x:v>
      </x:c>
      <x:c r="G979" s="11" t="n">
        <x:v>998</x:v>
      </x:c>
      <x:c r="H979" s="11" t="n">
        <x:v>200</x:v>
      </x:c>
      <x:c r="I979" s="11" t="n">
        <x:v>1</x:v>
      </x:c>
      <x:c r="J979" s="4" t="str">
        <x:v>https://blog.skyairline.com/cosas-para-hacer-gratis-en-bogota/</x:v>
      </x:c>
      <x:c r="K979" s="16" t="b">
        <x:v>0</x:v>
      </x:c>
      <x:c r="L979" s="11" t="n">
        <x:v>0</x:v>
      </x:c>
      <x:c r="M979" s="11" t="n">
        <x:v>2</x:v>
      </x:c>
      <x:c r="N979" s="4"/>
      <x:c r="O979" s="4"/>
      <x:c r="P979" s="11" t="n">
        <x:v>0</x:v>
      </x:c>
      <x:c r="Q979" s="11" t="n">
        <x:v>0</x:v>
      </x:c>
      <x:c r="R979" s="11" t="str">
        <x:f>IF(OR(P979="",Q979=""),"",Q979-P979)</x:f>
      </x:c>
      <x:c r="S979" s="13" t="str">
        <x:f>IF(OR(P979="",Q979="",P979=0),"",((Q979/30)/(P979/31))-1)</x:f>
      </x:c>
      <x:c r="T979" s="11" t="n">
        <x:v>81</x:v>
      </x:c>
      <x:c r="U979" s="11" t="n">
        <x:v>59</x:v>
      </x:c>
      <x:c r="V979" s="14" t="n">
        <x:v>0</x:v>
      </x:c>
      <x:c r="W979" s="12" t="n">
        <x:v>22.983050847457626</x:v>
      </x:c>
      <x:c r="X979" s="11"/>
      <x:c r="Y979" s="11"/>
      <x:c r="Z979" s="4" t="str">
        <x:v>https://blog.skyairline.com/cosas-para-hacer-gratis-en-bogota/</x:v>
      </x:c>
      <x:c r="AA979" s="4" t="str">
        <x:v>https://blog.skyairline.com/cosas-para-hacer-gratis-en-bogota
https://blog.skyairline.com/cosas-para-hacer-gratis-en-bogota/</x:v>
      </x:c>
      <x:c r="AB979" s="4" t="str">
        <x:v>Alias slash agregado</x:v>
      </x:c>
      <x:c r="AC979" s="4" t="str">
        <x:v>Publicado hasta septiembre</x:v>
      </x:c>
      <x:c r="AD979" s="4"/>
      <x:c r="AE979" s="4"/>
      <x:c r="AF979" s="16" t="b">
        <x:v>0</x:v>
      </x:c>
    </x:row>
    <x:row r="980" ht="44" customHeight="1">
      <x:c r="A980" s="4" t="n">
        <x:v>936</x:v>
      </x:c>
      <x:c r="B980" s="4" t="str">
        <x:v>https://blog.skyairline.com/tipos-de-viajeros/</x:v>
      </x:c>
      <x:c r="C980" s="9" t="str">
        <x:v>Tipos de viajeros: ¡Descubre cuál eres!</x:v>
      </x:c>
      <x:c r="D980" s="17" t="d">
        <x:v>2021-10-15T00:00:00.000Z</x:v>
      </x:c>
      <x:c r="E980" s="17" t="d">
        <x:v>2021-10-15T00:00:00.000Z</x:v>
      </x:c>
      <x:c r="F980" s="4" t="str">
        <x:v>Planificación de Viaje</x:v>
      </x:c>
      <x:c r="G980" s="11" t="n">
        <x:v>1166</x:v>
      </x:c>
      <x:c r="H980" s="11" t="n">
        <x:v>200</x:v>
      </x:c>
      <x:c r="I980" s="11" t="n">
        <x:v>1</x:v>
      </x:c>
      <x:c r="J980" s="4" t="str">
        <x:v>https://blog.skyairline.com/tipos-de-viajeros/</x:v>
      </x:c>
      <x:c r="K980" s="16" t="b">
        <x:v>0</x:v>
      </x:c>
      <x:c r="L980" s="11" t="n">
        <x:v>0</x:v>
      </x:c>
      <x:c r="M980" s="11" t="n">
        <x:v>2</x:v>
      </x:c>
      <x:c r="N980" s="4"/>
      <x:c r="O980" s="4"/>
      <x:c r="P980" s="11" t="n">
        <x:v>2</x:v>
      </x:c>
      <x:c r="Q980" s="11" t="n">
        <x:v>0</x:v>
      </x:c>
      <x:c r="R980" s="11" t="str">
        <x:f>IF(OR(P980="",Q980=""),"",Q980-P980)</x:f>
      </x:c>
      <x:c r="S980" s="13" t="str">
        <x:f>IF(OR(P980="",Q980="",P980=0),"",((Q980/30)/(P980/31))-1)</x:f>
      </x:c>
      <x:c r="T980" s="11" t="n">
        <x:v>365</x:v>
      </x:c>
      <x:c r="U980" s="11" t="n">
        <x:v>275</x:v>
      </x:c>
      <x:c r="V980" s="14" t="n">
        <x:v>0</x:v>
      </x:c>
      <x:c r="W980" s="12" t="n">
        <x:v>19.025454545454547</x:v>
      </x:c>
      <x:c r="X980" s="11" t="n">
        <x:v>1</x:v>
      </x:c>
      <x:c r="Y980" s="11" t="n">
        <x:v>1</x:v>
      </x:c>
      <x:c r="Z980" s="4" t="str">
        <x:v>https://blog.skyairline.com/tipos-de-viajeros/</x:v>
      </x:c>
      <x:c r="AA980" s="4" t="str">
        <x:v>https://blog.skyairline.com/tipos-de-viajeros/</x:v>
      </x:c>
      <x:c r="AB980" s="4" t="str">
        <x:v>Coincidencia URL</x:v>
      </x:c>
      <x:c r="AC980" s="4" t="str">
        <x:v>Publicado hasta septiembre</x:v>
      </x:c>
      <x:c r="AD980" s="4" t="str">
        <x:v>/tipos-de-viajeros/</x:v>
      </x:c>
      <x:c r="AE980" s="4"/>
      <x:c r="AF980" s="16" t="b">
        <x:v>0</x:v>
      </x:c>
    </x:row>
    <x:row r="981" ht="44" customHeight="1">
      <x:c r="A981" s="4" t="n">
        <x:v>939</x:v>
      </x:c>
      <x:c r="B981" s="4" t="str">
        <x:v>https://blog.skyairline.com/estadia-en-buenos-aires/</x:v>
      </x:c>
      <x:c r="C981" s="9" t="str">
        <x:v>Presupuesto para viajar a  Buenos Aires: Principales gastos que deberías considerar</x:v>
      </x:c>
      <x:c r="D981" s="17" t="d">
        <x:v>2021-10-16T00:00:00.000Z</x:v>
      </x:c>
      <x:c r="E981" s="17" t="d">
        <x:v>2021-10-16T00:00:00.000Z</x:v>
      </x:c>
      <x:c r="F981" s="4" t="str">
        <x:v>Buenos Aires, Planificación de Viaje</x:v>
      </x:c>
      <x:c r="G981" s="11" t="n">
        <x:v>1003</x:v>
      </x:c>
      <x:c r="H981" s="11" t="n">
        <x:v>200</x:v>
      </x:c>
      <x:c r="I981" s="11" t="n">
        <x:v>1</x:v>
      </x:c>
      <x:c r="J981" s="4" t="str">
        <x:v>https://blog.skyairline.com/estadia-en-buenos-aires/</x:v>
      </x:c>
      <x:c r="K981" s="16" t="b">
        <x:v>0</x:v>
      </x:c>
      <x:c r="L981" s="11" t="n">
        <x:v>0</x:v>
      </x:c>
      <x:c r="M981" s="11" t="n">
        <x:v>1</x:v>
      </x:c>
      <x:c r="N981" s="4"/>
      <x:c r="O981" s="4"/>
      <x:c r="P981" s="11" t="n">
        <x:v>0</x:v>
      </x:c>
      <x:c r="Q981" s="11" t="n">
        <x:v>0</x:v>
      </x:c>
      <x:c r="R981" s="11" t="str">
        <x:f>IF(OR(P981="",Q981=""),"",Q981-P981)</x:f>
      </x:c>
      <x:c r="S981" s="13" t="str">
        <x:f>IF(OR(P981="",Q981="",P981=0),"",((Q981/30)/(P981/31))-1)</x:f>
      </x:c>
      <x:c r="T981" s="11" t="n">
        <x:v>228</x:v>
      </x:c>
      <x:c r="U981" s="11" t="n">
        <x:v>230</x:v>
      </x:c>
      <x:c r="V981" s="14" t="n">
        <x:v>0</x:v>
      </x:c>
      <x:c r="W981" s="12" t="n">
        <x:v>13.508695652173913</x:v>
      </x:c>
      <x:c r="X981" s="11"/>
      <x:c r="Y981" s="11"/>
      <x:c r="Z981" s="4" t="str">
        <x:v>https://blog.skyairline.com/estadia-en-buenos-aires/</x:v>
      </x:c>
      <x:c r="AA981" s="4" t="str">
        <x:v>https://blog.skyairline.com/estadia-en-buenos-aires/</x:v>
      </x:c>
      <x:c r="AB981" s="4" t="str">
        <x:v>Coincidencia URL</x:v>
      </x:c>
      <x:c r="AC981" s="4" t="str">
        <x:v>Publicado hasta septiembre</x:v>
      </x:c>
      <x:c r="AD981" s="4"/>
      <x:c r="AE981" s="4"/>
      <x:c r="AF981" s="16" t="b">
        <x:v>0</x:v>
      </x:c>
    </x:row>
    <x:row r="982" ht="44" customHeight="1">
      <x:c r="A982" s="4" t="n">
        <x:v>945</x:v>
      </x:c>
      <x:c r="B982" s="4" t="str">
        <x:v>https://blog.skyairline.com/libros-sobre-viajes/</x:v>
      </x:c>
      <x:c r="C982" s="9" t="str">
        <x:v>7 libros sobre viajes que te encantarán</x:v>
      </x:c>
      <x:c r="D982" s="17" t="d">
        <x:v>2021-10-18T00:00:00.000Z</x:v>
      </x:c>
      <x:c r="E982" s="17" t="d">
        <x:v>2021-10-18T00:00:00.000Z</x:v>
      </x:c>
      <x:c r="F982" s="4" t="str">
        <x:v>Cultura</x:v>
      </x:c>
      <x:c r="G982" s="11" t="n">
        <x:v>1065</x:v>
      </x:c>
      <x:c r="H982" s="11" t="n">
        <x:v>200</x:v>
      </x:c>
      <x:c r="I982" s="11" t="n">
        <x:v>1</x:v>
      </x:c>
      <x:c r="J982" s="4" t="str">
        <x:v>https://blog.skyairline.com/libros-sobre-viajes/</x:v>
      </x:c>
      <x:c r="K982" s="16" t="b">
        <x:v>0</x:v>
      </x:c>
      <x:c r="L982" s="11" t="n">
        <x:v>0</x:v>
      </x:c>
      <x:c r="M982" s="11" t="n">
        <x:v>0</x:v>
      </x:c>
      <x:c r="N982" s="4"/>
      <x:c r="O982" s="4"/>
      <x:c r="P982" s="11" t="n">
        <x:v>0</x:v>
      </x:c>
      <x:c r="Q982" s="11" t="n">
        <x:v>0</x:v>
      </x:c>
      <x:c r="R982" s="11" t="str">
        <x:f>IF(OR(P982="",Q982=""),"",Q982-P982)</x:f>
      </x:c>
      <x:c r="S982" s="13" t="str">
        <x:f>IF(OR(P982="",Q982="",P982=0),"",((Q982/30)/(P982/31))-1)</x:f>
      </x:c>
      <x:c r="T982" s="11" t="n">
        <x:v>103</x:v>
      </x:c>
      <x:c r="U982" s="11" t="n">
        <x:v>78</x:v>
      </x:c>
      <x:c r="V982" s="14" t="n">
        <x:v>0</x:v>
      </x:c>
      <x:c r="W982" s="12" t="n">
        <x:v>71.82051282051282</x:v>
      </x:c>
      <x:c r="X982" s="11"/>
      <x:c r="Y982" s="11"/>
      <x:c r="Z982" s="4" t="str">
        <x:v>https://blog.skyairline.com/libros-sobre-viajes/</x:v>
      </x:c>
      <x:c r="AA982" s="4" t="str">
        <x:v>https://blog.skyairline.com/libros-sobre-viajes/</x:v>
      </x:c>
      <x:c r="AB982" s="4" t="str">
        <x:v>Coincidencia URL</x:v>
      </x:c>
      <x:c r="AC982" s="4" t="str">
        <x:v>Publicado hasta septiembre</x:v>
      </x:c>
      <x:c r="AD982" s="4"/>
      <x:c r="AE982" s="4"/>
      <x:c r="AF982" s="16" t="b">
        <x:v>0</x:v>
      </x:c>
    </x:row>
    <x:row r="983" ht="44" customHeight="1">
      <x:c r="A983" s="4" t="n">
        <x:v>948</x:v>
      </x:c>
      <x:c r="B983" s="4" t="str">
        <x:v>https://blog.skyairline.com/presupuesto-para-viajar/</x:v>
      </x:c>
      <x:c r="C983" s="9" t="str">
        <x:v>¿Cómo hacer un presupuesto para viajar realista y coherente?</x:v>
      </x:c>
      <x:c r="D983" s="17" t="d">
        <x:v>2021-10-19T00:00:00.000Z</x:v>
      </x:c>
      <x:c r="E983" s="17" t="d">
        <x:v>2021-10-19T00:00:00.000Z</x:v>
      </x:c>
      <x:c r="F983" s="4" t="str">
        <x:v>Planificación de Viaje</x:v>
      </x:c>
      <x:c r="G983" s="11" t="n">
        <x:v>997</x:v>
      </x:c>
      <x:c r="H983" s="11" t="n">
        <x:v>200</x:v>
      </x:c>
      <x:c r="I983" s="11" t="n">
        <x:v>1</x:v>
      </x:c>
      <x:c r="J983" s="4" t="str">
        <x:v>https://blog.skyairline.com/presupuesto-para-viajar/</x:v>
      </x:c>
      <x:c r="K983" s="16" t="b">
        <x:v>0</x:v>
      </x:c>
      <x:c r="L983" s="11" t="n">
        <x:v>0</x:v>
      </x:c>
      <x:c r="M983" s="11" t="n">
        <x:v>5</x:v>
      </x:c>
      <x:c r="N983" s="4"/>
      <x:c r="O983" s="4"/>
      <x:c r="P983" s="11" t="n">
        <x:v>0</x:v>
      </x:c>
      <x:c r="Q983" s="11" t="n">
        <x:v>0</x:v>
      </x:c>
      <x:c r="R983" s="11" t="str">
        <x:f>IF(OR(P983="",Q983=""),"",Q983-P983)</x:f>
      </x:c>
      <x:c r="S983" s="13" t="str">
        <x:f>IF(OR(P983="",Q983="",P983=0),"",((Q983/30)/(P983/31))-1)</x:f>
      </x:c>
      <x:c r="T983" s="11" t="n">
        <x:v>457</x:v>
      </x:c>
      <x:c r="U983" s="11" t="n">
        <x:v>230</x:v>
      </x:c>
      <x:c r="V983" s="14" t="n">
        <x:v>0</x:v>
      </x:c>
      <x:c r="W983" s="12" t="n">
        <x:v>49.36086956521739</x:v>
      </x:c>
      <x:c r="X983" s="11"/>
      <x:c r="Y983" s="11"/>
      <x:c r="Z983" s="4" t="str">
        <x:v>https://blog.skyairline.com/presupuesto-para-viajar/</x:v>
      </x:c>
      <x:c r="AA983" s="4" t="str">
        <x:v>https://blog.skyairline.com/presupuesto-para-viajar/</x:v>
      </x:c>
      <x:c r="AB983" s="4" t="str">
        <x:v>Coincidencia URL</x:v>
      </x:c>
      <x:c r="AC983" s="4" t="str">
        <x:v>Publicado hasta septiembre</x:v>
      </x:c>
      <x:c r="AD983" s="4"/>
      <x:c r="AE983" s="4"/>
      <x:c r="AF983" s="16" t="b">
        <x:v>0</x:v>
      </x:c>
    </x:row>
    <x:row r="984" ht="44" customHeight="1">
      <x:c r="A984" s="4" t="n">
        <x:v>954</x:v>
      </x:c>
      <x:c r="B984" s="4" t="str">
        <x:v>https://blog.skyairline.com/chile-apertura-definitiva-de-sus-fronteras/</x:v>
      </x:c>
      <x:c r="C984" s="9" t="str">
        <x:v>¡Buenas noticias! Chile avanza hacia la apertura definitiva de sus fronteras</x:v>
      </x:c>
      <x:c r="D984" s="17" t="d">
        <x:v>2021-10-07T00:00:00.000Z</x:v>
      </x:c>
      <x:c r="E984" s="17" t="d">
        <x:v>2021-10-07T00:00:00.000Z</x:v>
      </x:c>
      <x:c r="F984" s="4" t="str">
        <x:v>Noticias</x:v>
      </x:c>
      <x:c r="G984" s="11" t="n">
        <x:v>1278</x:v>
      </x:c>
      <x:c r="H984" s="11" t="n">
        <x:v>200</x:v>
      </x:c>
      <x:c r="I984" s="11" t="n">
        <x:v>1</x:v>
      </x:c>
      <x:c r="J984" s="4" t="str">
        <x:v>https://blog.skyairline.com/chile-apertura-definitiva-de-sus-fronteras/</x:v>
      </x:c>
      <x:c r="K984" s="16" t="b">
        <x:v>0</x:v>
      </x:c>
      <x:c r="L984" s="11" t="n">
        <x:v>0</x:v>
      </x:c>
      <x:c r="M984" s="11" t="n">
        <x:v>4</x:v>
      </x:c>
      <x:c r="N984" s="4"/>
      <x:c r="O984" s="4"/>
      <x:c r="P984" s="11" t="n">
        <x:v>0</x:v>
      </x:c>
      <x:c r="Q984" s="11" t="n">
        <x:v>0</x:v>
      </x:c>
      <x:c r="R984" s="11" t="str">
        <x:f>IF(OR(P984="",Q984=""),"",Q984-P984)</x:f>
      </x:c>
      <x:c r="S984" s="13" t="str">
        <x:f>IF(OR(P984="",Q984="",P984=0),"",((Q984/30)/(P984/31))-1)</x:f>
      </x:c>
      <x:c r="T984" s="11" t="n">
        <x:v>4</x:v>
      </x:c>
      <x:c r="U984" s="11" t="n">
        <x:v>57</x:v>
      </x:c>
      <x:c r="V984" s="14" t="n">
        <x:v>0</x:v>
      </x:c>
      <x:c r="W984" s="12" t="n">
        <x:v>9.543859649122806</x:v>
      </x:c>
      <x:c r="X984" s="11"/>
      <x:c r="Y984" s="11"/>
      <x:c r="Z984" s="4" t="str">
        <x:v>https://blog.skyairline.com/chile-apertura-definitiva-de-sus-fronteras/</x:v>
      </x:c>
      <x:c r="AA984" s="4" t="str">
        <x:v>https://blog.skyairline.com/chile-apertura-definitiva-de-sus-fronteras/</x:v>
      </x:c>
      <x:c r="AB984" s="4" t="str">
        <x:v>Coincidencia URL</x:v>
      </x:c>
      <x:c r="AC984" s="4" t="str">
        <x:v>Publicado hasta septiembre</x:v>
      </x:c>
      <x:c r="AD984" s="4"/>
      <x:c r="AE984" s="4"/>
      <x:c r="AF984" s="16" t="b">
        <x:v>0</x:v>
      </x:c>
    </x:row>
    <x:row r="985" ht="44" customHeight="1">
      <x:c r="A985" s="4" t="n">
        <x:v>968</x:v>
      </x:c>
      <x:c r="B985" s="4" t="str">
        <x:v>https://blog.skyairline.com/ir-a-machu-picchu-en-tiempos-de-covid-19/</x:v>
      </x:c>
      <x:c r="C985" s="9" t="str">
        <x:v>Ir a Machu Picchu en tiempos de COVID-19: Medidas de seguridad que deberás respetar</x:v>
      </x:c>
      <x:c r="D985" s="17" t="d">
        <x:v>2021-10-22T00:00:00.000Z</x:v>
      </x:c>
      <x:c r="E985" s="17" t="d">
        <x:v>2021-10-22T00:00:00.000Z</x:v>
      </x:c>
      <x:c r="F985" s="4" t="str">
        <x:v>Noticias</x:v>
      </x:c>
      <x:c r="G985" s="11" t="n">
        <x:v>1212</x:v>
      </x:c>
      <x:c r="H985" s="11" t="n">
        <x:v>200</x:v>
      </x:c>
      <x:c r="I985" s="11" t="n">
        <x:v>1</x:v>
      </x:c>
      <x:c r="J985" s="4" t="str">
        <x:v>https://blog.skyairline.com/ir-a-machu-picchu-en-tiempos-de-covid-19/</x:v>
      </x:c>
      <x:c r="K985" s="16" t="b">
        <x:v>0</x:v>
      </x:c>
      <x:c r="L985" s="11" t="n">
        <x:v>0</x:v>
      </x:c>
      <x:c r="M985" s="11" t="n">
        <x:v>4</x:v>
      </x:c>
      <x:c r="N985" s="4"/>
      <x:c r="O985" s="4"/>
      <x:c r="P985" s="11" t="n">
        <x:v>1</x:v>
      </x:c>
      <x:c r="Q985" s="11" t="n">
        <x:v>0</x:v>
      </x:c>
      <x:c r="R985" s="11" t="str">
        <x:f>IF(OR(P985="",Q985=""),"",Q985-P985)</x:f>
      </x:c>
      <x:c r="S985" s="13" t="str">
        <x:f>IF(OR(P985="",Q985="",P985=0),"",((Q985/30)/(P985/31))-1)</x:f>
      </x:c>
      <x:c r="T985" s="11" t="n">
        <x:v>19</x:v>
      </x:c>
      <x:c r="U985" s="11" t="n">
        <x:v>2</x:v>
      </x:c>
      <x:c r="V985" s="14" t="n">
        <x:v>0</x:v>
      </x:c>
      <x:c r="W985" s="12" t="n">
        <x:v>8</x:v>
      </x:c>
      <x:c r="X985" s="11"/>
      <x:c r="Y985" s="11"/>
      <x:c r="Z985" s="4" t="str">
        <x:v>https://blog.skyairline.com/ir-a-machu-picchu-en-tiempos-de-covid-19/</x:v>
      </x:c>
      <x:c r="AA985" s="4" t="str">
        <x:v>https://blog.skyairline.com/ir-a-machu-picchu-en-tiempos-de-covid-19/</x:v>
      </x:c>
      <x:c r="AB985" s="4" t="str">
        <x:v>Coincidencia URL</x:v>
      </x:c>
      <x:c r="AC985" s="4" t="str">
        <x:v>Publicado hasta septiembre</x:v>
      </x:c>
      <x:c r="AD985" s="4"/>
      <x:c r="AE985" s="4"/>
      <x:c r="AF985" s="16" t="b">
        <x:v>0</x:v>
      </x:c>
    </x:row>
    <x:row r="986" ht="44" customHeight="1">
      <x:c r="A986" s="4" t="n">
        <x:v>979</x:v>
      </x:c>
      <x:c r="B986" s="4" t="str">
        <x:v>https://blog.skyairline.com/senderismo-en-punta-cana/</x:v>
      </x:c>
      <x:c r="C986" s="9" t="str">
        <x:v>5 impresionantes rutas de senderismo en Punta Cana</x:v>
      </x:c>
      <x:c r="D986" s="17" t="d">
        <x:v>2021-10-25T00:00:00.000Z</x:v>
      </x:c>
      <x:c r="E986" s="17" t="d">
        <x:v>2021-10-25T00:00:00.000Z</x:v>
      </x:c>
      <x:c r="F986" s="4" t="str">
        <x:v>Destinos</x:v>
      </x:c>
      <x:c r="G986" s="11" t="n">
        <x:v>1025</x:v>
      </x:c>
      <x:c r="H986" s="11" t="n">
        <x:v>200</x:v>
      </x:c>
      <x:c r="I986" s="11" t="n">
        <x:v>1</x:v>
      </x:c>
      <x:c r="J986" s="4" t="str">
        <x:v>https://blog.skyairline.com/senderismo-en-punta-cana/</x:v>
      </x:c>
      <x:c r="K986" s="16" t="b">
        <x:v>0</x:v>
      </x:c>
      <x:c r="L986" s="11" t="n">
        <x:v>0</x:v>
      </x:c>
      <x:c r="M986" s="11" t="n">
        <x:v>4</x:v>
      </x:c>
      <x:c r="N986" s="4"/>
      <x:c r="O986" s="4"/>
      <x:c r="P986" s="11" t="n">
        <x:v>2</x:v>
      </x:c>
      <x:c r="Q986" s="11" t="n">
        <x:v>0</x:v>
      </x:c>
      <x:c r="R986" s="11" t="str">
        <x:f>IF(OR(P986="",Q986=""),"",Q986-P986)</x:f>
      </x:c>
      <x:c r="S986" s="13" t="str">
        <x:f>IF(OR(P986="",Q986="",P986=0),"",((Q986/30)/(P986/31))-1)</x:f>
      </x:c>
      <x:c r="T986" s="11" t="n">
        <x:v>73</x:v>
      </x:c>
      <x:c r="U986" s="11" t="n">
        <x:v>22</x:v>
      </x:c>
      <x:c r="V986" s="14" t="n">
        <x:v>0</x:v>
      </x:c>
      <x:c r="W986" s="12" t="n">
        <x:v>14.818181818181818</x:v>
      </x:c>
      <x:c r="X986" s="11"/>
      <x:c r="Y986" s="11"/>
      <x:c r="Z986" s="4" t="str">
        <x:v>https://blog.skyairline.com/senderismo-en-punta-cana/</x:v>
      </x:c>
      <x:c r="AA986" s="4" t="str">
        <x:v>https://blog.skyairline.com/senderismo-en-punta-cana/</x:v>
      </x:c>
      <x:c r="AB986" s="4" t="str">
        <x:v>Coincidencia URL</x:v>
      </x:c>
      <x:c r="AC986" s="4" t="str">
        <x:v>Publicado hasta septiembre</x:v>
      </x:c>
      <x:c r="AD986" s="4"/>
      <x:c r="AE986" s="4"/>
      <x:c r="AF986" s="16" t="b">
        <x:v>0</x:v>
      </x:c>
    </x:row>
    <x:row r="987" ht="44" customHeight="1">
      <x:c r="A987" s="4" t="n">
        <x:v>993</x:v>
      </x:c>
      <x:c r="B987" s="4" t="str">
        <x:v>https://blog.skyairline.com/cosas-para-hacer-gratis-en-buenos-aires/</x:v>
      </x:c>
      <x:c r="C987" s="9" t="str">
        <x:v>5 cosas para hacer gratis en Buenos Aires</x:v>
      </x:c>
      <x:c r="D987" s="17" t="d">
        <x:v>2021-10-29T00:00:00.000Z</x:v>
      </x:c>
      <x:c r="E987" s="17" t="d">
        <x:v>2021-10-29T00:00:00.000Z</x:v>
      </x:c>
      <x:c r="F987" s="4" t="str">
        <x:v>Destinos</x:v>
      </x:c>
      <x:c r="G987" s="11" t="n">
        <x:v>1079</x:v>
      </x:c>
      <x:c r="H987" s="11" t="n">
        <x:v>200</x:v>
      </x:c>
      <x:c r="I987" s="11" t="n">
        <x:v>1</x:v>
      </x:c>
      <x:c r="J987" s="4" t="str">
        <x:v>https://blog.skyairline.com/cosas-para-hacer-gratis-en-buenos-aires/</x:v>
      </x:c>
      <x:c r="K987" s="16" t="b">
        <x:v>0</x:v>
      </x:c>
      <x:c r="L987" s="11" t="n">
        <x:v>0</x:v>
      </x:c>
      <x:c r="M987" s="11" t="n">
        <x:v>3</x:v>
      </x:c>
      <x:c r="N987" s="4"/>
      <x:c r="O987" s="4"/>
      <x:c r="P987" s="11" t="n">
        <x:v>2</x:v>
      </x:c>
      <x:c r="Q987" s="11" t="n">
        <x:v>0</x:v>
      </x:c>
      <x:c r="R987" s="11" t="str">
        <x:f>IF(OR(P987="",Q987=""),"",Q987-P987)</x:f>
      </x:c>
      <x:c r="S987" s="13" t="str">
        <x:f>IF(OR(P987="",Q987="",P987=0),"",((Q987/30)/(P987/31))-1)</x:f>
      </x:c>
      <x:c r="T987" s="11" t="n">
        <x:v>138</x:v>
      </x:c>
      <x:c r="U987" s="11" t="n">
        <x:v>55</x:v>
      </x:c>
      <x:c r="V987" s="14" t="n">
        <x:v>0</x:v>
      </x:c>
      <x:c r="W987" s="12" t="n">
        <x:v>38</x:v>
      </x:c>
      <x:c r="X987" s="11"/>
      <x:c r="Y987" s="11"/>
      <x:c r="Z987" s="4" t="str">
        <x:v>https://blog.skyairline.com/cosas-para-hacer-gratis-en-buenos-aires/</x:v>
      </x:c>
      <x:c r="AA987" s="4" t="str">
        <x:v>https://blog.skyairline.com/cosas-para-hacer-gratis-en-buenos-aires/</x:v>
      </x:c>
      <x:c r="AB987" s="4" t="str">
        <x:v>Coincidencia URL</x:v>
      </x:c>
      <x:c r="AC987" s="4" t="str">
        <x:v>Publicado hasta septiembre</x:v>
      </x:c>
      <x:c r="AD987" s="4"/>
      <x:c r="AE987" s="4"/>
      <x:c r="AF987" s="16" t="b">
        <x:v>0</x:v>
      </x:c>
    </x:row>
    <x:row r="988" ht="44" customHeight="1">
      <x:c r="A988" s="4" t="n">
        <x:v>1021</x:v>
      </x:c>
      <x:c r="B988" s="4" t="str">
        <x:v>https://blog.skyairline.com/cultura-general/</x:v>
      </x:c>
      <x:c r="C988" s="9" t="str">
        <x:v>Cultura general: ¿Cómo influyen los viajes?</x:v>
      </x:c>
      <x:c r="D988" s="17" t="d">
        <x:v>2021-11-04T00:00:00.000Z</x:v>
      </x:c>
      <x:c r="E988" s="17" t="d">
        <x:v>2021-11-04T00:00:00.000Z</x:v>
      </x:c>
      <x:c r="F988" s="4" t="str">
        <x:v>Cultura</x:v>
      </x:c>
      <x:c r="G988" s="11" t="n">
        <x:v>1024</x:v>
      </x:c>
      <x:c r="H988" s="11" t="n">
        <x:v>200</x:v>
      </x:c>
      <x:c r="I988" s="11" t="n">
        <x:v>1</x:v>
      </x:c>
      <x:c r="J988" s="4" t="str">
        <x:v>https://blog.skyairline.com/cultura-general/</x:v>
      </x:c>
      <x:c r="K988" s="16" t="b">
        <x:v>0</x:v>
      </x:c>
      <x:c r="L988" s="11" t="n">
        <x:v>0</x:v>
      </x:c>
      <x:c r="M988" s="11" t="n">
        <x:v>2</x:v>
      </x:c>
      <x:c r="N988" s="4"/>
      <x:c r="O988" s="4"/>
      <x:c r="P988" s="11" t="n">
        <x:v>0</x:v>
      </x:c>
      <x:c r="Q988" s="11" t="n">
        <x:v>0</x:v>
      </x:c>
      <x:c r="R988" s="11" t="str">
        <x:f>IF(OR(P988="",Q988=""),"",Q988-P988)</x:f>
      </x:c>
      <x:c r="S988" s="13" t="str">
        <x:f>IF(OR(P988="",Q988="",P988=0),"",((Q988/30)/(P988/31))-1)</x:f>
      </x:c>
      <x:c r="T988" s="11" t="n">
        <x:v>75</x:v>
      </x:c>
      <x:c r="U988" s="11" t="n">
        <x:v>57</x:v>
      </x:c>
      <x:c r="V988" s="14" t="n">
        <x:v>0</x:v>
      </x:c>
      <x:c r="W988" s="12" t="n">
        <x:v>20.280701754385966</x:v>
      </x:c>
      <x:c r="X988" s="11" t="n">
        <x:v>1</x:v>
      </x:c>
      <x:c r="Y988" s="11" t="n">
        <x:v>1</x:v>
      </x:c>
      <x:c r="Z988" s="4" t="str">
        <x:v>https://blog.skyairline.com/cultura-general/</x:v>
      </x:c>
      <x:c r="AA988" s="4" t="str">
        <x:v>https://blog.skyairline.com/cultura-general/</x:v>
      </x:c>
      <x:c r="AB988" s="4" t="str">
        <x:v>Coincidencia URL</x:v>
      </x:c>
      <x:c r="AC988" s="4" t="str">
        <x:v>Publicado hasta septiembre</x:v>
      </x:c>
      <x:c r="AD988" s="4" t="str">
        <x:v>/cultura-general/</x:v>
      </x:c>
      <x:c r="AE988" s="4"/>
      <x:c r="AF988" s="16" t="b">
        <x:v>0</x:v>
      </x:c>
    </x:row>
    <x:row r="989" ht="44" customHeight="1">
      <x:c r="A989" s="4" t="n">
        <x:v>1028</x:v>
      </x:c>
      <x:c r="B989" s="4" t="str">
        <x:v>https://blog.skyairline.com/sky-lanza-nueva-ruta-internacional-lima-buenos-aires-con-descuentos-de-hasta-un-30/</x:v>
      </x:c>
      <x:c r="C989" s="9" t="str">
        <x:v>SKY lanza nueva ruta internacional desde Perú</x:v>
      </x:c>
      <x:c r="D989" s="17" t="d">
        <x:v>2021-11-03T00:00:00.000Z</x:v>
      </x:c>
      <x:c r="E989" s="17" t="d">
        <x:v>2021-11-03T00:00:00.000Z</x:v>
      </x:c>
      <x:c r="F989" s="4" t="str">
        <x:v>Noticias</x:v>
      </x:c>
      <x:c r="G989" s="11" t="n">
        <x:v>478</x:v>
      </x:c>
      <x:c r="H989" s="11" t="n">
        <x:v>200</x:v>
      </x:c>
      <x:c r="I989" s="11" t="n">
        <x:v>1</x:v>
      </x:c>
      <x:c r="J989" s="4" t="str">
        <x:v>https://blog.skyairline.com/sky-lanza-nueva-ruta-internacional-lima-buenos-aires-con-descuentos-de-hasta-un-30/</x:v>
      </x:c>
      <x:c r="K989" s="16" t="b">
        <x:v>0</x:v>
      </x:c>
      <x:c r="L989" s="11" t="n">
        <x:v>0</x:v>
      </x:c>
      <x:c r="M989" s="11" t="n">
        <x:v>0</x:v>
      </x:c>
      <x:c r="N989" s="4"/>
      <x:c r="O989" s="4"/>
      <x:c r="P989" s="11" t="n">
        <x:v>0</x:v>
      </x:c>
      <x:c r="Q989" s="11" t="n">
        <x:v>0</x:v>
      </x:c>
      <x:c r="R989" s="11" t="str">
        <x:f>IF(OR(P989="",Q989=""),"",Q989-P989)</x:f>
      </x:c>
      <x:c r="S989" s="13" t="str">
        <x:f>IF(OR(P989="",Q989="",P989=0),"",((Q989/30)/(P989/31))-1)</x:f>
      </x:c>
      <x:c r="T989" s="11" t="n">
        <x:v>166</x:v>
      </x:c>
      <x:c r="U989" s="11" t="n">
        <x:v>119</x:v>
      </x:c>
      <x:c r="V989" s="14" t="n">
        <x:v>0</x:v>
      </x:c>
      <x:c r="W989" s="12" t="n">
        <x:v>6.73109243697479</x:v>
      </x:c>
      <x:c r="X989" s="11"/>
      <x:c r="Y989" s="11"/>
      <x:c r="Z989" s="4" t="str">
        <x:v>https://blog.skyairline.com/sky-lanza-nueva-ruta-internacional-lima-buenos-aires-con-descuentos-de-hasta-un-30/</x:v>
      </x:c>
      <x:c r="AA989" s="4" t="str">
        <x:v>https://blog.skyairline.com/sky-lanza-nueva-ruta-internacional-lima-buenos-aires-con-descuentos-de-hasta-un-30/</x:v>
      </x:c>
      <x:c r="AB989" s="4" t="str">
        <x:v>Coincidencia URL</x:v>
      </x:c>
      <x:c r="AC989" s="4" t="str">
        <x:v>Publicado hasta septiembre</x:v>
      </x:c>
      <x:c r="AD989" s="4"/>
      <x:c r="AE989" s="4"/>
      <x:c r="AF989" s="16" t="b">
        <x:v>0</x:v>
      </x:c>
    </x:row>
    <x:row r="990" ht="44" customHeight="1">
      <x:c r="A990" s="4" t="n">
        <x:v>1032</x:v>
      </x:c>
      <x:c r="B990" s="4" t="str">
        <x:v>https://blog.skyairline.com/viajar-de-forma-regular/</x:v>
      </x:c>
      <x:c r="C990" s="9" t="str">
        <x:v>¿Por qué viajar de forma regular te hace más feliz?</x:v>
      </x:c>
      <x:c r="D990" s="17" t="d">
        <x:v>2021-11-06T00:00:00.000Z</x:v>
      </x:c>
      <x:c r="E990" s="17" t="d">
        <x:v>2021-11-06T00:00:00.000Z</x:v>
      </x:c>
      <x:c r="F990" s="4" t="str">
        <x:v>Planificación de Viaje</x:v>
      </x:c>
      <x:c r="G990" s="11" t="n">
        <x:v>971</x:v>
      </x:c>
      <x:c r="H990" s="11" t="n">
        <x:v>200</x:v>
      </x:c>
      <x:c r="I990" s="11" t="n">
        <x:v>1</x:v>
      </x:c>
      <x:c r="J990" s="4" t="str">
        <x:v>https://blog.skyairline.com/viajar-de-forma-regular/</x:v>
      </x:c>
      <x:c r="K990" s="16" t="b">
        <x:v>0</x:v>
      </x:c>
      <x:c r="L990" s="11" t="n">
        <x:v>0</x:v>
      </x:c>
      <x:c r="M990" s="11" t="n">
        <x:v>3</x:v>
      </x:c>
      <x:c r="N990" s="4"/>
      <x:c r="O990" s="4"/>
      <x:c r="P990" s="11" t="n">
        <x:v>0</x:v>
      </x:c>
      <x:c r="Q990" s="11" t="n">
        <x:v>0</x:v>
      </x:c>
      <x:c r="R990" s="11" t="str">
        <x:f>IF(OR(P990="",Q990=""),"",Q990-P990)</x:f>
      </x:c>
      <x:c r="S990" s="13" t="str">
        <x:f>IF(OR(P990="",Q990="",P990=0),"",((Q990/30)/(P990/31))-1)</x:f>
      </x:c>
      <x:c r="T990" s="11" t="n">
        <x:v>26</x:v>
      </x:c>
      <x:c r="U990" s="11" t="n">
        <x:v>7</x:v>
      </x:c>
      <x:c r="V990" s="14" t="n">
        <x:v>0</x:v>
      </x:c>
      <x:c r="W990" s="12" t="n">
        <x:v>4.571428571428571</x:v>
      </x:c>
      <x:c r="X990" s="11"/>
      <x:c r="Y990" s="11"/>
      <x:c r="Z990" s="4" t="str">
        <x:v>https://blog.skyairline.com/viajar-de-forma-regular/</x:v>
      </x:c>
      <x:c r="AA990" s="4" t="str">
        <x:v>https://blog.skyairline.com/viajar-de-forma-regular/</x:v>
      </x:c>
      <x:c r="AB990" s="4" t="str">
        <x:v>Coincidencia URL</x:v>
      </x:c>
      <x:c r="AC990" s="4" t="str">
        <x:v>Publicado hasta septiembre</x:v>
      </x:c>
      <x:c r="AD990" s="4"/>
      <x:c r="AE990" s="4"/>
      <x:c r="AF990" s="16" t="b">
        <x:v>1</x:v>
      </x:c>
    </x:row>
    <x:row r="991" ht="44" customHeight="1">
      <x:c r="A991" s="4" t="n">
        <x:v>1035</x:v>
      </x:c>
      <x:c r="B991" s="4" t="str">
        <x:v>https://blog.skyairline.com/visitar-otro-pais/</x:v>
      </x:c>
      <x:c r="C991" s="9" t="str">
        <x:v>¿Qué no puedes dejar de hacer al visitar otro país?</x:v>
      </x:c>
      <x:c r="D991" s="17" t="d">
        <x:v>2021-11-07T00:00:00.000Z</x:v>
      </x:c>
      <x:c r="E991" s="17" t="d">
        <x:v>2021-11-07T00:00:00.000Z</x:v>
      </x:c>
      <x:c r="F991" s="4" t="str">
        <x:v>Planificación de Viaje</x:v>
      </x:c>
      <x:c r="G991" s="11" t="n">
        <x:v>1005</x:v>
      </x:c>
      <x:c r="H991" s="11" t="n">
        <x:v>200</x:v>
      </x:c>
      <x:c r="I991" s="11" t="n">
        <x:v>1</x:v>
      </x:c>
      <x:c r="J991" s="4" t="str">
        <x:v>https://blog.skyairline.com/visitar-otro-pais/</x:v>
      </x:c>
      <x:c r="K991" s="16" t="b">
        <x:v>0</x:v>
      </x:c>
      <x:c r="L991" s="11" t="n">
        <x:v>0</x:v>
      </x:c>
      <x:c r="M991" s="11" t="n">
        <x:v>3</x:v>
      </x:c>
      <x:c r="N991" s="4"/>
      <x:c r="O991" s="4"/>
      <x:c r="P991" s="11" t="n">
        <x:v>1</x:v>
      </x:c>
      <x:c r="Q991" s="11" t="n">
        <x:v>0</x:v>
      </x:c>
      <x:c r="R991" s="11" t="str">
        <x:f>IF(OR(P991="",Q991=""),"",Q991-P991)</x:f>
      </x:c>
      <x:c r="S991" s="13" t="str">
        <x:f>IF(OR(P991="",Q991="",P991=0),"",((Q991/30)/(P991/31))-1)</x:f>
      </x:c>
      <x:c r="T991" s="11" t="n">
        <x:v>33</x:v>
      </x:c>
      <x:c r="U991" s="11" t="n">
        <x:v>8</x:v>
      </x:c>
      <x:c r="V991" s="14" t="n">
        <x:v>0</x:v>
      </x:c>
      <x:c r="W991" s="12" t="n">
        <x:v>7</x:v>
      </x:c>
      <x:c r="X991" s="11"/>
      <x:c r="Y991" s="11"/>
      <x:c r="Z991" s="4" t="str">
        <x:v>https://blog.skyairline.com/visitar-otro-pais/</x:v>
      </x:c>
      <x:c r="AA991" s="4" t="str">
        <x:v>https://blog.skyairline.com/visitar-otro-pais/</x:v>
      </x:c>
      <x:c r="AB991" s="4" t="str">
        <x:v>Coincidencia URL</x:v>
      </x:c>
      <x:c r="AC991" s="4" t="str">
        <x:v>Publicado hasta septiembre</x:v>
      </x:c>
      <x:c r="AD991" s="4"/>
      <x:c r="AE991" s="4"/>
      <x:c r="AF991" s="16" t="b">
        <x:v>0</x:v>
      </x:c>
    </x:row>
    <x:row r="992" ht="44" customHeight="1">
      <x:c r="A992" s="4" t="n">
        <x:v>1041</x:v>
      </x:c>
      <x:c r="B992" s="4" t="str">
        <x:v>https://blog.skyairline.com/comprar-online/</x:v>
      </x:c>
      <x:c r="C992" s="9" t="str">
        <x:v>Pasajes, gadgets, artículos del hogar&amp;#8230; ¡conoce las mejores épocas para comprar online!</x:v>
      </x:c>
      <x:c r="D992" s="17" t="d">
        <x:v>2021-11-09T00:00:00.000Z</x:v>
      </x:c>
      <x:c r="E992" s="17" t="d">
        <x:v>2021-11-09T00:00:00.000Z</x:v>
      </x:c>
      <x:c r="F992" s="4" t="str">
        <x:v>Planificación de Viaje</x:v>
      </x:c>
      <x:c r="G992" s="11" t="n">
        <x:v>1013</x:v>
      </x:c>
      <x:c r="H992" s="11" t="n">
        <x:v>200</x:v>
      </x:c>
      <x:c r="I992" s="11" t="n">
        <x:v>1</x:v>
      </x:c>
      <x:c r="J992" s="4" t="str">
        <x:v>https://blog.skyairline.com/comprar-online/</x:v>
      </x:c>
      <x:c r="K992" s="16" t="b">
        <x:v>0</x:v>
      </x:c>
      <x:c r="L992" s="11" t="n">
        <x:v>0</x:v>
      </x:c>
      <x:c r="M992" s="11" t="n">
        <x:v>2</x:v>
      </x:c>
      <x:c r="N992" s="4"/>
      <x:c r="O992" s="4"/>
      <x:c r="P992" s="11" t="n">
        <x:v>1</x:v>
      </x:c>
      <x:c r="Q992" s="11" t="n">
        <x:v>0</x:v>
      </x:c>
      <x:c r="R992" s="11" t="str">
        <x:f>IF(OR(P992="",Q992=""),"",Q992-P992)</x:f>
      </x:c>
      <x:c r="S992" s="13" t="str">
        <x:f>IF(OR(P992="",Q992="",P992=0),"",((Q992/30)/(P992/31))-1)</x:f>
      </x:c>
      <x:c r="T992" s="11" t="n">
        <x:v>3</x:v>
      </x:c>
      <x:c r="U992" s="11" t="n">
        <x:v>52</x:v>
      </x:c>
      <x:c r="V992" s="14" t="n">
        <x:v>0</x:v>
      </x:c>
      <x:c r="W992" s="12" t="n">
        <x:v>10.692307692307692</x:v>
      </x:c>
      <x:c r="X992" s="11"/>
      <x:c r="Y992" s="11"/>
      <x:c r="Z992" s="4" t="str">
        <x:v>https://blog.skyairline.com/comprar-online/</x:v>
      </x:c>
      <x:c r="AA992" s="4" t="str">
        <x:v>https://blog.skyairline.com/comprar-online/</x:v>
      </x:c>
      <x:c r="AB992" s="4" t="str">
        <x:v>Coincidencia URL</x:v>
      </x:c>
      <x:c r="AC992" s="4" t="str">
        <x:v>Publicado hasta septiembre</x:v>
      </x:c>
      <x:c r="AD992" s="4"/>
      <x:c r="AE992" s="4"/>
      <x:c r="AF992" s="16" t="b">
        <x:v>0</x:v>
      </x:c>
    </x:row>
    <x:row r="993" ht="44" customHeight="1">
      <x:c r="A993" s="4" t="n">
        <x:v>1054</x:v>
      </x:c>
      <x:c r="B993" s="4" t="str">
        <x:v>https://blog.skyairline.com/hotel-todo-incluido/</x:v>
      </x:c>
      <x:c r="C993" s="9" t="str">
        <x:v>Hotel todo incluido: ventajas y desventajas</x:v>
      </x:c>
      <x:c r="D993" s="17" t="d">
        <x:v>2021-11-13T00:00:00.000Z</x:v>
      </x:c>
      <x:c r="E993" s="17" t="d">
        <x:v>2021-11-13T00:00:00.000Z</x:v>
      </x:c>
      <x:c r="F993" s="4" t="str">
        <x:v>Planificación de Viaje</x:v>
      </x:c>
      <x:c r="G993" s="11" t="n">
        <x:v>996</x:v>
      </x:c>
      <x:c r="H993" s="11" t="n">
        <x:v>200</x:v>
      </x:c>
      <x:c r="I993" s="11" t="n">
        <x:v>1</x:v>
      </x:c>
      <x:c r="J993" s="4" t="str">
        <x:v>https://blog.skyairline.com/hotel-todo-incluido/</x:v>
      </x:c>
      <x:c r="K993" s="16" t="b">
        <x:v>0</x:v>
      </x:c>
      <x:c r="L993" s="11" t="n">
        <x:v>0</x:v>
      </x:c>
      <x:c r="M993" s="11" t="n">
        <x:v>4</x:v>
      </x:c>
      <x:c r="N993" s="4"/>
      <x:c r="O993" s="4"/>
      <x:c r="P993" s="11" t="n">
        <x:v>1</x:v>
      </x:c>
      <x:c r="Q993" s="11" t="n">
        <x:v>0</x:v>
      </x:c>
      <x:c r="R993" s="11" t="str">
        <x:f>IF(OR(P993="",Q993=""),"",Q993-P993)</x:f>
      </x:c>
      <x:c r="S993" s="13" t="str">
        <x:f>IF(OR(P993="",Q993="",P993=0),"",((Q993/30)/(P993/31))-1)</x:f>
      </x:c>
      <x:c r="T993" s="11" t="n">
        <x:v>91</x:v>
      </x:c>
      <x:c r="U993" s="11" t="n">
        <x:v>51</x:v>
      </x:c>
      <x:c r="V993" s="14" t="n">
        <x:v>0</x:v>
      </x:c>
      <x:c r="W993" s="12" t="n">
        <x:v>42.64705882352941</x:v>
      </x:c>
      <x:c r="X993" s="11"/>
      <x:c r="Y993" s="11"/>
      <x:c r="Z993" s="4" t="str">
        <x:v>https://blog.skyairline.com/hotel-todo-incluido/</x:v>
      </x:c>
      <x:c r="AA993" s="4" t="str">
        <x:v>https://blog.skyairline.com/hotel-todo-incluido/</x:v>
      </x:c>
      <x:c r="AB993" s="4" t="str">
        <x:v>Coincidencia URL</x:v>
      </x:c>
      <x:c r="AC993" s="4" t="str">
        <x:v>Publicado hasta septiembre</x:v>
      </x:c>
      <x:c r="AD993" s="4"/>
      <x:c r="AE993" s="4"/>
      <x:c r="AF993" s="16" t="b">
        <x:v>0</x:v>
      </x:c>
    </x:row>
    <x:row r="994" ht="44" customHeight="1">
      <x:c r="A994" s="4" t="n">
        <x:v>1060</x:v>
      </x:c>
      <x:c r="B994" s="4" t="str">
        <x:v>https://blog.skyairline.com/tumbes/</x:v>
      </x:c>
      <x:c r="C994" s="9" t="str">
        <x:v>¿Por qué es conocido Tumbes?</x:v>
      </x:c>
      <x:c r="D994" s="17" t="d">
        <x:v>2025-12-15T00:00:00.000Z</x:v>
      </x:c>
      <x:c r="E994" s="17" t="d">
        <x:v>2025-12-15T00:00:00.000Z</x:v>
      </x:c>
      <x:c r="F994" s="4" t="str">
        <x:v>Destinos</x:v>
      </x:c>
      <x:c r="G994" s="11" t="n">
        <x:v>994</x:v>
      </x:c>
      <x:c r="H994" s="11" t="n">
        <x:v>200</x:v>
      </x:c>
      <x:c r="I994" s="11" t="n">
        <x:v>1</x:v>
      </x:c>
      <x:c r="J994" s="4" t="str">
        <x:v>https://blog.skyairline.com/tumbes/</x:v>
      </x:c>
      <x:c r="K994" s="16" t="b">
        <x:v>0</x:v>
      </x:c>
      <x:c r="L994" s="11" t="n">
        <x:v>0</x:v>
      </x:c>
      <x:c r="M994" s="11" t="n">
        <x:v>0</x:v>
      </x:c>
      <x:c r="N994" s="4"/>
      <x:c r="O994" s="4"/>
      <x:c r="P994" s="11" t="n">
        <x:v>0</x:v>
      </x:c>
      <x:c r="Q994" s="11" t="n">
        <x:v>0</x:v>
      </x:c>
      <x:c r="R994" s="11" t="str">
        <x:f>IF(OR(P994="",Q994=""),"",Q994-P994)</x:f>
      </x:c>
      <x:c r="S994" s="13" t="str">
        <x:f>IF(OR(P994="",Q994="",P994=0),"",((Q994/30)/(P994/31))-1)</x:f>
      </x:c>
      <x:c r="T994" s="11" t="n">
        <x:v>283</x:v>
      </x:c>
      <x:c r="U994" s="11" t="n">
        <x:v>123</x:v>
      </x:c>
      <x:c r="V994" s="14" t="n">
        <x:v>0</x:v>
      </x:c>
      <x:c r="W994" s="12" t="n">
        <x:v>9.512195121951219</x:v>
      </x:c>
      <x:c r="X994" s="11"/>
      <x:c r="Y994" s="11"/>
      <x:c r="Z994" s="4" t="str">
        <x:v>https://blog.skyairline.com/tumbes/</x:v>
      </x:c>
      <x:c r="AA994" s="4" t="str">
        <x:v>https://blog.skyairline.com/tumbes/</x:v>
      </x:c>
      <x:c r="AB994" s="4" t="str">
        <x:v>Coincidencia URL</x:v>
      </x:c>
      <x:c r="AC994" s="4" t="str">
        <x:v>Publicado hasta septiembre</x:v>
      </x:c>
      <x:c r="AD994" s="4"/>
      <x:c r="AE994" s="4"/>
      <x:c r="AF994" s="16" t="b">
        <x:v>0</x:v>
      </x:c>
    </x:row>
    <x:row r="995" ht="44" customHeight="1">
      <x:c r="A995" s="4" t="n">
        <x:v>1063</x:v>
      </x:c>
      <x:c r="B995" s="4" t="str">
        <x:v>https://blog.skyairline.com/reserva-de-auto/</x:v>
      </x:c>
      <x:c r="C995" s="9" t="str">
        <x:v>Reserva de auto: 4 consejos clave para hacerlo con éxito</x:v>
      </x:c>
      <x:c r="D995" s="17" t="d">
        <x:v>2021-11-16T00:00:00.000Z</x:v>
      </x:c>
      <x:c r="E995" s="17" t="d">
        <x:v>2021-11-16T00:00:00.000Z</x:v>
      </x:c>
      <x:c r="F995" s="4" t="str">
        <x:v>Planificación de Viaje</x:v>
      </x:c>
      <x:c r="G995" s="11" t="n">
        <x:v>983</x:v>
      </x:c>
      <x:c r="H995" s="11" t="n">
        <x:v>200</x:v>
      </x:c>
      <x:c r="I995" s="11" t="n">
        <x:v>1</x:v>
      </x:c>
      <x:c r="J995" s="4" t="str">
        <x:v>https://blog.skyairline.com/reserva-de-auto/</x:v>
      </x:c>
      <x:c r="K995" s="16" t="b">
        <x:v>0</x:v>
      </x:c>
      <x:c r="L995" s="11" t="n">
        <x:v>0</x:v>
      </x:c>
      <x:c r="M995" s="11" t="n">
        <x:v>2</x:v>
      </x:c>
      <x:c r="N995" s="4"/>
      <x:c r="O995" s="4"/>
      <x:c r="P995" s="11" t="n">
        <x:v>3</x:v>
      </x:c>
      <x:c r="Q995" s="11" t="n">
        <x:v>0</x:v>
      </x:c>
      <x:c r="R995" s="11" t="str">
        <x:f>IF(OR(P995="",Q995=""),"",Q995-P995)</x:f>
      </x:c>
      <x:c r="S995" s="13" t="str">
        <x:f>IF(OR(P995="",Q995="",P995=0),"",((Q995/30)/(P995/31))-1)</x:f>
      </x:c>
      <x:c r="T995" s="11" t="n">
        <x:v>96</x:v>
      </x:c>
      <x:c r="U995" s="11" t="n">
        <x:v>35</x:v>
      </x:c>
      <x:c r="V995" s="14" t="n">
        <x:v>0</x:v>
      </x:c>
      <x:c r="W995" s="12" t="n">
        <x:v>7.428571428571429</x:v>
      </x:c>
      <x:c r="X995" s="11"/>
      <x:c r="Y995" s="11"/>
      <x:c r="Z995" s="4" t="str">
        <x:v>https://blog.skyairline.com/reserva-de-auto/</x:v>
      </x:c>
      <x:c r="AA995" s="4" t="str">
        <x:v>https://blog.skyairline.com/reserva-de-auto/</x:v>
      </x:c>
      <x:c r="AB995" s="4" t="str">
        <x:v>Coincidencia URL</x:v>
      </x:c>
      <x:c r="AC995" s="4" t="str">
        <x:v>Publicado hasta septiembre</x:v>
      </x:c>
      <x:c r="AD995" s="4"/>
      <x:c r="AE995" s="4"/>
      <x:c r="AF995" s="16" t="b">
        <x:v>0</x:v>
      </x:c>
    </x:row>
    <x:row r="996" ht="44" customHeight="1">
      <x:c r="A996" s="4" t="n">
        <x:v>1074</x:v>
      </x:c>
      <x:c r="B996" s="4" t="str">
        <x:v>https://blog.skyairline.com/visitar-museos/</x:v>
      </x:c>
      <x:c r="C996" s="9" t="str">
        <x:v>Tips de seguridad para visitar museos y otros lugares públicos durante la pandemia</x:v>
      </x:c>
      <x:c r="D996" s="17" t="d">
        <x:v>2021-11-19T00:00:00.000Z</x:v>
      </x:c>
      <x:c r="E996" s="17" t="d">
        <x:v>2021-11-19T00:00:00.000Z</x:v>
      </x:c>
      <x:c r="F996" s="4" t="str">
        <x:v>Cultura</x:v>
      </x:c>
      <x:c r="G996" s="11" t="n">
        <x:v>999</x:v>
      </x:c>
      <x:c r="H996" s="11" t="n">
        <x:v>200</x:v>
      </x:c>
      <x:c r="I996" s="11" t="n">
        <x:v>1</x:v>
      </x:c>
      <x:c r="J996" s="4" t="str">
        <x:v>https://blog.skyairline.com/visitar-museos/</x:v>
      </x:c>
      <x:c r="K996" s="16" t="b">
        <x:v>0</x:v>
      </x:c>
      <x:c r="L996" s="11" t="n">
        <x:v>0</x:v>
      </x:c>
      <x:c r="M996" s="11" t="n">
        <x:v>4</x:v>
      </x:c>
      <x:c r="N996" s="4"/>
      <x:c r="O996" s="4"/>
      <x:c r="P996" s="11" t="n">
        <x:v>0</x:v>
      </x:c>
      <x:c r="Q996" s="11" t="n">
        <x:v>0</x:v>
      </x:c>
      <x:c r="R996" s="11" t="str">
        <x:f>IF(OR(P996="",Q996=""),"",Q996-P996)</x:f>
      </x:c>
      <x:c r="S996" s="13" t="str">
        <x:f>IF(OR(P996="",Q996="",P996=0),"",((Q996/30)/(P996/31))-1)</x:f>
      </x:c>
      <x:c r="T996" s="11" t="n">
        <x:v>20</x:v>
      </x:c>
      <x:c r="U996" s="11" t="n">
        <x:v>10</x:v>
      </x:c>
      <x:c r="V996" s="14" t="n">
        <x:v>0</x:v>
      </x:c>
      <x:c r="W996" s="12" t="n">
        <x:v>20.5</x:v>
      </x:c>
      <x:c r="X996" s="11"/>
      <x:c r="Y996" s="11"/>
      <x:c r="Z996" s="4" t="str">
        <x:v>https://blog.skyairline.com/visitar-museos/</x:v>
      </x:c>
      <x:c r="AA996" s="4" t="str">
        <x:v>https://blog.skyairline.com/visitar-museos/</x:v>
      </x:c>
      <x:c r="AB996" s="4" t="str">
        <x:v>Coincidencia URL</x:v>
      </x:c>
      <x:c r="AC996" s="4" t="str">
        <x:v>Publicado hasta septiembre</x:v>
      </x:c>
      <x:c r="AD996" s="4"/>
      <x:c r="AE996" s="4"/>
      <x:c r="AF996" s="16" t="b">
        <x:v>0</x:v>
      </x:c>
    </x:row>
    <x:row r="997" ht="44" customHeight="1">
      <x:c r="A997" s="4" t="n">
        <x:v>1080</x:v>
      </x:c>
      <x:c r="B997" s="4" t="str">
        <x:v>https://blog.skyairline.com/lugares-originales-a-los-que-viajar/</x:v>
      </x:c>
      <x:c r="C997" s="9" t="str">
        <x:v>Lugares originales a los que viajar: 5 ideas interesantes</x:v>
      </x:c>
      <x:c r="D997" s="17" t="d">
        <x:v>2021-11-21T00:00:00.000Z</x:v>
      </x:c>
      <x:c r="E997" s="17" t="d">
        <x:v>2021-11-21T00:00:00.000Z</x:v>
      </x:c>
      <x:c r="F997" s="4" t="str">
        <x:v>Destinos</x:v>
      </x:c>
      <x:c r="G997" s="11" t="n">
        <x:v>999</x:v>
      </x:c>
      <x:c r="H997" s="11" t="n">
        <x:v>200</x:v>
      </x:c>
      <x:c r="I997" s="11" t="n">
        <x:v>1</x:v>
      </x:c>
      <x:c r="J997" s="4" t="str">
        <x:v>https://blog.skyairline.com/lugares-originales-a-los-que-viajar/</x:v>
      </x:c>
      <x:c r="K997" s="16" t="b">
        <x:v>0</x:v>
      </x:c>
      <x:c r="L997" s="11" t="n">
        <x:v>0</x:v>
      </x:c>
      <x:c r="M997" s="11" t="n">
        <x:v>2</x:v>
      </x:c>
      <x:c r="N997" s="4"/>
      <x:c r="O997" s="4"/>
      <x:c r="P997" s="11" t="n">
        <x:v>0</x:v>
      </x:c>
      <x:c r="Q997" s="11" t="n">
        <x:v>0</x:v>
      </x:c>
      <x:c r="R997" s="11" t="str">
        <x:f>IF(OR(P997="",Q997=""),"",Q997-P997)</x:f>
      </x:c>
      <x:c r="S997" s="13" t="str">
        <x:f>IF(OR(P997="",Q997="",P997=0),"",((Q997/30)/(P997/31))-1)</x:f>
      </x:c>
      <x:c r="T997" s="11" t="n">
        <x:v>2</x:v>
      </x:c>
      <x:c r="U997" s="11" t="n">
        <x:v>4</x:v>
      </x:c>
      <x:c r="V997" s="14" t="n">
        <x:v>0</x:v>
      </x:c>
      <x:c r="W997" s="12" t="n">
        <x:v>7.5</x:v>
      </x:c>
      <x:c r="X997" s="11"/>
      <x:c r="Y997" s="11"/>
      <x:c r="Z997" s="4" t="str">
        <x:v>https://blog.skyairline.com/lugares-originales-a-los-que-viajar/</x:v>
      </x:c>
      <x:c r="AA997" s="4" t="str">
        <x:v>https://blog.skyairline.com/lugares-originales-a-los-que-viajar/</x:v>
      </x:c>
      <x:c r="AB997" s="4" t="str">
        <x:v>Coincidencia URL</x:v>
      </x:c>
      <x:c r="AC997" s="4" t="str">
        <x:v>Publicado hasta septiembre</x:v>
      </x:c>
      <x:c r="AD997" s="4"/>
      <x:c r="AE997" s="4"/>
      <x:c r="AF997" s="16" t="b">
        <x:v>0</x:v>
      </x:c>
    </x:row>
    <x:row r="998" ht="44" customHeight="1">
      <x:c r="A998" s="4" t="n">
        <x:v>1086</x:v>
      </x:c>
      <x:c r="B998" s="4" t="str">
        <x:v>https://blog.skyairline.com/viajar-solo/</x:v>
      </x:c>
      <x:c r="C998" s="9" t="str">
        <x:v>¿Por qué viajar solo es una gran idea? Beneficios avalados por la ciencia</x:v>
      </x:c>
      <x:c r="D998" s="17" t="d">
        <x:v>2021-11-23T00:00:00.000Z</x:v>
      </x:c>
      <x:c r="E998" s="17" t="d">
        <x:v>2021-11-23T00:00:00.000Z</x:v>
      </x:c>
      <x:c r="F998" s="4" t="str">
        <x:v>Planificación de Viaje</x:v>
      </x:c>
      <x:c r="G998" s="11" t="n">
        <x:v>1009</x:v>
      </x:c>
      <x:c r="H998" s="11" t="n">
        <x:v>200</x:v>
      </x:c>
      <x:c r="I998" s="11" t="n">
        <x:v>1</x:v>
      </x:c>
      <x:c r="J998" s="4" t="str">
        <x:v>https://blog.skyairline.com/viajar-solo/</x:v>
      </x:c>
      <x:c r="K998" s="16" t="b">
        <x:v>0</x:v>
      </x:c>
      <x:c r="L998" s="11" t="n">
        <x:v>0</x:v>
      </x:c>
      <x:c r="M998" s="11" t="n">
        <x:v>3</x:v>
      </x:c>
      <x:c r="N998" s="4"/>
      <x:c r="O998" s="4"/>
      <x:c r="P998" s="11" t="n">
        <x:v>0</x:v>
      </x:c>
      <x:c r="Q998" s="11" t="n">
        <x:v>0</x:v>
      </x:c>
      <x:c r="R998" s="11" t="str">
        <x:f>IF(OR(P998="",Q998=""),"",Q998-P998)</x:f>
      </x:c>
      <x:c r="S998" s="13" t="str">
        <x:f>IF(OR(P998="",Q998="",P998=0),"",((Q998/30)/(P998/31))-1)</x:f>
      </x:c>
      <x:c r="T998" s="11" t="n">
        <x:v>24</x:v>
      </x:c>
      <x:c r="U998" s="11" t="n">
        <x:v>17</x:v>
      </x:c>
      <x:c r="V998" s="14" t="n">
        <x:v>0</x:v>
      </x:c>
      <x:c r="W998" s="12" t="n">
        <x:v>60.588235294117645</x:v>
      </x:c>
      <x:c r="X998" s="11"/>
      <x:c r="Y998" s="11"/>
      <x:c r="Z998" s="4" t="str">
        <x:v>https://blog.skyairline.com/viajar-solo/</x:v>
      </x:c>
      <x:c r="AA998" s="4" t="str">
        <x:v>https://blog.skyairline.com/viajar-solo/</x:v>
      </x:c>
      <x:c r="AB998" s="4" t="str">
        <x:v>Coincidencia URL</x:v>
      </x:c>
      <x:c r="AC998" s="4" t="str">
        <x:v>Publicado hasta septiembre</x:v>
      </x:c>
      <x:c r="AD998" s="4"/>
      <x:c r="AE998" s="4"/>
      <x:c r="AF998" s="16" t="b">
        <x:v>0</x:v>
      </x:c>
    </x:row>
    <x:row r="999" ht="44" customHeight="1">
      <x:c r="A999" s="4" t="n">
        <x:v>1089</x:v>
      </x:c>
      <x:c r="B999" s="4" t="str">
        <x:v>https://blog.skyairline.com/vuelos-de-ultima-hora/</x:v>
      </x:c>
      <x:c r="C999" s="9" t="str">
        <x:v>Vuelos de última hora: 6 consejos básicos</x:v>
      </x:c>
      <x:c r="D999" s="17" t="d">
        <x:v>2021-11-24T00:00:00.000Z</x:v>
      </x:c>
      <x:c r="E999" s="17" t="d">
        <x:v>2021-11-24T00:00:00.000Z</x:v>
      </x:c>
      <x:c r="F999" s="4" t="str">
        <x:v>Planificación de Viaje</x:v>
      </x:c>
      <x:c r="G999" s="11" t="n">
        <x:v>1003</x:v>
      </x:c>
      <x:c r="H999" s="11" t="n">
        <x:v>200</x:v>
      </x:c>
      <x:c r="I999" s="11" t="n">
        <x:v>1</x:v>
      </x:c>
      <x:c r="J999" s="4" t="str">
        <x:v>https://blog.skyairline.com/vuelos-de-ultima-hora/</x:v>
      </x:c>
      <x:c r="K999" s="16" t="b">
        <x:v>0</x:v>
      </x:c>
      <x:c r="L999" s="11" t="n">
        <x:v>0</x:v>
      </x:c>
      <x:c r="M999" s="11" t="n">
        <x:v>2</x:v>
      </x:c>
      <x:c r="N999" s="4"/>
      <x:c r="O999" s="4"/>
      <x:c r="P999" s="11" t="n">
        <x:v>2</x:v>
      </x:c>
      <x:c r="Q999" s="11" t="n">
        <x:v>0</x:v>
      </x:c>
      <x:c r="R999" s="11" t="str">
        <x:f>IF(OR(P999="",Q999=""),"",Q999-P999)</x:f>
      </x:c>
      <x:c r="S999" s="13" t="str">
        <x:f>IF(OR(P999="",Q999="",P999=0),"",((Q999/30)/(P999/31))-1)</x:f>
      </x:c>
      <x:c r="T999" s="11" t="n">
        <x:v>166</x:v>
      </x:c>
      <x:c r="U999" s="11" t="n">
        <x:v>168</x:v>
      </x:c>
      <x:c r="V999" s="14" t="n">
        <x:v>0</x:v>
      </x:c>
      <x:c r="W999" s="12" t="n">
        <x:v>8.053571428571429</x:v>
      </x:c>
      <x:c r="X999" s="11"/>
      <x:c r="Y999" s="11"/>
      <x:c r="Z999" s="4" t="str">
        <x:v>https://blog.skyairline.com/vuelos-de-ultima-hora/</x:v>
      </x:c>
      <x:c r="AA999" s="4" t="str">
        <x:v>https://blog.skyairline.com/vuelos-de-ultima-hora/</x:v>
      </x:c>
      <x:c r="AB999" s="4" t="str">
        <x:v>Coincidencia URL</x:v>
      </x:c>
      <x:c r="AC999" s="4" t="str">
        <x:v>Publicado hasta septiembre</x:v>
      </x:c>
      <x:c r="AD999" s="4"/>
      <x:c r="AE999" s="4"/>
      <x:c r="AF999" s="16" t="b">
        <x:v>0</x:v>
      </x:c>
    </x:row>
    <x:row r="1000" ht="44" customHeight="1">
      <x:c r="A1000" s="4" t="n">
        <x:v>1101</x:v>
      </x:c>
      <x:c r="B1000" s="4" t="str">
        <x:v>https://blog.skyairline.com/recorridos-virtuales/</x:v>
      </x:c>
      <x:c r="C1000" s="9" t="str">
        <x:v>Recorridos virtuales: ¿se quedarán para siempre en el turismo?</x:v>
      </x:c>
      <x:c r="D1000" s="17" t="d">
        <x:v>2021-11-28T00:00:00.000Z</x:v>
      </x:c>
      <x:c r="E1000" s="17" t="d">
        <x:v>2021-11-28T00:00:00.000Z</x:v>
      </x:c>
      <x:c r="F1000" s="4" t="str">
        <x:v>Planificación de Viaje</x:v>
      </x:c>
      <x:c r="G1000" s="11" t="n">
        <x:v>1051</x:v>
      </x:c>
      <x:c r="H1000" s="11" t="n">
        <x:v>200</x:v>
      </x:c>
      <x:c r="I1000" s="11" t="n">
        <x:v>1</x:v>
      </x:c>
      <x:c r="J1000" s="4" t="str">
        <x:v>https://blog.skyairline.com/recorridos-virtuales/</x:v>
      </x:c>
      <x:c r="K1000" s="16" t="b">
        <x:v>0</x:v>
      </x:c>
      <x:c r="L1000" s="11" t="n">
        <x:v>0</x:v>
      </x:c>
      <x:c r="M1000" s="11" t="n">
        <x:v>0</x:v>
      </x:c>
      <x:c r="N1000" s="4"/>
      <x:c r="O1000" s="4"/>
      <x:c r="P1000" s="11" t="n">
        <x:v>0</x:v>
      </x:c>
      <x:c r="Q1000" s="11" t="n">
        <x:v>0</x:v>
      </x:c>
      <x:c r="R1000" s="11" t="str">
        <x:f>IF(OR(P1000="",Q1000=""),"",Q1000-P1000)</x:f>
      </x:c>
      <x:c r="S1000" s="13" t="str">
        <x:f>IF(OR(P1000="",Q1000="",P1000=0),"",((Q1000/30)/(P1000/31))-1)</x:f>
      </x:c>
      <x:c r="T1000" s="11" t="n">
        <x:v>2</x:v>
      </x:c>
      <x:c r="U1000" s="11" t="n">
        <x:v>5</x:v>
      </x:c>
      <x:c r="V1000" s="14" t="n">
        <x:v>0</x:v>
      </x:c>
      <x:c r="W1000" s="12" t="n">
        <x:v>12.4</x:v>
      </x:c>
      <x:c r="X1000" s="11"/>
      <x:c r="Y1000" s="11"/>
      <x:c r="Z1000" s="4" t="str">
        <x:v>https://blog.skyairline.com/recorridos-virtuales/</x:v>
      </x:c>
      <x:c r="AA1000" s="4" t="str">
        <x:v>https://blog.skyairline.com/recorridos-virtuales/</x:v>
      </x:c>
      <x:c r="AB1000" s="4" t="str">
        <x:v>Coincidencia URL</x:v>
      </x:c>
      <x:c r="AC1000" s="4" t="str">
        <x:v>Publicado hasta septiembre</x:v>
      </x:c>
      <x:c r="AD1000" s="4"/>
      <x:c r="AE1000" s="4"/>
      <x:c r="AF1000" s="16" t="b">
        <x:v>0</x:v>
      </x:c>
    </x:row>
    <x:row r="1001" ht="44" customHeight="1">
      <x:c r="A1001" s="4" t="n">
        <x:v>1107</x:v>
      </x:c>
      <x:c r="B1001" s="4" t="str">
        <x:v>https://blog.skyairline.com/vacaciones-decembrinas/</x:v>
      </x:c>
      <x:c r="C1001" s="9" t="str">
        <x:v>Vacaciones de fin de año: Viajar y otras actividades para desconectarte</x:v>
      </x:c>
      <x:c r="D1001" s="17" t="d">
        <x:v>2021-11-30T00:00:00.000Z</x:v>
      </x:c>
      <x:c r="E1001" s="17" t="d">
        <x:v>2021-11-30T00:00:00.000Z</x:v>
      </x:c>
      <x:c r="F1001" s="4" t="str">
        <x:v>Planificación de Viaje</x:v>
      </x:c>
      <x:c r="G1001" s="11" t="n">
        <x:v>1010</x:v>
      </x:c>
      <x:c r="H1001" s="11" t="n">
        <x:v>200</x:v>
      </x:c>
      <x:c r="I1001" s="11" t="n">
        <x:v>1</x:v>
      </x:c>
      <x:c r="J1001" s="4" t="str">
        <x:v>https://blog.skyairline.com/vacaciones-decembrinas/</x:v>
      </x:c>
      <x:c r="K1001" s="16" t="b">
        <x:v>0</x:v>
      </x:c>
      <x:c r="L1001" s="11" t="n">
        <x:v>0</x:v>
      </x:c>
      <x:c r="M1001" s="11" t="n">
        <x:v>0</x:v>
      </x:c>
      <x:c r="N1001" s="4"/>
      <x:c r="O1001" s="4"/>
      <x:c r="P1001" s="11" t="n">
        <x:v>0</x:v>
      </x:c>
      <x:c r="Q1001" s="11" t="n">
        <x:v>0</x:v>
      </x:c>
      <x:c r="R1001" s="11" t="str">
        <x:f>IF(OR(P1001="",Q1001=""),"",Q1001-P1001)</x:f>
      </x:c>
      <x:c r="S1001" s="13" t="str">
        <x:f>IF(OR(P1001="",Q1001="",P1001=0),"",((Q1001/30)/(P1001/31))-1)</x:f>
      </x:c>
      <x:c r="T1001" s="11" t="n">
        <x:v>1</x:v>
      </x:c>
      <x:c r="U1001" s="11" t="n">
        <x:v>1</x:v>
      </x:c>
      <x:c r="V1001" s="14" t="n">
        <x:v>0</x:v>
      </x:c>
      <x:c r="W1001" s="12" t="n">
        <x:v>7</x:v>
      </x:c>
      <x:c r="X1001" s="11"/>
      <x:c r="Y1001" s="11"/>
      <x:c r="Z1001" s="4" t="str">
        <x:v>https://blog.skyairline.com/vacaciones-decembrinas/</x:v>
      </x:c>
      <x:c r="AA1001" s="4" t="str">
        <x:v>https://blog.skyairline.com/vacaciones-decembrinas/</x:v>
      </x:c>
      <x:c r="AB1001" s="4" t="str">
        <x:v>Coincidencia URL</x:v>
      </x:c>
      <x:c r="AC1001" s="4" t="str">
        <x:v>Publicado hasta septiembre</x:v>
      </x:c>
      <x:c r="AD1001" s="4"/>
      <x:c r="AE1001" s="4"/>
      <x:c r="AF1001" s="16" t="b">
        <x:v>0</x:v>
      </x:c>
    </x:row>
    <x:row r="1002" ht="44" customHeight="1">
      <x:c r="A1002" s="4" t="n">
        <x:v>1120</x:v>
      </x:c>
      <x:c r="B1002" s="4" t="str">
        <x:v>https://blog.skyairline.com/ministerio-de-energia-y-mtt-lanzan-programa-vuelo-limpio-para-impulsar-sostenibilidad-junto-a-aerolineas/</x:v>
      </x:c>
      <x:c r="C1002" s="9" t="str">
        <x:v>Ministerio de Energía y MTT lanzan Programa «Vuelo Limpio» para impulsar sostenibilidad junto a aerolíneas</x:v>
      </x:c>
      <x:c r="D1002" s="17" t="d">
        <x:v>2021-11-26T00:00:00.000Z</x:v>
      </x:c>
      <x:c r="E1002" s="17" t="d">
        <x:v>2021-11-26T00:00:00.000Z</x:v>
      </x:c>
      <x:c r="F1002" s="4" t="str">
        <x:v>Compromiso SKY</x:v>
      </x:c>
      <x:c r="G1002" s="11" t="n">
        <x:v>960</x:v>
      </x:c>
      <x:c r="H1002" s="11" t="n">
        <x:v>200</x:v>
      </x:c>
      <x:c r="I1002" s="11" t="n">
        <x:v>1</x:v>
      </x:c>
      <x:c r="J1002" s="4" t="str">
        <x:v>https://blog.skyairline.com/ministerio-de-energia-y-mtt-lanzan-programa-vuelo-limpio-para-impulsar-sostenibilidad-junto-a-aerolineas/</x:v>
      </x:c>
      <x:c r="K1002" s="16" t="b">
        <x:v>0</x:v>
      </x:c>
      <x:c r="L1002" s="11" t="n">
        <x:v>0</x:v>
      </x:c>
      <x:c r="M1002" s="11" t="n">
        <x:v>0</x:v>
      </x:c>
      <x:c r="N1002" s="4"/>
      <x:c r="O1002" s="4"/>
      <x:c r="P1002" s="11" t="n">
        <x:v>0</x:v>
      </x:c>
      <x:c r="Q1002" s="11" t="n">
        <x:v>0</x:v>
      </x:c>
      <x:c r="R1002" s="11" t="str">
        <x:f>IF(OR(P1002="",Q1002=""),"",Q1002-P1002)</x:f>
      </x:c>
      <x:c r="S1002" s="13" t="str">
        <x:f>IF(OR(P1002="",Q1002="",P1002=0),"",((Q1002/30)/(P1002/31))-1)</x:f>
      </x:c>
      <x:c r="T1002" s="11" t="n">
        <x:v>29</x:v>
      </x:c>
      <x:c r="U1002" s="11" t="n">
        <x:v>22</x:v>
      </x:c>
      <x:c r="V1002" s="14" t="n">
        <x:v>0</x:v>
      </x:c>
      <x:c r="W1002" s="12" t="n">
        <x:v>5.954545454545454</x:v>
      </x:c>
      <x:c r="X1002" s="11"/>
      <x:c r="Y1002" s="11"/>
      <x:c r="Z1002" s="4" t="str">
        <x:v>https://blog.skyairline.com/ministerio-de-energia-y-mtt-lanzan-programa-vuelo-limpio-para-impulsar-sostenibilidad-junto-a-aerolineas/</x:v>
      </x:c>
      <x:c r="AA1002" s="4" t="str">
        <x:v>https://blog.skyairline.com/ministerio-de-energia-y-mtt-lanzan-programa-vuelo-limpio-para-impulsar-sostenibilidad-junto-a-aerolineas/</x:v>
      </x:c>
      <x:c r="AB1002" s="4" t="str">
        <x:v>Coincidencia URL</x:v>
      </x:c>
      <x:c r="AC1002" s="4" t="str">
        <x:v>Publicado hasta septiembre</x:v>
      </x:c>
      <x:c r="AD1002" s="4"/>
      <x:c r="AE1002" s="4"/>
      <x:c r="AF1002" s="16" t="b">
        <x:v>0</x:v>
      </x:c>
    </x:row>
    <x:row r="1003" ht="44" customHeight="1">
      <x:c r="A1003" s="4" t="n">
        <x:v>1134</x:v>
      </x:c>
      <x:c r="B1003" s="4" t="str">
        <x:v>https://blog.skyairline.com/slow-travel/</x:v>
      </x:c>
      <x:c r="C1003" s="9" t="str">
        <x:v>¡Conoce el arte del Slow Travel!</x:v>
      </x:c>
      <x:c r="D1003" s="17" t="d">
        <x:v>2021-12-03T00:00:00.000Z</x:v>
      </x:c>
      <x:c r="E1003" s="17" t="d">
        <x:v>2021-12-03T00:00:00.000Z</x:v>
      </x:c>
      <x:c r="F1003" s="4" t="str">
        <x:v>Planificación de Viaje</x:v>
      </x:c>
      <x:c r="G1003" s="11" t="n">
        <x:v>3033</x:v>
      </x:c>
      <x:c r="H1003" s="11" t="n">
        <x:v>200</x:v>
      </x:c>
      <x:c r="I1003" s="11" t="n">
        <x:v>1</x:v>
      </x:c>
      <x:c r="J1003" s="4" t="str">
        <x:v>https://blog.skyairline.com/slow-travel/</x:v>
      </x:c>
      <x:c r="K1003" s="16" t="b">
        <x:v>0</x:v>
      </x:c>
      <x:c r="L1003" s="11" t="n">
        <x:v>0</x:v>
      </x:c>
      <x:c r="M1003" s="11" t="n">
        <x:v>7</x:v>
      </x:c>
      <x:c r="N1003" s="4"/>
      <x:c r="O1003" s="4"/>
      <x:c r="P1003" s="11" t="n">
        <x:v>0</x:v>
      </x:c>
      <x:c r="Q1003" s="11" t="n">
        <x:v>0</x:v>
      </x:c>
      <x:c r="R1003" s="11" t="str">
        <x:f>IF(OR(P1003="",Q1003=""),"",Q1003-P1003)</x:f>
      </x:c>
      <x:c r="S1003" s="13" t="str">
        <x:f>IF(OR(P1003="",Q1003="",P1003=0),"",((Q1003/30)/(P1003/31))-1)</x:f>
      </x:c>
      <x:c r="T1003" s="11" t="n">
        <x:v>51</x:v>
      </x:c>
      <x:c r="U1003" s="11" t="n">
        <x:v>12</x:v>
      </x:c>
      <x:c r="V1003" s="14" t="n">
        <x:v>0</x:v>
      </x:c>
      <x:c r="W1003" s="12" t="n">
        <x:v>13.333333333333334</x:v>
      </x:c>
      <x:c r="X1003" s="11"/>
      <x:c r="Y1003" s="11"/>
      <x:c r="Z1003" s="4" t="str">
        <x:v>https://blog.skyairline.com/slow-travel/</x:v>
      </x:c>
      <x:c r="AA1003" s="4" t="str">
        <x:v>https://blog.skyairline.com/slow-travel/</x:v>
      </x:c>
      <x:c r="AB1003" s="4" t="str">
        <x:v>Coincidencia URL</x:v>
      </x:c>
      <x:c r="AC1003" s="4" t="str">
        <x:v>Publicado hasta septiembre</x:v>
      </x:c>
      <x:c r="AD1003" s="4"/>
      <x:c r="AE1003" s="4"/>
      <x:c r="AF1003" s="16" t="b">
        <x:v>0</x:v>
      </x:c>
    </x:row>
    <x:row r="1004" ht="44" customHeight="1">
      <x:c r="A1004" s="4" t="n">
        <x:v>1140</x:v>
      </x:c>
      <x:c r="B1004" s="4" t="str">
        <x:v>https://blog.skyairline.com/turismo-a-bajo-precio/</x:v>
      </x:c>
      <x:c r="C1004" s="9" t="str">
        <x:v>Turismo a bajo precio: Vuelos low cost y otras opciones que te ayudarán.</x:v>
      </x:c>
      <x:c r="D1004" s="17" t="d">
        <x:v>2021-12-05T00:00:00.000Z</x:v>
      </x:c>
      <x:c r="E1004" s="17" t="d">
        <x:v>2021-12-05T00:00:00.000Z</x:v>
      </x:c>
      <x:c r="F1004" s="4" t="str">
        <x:v>Planificación de Viaje</x:v>
      </x:c>
      <x:c r="G1004" s="11" t="n">
        <x:v>1010</x:v>
      </x:c>
      <x:c r="H1004" s="11" t="n">
        <x:v>200</x:v>
      </x:c>
      <x:c r="I1004" s="11" t="n">
        <x:v>1</x:v>
      </x:c>
      <x:c r="J1004" s="4" t="str">
        <x:v>https://blog.skyairline.com/turismo-a-bajo-precio/</x:v>
      </x:c>
      <x:c r="K1004" s="16" t="b">
        <x:v>0</x:v>
      </x:c>
      <x:c r="L1004" s="11" t="n">
        <x:v>0</x:v>
      </x:c>
      <x:c r="M1004" s="11" t="n">
        <x:v>3</x:v>
      </x:c>
      <x:c r="N1004" s="4"/>
      <x:c r="O1004" s="4"/>
      <x:c r="P1004" s="11" t="n">
        <x:v>0</x:v>
      </x:c>
      <x:c r="Q1004" s="11" t="n">
        <x:v>0</x:v>
      </x:c>
      <x:c r="R1004" s="11" t="str">
        <x:f>IF(OR(P1004="",Q1004=""),"",Q1004-P1004)</x:f>
      </x:c>
      <x:c r="S1004" s="13" t="str">
        <x:f>IF(OR(P1004="",Q1004="",P1004=0),"",((Q1004/30)/(P1004/31))-1)</x:f>
      </x:c>
      <x:c r="T1004" s="11" t="n">
        <x:v>47</x:v>
      </x:c>
      <x:c r="U1004" s="11" t="n">
        <x:v>27</x:v>
      </x:c>
      <x:c r="V1004" s="14" t="n">
        <x:v>0</x:v>
      </x:c>
      <x:c r="W1004" s="12" t="n">
        <x:v>21.51851851851852</x:v>
      </x:c>
      <x:c r="X1004" s="11" t="n">
        <x:v>18</x:v>
      </x:c>
      <x:c r="Y1004" s="11" t="n">
        <x:v>18</x:v>
      </x:c>
      <x:c r="Z1004" s="4" t="str">
        <x:v>https://blog.skyairline.com/turismo-a-bajo-precio/</x:v>
      </x:c>
      <x:c r="AA1004" s="4" t="str">
        <x:v>https://blog.skyairline.com/turismo-a-bajo-precio/</x:v>
      </x:c>
      <x:c r="AB1004" s="4" t="str">
        <x:v>Coincidencia URL</x:v>
      </x:c>
      <x:c r="AC1004" s="4" t="str">
        <x:v>Publicado hasta septiembre</x:v>
      </x:c>
      <x:c r="AD1004" s="4" t="str">
        <x:v>/turismo-a-bajo-precio/</x:v>
      </x:c>
      <x:c r="AE1004" s="4"/>
      <x:c r="AF1004" s="16" t="b">
        <x:v>0</x:v>
      </x:c>
    </x:row>
    <x:row r="1005" ht="44" customHeight="1">
      <x:c r="A1005" s="4" t="n">
        <x:v>1146</x:v>
      </x:c>
      <x:c r="B1005" s="4" t="str">
        <x:v>https://blog.skyairline.com/viajar-en-familia-durante-el-covid-19/</x:v>
      </x:c>
      <x:c r="C1005" s="9" t="str">
        <x:v>Viajar en familia durante el COVID-19: ¿Qué debemos tener en cuenta?</x:v>
      </x:c>
      <x:c r="D1005" s="17" t="d">
        <x:v>2021-12-07T00:00:00.000Z</x:v>
      </x:c>
      <x:c r="E1005" s="17" t="d">
        <x:v>2021-12-07T00:00:00.000Z</x:v>
      </x:c>
      <x:c r="F1005" s="4" t="str">
        <x:v>Destinos</x:v>
      </x:c>
      <x:c r="G1005" s="11" t="n">
        <x:v>960</x:v>
      </x:c>
      <x:c r="H1005" s="11" t="n">
        <x:v>200</x:v>
      </x:c>
      <x:c r="I1005" s="11" t="n">
        <x:v>1</x:v>
      </x:c>
      <x:c r="J1005" s="4" t="str">
        <x:v>https://blog.skyairline.com/viajar-en-familia-durante-el-covid-19/</x:v>
      </x:c>
      <x:c r="K1005" s="16" t="b">
        <x:v>0</x:v>
      </x:c>
      <x:c r="L1005" s="11" t="n">
        <x:v>0</x:v>
      </x:c>
      <x:c r="M1005" s="11" t="n">
        <x:v>4</x:v>
      </x:c>
      <x:c r="N1005" s="4"/>
      <x:c r="O1005" s="4"/>
      <x:c r="P1005" s="11" t="n">
        <x:v>0</x:v>
      </x:c>
      <x:c r="Q1005" s="11" t="n">
        <x:v>0</x:v>
      </x:c>
      <x:c r="R1005" s="11" t="str">
        <x:f>IF(OR(P1005="",Q1005=""),"",Q1005-P1005)</x:f>
      </x:c>
      <x:c r="S1005" s="13" t="str">
        <x:f>IF(OR(P1005="",Q1005="",P1005=0),"",((Q1005/30)/(P1005/31))-1)</x:f>
      </x:c>
      <x:c r="T1005" s="11" t="n">
        <x:v>35</x:v>
      </x:c>
      <x:c r="U1005" s="11" t="n">
        <x:v>16</x:v>
      </x:c>
      <x:c r="V1005" s="14" t="n">
        <x:v>0</x:v>
      </x:c>
      <x:c r="W1005" s="12" t="n">
        <x:v>5.6875</x:v>
      </x:c>
      <x:c r="X1005" s="11"/>
      <x:c r="Y1005" s="11"/>
      <x:c r="Z1005" s="4" t="str">
        <x:v>https://blog.skyairline.com/viajar-en-familia-durante-el-covid-19/</x:v>
      </x:c>
      <x:c r="AA1005" s="4" t="str">
        <x:v>https://blog.skyairline.com/viajar-en-familia-durante-el-covid-19/</x:v>
      </x:c>
      <x:c r="AB1005" s="4" t="str">
        <x:v>Coincidencia URL</x:v>
      </x:c>
      <x:c r="AC1005" s="4" t="str">
        <x:v>Publicado hasta septiembre</x:v>
      </x:c>
      <x:c r="AD1005" s="4"/>
      <x:c r="AE1005" s="4"/>
      <x:c r="AF1005" s="16" t="b">
        <x:v>0</x:v>
      </x:c>
    </x:row>
    <x:row r="1006" ht="44" customHeight="1">
      <x:c r="A1006" s="4" t="n">
        <x:v>1150</x:v>
      </x:c>
      <x:c r="B1006" s="4" t="str">
        <x:v>https://blog.skyairline.com/lugares-en-trujillo/</x:v>
      </x:c>
      <x:c r="C1006" s="9" t="str">
        <x:v>6 lugares turísticos en Trujillo que te dejarán grandes recuerdos</x:v>
      </x:c>
      <x:c r="D1006" s="17" t="d">
        <x:v>2026-05-22T00:00:00.000Z</x:v>
      </x:c>
      <x:c r="E1006" s="17" t="d">
        <x:v>2026-05-20T00:00:00.000Z</x:v>
      </x:c>
      <x:c r="F1006" s="4" t="str">
        <x:v>Destinos</x:v>
      </x:c>
      <x:c r="G1006" s="11" t="n">
        <x:v>1039</x:v>
      </x:c>
      <x:c r="H1006" s="11" t="n">
        <x:v>200</x:v>
      </x:c>
      <x:c r="I1006" s="11" t="n">
        <x:v>1</x:v>
      </x:c>
      <x:c r="J1006" s="4" t="str">
        <x:v>https://blog.skyairline.com/lugares-en-trujillo/</x:v>
      </x:c>
      <x:c r="K1006" s="16" t="b">
        <x:v>0</x:v>
      </x:c>
      <x:c r="L1006" s="11" t="n">
        <x:v>0</x:v>
      </x:c>
      <x:c r="M1006" s="11" t="n">
        <x:v>0</x:v>
      </x:c>
      <x:c r="N1006" s="4"/>
      <x:c r="O1006" s="4"/>
      <x:c r="P1006" s="11" t="n">
        <x:v>7</x:v>
      </x:c>
      <x:c r="Q1006" s="11" t="n">
        <x:v>0</x:v>
      </x:c>
      <x:c r="R1006" s="11" t="str">
        <x:f>IF(OR(P1006="",Q1006=""),"",Q1006-P1006)</x:f>
      </x:c>
      <x:c r="S1006" s="13" t="str">
        <x:f>IF(OR(P1006="",Q1006="",P1006=0),"",((Q1006/30)/(P1006/31))-1)</x:f>
      </x:c>
      <x:c r="T1006" s="11" t="n">
        <x:v>1117</x:v>
      </x:c>
      <x:c r="U1006" s="11" t="n">
        <x:v>806</x:v>
      </x:c>
      <x:c r="V1006" s="14" t="n">
        <x:v>0</x:v>
      </x:c>
      <x:c r="W1006" s="12" t="n">
        <x:v>9.204714640198512</x:v>
      </x:c>
      <x:c r="X1006" s="11" t="n">
        <x:v>2</x:v>
      </x:c>
      <x:c r="Y1006" s="11" t="n">
        <x:v>2</x:v>
      </x:c>
      <x:c r="Z1006" s="4" t="str">
        <x:v>https://blog.skyairline.com/lugares-en-trujillo/</x:v>
      </x:c>
      <x:c r="AA1006" s="4" t="str">
        <x:v>https://blog.skyairline.com/lugares-en-trujillo/</x:v>
      </x:c>
      <x:c r="AB1006" s="4" t="str">
        <x:v>Coincidencia URL</x:v>
      </x:c>
      <x:c r="AC1006" s="4" t="str">
        <x:v>Publicado hasta septiembre</x:v>
      </x:c>
      <x:c r="AD1006" s="4" t="str">
        <x:v>/lugares-en-trujillo/</x:v>
      </x:c>
      <x:c r="AE1006" s="4"/>
      <x:c r="AF1006" s="16" t="b">
        <x:v>0</x:v>
      </x:c>
    </x:row>
    <x:row r="1007" ht="44" customHeight="1">
      <x:c r="A1007" s="4" t="n">
        <x:v>1153</x:v>
      </x:c>
      <x:c r="B1007" s="4" t="str">
        <x:v>https://blog.skyairline.com/viajar-en-verano/</x:v>
      </x:c>
      <x:c r="C1007" s="9" t="str">
        <x:v>6 recomendaciones para viajar en verano y aprovechar al máximo la experiencia</x:v>
      </x:c>
      <x:c r="D1007" s="17" t="d">
        <x:v>2021-12-09T00:00:00.000Z</x:v>
      </x:c>
      <x:c r="E1007" s="17" t="d">
        <x:v>2021-12-09T00:00:00.000Z</x:v>
      </x:c>
      <x:c r="F1007" s="4" t="str">
        <x:v>Planificación de Viaje</x:v>
      </x:c>
      <x:c r="G1007" s="11" t="n">
        <x:v>1044</x:v>
      </x:c>
      <x:c r="H1007" s="11" t="n">
        <x:v>200</x:v>
      </x:c>
      <x:c r="I1007" s="11" t="n">
        <x:v>1</x:v>
      </x:c>
      <x:c r="J1007" s="4" t="str">
        <x:v>https://blog.skyairline.com/viajar-en-verano/</x:v>
      </x:c>
      <x:c r="K1007" s="16" t="b">
        <x:v>0</x:v>
      </x:c>
      <x:c r="L1007" s="11" t="n">
        <x:v>0</x:v>
      </x:c>
      <x:c r="M1007" s="11" t="n">
        <x:v>4</x:v>
      </x:c>
      <x:c r="N1007" s="4"/>
      <x:c r="O1007" s="4"/>
      <x:c r="P1007" s="11" t="n">
        <x:v>0</x:v>
      </x:c>
      <x:c r="Q1007" s="11" t="n">
        <x:v>0</x:v>
      </x:c>
      <x:c r="R1007" s="11" t="str">
        <x:f>IF(OR(P1007="",Q1007=""),"",Q1007-P1007)</x:f>
      </x:c>
      <x:c r="S1007" s="13" t="str">
        <x:f>IF(OR(P1007="",Q1007="",P1007=0),"",((Q1007/30)/(P1007/31))-1)</x:f>
      </x:c>
      <x:c r="T1007" s="11" t="n">
        <x:v>33</x:v>
      </x:c>
      <x:c r="U1007" s="11" t="n">
        <x:v>2</x:v>
      </x:c>
      <x:c r="V1007" s="14" t="n">
        <x:v>0</x:v>
      </x:c>
      <x:c r="W1007" s="12" t="n">
        <x:v>6.5</x:v>
      </x:c>
      <x:c r="X1007" s="11"/>
      <x:c r="Y1007" s="11"/>
      <x:c r="Z1007" s="4" t="str">
        <x:v>https://blog.skyairline.com/viajar-en-verano/</x:v>
      </x:c>
      <x:c r="AA1007" s="4" t="str">
        <x:v>https://blog.skyairline.com/viajar-en-verano/</x:v>
      </x:c>
      <x:c r="AB1007" s="4" t="str">
        <x:v>Coincidencia URL</x:v>
      </x:c>
      <x:c r="AC1007" s="4" t="str">
        <x:v>Publicado hasta septiembre</x:v>
      </x:c>
      <x:c r="AD1007" s="4"/>
      <x:c r="AE1007" s="4"/>
      <x:c r="AF1007" s="16" t="b">
        <x:v>0</x:v>
      </x:c>
    </x:row>
    <x:row r="1008" ht="44" customHeight="1">
      <x:c r="A1008" s="4" t="n">
        <x:v>1168</x:v>
      </x:c>
      <x:c r="B1008" s="4" t="str">
        <x:v>https://blog.skyairline.com/verano-en-chile/</x:v>
      </x:c>
      <x:c r="C1008" s="9" t="str">
        <x:v>Verano en Chile: ¡todo lo que necesita saber un viajero!</x:v>
      </x:c>
      <x:c r="D1008" s="17" t="d">
        <x:v>2021-12-14T00:00:00.000Z</x:v>
      </x:c>
      <x:c r="E1008" s="17" t="d">
        <x:v>2021-12-14T00:00:00.000Z</x:v>
      </x:c>
      <x:c r="F1008" s="4" t="str">
        <x:v>Destinos</x:v>
      </x:c>
      <x:c r="G1008" s="11" t="n">
        <x:v>3014</x:v>
      </x:c>
      <x:c r="H1008" s="11" t="n">
        <x:v>200</x:v>
      </x:c>
      <x:c r="I1008" s="11" t="n">
        <x:v>1</x:v>
      </x:c>
      <x:c r="J1008" s="4" t="str">
        <x:v>https://blog.skyairline.com/verano-en-chile/</x:v>
      </x:c>
      <x:c r="K1008" s="16" t="b">
        <x:v>0</x:v>
      </x:c>
      <x:c r="L1008" s="11" t="n">
        <x:v>0</x:v>
      </x:c>
      <x:c r="M1008" s="11" t="n">
        <x:v>4</x:v>
      </x:c>
      <x:c r="N1008" s="4"/>
      <x:c r="O1008" s="4"/>
      <x:c r="P1008" s="11" t="n">
        <x:v>0</x:v>
      </x:c>
      <x:c r="Q1008" s="11" t="n">
        <x:v>0</x:v>
      </x:c>
      <x:c r="R1008" s="11" t="str">
        <x:f>IF(OR(P1008="",Q1008=""),"",Q1008-P1008)</x:f>
      </x:c>
      <x:c r="S1008" s="13" t="str">
        <x:f>IF(OR(P1008="",Q1008="",P1008=0),"",((Q1008/30)/(P1008/31))-1)</x:f>
      </x:c>
      <x:c r="T1008" s="11" t="n">
        <x:v>83</x:v>
      </x:c>
      <x:c r="U1008" s="11" t="n">
        <x:v>45</x:v>
      </x:c>
      <x:c r="V1008" s="14" t="n">
        <x:v>0</x:v>
      </x:c>
      <x:c r="W1008" s="12" t="n">
        <x:v>21.11111111111111</x:v>
      </x:c>
      <x:c r="X1008" s="11"/>
      <x:c r="Y1008" s="11"/>
      <x:c r="Z1008" s="4" t="str">
        <x:v>https://blog.skyairline.com/verano-en-chile/</x:v>
      </x:c>
      <x:c r="AA1008" s="4" t="str">
        <x:v>https://blog.skyairline.com/verano-en-chile/</x:v>
      </x:c>
      <x:c r="AB1008" s="4" t="str">
        <x:v>Coincidencia URL</x:v>
      </x:c>
      <x:c r="AC1008" s="4" t="str">
        <x:v>Publicado hasta septiembre</x:v>
      </x:c>
      <x:c r="AD1008" s="4"/>
      <x:c r="AE1008" s="4"/>
      <x:c r="AF1008" s="16" t="b">
        <x:v>0</x:v>
      </x:c>
    </x:row>
    <x:row r="1009" ht="44" customHeight="1">
      <x:c r="A1009" s="4" t="n">
        <x:v>1171</x:v>
      </x:c>
      <x:c r="B1009" s="4" t="str">
        <x:v>https://blog.skyairline.com/protegerse-del-calor/</x:v>
      </x:c>
      <x:c r="C1009" s="9" t="str">
        <x:v>11 tips para protegerse del calor durante los viajes de verano</x:v>
      </x:c>
      <x:c r="D1009" s="17" t="d">
        <x:v>2021-12-15T00:00:00.000Z</x:v>
      </x:c>
      <x:c r="E1009" s="17" t="d">
        <x:v>2021-12-15T00:00:00.000Z</x:v>
      </x:c>
      <x:c r="F1009" s="4" t="str">
        <x:v>Planificación de Viaje</x:v>
      </x:c>
      <x:c r="G1009" s="11" t="n">
        <x:v>988</x:v>
      </x:c>
      <x:c r="H1009" s="11" t="n">
        <x:v>200</x:v>
      </x:c>
      <x:c r="I1009" s="11" t="n">
        <x:v>1</x:v>
      </x:c>
      <x:c r="J1009" s="4" t="str">
        <x:v>https://blog.skyairline.com/protegerse-del-calor/</x:v>
      </x:c>
      <x:c r="K1009" s="16" t="b">
        <x:v>0</x:v>
      </x:c>
      <x:c r="L1009" s="11" t="n">
        <x:v>0</x:v>
      </x:c>
      <x:c r="M1009" s="11" t="n">
        <x:v>4</x:v>
      </x:c>
      <x:c r="N1009" s="4"/>
      <x:c r="O1009" s="4"/>
      <x:c r="P1009" s="11" t="n">
        <x:v>0</x:v>
      </x:c>
      <x:c r="Q1009" s="11" t="n">
        <x:v>0</x:v>
      </x:c>
      <x:c r="R1009" s="11" t="str">
        <x:f>IF(OR(P1009="",Q1009=""),"",Q1009-P1009)</x:f>
      </x:c>
      <x:c r="S1009" s="13" t="str">
        <x:f>IF(OR(P1009="",Q1009="",P1009=0),"",((Q1009/30)/(P1009/31))-1)</x:f>
      </x:c>
      <x:c r="T1009" s="11" t="n">
        <x:v>74</x:v>
      </x:c>
      <x:c r="U1009" s="11" t="n">
        <x:v>22</x:v>
      </x:c>
      <x:c r="V1009" s="14" t="n">
        <x:v>0</x:v>
      </x:c>
      <x:c r="W1009" s="12" t="n">
        <x:v>22</x:v>
      </x:c>
      <x:c r="X1009" s="11"/>
      <x:c r="Y1009" s="11"/>
      <x:c r="Z1009" s="4" t="str">
        <x:v>https://blog.skyairline.com/protegerse-del-calor/</x:v>
      </x:c>
      <x:c r="AA1009" s="4" t="str">
        <x:v>https://blog.skyairline.com/protegerse-del-calor/</x:v>
      </x:c>
      <x:c r="AB1009" s="4" t="str">
        <x:v>Coincidencia URL</x:v>
      </x:c>
      <x:c r="AC1009" s="4" t="str">
        <x:v>Publicado hasta septiembre</x:v>
      </x:c>
      <x:c r="AD1009" s="4"/>
      <x:c r="AE1009" s="4"/>
      <x:c r="AF1009" s="16" t="b">
        <x:v>0</x:v>
      </x:c>
    </x:row>
    <x:row r="1010" ht="44" customHeight="1">
      <x:c r="A1010" s="4" t="n">
        <x:v>1174</x:v>
      </x:c>
      <x:c r="B1010" s="4" t="str">
        <x:v>https://blog.skyairline.com/que-hacer-en-tulum/</x:v>
      </x:c>
      <x:c r="C1010" s="9" t="str">
        <x:v>¿Qué hacer en Tulum y por qué es un destino soñado?</x:v>
      </x:c>
      <x:c r="D1010" s="17" t="d">
        <x:v>2021-12-16T00:00:00.000Z</x:v>
      </x:c>
      <x:c r="E1010" s="17" t="d">
        <x:v>2021-12-16T00:00:00.000Z</x:v>
      </x:c>
      <x:c r="F1010" s="4" t="str">
        <x:v>Planificación de Viaje</x:v>
      </x:c>
      <x:c r="G1010" s="11" t="n">
        <x:v>1078</x:v>
      </x:c>
      <x:c r="H1010" s="11" t="n">
        <x:v>200</x:v>
      </x:c>
      <x:c r="I1010" s="11" t="n">
        <x:v>1</x:v>
      </x:c>
      <x:c r="J1010" s="4" t="str">
        <x:v>https://blog.skyairline.com/que-hacer-en-tulum/</x:v>
      </x:c>
      <x:c r="K1010" s="16" t="b">
        <x:v>0</x:v>
      </x:c>
      <x:c r="L1010" s="11" t="n">
        <x:v>0</x:v>
      </x:c>
      <x:c r="M1010" s="11" t="n">
        <x:v>3</x:v>
      </x:c>
      <x:c r="N1010" s="4"/>
      <x:c r="O1010" s="4"/>
      <x:c r="P1010" s="11" t="n">
        <x:v>1</x:v>
      </x:c>
      <x:c r="Q1010" s="11" t="n">
        <x:v>0</x:v>
      </x:c>
      <x:c r="R1010" s="11" t="str">
        <x:f>IF(OR(P1010="",Q1010=""),"",Q1010-P1010)</x:f>
      </x:c>
      <x:c r="S1010" s="13" t="str">
        <x:f>IF(OR(P1010="",Q1010="",P1010=0),"",((Q1010/30)/(P1010/31))-1)</x:f>
      </x:c>
      <x:c r="T1010" s="11" t="n">
        <x:v>61</x:v>
      </x:c>
      <x:c r="U1010" s="11" t="n">
        <x:v>44</x:v>
      </x:c>
      <x:c r="V1010" s="14" t="n">
        <x:v>0</x:v>
      </x:c>
      <x:c r="W1010" s="12" t="n">
        <x:v>9.454545454545455</x:v>
      </x:c>
      <x:c r="X1010" s="11"/>
      <x:c r="Y1010" s="11"/>
      <x:c r="Z1010" s="4" t="str">
        <x:v>https://blog.skyairline.com/que-hacer-en-tulum/</x:v>
      </x:c>
      <x:c r="AA1010" s="4" t="str">
        <x:v>https://blog.skyairline.com/que-hacer-en-tulum/</x:v>
      </x:c>
      <x:c r="AB1010" s="4" t="str">
        <x:v>Coincidencia URL</x:v>
      </x:c>
      <x:c r="AC1010" s="4" t="str">
        <x:v>Publicado hasta septiembre</x:v>
      </x:c>
      <x:c r="AD1010" s="4"/>
      <x:c r="AE1010" s="4"/>
      <x:c r="AF1010" s="16" t="b">
        <x:v>0</x:v>
      </x:c>
    </x:row>
    <x:row r="1011" ht="44" customHeight="1">
      <x:c r="A1011" s="4" t="n">
        <x:v>1183</x:v>
      </x:c>
      <x:c r="B1011" s="4" t="str">
        <x:v>https://blog.skyairline.com/enoturismo-en-chile/</x:v>
      </x:c>
      <x:c r="C1011" s="9" t="str">
        <x:v>Enoturismo en Chile: guía para viajeros amantes del buen vino</x:v>
      </x:c>
      <x:c r="D1011" s="17" t="d">
        <x:v>2021-12-19T00:00:00.000Z</x:v>
      </x:c>
      <x:c r="E1011" s="17" t="d">
        <x:v>2021-12-19T00:00:00.000Z</x:v>
      </x:c>
      <x:c r="F1011" s="4" t="str">
        <x:v>Cultura</x:v>
      </x:c>
      <x:c r="G1011" s="11" t="n">
        <x:v>3017</x:v>
      </x:c>
      <x:c r="H1011" s="11" t="n">
        <x:v>200</x:v>
      </x:c>
      <x:c r="I1011" s="11" t="n">
        <x:v>1</x:v>
      </x:c>
      <x:c r="J1011" s="4" t="str">
        <x:v>https://blog.skyairline.com/enoturismo-en-chile/</x:v>
      </x:c>
      <x:c r="K1011" s="16" t="b">
        <x:v>0</x:v>
      </x:c>
      <x:c r="L1011" s="11" t="n">
        <x:v>0</x:v>
      </x:c>
      <x:c r="M1011" s="11" t="n">
        <x:v>4</x:v>
      </x:c>
      <x:c r="N1011" s="4"/>
      <x:c r="O1011" s="4"/>
      <x:c r="P1011" s="11" t="n">
        <x:v>0</x:v>
      </x:c>
      <x:c r="Q1011" s="11" t="n">
        <x:v>0</x:v>
      </x:c>
      <x:c r="R1011" s="11" t="str">
        <x:f>IF(OR(P1011="",Q1011=""),"",Q1011-P1011)</x:f>
      </x:c>
      <x:c r="S1011" s="13" t="str">
        <x:f>IF(OR(P1011="",Q1011="",P1011=0),"",((Q1011/30)/(P1011/31))-1)</x:f>
      </x:c>
      <x:c r="T1011" s="11" t="n">
        <x:v>57</x:v>
      </x:c>
      <x:c r="U1011" s="11" t="n">
        <x:v>58</x:v>
      </x:c>
      <x:c r="V1011" s="14" t="n">
        <x:v>0</x:v>
      </x:c>
      <x:c r="W1011" s="12" t="n">
        <x:v>13.241379310344827</x:v>
      </x:c>
      <x:c r="X1011" s="11" t="n">
        <x:v>1</x:v>
      </x:c>
      <x:c r="Y1011" s="11" t="n">
        <x:v>1</x:v>
      </x:c>
      <x:c r="Z1011" s="4" t="str">
        <x:v>https://blog.skyairline.com/enoturismo-en-chile/</x:v>
      </x:c>
      <x:c r="AA1011" s="4" t="str">
        <x:v>https://blog.skyairline.com/enoturismo-en-chile/</x:v>
      </x:c>
      <x:c r="AB1011" s="4" t="str">
        <x:v>Coincidencia URL</x:v>
      </x:c>
      <x:c r="AC1011" s="4" t="str">
        <x:v>Publicado hasta septiembre</x:v>
      </x:c>
      <x:c r="AD1011" s="4" t="str">
        <x:v>/enoturismo-en-chile/</x:v>
      </x:c>
      <x:c r="AE1011" s="4"/>
      <x:c r="AF1011" s="16" t="b">
        <x:v>0</x:v>
      </x:c>
    </x:row>
    <x:row r="1012" ht="44" customHeight="1">
      <x:c r="A1012" s="4" t="n">
        <x:v>1186</x:v>
      </x:c>
      <x:c r="B1012" s="4" t="str">
        <x:v>https://blog.skyairline.com/turismo-de-naturaleza/</x:v>
      </x:c>
      <x:c r="C1012" s="9" t="str">
        <x:v>Turismo de naturaleza: ¿Por qué es beneficioso para la salud?</x:v>
      </x:c>
      <x:c r="D1012" s="17" t="d">
        <x:v>2021-12-20T00:00:00.000Z</x:v>
      </x:c>
      <x:c r="E1012" s="17" t="d">
        <x:v>2021-12-20T00:00:00.000Z</x:v>
      </x:c>
      <x:c r="F1012" s="4" t="str">
        <x:v>Destinos</x:v>
      </x:c>
      <x:c r="G1012" s="11" t="n">
        <x:v>979</x:v>
      </x:c>
      <x:c r="H1012" s="11" t="n">
        <x:v>200</x:v>
      </x:c>
      <x:c r="I1012" s="11" t="n">
        <x:v>1</x:v>
      </x:c>
      <x:c r="J1012" s="4" t="str">
        <x:v>https://blog.skyairline.com/turismo-de-naturaleza/</x:v>
      </x:c>
      <x:c r="K1012" s="16" t="b">
        <x:v>0</x:v>
      </x:c>
      <x:c r="L1012" s="11" t="n">
        <x:v>0</x:v>
      </x:c>
      <x:c r="M1012" s="11" t="n">
        <x:v>2</x:v>
      </x:c>
      <x:c r="N1012" s="4"/>
      <x:c r="O1012" s="4"/>
      <x:c r="P1012" s="11" t="n">
        <x:v>0</x:v>
      </x:c>
      <x:c r="Q1012" s="11" t="n">
        <x:v>0</x:v>
      </x:c>
      <x:c r="R1012" s="11" t="str">
        <x:f>IF(OR(P1012="",Q1012=""),"",Q1012-P1012)</x:f>
      </x:c>
      <x:c r="S1012" s="13" t="str">
        <x:f>IF(OR(P1012="",Q1012="",P1012=0),"",((Q1012/30)/(P1012/31))-1)</x:f>
      </x:c>
      <x:c r="T1012" s="11" t="n">
        <x:v>21</x:v>
      </x:c>
      <x:c r="U1012" s="11" t="n">
        <x:v>14</x:v>
      </x:c>
      <x:c r="V1012" s="14" t="n">
        <x:v>0</x:v>
      </x:c>
      <x:c r="W1012" s="12" t="n">
        <x:v>6.857142857142857</x:v>
      </x:c>
      <x:c r="X1012" s="11"/>
      <x:c r="Y1012" s="11"/>
      <x:c r="Z1012" s="4" t="str">
        <x:v>https://blog.skyairline.com/turismo-de-naturaleza/</x:v>
      </x:c>
      <x:c r="AA1012" s="4" t="str">
        <x:v>https://blog.skyairline.com/turismo-de-naturaleza/</x:v>
      </x:c>
      <x:c r="AB1012" s="4" t="str">
        <x:v>Coincidencia URL</x:v>
      </x:c>
      <x:c r="AC1012" s="4" t="str">
        <x:v>Publicado hasta septiembre</x:v>
      </x:c>
      <x:c r="AD1012" s="4"/>
      <x:c r="AE1012" s="4"/>
      <x:c r="AF1012" s="16" t="b">
        <x:v>0</x:v>
      </x:c>
    </x:row>
    <x:row r="1013" ht="44" customHeight="1">
      <x:c r="A1013" s="4" t="n">
        <x:v>1189</x:v>
      </x:c>
      <x:c r="B1013" s="4" t="str">
        <x:v>https://blog.skyairline.com/viajar-dentro-del-pais/</x:v>
      </x:c>
      <x:c r="C1013" s="9" t="str">
        <x:v>6 consejos preventivos para viajes dentro del país durante la pandemia</x:v>
      </x:c>
      <x:c r="D1013" s="17" t="d">
        <x:v>2021-12-21T00:00:00.000Z</x:v>
      </x:c>
      <x:c r="E1013" s="17" t="d">
        <x:v>2021-12-21T00:00:00.000Z</x:v>
      </x:c>
      <x:c r="F1013" s="4" t="str">
        <x:v>Planificación de Viaje</x:v>
      </x:c>
      <x:c r="G1013" s="11" t="n">
        <x:v>1006</x:v>
      </x:c>
      <x:c r="H1013" s="11" t="n">
        <x:v>200</x:v>
      </x:c>
      <x:c r="I1013" s="11" t="n">
        <x:v>1</x:v>
      </x:c>
      <x:c r="J1013" s="4" t="str">
        <x:v>https://blog.skyairline.com/viajar-dentro-del-pais/</x:v>
      </x:c>
      <x:c r="K1013" s="16" t="b">
        <x:v>0</x:v>
      </x:c>
      <x:c r="L1013" s="11" t="n">
        <x:v>0</x:v>
      </x:c>
      <x:c r="M1013" s="11" t="n">
        <x:v>4</x:v>
      </x:c>
      <x:c r="N1013" s="4"/>
      <x:c r="O1013" s="4"/>
      <x:c r="P1013" s="11" t="n">
        <x:v>0</x:v>
      </x:c>
      <x:c r="Q1013" s="11" t="n">
        <x:v>0</x:v>
      </x:c>
      <x:c r="R1013" s="11" t="str">
        <x:f>IF(OR(P1013="",Q1013=""),"",Q1013-P1013)</x:f>
      </x:c>
      <x:c r="S1013" s="13" t="str">
        <x:f>IF(OR(P1013="",Q1013="",P1013=0),"",((Q1013/30)/(P1013/31))-1)</x:f>
      </x:c>
      <x:c r="T1013" s="11" t="n">
        <x:v>23</x:v>
      </x:c>
      <x:c r="U1013" s="11" t="n">
        <x:v>31</x:v>
      </x:c>
      <x:c r="V1013" s="14" t="n">
        <x:v>0</x:v>
      </x:c>
      <x:c r="W1013" s="12" t="n">
        <x:v>3.838709677419355</x:v>
      </x:c>
      <x:c r="X1013" s="11"/>
      <x:c r="Y1013" s="11"/>
      <x:c r="Z1013" s="4" t="str">
        <x:v>https://blog.skyairline.com/viajar-dentro-del-pais/</x:v>
      </x:c>
      <x:c r="AA1013" s="4" t="str">
        <x:v>https://blog.skyairline.com/viajar-dentro-del-pais/</x:v>
      </x:c>
      <x:c r="AB1013" s="4" t="str">
        <x:v>Coincidencia URL</x:v>
      </x:c>
      <x:c r="AC1013" s="4" t="str">
        <x:v>Publicado hasta septiembre</x:v>
      </x:c>
      <x:c r="AD1013" s="4"/>
      <x:c r="AE1013" s="4"/>
      <x:c r="AF1013" s="16" t="b">
        <x:v>0</x:v>
      </x:c>
    </x:row>
    <x:row r="1014" ht="44" customHeight="1">
      <x:c r="A1014" s="4" t="n">
        <x:v>1195</x:v>
      </x:c>
      <x:c r="B1014" s="4" t="str">
        <x:v>https://blog.skyairline.com/viajes-en-navidad/</x:v>
      </x:c>
      <x:c r="C1014" s="9" t="str">
        <x:v>10 películas de viajes en Navidad que te motivarán a hacer maletas</x:v>
      </x:c>
      <x:c r="D1014" s="17" t="d">
        <x:v>2021-12-23T00:00:00.000Z</x:v>
      </x:c>
      <x:c r="E1014" s="17" t="d">
        <x:v>2021-12-23T00:00:00.000Z</x:v>
      </x:c>
      <x:c r="F1014" s="4" t="str">
        <x:v>Planificación de Viaje</x:v>
      </x:c>
      <x:c r="G1014" s="11" t="n">
        <x:v>983</x:v>
      </x:c>
      <x:c r="H1014" s="11" t="n">
        <x:v>200</x:v>
      </x:c>
      <x:c r="I1014" s="11" t="n">
        <x:v>1</x:v>
      </x:c>
      <x:c r="J1014" s="4" t="str">
        <x:v>https://blog.skyairline.com/viajes-en-navidad/</x:v>
      </x:c>
      <x:c r="K1014" s="16" t="b">
        <x:v>0</x:v>
      </x:c>
      <x:c r="L1014" s="11" t="n">
        <x:v>0</x:v>
      </x:c>
      <x:c r="M1014" s="11" t="n">
        <x:v>4</x:v>
      </x:c>
      <x:c r="N1014" s="4"/>
      <x:c r="O1014" s="4"/>
      <x:c r="P1014" s="11" t="n">
        <x:v>1</x:v>
      </x:c>
      <x:c r="Q1014" s="11" t="n">
        <x:v>0</x:v>
      </x:c>
      <x:c r="R1014" s="11" t="str">
        <x:f>IF(OR(P1014="",Q1014=""),"",Q1014-P1014)</x:f>
      </x:c>
      <x:c r="S1014" s="13" t="str">
        <x:f>IF(OR(P1014="",Q1014="",P1014=0),"",((Q1014/30)/(P1014/31))-1)</x:f>
      </x:c>
      <x:c r="T1014" s="11" t="n">
        <x:v>45</x:v>
      </x:c>
      <x:c r="U1014" s="11" t="n">
        <x:v>48</x:v>
      </x:c>
      <x:c r="V1014" s="14" t="n">
        <x:v>0</x:v>
      </x:c>
      <x:c r="W1014" s="12" t="n">
        <x:v>8.916666666666668</x:v>
      </x:c>
      <x:c r="X1014" s="11"/>
      <x:c r="Y1014" s="11"/>
      <x:c r="Z1014" s="4" t="str">
        <x:v>https://blog.skyairline.com/viajes-en-navidad/</x:v>
      </x:c>
      <x:c r="AA1014" s="4" t="str">
        <x:v>https://blog.skyairline.com/viajes-en-navidad/</x:v>
      </x:c>
      <x:c r="AB1014" s="4" t="str">
        <x:v>Coincidencia URL</x:v>
      </x:c>
      <x:c r="AC1014" s="4" t="str">
        <x:v>Publicado hasta septiembre</x:v>
      </x:c>
      <x:c r="AD1014" s="4"/>
      <x:c r="AE1014" s="4"/>
      <x:c r="AF1014" s="16" t="b">
        <x:v>0</x:v>
      </x:c>
    </x:row>
    <x:row r="1015" ht="44" customHeight="1">
      <x:c r="A1015" s="4" t="n">
        <x:v>1198</x:v>
      </x:c>
      <x:c r="B1015" s="4" t="str">
        <x:v>https://blog.skyairline.com/vacaciones-en-temuco/</x:v>
      </x:c>
      <x:c r="C1015" s="9" t="str">
        <x:v>Vacaciones en Temuco: tu puerta de entrada a la cultura y naturaleza del sur de Chile</x:v>
      </x:c>
      <x:c r="D1015" s="17" t="d">
        <x:v>2026-01-05T00:00:00.000Z</x:v>
      </x:c>
      <x:c r="E1015" s="17" t="d">
        <x:v>2026-01-05T00:00:00.000Z</x:v>
      </x:c>
      <x:c r="F1015" s="4" t="str">
        <x:v>Destinos</x:v>
      </x:c>
      <x:c r="G1015" s="11" t="n">
        <x:v>1083</x:v>
      </x:c>
      <x:c r="H1015" s="11" t="n">
        <x:v>200</x:v>
      </x:c>
      <x:c r="I1015" s="11" t="n">
        <x:v>1</x:v>
      </x:c>
      <x:c r="J1015" s="4" t="str">
        <x:v>https://blog.skyairline.com/vacaciones-en-temuco/</x:v>
      </x:c>
      <x:c r="K1015" s="16" t="b">
        <x:v>0</x:v>
      </x:c>
      <x:c r="L1015" s="11" t="n">
        <x:v>0</x:v>
      </x:c>
      <x:c r="M1015" s="11" t="n">
        <x:v>0</x:v>
      </x:c>
      <x:c r="N1015" s="4"/>
      <x:c r="O1015" s="4"/>
      <x:c r="P1015" s="11" t="n">
        <x:v>1</x:v>
      </x:c>
      <x:c r="Q1015" s="11" t="n">
        <x:v>0</x:v>
      </x:c>
      <x:c r="R1015" s="11" t="str">
        <x:f>IF(OR(P1015="",Q1015=""),"",Q1015-P1015)</x:f>
      </x:c>
      <x:c r="S1015" s="13" t="str">
        <x:f>IF(OR(P1015="",Q1015="",P1015=0),"",((Q1015/30)/(P1015/31))-1)</x:f>
      </x:c>
      <x:c r="T1015" s="11" t="n">
        <x:v>715</x:v>
      </x:c>
      <x:c r="U1015" s="11" t="n">
        <x:v>275</x:v>
      </x:c>
      <x:c r="V1015" s="14" t="n">
        <x:v>0</x:v>
      </x:c>
      <x:c r="W1015" s="12" t="n">
        <x:v>15.912727272727272</x:v>
      </x:c>
      <x:c r="X1015" s="11"/>
      <x:c r="Y1015" s="11"/>
      <x:c r="Z1015" s="4" t="str">
        <x:v>https://blog.skyairline.com/vacaciones-en-temuco/</x:v>
      </x:c>
      <x:c r="AA1015" s="4" t="str">
        <x:v>https://blog.skyairline.com/vacaciones-en-temuco/</x:v>
      </x:c>
      <x:c r="AB1015" s="4" t="str">
        <x:v>Coincidencia URL</x:v>
      </x:c>
      <x:c r="AC1015" s="4" t="str">
        <x:v>Publicado hasta septiembre</x:v>
      </x:c>
      <x:c r="AD1015" s="4"/>
      <x:c r="AE1015" s="4"/>
      <x:c r="AF1015" s="16" t="b">
        <x:v>0</x:v>
      </x:c>
    </x:row>
    <x:row r="1016" ht="44" customHeight="1">
      <x:c r="A1016" s="4" t="n">
        <x:v>1225</x:v>
      </x:c>
      <x:c r="B1016" s="4" t="str">
        <x:v>https://blog.skyairline.com/que-hacer-en-mendoza/</x:v>
      </x:c>
      <x:c r="C1016" s="9" t="str">
        <x:v>¿Qué hacer en Mendoza?</x:v>
      </x:c>
      <x:c r="D1016" s="17" t="d">
        <x:v>2025-12-05T00:00:00.000Z</x:v>
      </x:c>
      <x:c r="E1016" s="17" t="d">
        <x:v>2025-12-10T00:00:00.000Z</x:v>
      </x:c>
      <x:c r="F1016" s="4" t="str">
        <x:v>Destinos</x:v>
      </x:c>
      <x:c r="G1016" s="11" t="n">
        <x:v>1058</x:v>
      </x:c>
      <x:c r="H1016" s="11" t="n">
        <x:v>200</x:v>
      </x:c>
      <x:c r="I1016" s="11" t="n">
        <x:v>1</x:v>
      </x:c>
      <x:c r="J1016" s="4" t="str">
        <x:v>https://blog.skyairline.com/que-hacer-en-mendoza/</x:v>
      </x:c>
      <x:c r="K1016" s="16" t="b">
        <x:v>0</x:v>
      </x:c>
      <x:c r="L1016" s="11" t="n">
        <x:v>0</x:v>
      </x:c>
      <x:c r="M1016" s="11" t="n">
        <x:v>4</x:v>
      </x:c>
      <x:c r="N1016" s="4"/>
      <x:c r="O1016" s="4"/>
      <x:c r="P1016" s="11" t="n">
        <x:v>0</x:v>
      </x:c>
      <x:c r="Q1016" s="11" t="n">
        <x:v>0</x:v>
      </x:c>
      <x:c r="R1016" s="11" t="str">
        <x:f>IF(OR(P1016="",Q1016=""),"",Q1016-P1016)</x:f>
      </x:c>
      <x:c r="S1016" s="13" t="str">
        <x:f>IF(OR(P1016="",Q1016="",P1016=0),"",((Q1016/30)/(P1016/31))-1)</x:f>
      </x:c>
      <x:c r="T1016" s="11" t="n">
        <x:v>81</x:v>
      </x:c>
      <x:c r="U1016" s="11" t="n">
        <x:v>26</x:v>
      </x:c>
      <x:c r="V1016" s="14" t="n">
        <x:v>0</x:v>
      </x:c>
      <x:c r="W1016" s="12" t="n">
        <x:v>8.76923076923077</x:v>
      </x:c>
      <x:c r="X1016" s="11"/>
      <x:c r="Y1016" s="11"/>
      <x:c r="Z1016" s="4" t="str">
        <x:v>https://blog.skyairline.com/que-hacer-en-mendoza/</x:v>
      </x:c>
      <x:c r="AA1016" s="4" t="str">
        <x:v>https://blog.skyairline.com/que-hacer-en-mendoza/</x:v>
      </x:c>
      <x:c r="AB1016" s="4" t="str">
        <x:v>Coincidencia URL</x:v>
      </x:c>
      <x:c r="AC1016" s="4" t="str">
        <x:v>Publicado hasta septiembre</x:v>
      </x:c>
      <x:c r="AD1016" s="4"/>
      <x:c r="AE1016" s="4"/>
      <x:c r="AF1016" s="16" t="b">
        <x:v>0</x:v>
      </x:c>
    </x:row>
    <x:row r="1017" ht="44" customHeight="1">
      <x:c r="A1017" s="4" t="n">
        <x:v>1231</x:v>
      </x:c>
      <x:c r="B1017" s="4" t="str">
        <x:v>https://blog.skyairline.com/guias-turisticos/</x:v>
      </x:c>
      <x:c r="C1017" s="9" t="str">
        <x:v>Guías turísticos: ¿Vale la pena contratarlos?</x:v>
      </x:c>
      <x:c r="D1017" s="17" t="d">
        <x:v>2021-12-28T00:00:00.000Z</x:v>
      </x:c>
      <x:c r="E1017" s="17" t="d">
        <x:v>2021-12-28T00:00:00.000Z</x:v>
      </x:c>
      <x:c r="F1017" s="4" t="str">
        <x:v>Destinos</x:v>
      </x:c>
      <x:c r="G1017" s="11" t="n">
        <x:v>992</x:v>
      </x:c>
      <x:c r="H1017" s="11" t="n">
        <x:v>200</x:v>
      </x:c>
      <x:c r="I1017" s="11" t="n">
        <x:v>1</x:v>
      </x:c>
      <x:c r="J1017" s="4" t="str">
        <x:v>https://blog.skyairline.com/guias-turisticos/</x:v>
      </x:c>
      <x:c r="K1017" s="16" t="b">
        <x:v>0</x:v>
      </x:c>
      <x:c r="L1017" s="11" t="n">
        <x:v>0</x:v>
      </x:c>
      <x:c r="M1017" s="11" t="n">
        <x:v>2</x:v>
      </x:c>
      <x:c r="N1017" s="4"/>
      <x:c r="O1017" s="4"/>
      <x:c r="P1017" s="11" t="n">
        <x:v>0</x:v>
      </x:c>
      <x:c r="Q1017" s="11" t="n">
        <x:v>0</x:v>
      </x:c>
      <x:c r="R1017" s="11" t="str">
        <x:f>IF(OR(P1017="",Q1017=""),"",Q1017-P1017)</x:f>
      </x:c>
      <x:c r="S1017" s="13" t="str">
        <x:f>IF(OR(P1017="",Q1017="",P1017=0),"",((Q1017/30)/(P1017/31))-1)</x:f>
      </x:c>
      <x:c r="T1017" s="11" t="n">
        <x:v>76</x:v>
      </x:c>
      <x:c r="U1017" s="11" t="n">
        <x:v>42</x:v>
      </x:c>
      <x:c r="V1017" s="14" t="n">
        <x:v>0</x:v>
      </x:c>
      <x:c r="W1017" s="12" t="n">
        <x:v>17.404761904761905</x:v>
      </x:c>
      <x:c r="X1017" s="11"/>
      <x:c r="Y1017" s="11"/>
      <x:c r="Z1017" s="4" t="str">
        <x:v>https://blog.skyairline.com/guias-turisticos/</x:v>
      </x:c>
      <x:c r="AA1017" s="4" t="str">
        <x:v>https://blog.skyairline.com/guias-turisticos/</x:v>
      </x:c>
      <x:c r="AB1017" s="4" t="str">
        <x:v>Coincidencia URL</x:v>
      </x:c>
      <x:c r="AC1017" s="4" t="str">
        <x:v>Publicado hasta septiembre</x:v>
      </x:c>
      <x:c r="AD1017" s="4"/>
      <x:c r="AE1017" s="4"/>
      <x:c r="AF1017" s="16" t="b">
        <x:v>0</x:v>
      </x:c>
    </x:row>
    <x:row r="1018" ht="44" customHeight="1">
      <x:c r="A1018" s="4" t="n">
        <x:v>1237</x:v>
      </x:c>
      <x:c r="B1018" s="4" t="str">
        <x:v>https://blog.skyairline.com/deseos-de-ano-nuevo/</x:v>
      </x:c>
      <x:c r="C1018" s="9" t="str">
        <x:v>13 deseos de año nuevo relacionados con los viajes que valen la pena</x:v>
      </x:c>
      <x:c r="D1018" s="17" t="d">
        <x:v>2021-12-30T00:00:00.000Z</x:v>
      </x:c>
      <x:c r="E1018" s="17" t="d">
        <x:v>2021-12-30T00:00:00.000Z</x:v>
      </x:c>
      <x:c r="F1018" s="4" t="str">
        <x:v>Planificación de Viaje</x:v>
      </x:c>
      <x:c r="G1018" s="11" t="n">
        <x:v>964</x:v>
      </x:c>
      <x:c r="H1018" s="11" t="n">
        <x:v>200</x:v>
      </x:c>
      <x:c r="I1018" s="11" t="n">
        <x:v>1</x:v>
      </x:c>
      <x:c r="J1018" s="4" t="str">
        <x:v>https://blog.skyairline.com/deseos-de-ano-nuevo/</x:v>
      </x:c>
      <x:c r="K1018" s="16" t="b">
        <x:v>0</x:v>
      </x:c>
      <x:c r="L1018" s="11" t="n">
        <x:v>0</x:v>
      </x:c>
      <x:c r="M1018" s="11" t="n">
        <x:v>6</x:v>
      </x:c>
      <x:c r="N1018" s="4"/>
      <x:c r="O1018" s="4"/>
      <x:c r="P1018" s="11" t="n">
        <x:v>0</x:v>
      </x:c>
      <x:c r="Q1018" s="11" t="n">
        <x:v>0</x:v>
      </x:c>
      <x:c r="R1018" s="11" t="str">
        <x:f>IF(OR(P1018="",Q1018=""),"",Q1018-P1018)</x:f>
      </x:c>
      <x:c r="S1018" s="13" t="str">
        <x:f>IF(OR(P1018="",Q1018="",P1018=0),"",((Q1018/30)/(P1018/31))-1)</x:f>
      </x:c>
      <x:c r="T1018" s="11" t="n">
        <x:v>7</x:v>
      </x:c>
      <x:c r="U1018" s="11" t="n">
        <x:v>9</x:v>
      </x:c>
      <x:c r="V1018" s="14" t="n">
        <x:v>0</x:v>
      </x:c>
      <x:c r="W1018" s="12" t="n">
        <x:v>10.333333333333334</x:v>
      </x:c>
      <x:c r="X1018" s="11"/>
      <x:c r="Y1018" s="11"/>
      <x:c r="Z1018" s="4" t="str">
        <x:v>https://blog.skyairline.com/deseos-de-ano-nuevo/</x:v>
      </x:c>
      <x:c r="AA1018" s="4" t="str">
        <x:v>https://blog.skyairline.com/deseos-de-ano-nuevo/</x:v>
      </x:c>
      <x:c r="AB1018" s="4" t="str">
        <x:v>Coincidencia URL</x:v>
      </x:c>
      <x:c r="AC1018" s="4" t="str">
        <x:v>Publicado hasta septiembre</x:v>
      </x:c>
      <x:c r="AD1018" s="4"/>
      <x:c r="AE1018" s="4"/>
      <x:c r="AF1018" s="16" t="b">
        <x:v>0</x:v>
      </x:c>
    </x:row>
    <x:row r="1019" ht="44" customHeight="1">
      <x:c r="A1019" s="4" t="n">
        <x:v>1240</x:v>
      </x:c>
      <x:c r="B1019" s="4" t="str">
        <x:v>https://blog.skyairline.com/viajar-mas/</x:v>
      </x:c>
      <x:c r="C1019" s="9" t="str">
        <x:v>9 tips para poder viajar más en el próximo año</x:v>
      </x:c>
      <x:c r="D1019" s="17" t="d">
        <x:v>2021-12-31T00:00:00.000Z</x:v>
      </x:c>
      <x:c r="E1019" s="17" t="d">
        <x:v>2021-12-31T00:00:00.000Z</x:v>
      </x:c>
      <x:c r="F1019" s="4" t="str">
        <x:v>Planificación de Viaje</x:v>
      </x:c>
      <x:c r="G1019" s="11" t="n">
        <x:v>970</x:v>
      </x:c>
      <x:c r="H1019" s="11" t="n">
        <x:v>200</x:v>
      </x:c>
      <x:c r="I1019" s="11" t="n">
        <x:v>1</x:v>
      </x:c>
      <x:c r="J1019" s="4" t="str">
        <x:v>https://blog.skyairline.com/viajar-mas/</x:v>
      </x:c>
      <x:c r="K1019" s="16" t="b">
        <x:v>0</x:v>
      </x:c>
      <x:c r="L1019" s="11" t="n">
        <x:v>0</x:v>
      </x:c>
      <x:c r="M1019" s="11" t="n">
        <x:v>4</x:v>
      </x:c>
      <x:c r="N1019" s="4"/>
      <x:c r="O1019" s="4"/>
      <x:c r="P1019" s="11"/>
      <x:c r="Q1019" s="11" t="n">
        <x:v>0</x:v>
      </x:c>
      <x:c r="R1019" s="11" t="str">
        <x:f>IF(OR(P1019="",Q1019=""),"",Q1019-P1019)</x:f>
      </x:c>
      <x:c r="S1019" s="13" t="str">
        <x:f>IF(OR(P1019="",Q1019="",P1019=0),"",((Q1019/30)/(P1019/31))-1)</x:f>
      </x:c>
      <x:c r="T1019" s="11"/>
      <x:c r="U1019" s="11" t="n">
        <x:v>2</x:v>
      </x:c>
      <x:c r="V1019" s="14" t="n">
        <x:v>0</x:v>
      </x:c>
      <x:c r="W1019" s="12" t="n">
        <x:v>30.5</x:v>
      </x:c>
      <x:c r="X1019" s="11"/>
      <x:c r="Y1019" s="11"/>
      <x:c r="Z1019" s="4"/>
      <x:c r="AA1019" s="4" t="str">
        <x:v>https://blog.skyairline.com/viajar-mas/</x:v>
      </x:c>
      <x:c r="AB1019" s="4" t="str">
        <x:v>Coincidencia URL</x:v>
      </x:c>
      <x:c r="AC1019" s="4" t="str">
        <x:v>Publicado hasta septiembre</x:v>
      </x:c>
      <x:c r="AD1019" s="4"/>
      <x:c r="AE1019" s="4"/>
      <x:c r="AF1019" s="16" t="b">
        <x:v>0</x:v>
      </x:c>
    </x:row>
    <x:row r="1020" ht="44" customHeight="1">
      <x:c r="A1020" s="4" t="n">
        <x:v>1249</x:v>
      </x:c>
      <x:c r="B1020" s="4" t="str">
        <x:v>https://blog.skyairline.com/mejores-lugares-para-bucear-en-punta-cana/</x:v>
      </x:c>
      <x:c r="C1020" s="9" t="str">
        <x:v>Los 5 mejores lugares para bucear en Punta Cana</x:v>
      </x:c>
      <x:c r="D1020" s="17" t="d">
        <x:v>2022-01-03T00:00:00.000Z</x:v>
      </x:c>
      <x:c r="E1020" s="17" t="d">
        <x:v>2022-01-03T00:00:00.000Z</x:v>
      </x:c>
      <x:c r="F1020" s="4" t="str">
        <x:v>Destinos</x:v>
      </x:c>
      <x:c r="G1020" s="11" t="n">
        <x:v>1014</x:v>
      </x:c>
      <x:c r="H1020" s="11" t="n">
        <x:v>200</x:v>
      </x:c>
      <x:c r="I1020" s="11" t="n">
        <x:v>1</x:v>
      </x:c>
      <x:c r="J1020" s="4" t="str">
        <x:v>https://blog.skyairline.com/mejores-lugares-para-bucear-en-punta-cana/</x:v>
      </x:c>
      <x:c r="K1020" s="16" t="b">
        <x:v>0</x:v>
      </x:c>
      <x:c r="L1020" s="11" t="n">
        <x:v>0</x:v>
      </x:c>
      <x:c r="M1020" s="11" t="n">
        <x:v>4</x:v>
      </x:c>
      <x:c r="N1020" s="4"/>
      <x:c r="O1020" s="4"/>
      <x:c r="P1020" s="11" t="n">
        <x:v>0</x:v>
      </x:c>
      <x:c r="Q1020" s="11" t="n">
        <x:v>0</x:v>
      </x:c>
      <x:c r="R1020" s="11" t="str">
        <x:f>IF(OR(P1020="",Q1020=""),"",Q1020-P1020)</x:f>
      </x:c>
      <x:c r="S1020" s="13" t="str">
        <x:f>IF(OR(P1020="",Q1020="",P1020=0),"",((Q1020/30)/(P1020/31))-1)</x:f>
      </x:c>
      <x:c r="T1020" s="11" t="n">
        <x:v>204</x:v>
      </x:c>
      <x:c r="U1020" s="11" t="n">
        <x:v>216</x:v>
      </x:c>
      <x:c r="V1020" s="14" t="n">
        <x:v>0</x:v>
      </x:c>
      <x:c r="W1020" s="12" t="n">
        <x:v>25.662037037037038</x:v>
      </x:c>
      <x:c r="X1020" s="11"/>
      <x:c r="Y1020" s="11"/>
      <x:c r="Z1020" s="4" t="str">
        <x:v>https://blog.skyairline.com/mejores-lugares-para-bucear-en-punta-cana/</x:v>
      </x:c>
      <x:c r="AA1020" s="4" t="str">
        <x:v>https://blog.skyairline.com/mejores-lugares-para-bucear-en-punta-cana/</x:v>
      </x:c>
      <x:c r="AB1020" s="4" t="str">
        <x:v>Coincidencia URL</x:v>
      </x:c>
      <x:c r="AC1020" s="4" t="str">
        <x:v>Publicado hasta septiembre</x:v>
      </x:c>
      <x:c r="AD1020" s="4"/>
      <x:c r="AE1020" s="4"/>
      <x:c r="AF1020" s="16" t="b">
        <x:v>0</x:v>
      </x:c>
    </x:row>
    <x:row r="1021" ht="44" customHeight="1">
      <x:c r="A1021" s="4" t="n">
        <x:v>1252</x:v>
      </x:c>
      <x:c r="B1021" s="4" t="str">
        <x:v>https://blog.skyairline.com/test-pcr-antes-de-viajar/</x:v>
      </x:c>
      <x:c r="C1021" s="9" t="str">
        <x:v>Test PCR antes de viajar: Guía rápida para que comprendas el proceso</x:v>
      </x:c>
      <x:c r="D1021" s="17" t="d">
        <x:v>2022-01-04T00:00:00.000Z</x:v>
      </x:c>
      <x:c r="E1021" s="17" t="d">
        <x:v>2022-01-04T00:00:00.000Z</x:v>
      </x:c>
      <x:c r="F1021" s="4" t="str">
        <x:v>Planificación de Viaje</x:v>
      </x:c>
      <x:c r="G1021" s="11" t="n">
        <x:v>1161</x:v>
      </x:c>
      <x:c r="H1021" s="11" t="n">
        <x:v>200</x:v>
      </x:c>
      <x:c r="I1021" s="11" t="n">
        <x:v>1</x:v>
      </x:c>
      <x:c r="J1021" s="4" t="str">
        <x:v>https://blog.skyairline.com/test-pcr-antes-de-viajar/</x:v>
      </x:c>
      <x:c r="K1021" s="16" t="b">
        <x:v>0</x:v>
      </x:c>
      <x:c r="L1021" s="11" t="n">
        <x:v>0</x:v>
      </x:c>
      <x:c r="M1021" s="11" t="n">
        <x:v>0</x:v>
      </x:c>
      <x:c r="N1021" s="4"/>
      <x:c r="O1021" s="4"/>
      <x:c r="P1021" s="11" t="n">
        <x:v>0</x:v>
      </x:c>
      <x:c r="Q1021" s="11" t="n">
        <x:v>0</x:v>
      </x:c>
      <x:c r="R1021" s="11" t="str">
        <x:f>IF(OR(P1021="",Q1021=""),"",Q1021-P1021)</x:f>
      </x:c>
      <x:c r="S1021" s="13" t="str">
        <x:f>IF(OR(P1021="",Q1021="",P1021=0),"",((Q1021/30)/(P1021/31))-1)</x:f>
      </x:c>
      <x:c r="T1021" s="11" t="n">
        <x:v>388</x:v>
      </x:c>
      <x:c r="U1021" s="11" t="n">
        <x:v>201</x:v>
      </x:c>
      <x:c r="V1021" s="14" t="n">
        <x:v>0</x:v>
      </x:c>
      <x:c r="W1021" s="12" t="n">
        <x:v>13.442786069651742</x:v>
      </x:c>
      <x:c r="X1021" s="11"/>
      <x:c r="Y1021" s="11"/>
      <x:c r="Z1021" s="4" t="str">
        <x:v>https://blog.skyairline.com/test-pcr-antes-de-viajar/</x:v>
      </x:c>
      <x:c r="AA1021" s="4" t="str">
        <x:v>https://blog.skyairline.com/test-pcr-antes-de-viajar/</x:v>
      </x:c>
      <x:c r="AB1021" s="4" t="str">
        <x:v>Coincidencia URL</x:v>
      </x:c>
      <x:c r="AC1021" s="4" t="str">
        <x:v>Publicado hasta septiembre</x:v>
      </x:c>
      <x:c r="AD1021" s="4"/>
      <x:c r="AE1021" s="4"/>
      <x:c r="AF1021" s="16" t="b">
        <x:v>0</x:v>
      </x:c>
    </x:row>
    <x:row r="1022" ht="44" customHeight="1">
      <x:c r="A1022" s="4" t="n">
        <x:v>1261</x:v>
      </x:c>
      <x:c r="B1022" s="4" t="str">
        <x:v>https://blog.skyairline.com/que-visitar-en-tarapoto/</x:v>
      </x:c>
      <x:c r="C1022" s="9" t="str">
        <x:v>¿Qué visitar en Tarapoto? ¡Descúbrelo aquí!</x:v>
      </x:c>
      <x:c r="D1022" s="17" t="d">
        <x:v>2022-01-06T00:00:00.000Z</x:v>
      </x:c>
      <x:c r="E1022" s="17" t="d">
        <x:v>2022-01-06T00:00:00.000Z</x:v>
      </x:c>
      <x:c r="F1022" s="4" t="str">
        <x:v>Destinos</x:v>
      </x:c>
      <x:c r="G1022" s="11" t="n">
        <x:v>1079</x:v>
      </x:c>
      <x:c r="H1022" s="11" t="n">
        <x:v>200</x:v>
      </x:c>
      <x:c r="I1022" s="11" t="n">
        <x:v>1</x:v>
      </x:c>
      <x:c r="J1022" s="4" t="str">
        <x:v>https://blog.skyairline.com/que-visitar-en-tarapoto/</x:v>
      </x:c>
      <x:c r="K1022" s="16" t="b">
        <x:v>0</x:v>
      </x:c>
      <x:c r="L1022" s="11" t="n">
        <x:v>0</x:v>
      </x:c>
      <x:c r="M1022" s="11" t="n">
        <x:v>4</x:v>
      </x:c>
      <x:c r="N1022" s="4"/>
      <x:c r="O1022" s="4"/>
      <x:c r="P1022" s="11" t="n">
        <x:v>0</x:v>
      </x:c>
      <x:c r="Q1022" s="11" t="n">
        <x:v>0</x:v>
      </x:c>
      <x:c r="R1022" s="11" t="str">
        <x:f>IF(OR(P1022="",Q1022=""),"",Q1022-P1022)</x:f>
      </x:c>
      <x:c r="S1022" s="13" t="str">
        <x:f>IF(OR(P1022="",Q1022="",P1022=0),"",((Q1022/30)/(P1022/31))-1)</x:f>
      </x:c>
      <x:c r="T1022" s="11" t="n">
        <x:v>560</x:v>
      </x:c>
      <x:c r="U1022" s="11" t="n">
        <x:v>347</x:v>
      </x:c>
      <x:c r="V1022" s="14" t="n">
        <x:v>0</x:v>
      </x:c>
      <x:c r="W1022" s="12" t="n">
        <x:v>55.85878962536023</x:v>
      </x:c>
      <x:c r="X1022" s="11"/>
      <x:c r="Y1022" s="11"/>
      <x:c r="Z1022" s="4" t="str">
        <x:v>https://blog.skyairline.com/que-visitar-en-tarapoto/</x:v>
      </x:c>
      <x:c r="AA1022" s="4" t="str">
        <x:v>https://blog.skyairline.com/que-visitar-en-tarapoto/</x:v>
      </x:c>
      <x:c r="AB1022" s="4" t="str">
        <x:v>Coincidencia URL</x:v>
      </x:c>
      <x:c r="AC1022" s="4" t="str">
        <x:v>Publicado hasta septiembre</x:v>
      </x:c>
      <x:c r="AD1022" s="4"/>
      <x:c r="AE1022" s="4"/>
      <x:c r="AF1022" s="16" t="b">
        <x:v>0</x:v>
      </x:c>
    </x:row>
    <x:row r="1023" ht="44" customHeight="1">
      <x:c r="A1023" s="4" t="n">
        <x:v>1264</x:v>
      </x:c>
      <x:c r="B1023" s="4" t="str">
        <x:v>https://blog.skyairline.com/viaje-a-iquitos/</x:v>
      </x:c>
      <x:c r="C1023" s="9" t="str">
        <x:v>Viaje a Iquitos: guía completa para explorar la Amazonía peruana</x:v>
      </x:c>
      <x:c r="D1023" s="17" t="d">
        <x:v>2026-09-28T00:00:00.000Z</x:v>
      </x:c>
      <x:c r="E1023" s="17" t="d">
        <x:v>2026-09-21T00:00:00.000Z</x:v>
      </x:c>
      <x:c r="F1023" s="4" t="str">
        <x:v>Destinos</x:v>
      </x:c>
      <x:c r="G1023" s="11" t="n">
        <x:v>1155</x:v>
      </x:c>
      <x:c r="H1023" s="11" t="n">
        <x:v>200</x:v>
      </x:c>
      <x:c r="I1023" s="11" t="n">
        <x:v>1</x:v>
      </x:c>
      <x:c r="J1023" s="4" t="str">
        <x:v>https://blog.skyairline.com/viaje-a-iquitos/</x:v>
      </x:c>
      <x:c r="K1023" s="16" t="b">
        <x:v>0</x:v>
      </x:c>
      <x:c r="L1023" s="11" t="n">
        <x:v>0</x:v>
      </x:c>
      <x:c r="M1023" s="11" t="n">
        <x:v>0</x:v>
      </x:c>
      <x:c r="N1023" s="4"/>
      <x:c r="O1023" s="4"/>
      <x:c r="P1023" s="11" t="n">
        <x:v>0</x:v>
      </x:c>
      <x:c r="Q1023" s="11" t="n">
        <x:v>0</x:v>
      </x:c>
      <x:c r="R1023" s="11" t="str">
        <x:f>IF(OR(P1023="",Q1023=""),"",Q1023-P1023)</x:f>
      </x:c>
      <x:c r="S1023" s="13" t="str">
        <x:f>IF(OR(P1023="",Q1023="",P1023=0),"",((Q1023/30)/(P1023/31))-1)</x:f>
      </x:c>
      <x:c r="T1023" s="11" t="n">
        <x:v>45</x:v>
      </x:c>
      <x:c r="U1023" s="11" t="n">
        <x:v>40</x:v>
      </x:c>
      <x:c r="V1023" s="14" t="n">
        <x:v>0</x:v>
      </x:c>
      <x:c r="W1023" s="12" t="n">
        <x:v>27.5</x:v>
      </x:c>
      <x:c r="X1023" s="11" t="n">
        <x:v>2</x:v>
      </x:c>
      <x:c r="Y1023" s="11" t="n">
        <x:v>2</x:v>
      </x:c>
      <x:c r="Z1023" s="4" t="str">
        <x:v>https://blog.skyairline.com/viaje-a-iquitos/</x:v>
      </x:c>
      <x:c r="AA1023" s="4" t="str">
        <x:v>https://blog.skyairline.com/viaje-a-iquitos/</x:v>
      </x:c>
      <x:c r="AB1023" s="4" t="str">
        <x:v>Coincidencia URL</x:v>
      </x:c>
      <x:c r="AC1023" s="4" t="str">
        <x:v>Publicado hasta septiembre</x:v>
      </x:c>
      <x:c r="AD1023" s="4" t="str">
        <x:v>/viaje-a-iquitos/</x:v>
      </x:c>
      <x:c r="AE1023" s="4"/>
      <x:c r="AF1023" s="16" t="b">
        <x:v>0</x:v>
      </x:c>
    </x:row>
    <x:row r="1024" ht="44" customHeight="1">
      <x:c r="A1024" s="4" t="n">
        <x:v>1270</x:v>
      </x:c>
      <x:c r="B1024" s="4" t="str">
        <x:v>https://blog.skyairline.com/parques-acuaticos-en-punta-cana/</x:v>
      </x:c>
      <x:c r="C1024" s="9" t="str">
        <x:v>6 parques acuáticos en Punta Cana para incluir en tu vacaciones.</x:v>
      </x:c>
      <x:c r="D1024" s="17" t="d">
        <x:v>2022-01-09T00:00:00.000Z</x:v>
      </x:c>
      <x:c r="E1024" s="17" t="d">
        <x:v>2022-01-09T00:00:00.000Z</x:v>
      </x:c>
      <x:c r="F1024" s="4" t="str">
        <x:v>Destinos</x:v>
      </x:c>
      <x:c r="G1024" s="11" t="n">
        <x:v>992</x:v>
      </x:c>
      <x:c r="H1024" s="11" t="n">
        <x:v>200</x:v>
      </x:c>
      <x:c r="I1024" s="11" t="n">
        <x:v>1</x:v>
      </x:c>
      <x:c r="J1024" s="4" t="str">
        <x:v>https://blog.skyairline.com/parques-acuaticos-en-punta-cana/</x:v>
      </x:c>
      <x:c r="K1024" s="16" t="b">
        <x:v>0</x:v>
      </x:c>
      <x:c r="L1024" s="11" t="n">
        <x:v>0</x:v>
      </x:c>
      <x:c r="M1024" s="11" t="n">
        <x:v>3</x:v>
      </x:c>
      <x:c r="N1024" s="4"/>
      <x:c r="O1024" s="4"/>
      <x:c r="P1024" s="11" t="n">
        <x:v>1</x:v>
      </x:c>
      <x:c r="Q1024" s="11" t="n">
        <x:v>0</x:v>
      </x:c>
      <x:c r="R1024" s="11" t="str">
        <x:f>IF(OR(P1024="",Q1024=""),"",Q1024-P1024)</x:f>
      </x:c>
      <x:c r="S1024" s="13" t="str">
        <x:f>IF(OR(P1024="",Q1024="",P1024=0),"",((Q1024/30)/(P1024/31))-1)</x:f>
      </x:c>
      <x:c r="T1024" s="11" t="n">
        <x:v>122</x:v>
      </x:c>
      <x:c r="U1024" s="11" t="n">
        <x:v>146</x:v>
      </x:c>
      <x:c r="V1024" s="14" t="n">
        <x:v>0</x:v>
      </x:c>
      <x:c r="W1024" s="12" t="n">
        <x:v>15.178082191780822</x:v>
      </x:c>
      <x:c r="X1024" s="11"/>
      <x:c r="Y1024" s="11"/>
      <x:c r="Z1024" s="4" t="str">
        <x:v>https://blog.skyairline.com/parques-acuaticos-en-punta-cana/</x:v>
      </x:c>
      <x:c r="AA1024" s="4" t="str">
        <x:v>https://blog.skyairline.com/parques-acuaticos-en-punta-cana/</x:v>
      </x:c>
      <x:c r="AB1024" s="4" t="str">
        <x:v>Coincidencia URL</x:v>
      </x:c>
      <x:c r="AC1024" s="4" t="str">
        <x:v>Publicado hasta septiembre</x:v>
      </x:c>
      <x:c r="AD1024" s="4"/>
      <x:c r="AE1024" s="4"/>
      <x:c r="AF1024" s="16" t="b">
        <x:v>0</x:v>
      </x:c>
    </x:row>
    <x:row r="1025" ht="44" customHeight="1">
      <x:c r="A1025" s="4" t="n">
        <x:v>1279</x:v>
      </x:c>
      <x:c r="B1025" s="4" t="str">
        <x:v>https://blog.skyairline.com/lugares-turisticos-arequipa/</x:v>
      </x:c>
      <x:c r="C1025" s="9" t="str">
        <x:v>Top de lugares turísticos en Arequipa que no te puedes perder</x:v>
      </x:c>
      <x:c r="D1025" s="17" t="d">
        <x:v>2025-10-02T00:00:00.000Z</x:v>
      </x:c>
      <x:c r="E1025" s="17" t="d">
        <x:v>2026-01-12T00:00:00.000Z</x:v>
      </x:c>
      <x:c r="F1025" s="4" t="str">
        <x:v>Destinos</x:v>
      </x:c>
      <x:c r="G1025" s="11" t="n">
        <x:v>1094</x:v>
      </x:c>
      <x:c r="H1025" s="11" t="n">
        <x:v>200</x:v>
      </x:c>
      <x:c r="I1025" s="11" t="n">
        <x:v>1</x:v>
      </x:c>
      <x:c r="J1025" s="4" t="str">
        <x:v>https://blog.skyairline.com/lugares-turisticos-arequipa/</x:v>
      </x:c>
      <x:c r="K1025" s="16" t="b">
        <x:v>0</x:v>
      </x:c>
      <x:c r="L1025" s="11" t="n">
        <x:v>0</x:v>
      </x:c>
      <x:c r="M1025" s="11" t="n">
        <x:v>2</x:v>
      </x:c>
      <x:c r="N1025" s="4"/>
      <x:c r="O1025" s="4"/>
      <x:c r="P1025" s="11" t="n">
        <x:v>1</x:v>
      </x:c>
      <x:c r="Q1025" s="11" t="n">
        <x:v>0</x:v>
      </x:c>
      <x:c r="R1025" s="11" t="str">
        <x:f>IF(OR(P1025="",Q1025=""),"",Q1025-P1025)</x:f>
      </x:c>
      <x:c r="S1025" s="13" t="str">
        <x:f>IF(OR(P1025="",Q1025="",P1025=0),"",((Q1025/30)/(P1025/31))-1)</x:f>
      </x:c>
      <x:c r="T1025" s="11" t="n">
        <x:v>314</x:v>
      </x:c>
      <x:c r="U1025" s="11" t="n">
        <x:v>87</x:v>
      </x:c>
      <x:c r="V1025" s="14" t="n">
        <x:v>0</x:v>
      </x:c>
      <x:c r="W1025" s="12" t="n">
        <x:v>48.41379310344828</x:v>
      </x:c>
      <x:c r="X1025" s="11" t="n">
        <x:v>1</x:v>
      </x:c>
      <x:c r="Y1025" s="11" t="n">
        <x:v>1</x:v>
      </x:c>
      <x:c r="Z1025" s="4" t="str">
        <x:v>https://blog.skyairline.com/lugares-turisticos-arequipa/</x:v>
      </x:c>
      <x:c r="AA1025" s="4" t="str">
        <x:v>https://blog.skyairline.com/lugares-turisticos-arequipa/</x:v>
      </x:c>
      <x:c r="AB1025" s="4" t="str">
        <x:v>Coincidencia URL</x:v>
      </x:c>
      <x:c r="AC1025" s="4" t="str">
        <x:v>Publicado hasta septiembre</x:v>
      </x:c>
      <x:c r="AD1025" s="4" t="str">
        <x:v>/lugares-turisticos-arequipa/</x:v>
      </x:c>
      <x:c r="AE1025" s="4"/>
      <x:c r="AF1025" s="16" t="b">
        <x:v>0</x:v>
      </x:c>
    </x:row>
    <x:row r="1026" ht="44" customHeight="1">
      <x:c r="A1026" s="4" t="n">
        <x:v>1282</x:v>
      </x:c>
      <x:c r="B1026" s="4" t="str">
        <x:v>https://blog.skyairline.com/seguro-de-viaje-de-covid-19/</x:v>
      </x:c>
      <x:c r="C1026" s="9" t="str">
        <x:v>¿Qué es y qué ofrece un seguro de viaje por COVID-19?</x:v>
      </x:c>
      <x:c r="D1026" s="17" t="d">
        <x:v>2022-01-13T00:00:00.000Z</x:v>
      </x:c>
      <x:c r="E1026" s="17" t="d">
        <x:v>2022-01-13T00:00:00.000Z</x:v>
      </x:c>
      <x:c r="F1026" s="4" t="str">
        <x:v>Planificación de Viaje</x:v>
      </x:c>
      <x:c r="G1026" s="11" t="n">
        <x:v>1002</x:v>
      </x:c>
      <x:c r="H1026" s="11" t="n">
        <x:v>200</x:v>
      </x:c>
      <x:c r="I1026" s="11" t="n">
        <x:v>1</x:v>
      </x:c>
      <x:c r="J1026" s="4" t="str">
        <x:v>https://blog.skyairline.com/seguro-de-viaje-de-covid-19/</x:v>
      </x:c>
      <x:c r="K1026" s="16" t="b">
        <x:v>0</x:v>
      </x:c>
      <x:c r="L1026" s="11" t="n">
        <x:v>0</x:v>
      </x:c>
      <x:c r="M1026" s="11" t="n">
        <x:v>4</x:v>
      </x:c>
      <x:c r="N1026" s="4"/>
      <x:c r="O1026" s="4"/>
      <x:c r="P1026" s="11" t="n">
        <x:v>0</x:v>
      </x:c>
      <x:c r="Q1026" s="11" t="n">
        <x:v>0</x:v>
      </x:c>
      <x:c r="R1026" s="11" t="str">
        <x:f>IF(OR(P1026="",Q1026=""),"",Q1026-P1026)</x:f>
      </x:c>
      <x:c r="S1026" s="13" t="str">
        <x:f>IF(OR(P1026="",Q1026="",P1026=0),"",((Q1026/30)/(P1026/31))-1)</x:f>
      </x:c>
      <x:c r="T1026" s="11" t="n">
        <x:v>69</x:v>
      </x:c>
      <x:c r="U1026" s="11" t="n">
        <x:v>97</x:v>
      </x:c>
      <x:c r="V1026" s="14" t="n">
        <x:v>0</x:v>
      </x:c>
      <x:c r="W1026" s="12" t="n">
        <x:v>15.577319587628866</x:v>
      </x:c>
      <x:c r="X1026" s="11"/>
      <x:c r="Y1026" s="11"/>
      <x:c r="Z1026" s="4" t="str">
        <x:v>https://blog.skyairline.com/seguro-de-viaje-de-covid-19/</x:v>
      </x:c>
      <x:c r="AA1026" s="4" t="str">
        <x:v>https://blog.skyairline.com/seguro-de-viaje-de-covid-19/</x:v>
      </x:c>
      <x:c r="AB1026" s="4" t="str">
        <x:v>Coincidencia URL</x:v>
      </x:c>
      <x:c r="AC1026" s="4" t="str">
        <x:v>Publicado hasta septiembre</x:v>
      </x:c>
      <x:c r="AD1026" s="4"/>
      <x:c r="AE1026" s="4"/>
      <x:c r="AF1026" s="16" t="b">
        <x:v>0</x:v>
      </x:c>
    </x:row>
    <x:row r="1027" ht="44" customHeight="1">
      <x:c r="A1027" s="4" t="n">
        <x:v>1289</x:v>
      </x:c>
      <x:c r="B1027" s="4" t="str">
        <x:v>https://blog.skyairline.com/requisitos-de-viaje-en-pandemia/</x:v>
      </x:c>
      <x:c r="C1027" s="9" t="str">
        <x:v>Tarjeta de vacunación, PCR negativo y otros requisitos de viaje que nacieron en la pandemia</x:v>
      </x:c>
      <x:c r="D1027" s="17" t="d">
        <x:v>2022-01-15T00:00:00.000Z</x:v>
      </x:c>
      <x:c r="E1027" s="17" t="d">
        <x:v>2022-01-15T00:00:00.000Z</x:v>
      </x:c>
      <x:c r="F1027" s="4" t="str">
        <x:v>Planificación de Viaje</x:v>
      </x:c>
      <x:c r="G1027" s="11" t="n">
        <x:v>1030</x:v>
      </x:c>
      <x:c r="H1027" s="11" t="n">
        <x:v>200</x:v>
      </x:c>
      <x:c r="I1027" s="11" t="n">
        <x:v>1</x:v>
      </x:c>
      <x:c r="J1027" s="4" t="str">
        <x:v>https://blog.skyairline.com/requisitos-de-viaje-en-pandemia/</x:v>
      </x:c>
      <x:c r="K1027" s="16" t="b">
        <x:v>0</x:v>
      </x:c>
      <x:c r="L1027" s="11" t="n">
        <x:v>0</x:v>
      </x:c>
      <x:c r="M1027" s="11" t="n">
        <x:v>5</x:v>
      </x:c>
      <x:c r="N1027" s="4"/>
      <x:c r="O1027" s="4"/>
      <x:c r="P1027" s="11" t="n">
        <x:v>0</x:v>
      </x:c>
      <x:c r="Q1027" s="11" t="n">
        <x:v>0</x:v>
      </x:c>
      <x:c r="R1027" s="11" t="str">
        <x:f>IF(OR(P1027="",Q1027=""),"",Q1027-P1027)</x:f>
      </x:c>
      <x:c r="S1027" s="13" t="str">
        <x:f>IF(OR(P1027="",Q1027="",P1027=0),"",((Q1027/30)/(P1027/31))-1)</x:f>
      </x:c>
      <x:c r="T1027" s="11" t="n">
        <x:v>100</x:v>
      </x:c>
      <x:c r="U1027" s="11" t="n">
        <x:v>56</x:v>
      </x:c>
      <x:c r="V1027" s="14" t="n">
        <x:v>0</x:v>
      </x:c>
      <x:c r="W1027" s="12" t="n">
        <x:v>8.178571428571429</x:v>
      </x:c>
      <x:c r="X1027" s="11"/>
      <x:c r="Y1027" s="11"/>
      <x:c r="Z1027" s="4" t="str">
        <x:v>https://blog.skyairline.com/requisitos-de-viaje-en-pandemia/</x:v>
      </x:c>
      <x:c r="AA1027" s="4" t="str">
        <x:v>https://blog.skyairline.com/requisitos-de-viaje-en-pandemia/</x:v>
      </x:c>
      <x:c r="AB1027" s="4" t="str">
        <x:v>Coincidencia URL</x:v>
      </x:c>
      <x:c r="AC1027" s="4" t="str">
        <x:v>Publicado hasta septiembre</x:v>
      </x:c>
      <x:c r="AD1027" s="4"/>
      <x:c r="AE1027" s="4"/>
      <x:c r="AF1027" s="16" t="b">
        <x:v>0</x:v>
      </x:c>
    </x:row>
    <x:row r="1028" ht="44" customHeight="1">
      <x:c r="A1028" s="4" t="n">
        <x:v>1292</x:v>
      </x:c>
      <x:c r="B1028" s="4" t="str">
        <x:v>https://blog.skyairline.com/viaje-de-pocos-dias/</x:v>
      </x:c>
      <x:c r="C1028" s="9" t="str">
        <x:v>Ideas para disfrutar de escapadas de pocos días sin complicaciones</x:v>
      </x:c>
      <x:c r="D1028" s="17" t="d">
        <x:v>2024-10-24T00:00:00.000Z</x:v>
      </x:c>
      <x:c r="E1028" s="17" t="d">
        <x:v>2024-10-24T00:00:00.000Z</x:v>
      </x:c>
      <x:c r="F1028" s="4" t="str">
        <x:v>Planificación de Viaje</x:v>
      </x:c>
      <x:c r="G1028" s="11" t="n">
        <x:v>1238</x:v>
      </x:c>
      <x:c r="H1028" s="11" t="n">
        <x:v>200</x:v>
      </x:c>
      <x:c r="I1028" s="11" t="n">
        <x:v>1</x:v>
      </x:c>
      <x:c r="J1028" s="4" t="str">
        <x:v>https://blog.skyairline.com/viaje-de-pocos-dias/</x:v>
      </x:c>
      <x:c r="K1028" s="16" t="b">
        <x:v>0</x:v>
      </x:c>
      <x:c r="L1028" s="11" t="n">
        <x:v>0</x:v>
      </x:c>
      <x:c r="M1028" s="11" t="n">
        <x:v>3</x:v>
      </x:c>
      <x:c r="N1028" s="4"/>
      <x:c r="O1028" s="4"/>
      <x:c r="P1028" s="11" t="n">
        <x:v>1</x:v>
      </x:c>
      <x:c r="Q1028" s="11" t="n">
        <x:v>0</x:v>
      </x:c>
      <x:c r="R1028" s="11" t="str">
        <x:f>IF(OR(P1028="",Q1028=""),"",Q1028-P1028)</x:f>
      </x:c>
      <x:c r="S1028" s="13" t="str">
        <x:f>IF(OR(P1028="",Q1028="",P1028=0),"",((Q1028/30)/(P1028/31))-1)</x:f>
      </x:c>
      <x:c r="T1028" s="11" t="n">
        <x:v>172</x:v>
      </x:c>
      <x:c r="U1028" s="11" t="n">
        <x:v>141</x:v>
      </x:c>
      <x:c r="V1028" s="14" t="n">
        <x:v>0</x:v>
      </x:c>
      <x:c r="W1028" s="12" t="n">
        <x:v>19.106382978723403</x:v>
      </x:c>
      <x:c r="X1028" s="11" t="n">
        <x:v>3</x:v>
      </x:c>
      <x:c r="Y1028" s="11" t="n">
        <x:v>4</x:v>
      </x:c>
      <x:c r="Z1028" s="4" t="str">
        <x:v>https://blog.skyairline.com/viaje-de-pocos-dias/</x:v>
      </x:c>
      <x:c r="AA1028" s="4" t="str">
        <x:v>https://blog.skyairline.com/viaje-de-pocos-dias/</x:v>
      </x:c>
      <x:c r="AB1028" s="4" t="str">
        <x:v>Coincidencia URL</x:v>
      </x:c>
      <x:c r="AC1028" s="4" t="str">
        <x:v>Publicado hasta septiembre</x:v>
      </x:c>
      <x:c r="AD1028" s="4" t="str">
        <x:v>/viaje-de-pocos-dias/</x:v>
      </x:c>
      <x:c r="AE1028" s="4"/>
      <x:c r="AF1028" s="16" t="b">
        <x:v>0</x:v>
      </x:c>
    </x:row>
    <x:row r="1029" ht="44" customHeight="1">
      <x:c r="A1029" s="4" t="n">
        <x:v>1295</x:v>
      </x:c>
      <x:c r="B1029" s="4" t="str">
        <x:v>https://blog.skyairline.com/punta-arenas-patagonia/</x:v>
      </x:c>
      <x:c r="C1029" s="9" t="str">
        <x:v>Punta Arenas, Patagonia: descubre la puerta al fin del mundo</x:v>
      </x:c>
      <x:c r="D1029" s="17" t="d">
        <x:v>2025-11-17T00:00:00.000Z</x:v>
      </x:c>
      <x:c r="E1029" s="17" t="d">
        <x:v>2026-01-12T00:00:00.000Z</x:v>
      </x:c>
      <x:c r="F1029" s="4" t="str">
        <x:v>Destinos</x:v>
      </x:c>
      <x:c r="G1029" s="11" t="n">
        <x:v>1020</x:v>
      </x:c>
      <x:c r="H1029" s="11" t="n">
        <x:v>200</x:v>
      </x:c>
      <x:c r="I1029" s="11" t="n">
        <x:v>1</x:v>
      </x:c>
      <x:c r="J1029" s="4" t="str">
        <x:v>https://blog.skyairline.com/punta-arenas-patagonia/</x:v>
      </x:c>
      <x:c r="K1029" s="16" t="b">
        <x:v>0</x:v>
      </x:c>
      <x:c r="L1029" s="11" t="n">
        <x:v>0</x:v>
      </x:c>
      <x:c r="M1029" s="11" t="n">
        <x:v>3</x:v>
      </x:c>
      <x:c r="N1029" s="4"/>
      <x:c r="O1029" s="4"/>
      <x:c r="P1029" s="11" t="n">
        <x:v>2</x:v>
      </x:c>
      <x:c r="Q1029" s="11" t="n">
        <x:v>0</x:v>
      </x:c>
      <x:c r="R1029" s="11" t="str">
        <x:f>IF(OR(P1029="",Q1029=""),"",Q1029-P1029)</x:f>
      </x:c>
      <x:c r="S1029" s="13" t="str">
        <x:f>IF(OR(P1029="",Q1029="",P1029=0),"",((Q1029/30)/(P1029/31))-1)</x:f>
      </x:c>
      <x:c r="T1029" s="11" t="n">
        <x:v>272</x:v>
      </x:c>
      <x:c r="U1029" s="11" t="n">
        <x:v>96</x:v>
      </x:c>
      <x:c r="V1029" s="14" t="n">
        <x:v>0</x:v>
      </x:c>
      <x:c r="W1029" s="12" t="n">
        <x:v>30.78125</x:v>
      </x:c>
      <x:c r="X1029" s="11" t="n">
        <x:v>1</x:v>
      </x:c>
      <x:c r="Y1029" s="11" t="n">
        <x:v>1</x:v>
      </x:c>
      <x:c r="Z1029" s="4" t="str">
        <x:v>https://blog.skyairline.com/punta-arenas-patagonia/</x:v>
      </x:c>
      <x:c r="AA1029" s="4" t="str">
        <x:v>https://blog.skyairline.com/punta-arenas-patagonia/</x:v>
      </x:c>
      <x:c r="AB1029" s="4" t="str">
        <x:v>Coincidencia URL</x:v>
      </x:c>
      <x:c r="AC1029" s="4" t="str">
        <x:v>Publicado hasta septiembre</x:v>
      </x:c>
      <x:c r="AD1029" s="4" t="str">
        <x:v>/punta-arenas-patagonia/</x:v>
      </x:c>
      <x:c r="AE1029" s="4"/>
      <x:c r="AF1029" s="16" t="b">
        <x:v>0</x:v>
      </x:c>
    </x:row>
    <x:row r="1030" ht="44" customHeight="1">
      <x:c r="A1030" s="4" t="n">
        <x:v>1311</x:v>
      </x:c>
      <x:c r="B1030" s="4" t="str">
        <x:v>https://blog.skyairline.com/que-hacer-en-calama/</x:v>
      </x:c>
      <x:c r="C1030" s="9" t="str">
        <x:v>¿Buscando cosas que hacer en Calama? 7 opciones para que tengas un viaje increíble</x:v>
      </x:c>
      <x:c r="D1030" s="17" t="d">
        <x:v>2022-01-22T00:00:00.000Z</x:v>
      </x:c>
      <x:c r="E1030" s="17" t="d">
        <x:v>2022-01-22T00:00:00.000Z</x:v>
      </x:c>
      <x:c r="F1030" s="4" t="str">
        <x:v>Destinos</x:v>
      </x:c>
      <x:c r="G1030" s="11" t="n">
        <x:v>948</x:v>
      </x:c>
      <x:c r="H1030" s="11" t="n">
        <x:v>200</x:v>
      </x:c>
      <x:c r="I1030" s="11" t="n">
        <x:v>1</x:v>
      </x:c>
      <x:c r="J1030" s="4" t="str">
        <x:v>https://blog.skyairline.com/que-hacer-en-calama/</x:v>
      </x:c>
      <x:c r="K1030" s="16" t="b">
        <x:v>0</x:v>
      </x:c>
      <x:c r="L1030" s="11" t="n">
        <x:v>0</x:v>
      </x:c>
      <x:c r="M1030" s="11" t="n">
        <x:v>3</x:v>
      </x:c>
      <x:c r="N1030" s="4"/>
      <x:c r="O1030" s="4"/>
      <x:c r="P1030" s="11" t="n">
        <x:v>0</x:v>
      </x:c>
      <x:c r="Q1030" s="11" t="n">
        <x:v>0</x:v>
      </x:c>
      <x:c r="R1030" s="11" t="str">
        <x:f>IF(OR(P1030="",Q1030=""),"",Q1030-P1030)</x:f>
      </x:c>
      <x:c r="S1030" s="13" t="str">
        <x:f>IF(OR(P1030="",Q1030="",P1030=0),"",((Q1030/30)/(P1030/31))-1)</x:f>
      </x:c>
      <x:c r="T1030" s="11" t="n">
        <x:v>212</x:v>
      </x:c>
      <x:c r="U1030" s="11" t="n">
        <x:v>223</x:v>
      </x:c>
      <x:c r="V1030" s="14" t="n">
        <x:v>0</x:v>
      </x:c>
      <x:c r="W1030" s="12" t="n">
        <x:v>19.30493273542601</x:v>
      </x:c>
      <x:c r="X1030" s="11" t="n">
        <x:v>1</x:v>
      </x:c>
      <x:c r="Y1030" s="11" t="n">
        <x:v>1</x:v>
      </x:c>
      <x:c r="Z1030" s="4" t="str">
        <x:v>https://blog.skyairline.com/que-hacer-en-calama/</x:v>
      </x:c>
      <x:c r="AA1030" s="4" t="str">
        <x:v>https://blog.skyairline.com/que-hacer-en-calama/</x:v>
      </x:c>
      <x:c r="AB1030" s="4" t="str">
        <x:v>Coincidencia URL</x:v>
      </x:c>
      <x:c r="AC1030" s="4" t="str">
        <x:v>Publicado hasta septiembre</x:v>
      </x:c>
      <x:c r="AD1030" s="4" t="str">
        <x:v>/que-hacer-en-calama/</x:v>
      </x:c>
      <x:c r="AE1030" s="4"/>
      <x:c r="AF1030" s="16" t="b">
        <x:v>0</x:v>
      </x:c>
    </x:row>
    <x:row r="1031" ht="44" customHeight="1">
      <x:c r="A1031" s="4" t="n">
        <x:v>1315</x:v>
      </x:c>
      <x:c r="B1031" s="4" t="str">
        <x:v>https://blog.skyairline.com/sky-inicia-vuelos-entre-lima-y-punta-cana-con-20-mil-tickets-vendidos/</x:v>
      </x:c>
      <x:c r="C1031" s="9" t="str">
        <x:v>SKY inicia vuelos entre Lima y Punta Cana con 20 mil tickets vendidos.</x:v>
      </x:c>
      <x:c r="D1031" s="17" t="d">
        <x:v>2022-01-17T00:00:00.000Z</x:v>
      </x:c>
      <x:c r="E1031" s="17" t="d">
        <x:v>2022-01-17T00:00:00.000Z</x:v>
      </x:c>
      <x:c r="F1031" s="4" t="str">
        <x:v>Noticias</x:v>
      </x:c>
      <x:c r="G1031" s="11" t="n">
        <x:v>459</x:v>
      </x:c>
      <x:c r="H1031" s="11" t="n">
        <x:v>200</x:v>
      </x:c>
      <x:c r="I1031" s="11" t="n">
        <x:v>1</x:v>
      </x:c>
      <x:c r="J1031" s="4" t="str">
        <x:v>https://blog.skyairline.com/sky-inicia-vuelos-entre-lima-y-punta-cana-con-20-mil-tickets-vendidos/</x:v>
      </x:c>
      <x:c r="K1031" s="16" t="b">
        <x:v>0</x:v>
      </x:c>
      <x:c r="L1031" s="11" t="n">
        <x:v>0</x:v>
      </x:c>
      <x:c r="M1031" s="11" t="n">
        <x:v>0</x:v>
      </x:c>
      <x:c r="N1031" s="4"/>
      <x:c r="O1031" s="4"/>
      <x:c r="P1031" s="11"/>
      <x:c r="Q1031" s="11" t="n">
        <x:v>0</x:v>
      </x:c>
      <x:c r="R1031" s="11" t="str">
        <x:f>IF(OR(P1031="",Q1031=""),"",Q1031-P1031)</x:f>
      </x:c>
      <x:c r="S1031" s="13" t="str">
        <x:f>IF(OR(P1031="",Q1031="",P1031=0),"",((Q1031/30)/(P1031/31))-1)</x:f>
      </x:c>
      <x:c r="T1031" s="11"/>
      <x:c r="U1031" s="11" t="n">
        <x:v>58</x:v>
      </x:c>
      <x:c r="V1031" s="14" t="n">
        <x:v>0</x:v>
      </x:c>
      <x:c r="W1031" s="12" t="n">
        <x:v>7.5344827586206895</x:v>
      </x:c>
      <x:c r="X1031" s="11"/>
      <x:c r="Y1031" s="11"/>
      <x:c r="Z1031" s="4"/>
      <x:c r="AA1031" s="4" t="str">
        <x:v>https://blog.skyairline.com/sky-inicia-vuelos-entre-lima-y-punta-cana-con-20-mil-tickets-vendidos/</x:v>
      </x:c>
      <x:c r="AB1031" s="4" t="str">
        <x:v>Coincidencia URL</x:v>
      </x:c>
      <x:c r="AC1031" s="4" t="str">
        <x:v>Publicado hasta septiembre</x:v>
      </x:c>
      <x:c r="AD1031" s="4"/>
      <x:c r="AE1031" s="4"/>
      <x:c r="AF1031" s="16" t="b">
        <x:v>0</x:v>
      </x:c>
    </x:row>
    <x:row r="1032" ht="44" customHeight="1">
      <x:c r="A1032" s="4" t="n">
        <x:v>1352</x:v>
      </x:c>
      <x:c r="B1032" s="4" t="str">
        <x:v>https://blog.skyairline.com/lugares-turisticos/</x:v>
      </x:c>
      <x:c r="C1032" s="9" t="str">
        <x:v>6 lugares turísticos que ya fueron los preferidos de las celebridades</x:v>
      </x:c>
      <x:c r="D1032" s="17" t="d">
        <x:v>2025-10-24T00:00:00.000Z</x:v>
      </x:c>
      <x:c r="E1032" s="17" t="d">
        <x:v>2026-01-12T00:00:00.000Z</x:v>
      </x:c>
      <x:c r="F1032" s="4" t="str">
        <x:v>Destinos</x:v>
      </x:c>
      <x:c r="G1032" s="11" t="n">
        <x:v>1278</x:v>
      </x:c>
      <x:c r="H1032" s="11" t="n">
        <x:v>200</x:v>
      </x:c>
      <x:c r="I1032" s="11" t="n">
        <x:v>1</x:v>
      </x:c>
      <x:c r="J1032" s="4" t="str">
        <x:v>https://blog.skyairline.com/lugares-turisticos/</x:v>
      </x:c>
      <x:c r="K1032" s="16" t="b">
        <x:v>0</x:v>
      </x:c>
      <x:c r="L1032" s="11" t="n">
        <x:v>0</x:v>
      </x:c>
      <x:c r="M1032" s="11" t="n">
        <x:v>0</x:v>
      </x:c>
      <x:c r="N1032" s="4"/>
      <x:c r="O1032" s="4"/>
      <x:c r="P1032" s="11" t="n">
        <x:v>0</x:v>
      </x:c>
      <x:c r="Q1032" s="11" t="n">
        <x:v>0</x:v>
      </x:c>
      <x:c r="R1032" s="11" t="str">
        <x:f>IF(OR(P1032="",Q1032=""),"",Q1032-P1032)</x:f>
      </x:c>
      <x:c r="S1032" s="13" t="str">
        <x:f>IF(OR(P1032="",Q1032="",P1032=0),"",((Q1032/30)/(P1032/31))-1)</x:f>
      </x:c>
      <x:c r="T1032" s="11" t="n">
        <x:v>42</x:v>
      </x:c>
      <x:c r="U1032" s="11" t="n">
        <x:v>77</x:v>
      </x:c>
      <x:c r="V1032" s="14" t="n">
        <x:v>0</x:v>
      </x:c>
      <x:c r="W1032" s="12" t="n">
        <x:v>9.857142857142858</x:v>
      </x:c>
      <x:c r="X1032" s="11"/>
      <x:c r="Y1032" s="11"/>
      <x:c r="Z1032" s="4" t="str">
        <x:v>https://blog.skyairline.com/lugares-turisticos/</x:v>
      </x:c>
      <x:c r="AA1032" s="4" t="str">
        <x:v>https://blog.skyairline.com/lugares-turisticos/</x:v>
      </x:c>
      <x:c r="AB1032" s="4" t="str">
        <x:v>Coincidencia URL</x:v>
      </x:c>
      <x:c r="AC1032" s="4" t="str">
        <x:v>Publicado hasta septiembre</x:v>
      </x:c>
      <x:c r="AD1032" s="4"/>
      <x:c r="AE1032" s="4"/>
      <x:c r="AF1032" s="16" t="b">
        <x:v>0</x:v>
      </x:c>
    </x:row>
    <x:row r="1033" ht="44" customHeight="1">
      <x:c r="A1033" s="4" t="n">
        <x:v>1355</x:v>
      </x:c>
      <x:c r="B1033" s="4" t="str">
        <x:v>https://blog.skyairline.com/islas-paradisiacas-de-cancun/</x:v>
      </x:c>
      <x:c r="C1033" s="9" t="str">
        <x:v>Islas paradisíacas de Cancún: Exclusivas y maravillosas</x:v>
      </x:c>
      <x:c r="D1033" s="17" t="d">
        <x:v>2022-01-25T00:00:00.000Z</x:v>
      </x:c>
      <x:c r="E1033" s="17" t="d">
        <x:v>2022-01-25T00:00:00.000Z</x:v>
      </x:c>
      <x:c r="F1033" s="4" t="str">
        <x:v>Destinos</x:v>
      </x:c>
      <x:c r="G1033" s="11" t="n">
        <x:v>1134</x:v>
      </x:c>
      <x:c r="H1033" s="11" t="n">
        <x:v>200</x:v>
      </x:c>
      <x:c r="I1033" s="11" t="n">
        <x:v>1</x:v>
      </x:c>
      <x:c r="J1033" s="4" t="str">
        <x:v>https://blog.skyairline.com/islas-paradisiacas-de-cancun/</x:v>
      </x:c>
      <x:c r="K1033" s="16" t="b">
        <x:v>0</x:v>
      </x:c>
      <x:c r="L1033" s="11" t="n">
        <x:v>0</x:v>
      </x:c>
      <x:c r="M1033" s="11" t="n">
        <x:v>3</x:v>
      </x:c>
      <x:c r="N1033" s="4"/>
      <x:c r="O1033" s="4"/>
      <x:c r="P1033" s="11" t="n">
        <x:v>0</x:v>
      </x:c>
      <x:c r="Q1033" s="11" t="n">
        <x:v>0</x:v>
      </x:c>
      <x:c r="R1033" s="11" t="str">
        <x:f>IF(OR(P1033="",Q1033=""),"",Q1033-P1033)</x:f>
      </x:c>
      <x:c r="S1033" s="13" t="str">
        <x:f>IF(OR(P1033="",Q1033="",P1033=0),"",((Q1033/30)/(P1033/31))-1)</x:f>
      </x:c>
      <x:c r="T1033" s="11" t="n">
        <x:v>87</x:v>
      </x:c>
      <x:c r="U1033" s="11" t="n">
        <x:v>66</x:v>
      </x:c>
      <x:c r="V1033" s="14" t="n">
        <x:v>0</x:v>
      </x:c>
      <x:c r="W1033" s="12" t="n">
        <x:v>29.696969696969695</x:v>
      </x:c>
      <x:c r="X1033" s="11"/>
      <x:c r="Y1033" s="11"/>
      <x:c r="Z1033" s="4" t="str">
        <x:v>https://blog.skyairline.com/islas-paradisiacas-de-cancun/</x:v>
      </x:c>
      <x:c r="AA1033" s="4" t="str">
        <x:v>https://blog.skyairline.com/islas-paradisiacas-de-cancun/</x:v>
      </x:c>
      <x:c r="AB1033" s="4" t="str">
        <x:v>Coincidencia URL</x:v>
      </x:c>
      <x:c r="AC1033" s="4" t="str">
        <x:v>Publicado hasta septiembre</x:v>
      </x:c>
      <x:c r="AD1033" s="4"/>
      <x:c r="AE1033" s="4"/>
      <x:c r="AF1033" s="16" t="b">
        <x:v>0</x:v>
      </x:c>
    </x:row>
    <x:row r="1034" ht="44" customHeight="1">
      <x:c r="A1034" s="4" t="n">
        <x:v>1361</x:v>
      </x:c>
      <x:c r="B1034" s="4" t="str">
        <x:v>https://blog.skyairline.com/viajar-con-poco-dinero-2/</x:v>
      </x:c>
      <x:c r="C1034" s="9" t="str">
        <x:v>¿Cómo viajar con poco dinero?: 17 consejos clave que te serán de gran ayuda</x:v>
      </x:c>
      <x:c r="D1034" s="17" t="d">
        <x:v>2022-01-27T00:00:00.000Z</x:v>
      </x:c>
      <x:c r="E1034" s="17" t="d">
        <x:v>2022-01-27T00:00:00.000Z</x:v>
      </x:c>
      <x:c r="F1034" s="4" t="str">
        <x:v>Planificación de Viaje</x:v>
      </x:c>
      <x:c r="G1034" s="11" t="n">
        <x:v>1945</x:v>
      </x:c>
      <x:c r="H1034" s="11" t="n">
        <x:v>200</x:v>
      </x:c>
      <x:c r="I1034" s="11" t="n">
        <x:v>1</x:v>
      </x:c>
      <x:c r="J1034" s="4" t="str">
        <x:v>https://blog.skyairline.com/viajar-con-poco-dinero-2/</x:v>
      </x:c>
      <x:c r="K1034" s="16" t="b">
        <x:v>0</x:v>
      </x:c>
      <x:c r="L1034" s="11" t="n">
        <x:v>0</x:v>
      </x:c>
      <x:c r="M1034" s="11" t="n">
        <x:v>7</x:v>
      </x:c>
      <x:c r="N1034" s="4"/>
      <x:c r="O1034" s="4"/>
      <x:c r="P1034" s="11" t="n">
        <x:v>0</x:v>
      </x:c>
      <x:c r="Q1034" s="11" t="n">
        <x:v>0</x:v>
      </x:c>
      <x:c r="R1034" s="11" t="str">
        <x:f>IF(OR(P1034="",Q1034=""),"",Q1034-P1034)</x:f>
      </x:c>
      <x:c r="S1034" s="13" t="str">
        <x:f>IF(OR(P1034="",Q1034="",P1034=0),"",((Q1034/30)/(P1034/31))-1)</x:f>
      </x:c>
      <x:c r="T1034" s="11" t="n">
        <x:v>223</x:v>
      </x:c>
      <x:c r="U1034" s="11" t="n">
        <x:v>88</x:v>
      </x:c>
      <x:c r="V1034" s="14" t="n">
        <x:v>0</x:v>
      </x:c>
      <x:c r="W1034" s="12" t="n">
        <x:v>23.875</x:v>
      </x:c>
      <x:c r="X1034" s="11"/>
      <x:c r="Y1034" s="11"/>
      <x:c r="Z1034" s="4" t="str">
        <x:v>https://blog.skyairline.com/viajar-con-poco-dinero-2/</x:v>
      </x:c>
      <x:c r="AA1034" s="4" t="str">
        <x:v>https://blog.skyairline.com/viajar-con-poco-dinero-2/</x:v>
      </x:c>
      <x:c r="AB1034" s="4" t="str">
        <x:v>Coincidencia URL</x:v>
      </x:c>
      <x:c r="AC1034" s="4" t="str">
        <x:v>Publicado hasta septiembre</x:v>
      </x:c>
      <x:c r="AD1034" s="4"/>
      <x:c r="AE1034" s="4"/>
      <x:c r="AF1034" s="16" t="b">
        <x:v>1</x:v>
      </x:c>
    </x:row>
    <x:row r="1035" ht="44" customHeight="1">
      <x:c r="A1035" s="4" t="n">
        <x:v>1364</x:v>
      </x:c>
      <x:c r="B1035" s="4" t="str">
        <x:v>https://blog.skyairline.com/viajar-a-iquique/</x:v>
      </x:c>
      <x:c r="C1035" s="9" t="str">
        <x:v>Guía para tu viaje a Iquique, todo lo que puedes hacer, ver y conocer</x:v>
      </x:c>
      <x:c r="D1035" s="17" t="d">
        <x:v>2026-05-05T00:00:00.000Z</x:v>
      </x:c>
      <x:c r="E1035" s="17" t="d">
        <x:v>2026-04-30T00:00:00.000Z</x:v>
      </x:c>
      <x:c r="F1035" s="4" t="str">
        <x:v>Noticias</x:v>
      </x:c>
      <x:c r="G1035" s="11" t="n">
        <x:v>1067</x:v>
      </x:c>
      <x:c r="H1035" s="11" t="n">
        <x:v>200</x:v>
      </x:c>
      <x:c r="I1035" s="11" t="n">
        <x:v>1</x:v>
      </x:c>
      <x:c r="J1035" s="4" t="str">
        <x:v>https://blog.skyairline.com/viajar-a-iquique/</x:v>
      </x:c>
      <x:c r="K1035" s="16" t="b">
        <x:v>0</x:v>
      </x:c>
      <x:c r="L1035" s="11" t="n">
        <x:v>0</x:v>
      </x:c>
      <x:c r="M1035" s="11" t="n">
        <x:v>0</x:v>
      </x:c>
      <x:c r="N1035" s="4"/>
      <x:c r="O1035" s="4"/>
      <x:c r="P1035" s="11" t="n">
        <x:v>0</x:v>
      </x:c>
      <x:c r="Q1035" s="11" t="n">
        <x:v>0</x:v>
      </x:c>
      <x:c r="R1035" s="11" t="str">
        <x:f>IF(OR(P1035="",Q1035=""),"",Q1035-P1035)</x:f>
      </x:c>
      <x:c r="S1035" s="13" t="str">
        <x:f>IF(OR(P1035="",Q1035="",P1035=0),"",((Q1035/30)/(P1035/31))-1)</x:f>
      </x:c>
      <x:c r="T1035" s="11" t="n">
        <x:v>155</x:v>
      </x:c>
      <x:c r="U1035" s="11" t="n">
        <x:v>82</x:v>
      </x:c>
      <x:c r="V1035" s="14" t="n">
        <x:v>0</x:v>
      </x:c>
      <x:c r="W1035" s="12" t="n">
        <x:v>8.353658536585366</x:v>
      </x:c>
      <x:c r="X1035" s="11"/>
      <x:c r="Y1035" s="11"/>
      <x:c r="Z1035" s="4" t="str">
        <x:v>https://blog.skyairline.com/viajar-a-iquique/</x:v>
      </x:c>
      <x:c r="AA1035" s="4" t="str">
        <x:v>https://blog.skyairline.com/viajar-a-iquique/</x:v>
      </x:c>
      <x:c r="AB1035" s="4" t="str">
        <x:v>Coincidencia URL</x:v>
      </x:c>
      <x:c r="AC1035" s="4" t="str">
        <x:v>Publicado hasta septiembre</x:v>
      </x:c>
      <x:c r="AD1035" s="4"/>
      <x:c r="AE1035" s="4"/>
      <x:c r="AF1035" s="16" t="b">
        <x:v>0</x:v>
      </x:c>
    </x:row>
    <x:row r="1036" ht="44" customHeight="1">
      <x:c r="A1036" s="4" t="n">
        <x:v>1367</x:v>
      </x:c>
      <x:c r="B1036" s="4" t="str">
        <x:v>https://blog.skyairline.com/vacunacion-en-latinoamerica/</x:v>
      </x:c>
      <x:c r="C1036" s="9" t="str">
        <x:v>Vacunación en Latinoamérica: novedades y datos de interés para los viajeros</x:v>
      </x:c>
      <x:c r="D1036" s="17" t="d">
        <x:v>2022-01-29T00:00:00.000Z</x:v>
      </x:c>
      <x:c r="E1036" s="17" t="d">
        <x:v>2022-01-29T00:00:00.000Z</x:v>
      </x:c>
      <x:c r="F1036" s="4" t="str">
        <x:v>Destinos</x:v>
      </x:c>
      <x:c r="G1036" s="11" t="n">
        <x:v>3084</x:v>
      </x:c>
      <x:c r="H1036" s="11" t="n">
        <x:v>200</x:v>
      </x:c>
      <x:c r="I1036" s="11" t="n">
        <x:v>1</x:v>
      </x:c>
      <x:c r="J1036" s="4" t="str">
        <x:v>https://blog.skyairline.com/vacunacion-en-latinoamerica/</x:v>
      </x:c>
      <x:c r="K1036" s="16" t="b">
        <x:v>0</x:v>
      </x:c>
      <x:c r="L1036" s="11" t="n">
        <x:v>0</x:v>
      </x:c>
      <x:c r="M1036" s="11" t="n">
        <x:v>8</x:v>
      </x:c>
      <x:c r="N1036" s="4"/>
      <x:c r="O1036" s="4"/>
      <x:c r="P1036" s="11" t="n">
        <x:v>0</x:v>
      </x:c>
      <x:c r="Q1036" s="11" t="n">
        <x:v>0</x:v>
      </x:c>
      <x:c r="R1036" s="11" t="str">
        <x:f>IF(OR(P1036="",Q1036=""),"",Q1036-P1036)</x:f>
      </x:c>
      <x:c r="S1036" s="13" t="str">
        <x:f>IF(OR(P1036="",Q1036="",P1036=0),"",((Q1036/30)/(P1036/31))-1)</x:f>
      </x:c>
      <x:c r="T1036" s="11" t="n">
        <x:v>11</x:v>
      </x:c>
      <x:c r="U1036" s="11" t="n">
        <x:v>9</x:v>
      </x:c>
      <x:c r="V1036" s="14" t="n">
        <x:v>0</x:v>
      </x:c>
      <x:c r="W1036" s="12" t="n">
        <x:v>2.5555555555555554</x:v>
      </x:c>
      <x:c r="X1036" s="11"/>
      <x:c r="Y1036" s="11"/>
      <x:c r="Z1036" s="4" t="str">
        <x:v>https://blog.skyairline.com/vacunacion-en-latinoamerica/</x:v>
      </x:c>
      <x:c r="AA1036" s="4" t="str">
        <x:v>https://blog.skyairline.com/vacunacion-en-latinoamerica/</x:v>
      </x:c>
      <x:c r="AB1036" s="4" t="str">
        <x:v>Coincidencia URL</x:v>
      </x:c>
      <x:c r="AC1036" s="4" t="str">
        <x:v>Publicado hasta septiembre</x:v>
      </x:c>
      <x:c r="AD1036" s="4"/>
      <x:c r="AE1036" s="4"/>
      <x:c r="AF1036" s="16" t="b">
        <x:v>0</x:v>
      </x:c>
    </x:row>
    <x:row r="1037" ht="44" customHeight="1">
      <x:c r="A1037" s="4" t="n">
        <x:v>1377</x:v>
      </x:c>
      <x:c r="B1037" s="4" t="str">
        <x:v>https://blog.skyairline.com/turismo-ecologico/</x:v>
      </x:c>
      <x:c r="C1037" s="9" t="str">
        <x:v>Turismo Ecológico: ¡Conoce esta tendencia!</x:v>
      </x:c>
      <x:c r="D1037" s="17" t="d">
        <x:v>2022-02-01T00:00:00.000Z</x:v>
      </x:c>
      <x:c r="E1037" s="17" t="d">
        <x:v>2022-02-01T00:00:00.000Z</x:v>
      </x:c>
      <x:c r="F1037" s="4" t="str">
        <x:v>Destinos</x:v>
      </x:c>
      <x:c r="G1037" s="11" t="n">
        <x:v>1247</x:v>
      </x:c>
      <x:c r="H1037" s="11" t="n">
        <x:v>200</x:v>
      </x:c>
      <x:c r="I1037" s="11" t="n">
        <x:v>1</x:v>
      </x:c>
      <x:c r="J1037" s="4" t="str">
        <x:v>https://blog.skyairline.com/turismo-ecologico/</x:v>
      </x:c>
      <x:c r="K1037" s="16" t="b">
        <x:v>0</x:v>
      </x:c>
      <x:c r="L1037" s="11" t="n">
        <x:v>0</x:v>
      </x:c>
      <x:c r="M1037" s="11" t="n">
        <x:v>4</x:v>
      </x:c>
      <x:c r="N1037" s="4"/>
      <x:c r="O1037" s="4"/>
      <x:c r="P1037" s="11" t="n">
        <x:v>0</x:v>
      </x:c>
      <x:c r="Q1037" s="11" t="n">
        <x:v>0</x:v>
      </x:c>
      <x:c r="R1037" s="11" t="str">
        <x:f>IF(OR(P1037="",Q1037=""),"",Q1037-P1037)</x:f>
      </x:c>
      <x:c r="S1037" s="13" t="str">
        <x:f>IF(OR(P1037="",Q1037="",P1037=0),"",((Q1037/30)/(P1037/31))-1)</x:f>
      </x:c>
      <x:c r="T1037" s="11" t="n">
        <x:v>17</x:v>
      </x:c>
      <x:c r="U1037" s="11" t="n">
        <x:v>15</x:v>
      </x:c>
      <x:c r="V1037" s="14" t="n">
        <x:v>0</x:v>
      </x:c>
      <x:c r="W1037" s="12" t="n">
        <x:v>9.133333333333333</x:v>
      </x:c>
      <x:c r="X1037" s="11"/>
      <x:c r="Y1037" s="11"/>
      <x:c r="Z1037" s="4" t="str">
        <x:v>https://blog.skyairline.com/turismo-ecologico/</x:v>
      </x:c>
      <x:c r="AA1037" s="4" t="str">
        <x:v>https://blog.skyairline.com/turismo-ecologico/</x:v>
      </x:c>
      <x:c r="AB1037" s="4" t="str">
        <x:v>Coincidencia URL</x:v>
      </x:c>
      <x:c r="AC1037" s="4" t="str">
        <x:v>Publicado hasta septiembre</x:v>
      </x:c>
      <x:c r="AD1037" s="4"/>
      <x:c r="AE1037" s="4"/>
      <x:c r="AF1037" s="16" t="b">
        <x:v>0</x:v>
      </x:c>
    </x:row>
    <x:row r="1038" ht="44" customHeight="1">
      <x:c r="A1038" s="4" t="n">
        <x:v>1388</x:v>
      </x:c>
      <x:c r="B1038" s="4" t="str">
        <x:v>https://blog.skyairline.com/gastronomia-mexicana/</x:v>
      </x:c>
      <x:c r="C1038" s="9" t="str">
        <x:v>5 platillos de la gastronomía mexicana que puedes probar al viajar a Cancún</x:v>
      </x:c>
      <x:c r="D1038" s="17" t="d">
        <x:v>2022-02-03T00:00:00.000Z</x:v>
      </x:c>
      <x:c r="E1038" s="17" t="d">
        <x:v>2022-02-03T00:00:00.000Z</x:v>
      </x:c>
      <x:c r="F1038" s="4" t="str">
        <x:v>Cultura</x:v>
      </x:c>
      <x:c r="G1038" s="11" t="n">
        <x:v>928</x:v>
      </x:c>
      <x:c r="H1038" s="11" t="n">
        <x:v>200</x:v>
      </x:c>
      <x:c r="I1038" s="11" t="n">
        <x:v>1</x:v>
      </x:c>
      <x:c r="J1038" s="4" t="str">
        <x:v>https://blog.skyairline.com/gastronomia-mexicana/</x:v>
      </x:c>
      <x:c r="K1038" s="16" t="b">
        <x:v>0</x:v>
      </x:c>
      <x:c r="L1038" s="11" t="n">
        <x:v>0</x:v>
      </x:c>
      <x:c r="M1038" s="11" t="n">
        <x:v>2</x:v>
      </x:c>
      <x:c r="N1038" s="4"/>
      <x:c r="O1038" s="4"/>
      <x:c r="P1038" s="11" t="n">
        <x:v>1</x:v>
      </x:c>
      <x:c r="Q1038" s="11" t="n">
        <x:v>0</x:v>
      </x:c>
      <x:c r="R1038" s="11" t="str">
        <x:f>IF(OR(P1038="",Q1038=""),"",Q1038-P1038)</x:f>
      </x:c>
      <x:c r="S1038" s="13" t="str">
        <x:f>IF(OR(P1038="",Q1038="",P1038=0),"",((Q1038/30)/(P1038/31))-1)</x:f>
      </x:c>
      <x:c r="T1038" s="11" t="n">
        <x:v>120</x:v>
      </x:c>
      <x:c r="U1038" s="11" t="n">
        <x:v>39</x:v>
      </x:c>
      <x:c r="V1038" s="14" t="n">
        <x:v>0</x:v>
      </x:c>
      <x:c r="W1038" s="12" t="n">
        <x:v>22.846153846153847</x:v>
      </x:c>
      <x:c r="X1038" s="11" t="n">
        <x:v>1</x:v>
      </x:c>
      <x:c r="Y1038" s="11" t="n">
        <x:v>1</x:v>
      </x:c>
      <x:c r="Z1038" s="4" t="str">
        <x:v>https://blog.skyairline.com/gastronomia-mexicana/</x:v>
      </x:c>
      <x:c r="AA1038" s="4" t="str">
        <x:v>https://blog.skyairline.com/gastronomia-mexicana/</x:v>
      </x:c>
      <x:c r="AB1038" s="4" t="str">
        <x:v>Coincidencia URL</x:v>
      </x:c>
      <x:c r="AC1038" s="4" t="str">
        <x:v>Publicado hasta septiembre</x:v>
      </x:c>
      <x:c r="AD1038" s="4" t="str">
        <x:v>/gastronomia-mexicana/</x:v>
      </x:c>
      <x:c r="AE1038" s="4"/>
      <x:c r="AF1038" s="16" t="b">
        <x:v>0</x:v>
      </x:c>
    </x:row>
    <x:row r="1039" ht="44" customHeight="1">
      <x:c r="A1039" s="4" t="n">
        <x:v>1392</x:v>
      </x:c>
      <x:c r="B1039" s="4" t="str">
        <x:v>https://blog.skyairline.com/comida-mexicana/</x:v>
      </x:c>
      <x:c r="C1039" s="9" t="str">
        <x:v> Comida mexicana: ¿qué la hace un atractivo para cualquier turista?</x:v>
      </x:c>
      <x:c r="D1039" s="17" t="d">
        <x:v>2025-09-07T00:00:00.000Z</x:v>
      </x:c>
      <x:c r="E1039" s="17" t="d">
        <x:v>2026-01-12T00:00:00.000Z</x:v>
      </x:c>
      <x:c r="F1039" s="4" t="str">
        <x:v>Cultura</x:v>
      </x:c>
      <x:c r="G1039" s="11" t="n">
        <x:v>1041</x:v>
      </x:c>
      <x:c r="H1039" s="11" t="n">
        <x:v>200</x:v>
      </x:c>
      <x:c r="I1039" s="11" t="n">
        <x:v>1</x:v>
      </x:c>
      <x:c r="J1039" s="4" t="str">
        <x:v>https://blog.skyairline.com/comida-mexicana/</x:v>
      </x:c>
      <x:c r="K1039" s="16" t="b">
        <x:v>0</x:v>
      </x:c>
      <x:c r="L1039" s="11" t="n">
        <x:v>0</x:v>
      </x:c>
      <x:c r="M1039" s="11" t="n">
        <x:v>0</x:v>
      </x:c>
      <x:c r="N1039" s="4"/>
      <x:c r="O1039" s="4"/>
      <x:c r="P1039" s="11" t="n">
        <x:v>0</x:v>
      </x:c>
      <x:c r="Q1039" s="11" t="n">
        <x:v>0</x:v>
      </x:c>
      <x:c r="R1039" s="11" t="str">
        <x:f>IF(OR(P1039="",Q1039=""),"",Q1039-P1039)</x:f>
      </x:c>
      <x:c r="S1039" s="13" t="str">
        <x:f>IF(OR(P1039="",Q1039="",P1039=0),"",((Q1039/30)/(P1039/31))-1)</x:f>
      </x:c>
      <x:c r="T1039" s="11" t="n">
        <x:v>105</x:v>
      </x:c>
      <x:c r="U1039" s="11" t="n">
        <x:v>26</x:v>
      </x:c>
      <x:c r="V1039" s="14" t="n">
        <x:v>0</x:v>
      </x:c>
      <x:c r="W1039" s="12" t="n">
        <x:v>16.23076923076923</x:v>
      </x:c>
      <x:c r="X1039" s="11"/>
      <x:c r="Y1039" s="11"/>
      <x:c r="Z1039" s="4" t="str">
        <x:v>https://blog.skyairline.com/comida-mexicana/</x:v>
      </x:c>
      <x:c r="AA1039" s="4" t="str">
        <x:v>https://blog.skyairline.com/comida-mexicana/</x:v>
      </x:c>
      <x:c r="AB1039" s="4" t="str">
        <x:v>Coincidencia URL</x:v>
      </x:c>
      <x:c r="AC1039" s="4" t="str">
        <x:v>Publicado hasta septiembre</x:v>
      </x:c>
      <x:c r="AD1039" s="4"/>
      <x:c r="AE1039" s="4"/>
      <x:c r="AF1039" s="16" t="b">
        <x:v>0</x:v>
      </x:c>
    </x:row>
    <x:row r="1040" ht="44" customHeight="1">
      <x:c r="A1040" s="4" t="n">
        <x:v>1395</x:v>
      </x:c>
      <x:c r="B1040" s="4" t="str">
        <x:v>https://blog.skyairline.com/10-mil-pasos-diarios/</x:v>
      </x:c>
      <x:c r="C1040" s="9" t="str">
        <x:v>10 mil pasos diarios: ¡es posible cumplir el reto mientras viajas!</x:v>
      </x:c>
      <x:c r="D1040" s="17" t="d">
        <x:v>2022-02-05T00:00:00.000Z</x:v>
      </x:c>
      <x:c r="E1040" s="17" t="d">
        <x:v>2022-02-05T00:00:00.000Z</x:v>
      </x:c>
      <x:c r="F1040" s="4" t="str">
        <x:v>Planificación de Viaje</x:v>
      </x:c>
      <x:c r="G1040" s="11" t="n">
        <x:v>1040</x:v>
      </x:c>
      <x:c r="H1040" s="11" t="n">
        <x:v>200</x:v>
      </x:c>
      <x:c r="I1040" s="11" t="n">
        <x:v>1</x:v>
      </x:c>
      <x:c r="J1040" s="4" t="str">
        <x:v>https://blog.skyairline.com/10-mil-pasos-diarios/</x:v>
      </x:c>
      <x:c r="K1040" s="16" t="b">
        <x:v>0</x:v>
      </x:c>
      <x:c r="L1040" s="11" t="n">
        <x:v>0</x:v>
      </x:c>
      <x:c r="M1040" s="11" t="n">
        <x:v>4</x:v>
      </x:c>
      <x:c r="N1040" s="4"/>
      <x:c r="O1040" s="4"/>
      <x:c r="P1040" s="11" t="n">
        <x:v>1</x:v>
      </x:c>
      <x:c r="Q1040" s="11" t="n">
        <x:v>0</x:v>
      </x:c>
      <x:c r="R1040" s="11" t="str">
        <x:f>IF(OR(P1040="",Q1040=""),"",Q1040-P1040)</x:f>
      </x:c>
      <x:c r="S1040" s="13" t="str">
        <x:f>IF(OR(P1040="",Q1040="",P1040=0),"",((Q1040/30)/(P1040/31))-1)</x:f>
      </x:c>
      <x:c r="T1040" s="11" t="n">
        <x:v>9</x:v>
      </x:c>
      <x:c r="U1040" s="11" t="n">
        <x:v>5</x:v>
      </x:c>
      <x:c r="V1040" s="14" t="n">
        <x:v>0</x:v>
      </x:c>
      <x:c r="W1040" s="12" t="n">
        <x:v>6.2</x:v>
      </x:c>
      <x:c r="X1040" s="11"/>
      <x:c r="Y1040" s="11"/>
      <x:c r="Z1040" s="4" t="str">
        <x:v>https://blog.skyairline.com/10-mil-pasos-diarios/</x:v>
      </x:c>
      <x:c r="AA1040" s="4" t="str">
        <x:v>https://blog.skyairline.com/10-mil-pasos-diarios/</x:v>
      </x:c>
      <x:c r="AB1040" s="4" t="str">
        <x:v>Coincidencia URL</x:v>
      </x:c>
      <x:c r="AC1040" s="4" t="str">
        <x:v>Publicado hasta septiembre</x:v>
      </x:c>
      <x:c r="AD1040" s="4"/>
      <x:c r="AE1040" s="4"/>
      <x:c r="AF1040" s="16" t="b">
        <x:v>0</x:v>
      </x:c>
    </x:row>
    <x:row r="1041" ht="44" customHeight="1">
      <x:c r="A1041" s="4" t="n">
        <x:v>1398</x:v>
      </x:c>
      <x:c r="B1041" s="4" t="str">
        <x:v>https://blog.skyairline.com/reservar-una-casa/</x:v>
      </x:c>
      <x:c r="C1041" s="9" t="str">
        <x:v>¿Cómo reservar una casa o departamento de vacaciones en Airbnb?</x:v>
      </x:c>
      <x:c r="D1041" s="17" t="d">
        <x:v>2022-02-06T00:00:00.000Z</x:v>
      </x:c>
      <x:c r="E1041" s="17" t="d">
        <x:v>2022-02-06T00:00:00.000Z</x:v>
      </x:c>
      <x:c r="F1041" s="4" t="str">
        <x:v>Planificación de Viaje</x:v>
      </x:c>
      <x:c r="G1041" s="11" t="n">
        <x:v>1045</x:v>
      </x:c>
      <x:c r="H1041" s="11" t="n">
        <x:v>200</x:v>
      </x:c>
      <x:c r="I1041" s="11" t="n">
        <x:v>1</x:v>
      </x:c>
      <x:c r="J1041" s="4" t="str">
        <x:v>https://blog.skyairline.com/reservar-una-casa/</x:v>
      </x:c>
      <x:c r="K1041" s="16" t="b">
        <x:v>0</x:v>
      </x:c>
      <x:c r="L1041" s="11" t="n">
        <x:v>0</x:v>
      </x:c>
      <x:c r="M1041" s="11" t="n">
        <x:v>5</x:v>
      </x:c>
      <x:c r="N1041" s="4"/>
      <x:c r="O1041" s="4"/>
      <x:c r="P1041" s="11" t="n">
        <x:v>1</x:v>
      </x:c>
      <x:c r="Q1041" s="11" t="n">
        <x:v>0</x:v>
      </x:c>
      <x:c r="R1041" s="11" t="str">
        <x:f>IF(OR(P1041="",Q1041=""),"",Q1041-P1041)</x:f>
      </x:c>
      <x:c r="S1041" s="13" t="str">
        <x:f>IF(OR(P1041="",Q1041="",P1041=0),"",((Q1041/30)/(P1041/31))-1)</x:f>
      </x:c>
      <x:c r="T1041" s="11" t="n">
        <x:v>268</x:v>
      </x:c>
      <x:c r="U1041" s="11" t="n">
        <x:v>106</x:v>
      </x:c>
      <x:c r="V1041" s="14" t="n">
        <x:v>0</x:v>
      </x:c>
      <x:c r="W1041" s="12" t="n">
        <x:v>7.820754716981132</x:v>
      </x:c>
      <x:c r="X1041" s="11"/>
      <x:c r="Y1041" s="11"/>
      <x:c r="Z1041" s="4" t="str">
        <x:v>https://blog.skyairline.com/reservar-una-casa/</x:v>
      </x:c>
      <x:c r="AA1041" s="4" t="str">
        <x:v>https://blog.skyairline.com/reservar-una-casa/</x:v>
      </x:c>
      <x:c r="AB1041" s="4" t="str">
        <x:v>Coincidencia URL</x:v>
      </x:c>
      <x:c r="AC1041" s="4" t="str">
        <x:v>Publicado hasta septiembre</x:v>
      </x:c>
      <x:c r="AD1041" s="4"/>
      <x:c r="AE1041" s="4"/>
      <x:c r="AF1041" s="16" t="b">
        <x:v>0</x:v>
      </x:c>
    </x:row>
    <x:row r="1042" ht="44" customHeight="1">
      <x:c r="A1042" s="4" t="n">
        <x:v>1401</x:v>
      </x:c>
      <x:c r="B1042" s="4" t="str">
        <x:v>https://blog.skyairline.com/volcan-chachani/</x:v>
      </x:c>
      <x:c r="C1042" s="9" t="str">
        <x:v>Volcán Chachani: Conoce uno de los grandes atractivos turísticos de Arequipa</x:v>
      </x:c>
      <x:c r="D1042" s="17" t="d">
        <x:v>2022-02-04T00:00:00.000Z</x:v>
      </x:c>
      <x:c r="E1042" s="17" t="d">
        <x:v>2022-02-04T00:00:00.000Z</x:v>
      </x:c>
      <x:c r="F1042" s="4" t="str">
        <x:v>Destinos</x:v>
      </x:c>
      <x:c r="G1042" s="11" t="n">
        <x:v>1054</x:v>
      </x:c>
      <x:c r="H1042" s="11" t="n">
        <x:v>200</x:v>
      </x:c>
      <x:c r="I1042" s="11" t="n">
        <x:v>1</x:v>
      </x:c>
      <x:c r="J1042" s="4" t="str">
        <x:v>https://blog.skyairline.com/volcan-chachani/</x:v>
      </x:c>
      <x:c r="K1042" s="16" t="b">
        <x:v>0</x:v>
      </x:c>
      <x:c r="L1042" s="11" t="n">
        <x:v>0</x:v>
      </x:c>
      <x:c r="M1042" s="11" t="n">
        <x:v>5</x:v>
      </x:c>
      <x:c r="N1042" s="4"/>
      <x:c r="O1042" s="4"/>
      <x:c r="P1042" s="11" t="n">
        <x:v>0</x:v>
      </x:c>
      <x:c r="Q1042" s="11" t="n">
        <x:v>0</x:v>
      </x:c>
      <x:c r="R1042" s="11" t="str">
        <x:f>IF(OR(P1042="",Q1042=""),"",Q1042-P1042)</x:f>
      </x:c>
      <x:c r="S1042" s="13" t="str">
        <x:f>IF(OR(P1042="",Q1042="",P1042=0),"",((Q1042/30)/(P1042/31))-1)</x:f>
      </x:c>
      <x:c r="T1042" s="11" t="n">
        <x:v>798</x:v>
      </x:c>
      <x:c r="U1042" s="11" t="n">
        <x:v>383</x:v>
      </x:c>
      <x:c r="V1042" s="14" t="n">
        <x:v>0</x:v>
      </x:c>
      <x:c r="W1042" s="12" t="n">
        <x:v>12.378590078328982</x:v>
      </x:c>
      <x:c r="X1042" s="11" t="n">
        <x:v>4</x:v>
      </x:c>
      <x:c r="Y1042" s="11" t="n">
        <x:v>6</x:v>
      </x:c>
      <x:c r="Z1042" s="4" t="str">
        <x:v>https://blog.skyairline.com/volcan-chachani/</x:v>
      </x:c>
      <x:c r="AA1042" s="4" t="str">
        <x:v>https://blog.skyairline.com/volcan-chachani/</x:v>
      </x:c>
      <x:c r="AB1042" s="4" t="str">
        <x:v>Coincidencia URL</x:v>
      </x:c>
      <x:c r="AC1042" s="4" t="str">
        <x:v>Publicado hasta septiembre</x:v>
      </x:c>
      <x:c r="AD1042" s="4" t="str">
        <x:v>/volcan-chachani/</x:v>
      </x:c>
      <x:c r="AE1042" s="4"/>
      <x:c r="AF1042" s="16" t="b">
        <x:v>0</x:v>
      </x:c>
    </x:row>
    <x:row r="1043" ht="44" customHeight="1">
      <x:c r="A1043" s="4" t="n">
        <x:v>1404</x:v>
      </x:c>
      <x:c r="B1043" s="4" t="str">
        <x:v>https://blog.skyairline.com/actividades-al-aire-libre-en-rio-de-janeiro/</x:v>
      </x:c>
      <x:c r="C1043" s="9" t="str">
        <x:v>5 actividades al aire libre en Río de Janeiro que te encantarán</x:v>
      </x:c>
      <x:c r="D1043" s="17" t="d">
        <x:v>2022-02-08T00:00:00.000Z</x:v>
      </x:c>
      <x:c r="E1043" s="17" t="d">
        <x:v>2022-02-08T00:00:00.000Z</x:v>
      </x:c>
      <x:c r="F1043" s="4" t="str">
        <x:v>Destinos</x:v>
      </x:c>
      <x:c r="G1043" s="11" t="n">
        <x:v>928</x:v>
      </x:c>
      <x:c r="H1043" s="11" t="n">
        <x:v>200</x:v>
      </x:c>
      <x:c r="I1043" s="11" t="n">
        <x:v>1</x:v>
      </x:c>
      <x:c r="J1043" s="4" t="str">
        <x:v>https://blog.skyairline.com/actividades-al-aire-libre-en-rio-de-janeiro/</x:v>
      </x:c>
      <x:c r="K1043" s="16" t="b">
        <x:v>0</x:v>
      </x:c>
      <x:c r="L1043" s="11" t="n">
        <x:v>0</x:v>
      </x:c>
      <x:c r="M1043" s="11" t="n">
        <x:v>3</x:v>
      </x:c>
      <x:c r="N1043" s="4"/>
      <x:c r="O1043" s="4"/>
      <x:c r="P1043" s="11" t="n">
        <x:v>0</x:v>
      </x:c>
      <x:c r="Q1043" s="11" t="n">
        <x:v>0</x:v>
      </x:c>
      <x:c r="R1043" s="11" t="str">
        <x:f>IF(OR(P1043="",Q1043=""),"",Q1043-P1043)</x:f>
      </x:c>
      <x:c r="S1043" s="13" t="str">
        <x:f>IF(OR(P1043="",Q1043="",P1043=0),"",((Q1043/30)/(P1043/31))-1)</x:f>
      </x:c>
      <x:c r="T1043" s="11" t="n">
        <x:v>31</x:v>
      </x:c>
      <x:c r="U1043" s="11" t="n">
        <x:v>82</x:v>
      </x:c>
      <x:c r="V1043" s="14" t="n">
        <x:v>0</x:v>
      </x:c>
      <x:c r="W1043" s="12" t="n">
        <x:v>16.804878048780488</x:v>
      </x:c>
      <x:c r="X1043" s="11"/>
      <x:c r="Y1043" s="11"/>
      <x:c r="Z1043" s="4" t="str">
        <x:v>https://blog.skyairline.com/actividades-al-aire-libre-en-rio-de-janeiro/</x:v>
      </x:c>
      <x:c r="AA1043" s="4" t="str">
        <x:v>https://blog.skyairline.com/actividades-al-aire-libre-en-rio-de-janeiro/</x:v>
      </x:c>
      <x:c r="AB1043" s="4" t="str">
        <x:v>Coincidencia URL</x:v>
      </x:c>
      <x:c r="AC1043" s="4" t="str">
        <x:v>Publicado hasta septiembre</x:v>
      </x:c>
      <x:c r="AD1043" s="4"/>
      <x:c r="AE1043" s="4"/>
      <x:c r="AF1043" s="16" t="b">
        <x:v>0</x:v>
      </x:c>
    </x:row>
    <x:row r="1044" ht="44" customHeight="1">
      <x:c r="A1044" s="4" t="n">
        <x:v>1407</x:v>
      </x:c>
      <x:c r="B1044" s="4" t="str">
        <x:v>https://blog.skyairline.com/ahorrar-en-transporte/</x:v>
      </x:c>
      <x:c r="C1044" s="9" t="str">
        <x:v>¿Cómo ahorrar en transporte durante un viaje?</x:v>
      </x:c>
      <x:c r="D1044" s="17" t="d">
        <x:v>2022-02-09T00:00:00.000Z</x:v>
      </x:c>
      <x:c r="E1044" s="17" t="d">
        <x:v>2022-02-09T00:00:00.000Z</x:v>
      </x:c>
      <x:c r="F1044" s="4" t="str">
        <x:v>Planificación de Viaje</x:v>
      </x:c>
      <x:c r="G1044" s="11" t="n">
        <x:v>942</x:v>
      </x:c>
      <x:c r="H1044" s="11" t="n">
        <x:v>200</x:v>
      </x:c>
      <x:c r="I1044" s="11" t="n">
        <x:v>1</x:v>
      </x:c>
      <x:c r="J1044" s="4" t="str">
        <x:v>https://blog.skyairline.com/ahorrar-en-transporte/</x:v>
      </x:c>
      <x:c r="K1044" s="16" t="b">
        <x:v>0</x:v>
      </x:c>
      <x:c r="L1044" s="11" t="n">
        <x:v>0</x:v>
      </x:c>
      <x:c r="M1044" s="11" t="n">
        <x:v>2</x:v>
      </x:c>
      <x:c r="N1044" s="4"/>
      <x:c r="O1044" s="4"/>
      <x:c r="P1044" s="11" t="n">
        <x:v>0</x:v>
      </x:c>
      <x:c r="Q1044" s="11" t="n">
        <x:v>0</x:v>
      </x:c>
      <x:c r="R1044" s="11" t="str">
        <x:f>IF(OR(P1044="",Q1044=""),"",Q1044-P1044)</x:f>
      </x:c>
      <x:c r="S1044" s="13" t="str">
        <x:f>IF(OR(P1044="",Q1044="",P1044=0),"",((Q1044/30)/(P1044/31))-1)</x:f>
      </x:c>
      <x:c r="T1044" s="11" t="n">
        <x:v>12</x:v>
      </x:c>
      <x:c r="U1044" s="11" t="n">
        <x:v>60</x:v>
      </x:c>
      <x:c r="V1044" s="14" t="n">
        <x:v>0</x:v>
      </x:c>
      <x:c r="W1044" s="12" t="n">
        <x:v>4.916666666666666</x:v>
      </x:c>
      <x:c r="X1044" s="11"/>
      <x:c r="Y1044" s="11"/>
      <x:c r="Z1044" s="4" t="str">
        <x:v>https://blog.skyairline.com/ahorrar-en-transporte/</x:v>
      </x:c>
      <x:c r="AA1044" s="4" t="str">
        <x:v>https://blog.skyairline.com/ahorrar-en-transporte/</x:v>
      </x:c>
      <x:c r="AB1044" s="4" t="str">
        <x:v>Coincidencia URL</x:v>
      </x:c>
      <x:c r="AC1044" s="4" t="str">
        <x:v>Publicado hasta septiembre</x:v>
      </x:c>
      <x:c r="AD1044" s="4"/>
      <x:c r="AE1044" s="4"/>
      <x:c r="AF1044" s="16" t="b">
        <x:v>0</x:v>
      </x:c>
    </x:row>
    <x:row r="1045" ht="44" customHeight="1">
      <x:c r="A1045" s="4" t="n">
        <x:v>1410</x:v>
      </x:c>
      <x:c r="B1045" s="4" t="str">
        <x:v>https://blog.skyairline.com/viaje-sorpresa/</x:v>
      </x:c>
      <x:c r="C1045" s="9" t="str">
        <x:v>¿Cómo organizar un viaje sorpresa sin morir en el intento?</x:v>
      </x:c>
      <x:c r="D1045" s="17" t="d">
        <x:v>2022-02-10T00:00:00.000Z</x:v>
      </x:c>
      <x:c r="E1045" s="17" t="d">
        <x:v>2022-02-10T00:00:00.000Z</x:v>
      </x:c>
      <x:c r="F1045" s="4" t="str">
        <x:v>Planificación de Viaje</x:v>
      </x:c>
      <x:c r="G1045" s="11" t="n">
        <x:v>1039</x:v>
      </x:c>
      <x:c r="H1045" s="11" t="n">
        <x:v>200</x:v>
      </x:c>
      <x:c r="I1045" s="11" t="n">
        <x:v>1</x:v>
      </x:c>
      <x:c r="J1045" s="4" t="str">
        <x:v>https://blog.skyairline.com/viaje-sorpresa/</x:v>
      </x:c>
      <x:c r="K1045" s="16" t="b">
        <x:v>0</x:v>
      </x:c>
      <x:c r="L1045" s="11" t="n">
        <x:v>0</x:v>
      </x:c>
      <x:c r="M1045" s="11" t="n">
        <x:v>6</x:v>
      </x:c>
      <x:c r="N1045" s="4"/>
      <x:c r="O1045" s="4"/>
      <x:c r="P1045" s="11" t="n">
        <x:v>0</x:v>
      </x:c>
      <x:c r="Q1045" s="11" t="n">
        <x:v>0</x:v>
      </x:c>
      <x:c r="R1045" s="11" t="str">
        <x:f>IF(OR(P1045="",Q1045=""),"",Q1045-P1045)</x:f>
      </x:c>
      <x:c r="S1045" s="13" t="str">
        <x:f>IF(OR(P1045="",Q1045="",P1045=0),"",((Q1045/30)/(P1045/31))-1)</x:f>
      </x:c>
      <x:c r="T1045" s="11" t="n">
        <x:v>16</x:v>
      </x:c>
      <x:c r="U1045" s="11" t="n">
        <x:v>10</x:v>
      </x:c>
      <x:c r="V1045" s="14" t="n">
        <x:v>0</x:v>
      </x:c>
      <x:c r="W1045" s="12" t="n">
        <x:v>8.8</x:v>
      </x:c>
      <x:c r="X1045" s="11"/>
      <x:c r="Y1045" s="11"/>
      <x:c r="Z1045" s="4" t="str">
        <x:v>https://blog.skyairline.com/viaje-sorpresa/</x:v>
      </x:c>
      <x:c r="AA1045" s="4" t="str">
        <x:v>https://blog.skyairline.com/viaje-sorpresa/</x:v>
      </x:c>
      <x:c r="AB1045" s="4" t="str">
        <x:v>Coincidencia URL</x:v>
      </x:c>
      <x:c r="AC1045" s="4" t="str">
        <x:v>Publicado hasta septiembre</x:v>
      </x:c>
      <x:c r="AD1045" s="4"/>
      <x:c r="AE1045" s="4"/>
      <x:c r="AF1045" s="16" t="b">
        <x:v>0</x:v>
      </x:c>
    </x:row>
    <x:row r="1046" ht="44" customHeight="1">
      <x:c r="A1046" s="4" t="n">
        <x:v>1416</x:v>
      </x:c>
      <x:c r="B1046" s="4" t="str">
        <x:v>https://blog.skyairline.com/viajar-por-carretera/</x:v>
      </x:c>
      <x:c r="C1046" s="9" t="str">
        <x:v>7 consejos que no puedes dejar a un lado al viajar por carretera</x:v>
      </x:c>
      <x:c r="D1046" s="17" t="d">
        <x:v>2022-02-12T00:00:00.000Z</x:v>
      </x:c>
      <x:c r="E1046" s="17" t="d">
        <x:v>2022-02-12T00:00:00.000Z</x:v>
      </x:c>
      <x:c r="F1046" s="4" t="str">
        <x:v>Planificación de Viaje</x:v>
      </x:c>
      <x:c r="G1046" s="11" t="n">
        <x:v>929</x:v>
      </x:c>
      <x:c r="H1046" s="11" t="n">
        <x:v>200</x:v>
      </x:c>
      <x:c r="I1046" s="11" t="n">
        <x:v>1</x:v>
      </x:c>
      <x:c r="J1046" s="4" t="str">
        <x:v>https://blog.skyairline.com/viajar-por-carretera/</x:v>
      </x:c>
      <x:c r="K1046" s="16" t="b">
        <x:v>0</x:v>
      </x:c>
      <x:c r="L1046" s="11" t="n">
        <x:v>0</x:v>
      </x:c>
      <x:c r="M1046" s="11" t="n">
        <x:v>4</x:v>
      </x:c>
      <x:c r="N1046" s="4"/>
      <x:c r="O1046" s="4"/>
      <x:c r="P1046" s="11" t="n">
        <x:v>1</x:v>
      </x:c>
      <x:c r="Q1046" s="11" t="n">
        <x:v>0</x:v>
      </x:c>
      <x:c r="R1046" s="11" t="str">
        <x:f>IF(OR(P1046="",Q1046=""),"",Q1046-P1046)</x:f>
      </x:c>
      <x:c r="S1046" s="13" t="str">
        <x:f>IF(OR(P1046="",Q1046="",P1046=0),"",((Q1046/30)/(P1046/31))-1)</x:f>
      </x:c>
      <x:c r="T1046" s="11" t="n">
        <x:v>62</x:v>
      </x:c>
      <x:c r="U1046" s="11" t="n">
        <x:v>22</x:v>
      </x:c>
      <x:c r="V1046" s="14" t="n">
        <x:v>0</x:v>
      </x:c>
      <x:c r="W1046" s="12" t="n">
        <x:v>17.818181818181817</x:v>
      </x:c>
      <x:c r="X1046" s="11"/>
      <x:c r="Y1046" s="11"/>
      <x:c r="Z1046" s="4" t="str">
        <x:v>https://blog.skyairline.com/viajar-por-carretera/</x:v>
      </x:c>
      <x:c r="AA1046" s="4" t="str">
        <x:v>https://blog.skyairline.com/viajar-por-carretera/</x:v>
      </x:c>
      <x:c r="AB1046" s="4" t="str">
        <x:v>Coincidencia URL</x:v>
      </x:c>
      <x:c r="AC1046" s="4" t="str">
        <x:v>Publicado hasta septiembre</x:v>
      </x:c>
      <x:c r="AD1046" s="4"/>
      <x:c r="AE1046" s="4"/>
      <x:c r="AF1046" s="16" t="b">
        <x:v>0</x:v>
      </x:c>
    </x:row>
    <x:row r="1047" ht="44" customHeight="1">
      <x:c r="A1047" s="4" t="n">
        <x:v>1419</x:v>
      </x:c>
      <x:c r="B1047" s="4" t="str">
        <x:v>https://blog.skyairline.com/visita-a-bogota/</x:v>
      </x:c>
      <x:c r="C1047" s="9" t="str">
        <x:v>7 lugares para sacarte una foto memorable de tu visita a Bogotá</x:v>
      </x:c>
      <x:c r="D1047" s="17" t="d">
        <x:v>2022-02-13T00:00:00.000Z</x:v>
      </x:c>
      <x:c r="E1047" s="17" t="d">
        <x:v>2022-02-13T00:00:00.000Z</x:v>
      </x:c>
      <x:c r="F1047" s="4" t="str">
        <x:v>Destinos</x:v>
      </x:c>
      <x:c r="G1047" s="11" t="n">
        <x:v>962</x:v>
      </x:c>
      <x:c r="H1047" s="11" t="n">
        <x:v>200</x:v>
      </x:c>
      <x:c r="I1047" s="11" t="n">
        <x:v>1</x:v>
      </x:c>
      <x:c r="J1047" s="4" t="str">
        <x:v>https://blog.skyairline.com/visita-a-bogota/</x:v>
      </x:c>
      <x:c r="K1047" s="16" t="b">
        <x:v>0</x:v>
      </x:c>
      <x:c r="L1047" s="11" t="n">
        <x:v>0</x:v>
      </x:c>
      <x:c r="M1047" s="11" t="n">
        <x:v>4</x:v>
      </x:c>
      <x:c r="N1047" s="4"/>
      <x:c r="O1047" s="4"/>
      <x:c r="P1047" s="11" t="n">
        <x:v>0</x:v>
      </x:c>
      <x:c r="Q1047" s="11" t="n">
        <x:v>0</x:v>
      </x:c>
      <x:c r="R1047" s="11" t="str">
        <x:f>IF(OR(P1047="",Q1047=""),"",Q1047-P1047)</x:f>
      </x:c>
      <x:c r="S1047" s="13" t="str">
        <x:f>IF(OR(P1047="",Q1047="",P1047=0),"",((Q1047/30)/(P1047/31))-1)</x:f>
      </x:c>
      <x:c r="T1047" s="11" t="n">
        <x:v>24</x:v>
      </x:c>
      <x:c r="U1047" s="11" t="n">
        <x:v>22</x:v>
      </x:c>
      <x:c r="V1047" s="14" t="n">
        <x:v>0</x:v>
      </x:c>
      <x:c r="W1047" s="12" t="n">
        <x:v>9.636363636363637</x:v>
      </x:c>
      <x:c r="X1047" s="11"/>
      <x:c r="Y1047" s="11"/>
      <x:c r="Z1047" s="4" t="str">
        <x:v>https://blog.skyairline.com/visita-a-bogota/</x:v>
      </x:c>
      <x:c r="AA1047" s="4" t="str">
        <x:v>https://blog.skyairline.com/visita-a-bogota/</x:v>
      </x:c>
      <x:c r="AB1047" s="4" t="str">
        <x:v>Coincidencia URL</x:v>
      </x:c>
      <x:c r="AC1047" s="4" t="str">
        <x:v>Publicado hasta septiembre</x:v>
      </x:c>
      <x:c r="AD1047" s="4"/>
      <x:c r="AE1047" s="4"/>
      <x:c r="AF1047" s="16" t="b">
        <x:v>0</x:v>
      </x:c>
    </x:row>
    <x:row r="1048" ht="44" customHeight="1">
      <x:c r="A1048" s="4" t="n">
        <x:v>1422</x:v>
      </x:c>
      <x:c r="B1048" s="4" t="str">
        <x:v>https://blog.skyairline.com/no-perderse-en-el-aeropuerto/</x:v>
      </x:c>
      <x:c r="C1048" s="9" t="str">
        <x:v>Tips para no perderse en el aeropuerto y moverse como un verdadero experto</x:v>
      </x:c>
      <x:c r="D1048" s="17" t="d">
        <x:v>2022-02-14T00:00:00.000Z</x:v>
      </x:c>
      <x:c r="E1048" s="17" t="d">
        <x:v>2022-02-14T00:00:00.000Z</x:v>
      </x:c>
      <x:c r="F1048" s="4" t="str">
        <x:v>Planificación de Viaje</x:v>
      </x:c>
      <x:c r="G1048" s="11" t="n">
        <x:v>931</x:v>
      </x:c>
      <x:c r="H1048" s="11" t="n">
        <x:v>200</x:v>
      </x:c>
      <x:c r="I1048" s="11" t="n">
        <x:v>1</x:v>
      </x:c>
      <x:c r="J1048" s="4" t="str">
        <x:v>https://blog.skyairline.com/no-perderse-en-el-aeropuerto/</x:v>
      </x:c>
      <x:c r="K1048" s="16" t="b">
        <x:v>0</x:v>
      </x:c>
      <x:c r="L1048" s="11" t="n">
        <x:v>0</x:v>
      </x:c>
      <x:c r="M1048" s="11" t="n">
        <x:v>3</x:v>
      </x:c>
      <x:c r="N1048" s="4"/>
      <x:c r="O1048" s="4"/>
      <x:c r="P1048" s="11" t="n">
        <x:v>3</x:v>
      </x:c>
      <x:c r="Q1048" s="11" t="n">
        <x:v>0</x:v>
      </x:c>
      <x:c r="R1048" s="11" t="str">
        <x:f>IF(OR(P1048="",Q1048=""),"",Q1048-P1048)</x:f>
      </x:c>
      <x:c r="S1048" s="13" t="str">
        <x:f>IF(OR(P1048="",Q1048="",P1048=0),"",((Q1048/30)/(P1048/31))-1)</x:f>
      </x:c>
      <x:c r="T1048" s="11" t="n">
        <x:v>320</x:v>
      </x:c>
      <x:c r="U1048" s="11" t="n">
        <x:v>271</x:v>
      </x:c>
      <x:c r="V1048" s="14" t="n">
        <x:v>0</x:v>
      </x:c>
      <x:c r="W1048" s="12" t="n">
        <x:v>9.18450184501845</x:v>
      </x:c>
      <x:c r="X1048" s="11"/>
      <x:c r="Y1048" s="11"/>
      <x:c r="Z1048" s="4" t="str">
        <x:v>https://blog.skyairline.com/no-perderse-en-el-aeropuerto/</x:v>
      </x:c>
      <x:c r="AA1048" s="4" t="str">
        <x:v>https://blog.skyairline.com/no-perderse-en-el-aeropuerto/</x:v>
      </x:c>
      <x:c r="AB1048" s="4" t="str">
        <x:v>Coincidencia URL</x:v>
      </x:c>
      <x:c r="AC1048" s="4" t="str">
        <x:v>Publicado hasta septiembre</x:v>
      </x:c>
      <x:c r="AD1048" s="4"/>
      <x:c r="AE1048" s="4"/>
      <x:c r="AF1048" s="16" t="b">
        <x:v>0</x:v>
      </x:c>
    </x:row>
    <x:row r="1049" ht="44" customHeight="1">
      <x:c r="A1049" s="4" t="n">
        <x:v>1425</x:v>
      </x:c>
      <x:c r="B1049" s="4" t="str">
        <x:v>https://blog.skyairline.com/viajar-sin-contaminar/</x:v>
      </x:c>
      <x:c r="C1049" s="9" t="str">
        <x:v>5 consejos valiosos para viajar sin contaminar</x:v>
      </x:c>
      <x:c r="D1049" s="17" t="d">
        <x:v>2022-02-15T00:00:00.000Z</x:v>
      </x:c>
      <x:c r="E1049" s="17" t="d">
        <x:v>2022-02-15T00:00:00.000Z</x:v>
      </x:c>
      <x:c r="F1049" s="4" t="str">
        <x:v>Planificación de Viaje</x:v>
      </x:c>
      <x:c r="G1049" s="11" t="n">
        <x:v>1056</x:v>
      </x:c>
      <x:c r="H1049" s="11" t="n">
        <x:v>200</x:v>
      </x:c>
      <x:c r="I1049" s="11" t="n">
        <x:v>1</x:v>
      </x:c>
      <x:c r="J1049" s="4" t="str">
        <x:v>https://blog.skyairline.com/viajar-sin-contaminar/</x:v>
      </x:c>
      <x:c r="K1049" s="16" t="b">
        <x:v>0</x:v>
      </x:c>
      <x:c r="L1049" s="11" t="n">
        <x:v>0</x:v>
      </x:c>
      <x:c r="M1049" s="11" t="n">
        <x:v>4</x:v>
      </x:c>
      <x:c r="N1049" s="4"/>
      <x:c r="O1049" s="4"/>
      <x:c r="P1049" s="11" t="n">
        <x:v>1</x:v>
      </x:c>
      <x:c r="Q1049" s="11" t="n">
        <x:v>0</x:v>
      </x:c>
      <x:c r="R1049" s="11" t="str">
        <x:f>IF(OR(P1049="",Q1049=""),"",Q1049-P1049)</x:f>
      </x:c>
      <x:c r="S1049" s="13" t="str">
        <x:f>IF(OR(P1049="",Q1049="",P1049=0),"",((Q1049/30)/(P1049/31))-1)</x:f>
      </x:c>
      <x:c r="T1049" s="11" t="n">
        <x:v>59</x:v>
      </x:c>
      <x:c r="U1049" s="11" t="n">
        <x:v>46</x:v>
      </x:c>
      <x:c r="V1049" s="14" t="n">
        <x:v>0</x:v>
      </x:c>
      <x:c r="W1049" s="12" t="n">
        <x:v>13.76086956521739</x:v>
      </x:c>
      <x:c r="X1049" s="11" t="n">
        <x:v>1</x:v>
      </x:c>
      <x:c r="Y1049" s="11" t="n">
        <x:v>1</x:v>
      </x:c>
      <x:c r="Z1049" s="4" t="str">
        <x:v>https://blog.skyairline.com/viajar-sin-contaminar/</x:v>
      </x:c>
      <x:c r="AA1049" s="4" t="str">
        <x:v>https://blog.skyairline.com/viajar-sin-contaminar/</x:v>
      </x:c>
      <x:c r="AB1049" s="4" t="str">
        <x:v>Coincidencia URL</x:v>
      </x:c>
      <x:c r="AC1049" s="4" t="str">
        <x:v>Publicado hasta septiembre</x:v>
      </x:c>
      <x:c r="AD1049" s="4" t="str">
        <x:v>/viajar-sin-contaminar/</x:v>
      </x:c>
      <x:c r="AE1049" s="4"/>
      <x:c r="AF1049" s="16" t="b">
        <x:v>0</x:v>
      </x:c>
    </x:row>
    <x:row r="1050" ht="44" customHeight="1">
      <x:c r="A1050" s="4" t="n">
        <x:v>1438</x:v>
      </x:c>
      <x:c r="B1050" s="4" t="str">
        <x:v>https://blog.skyairline.com/parque-nacional-torres-del-paine/</x:v>
      </x:c>
      <x:c r="C1050" s="9" t="str">
        <x:v>Parque Nacional Torres del Paine: ¡todo lo que necesitas saber!</x:v>
      </x:c>
      <x:c r="D1050" s="17" t="d">
        <x:v>2022-02-19T00:00:00.000Z</x:v>
      </x:c>
      <x:c r="E1050" s="17" t="d">
        <x:v>2022-02-19T00:00:00.000Z</x:v>
      </x:c>
      <x:c r="F1050" s="4" t="str">
        <x:v>Destinos</x:v>
      </x:c>
      <x:c r="G1050" s="11" t="n">
        <x:v>1076</x:v>
      </x:c>
      <x:c r="H1050" s="11" t="n">
        <x:v>200</x:v>
      </x:c>
      <x:c r="I1050" s="11" t="n">
        <x:v>1</x:v>
      </x:c>
      <x:c r="J1050" s="4" t="str">
        <x:v>https://blog.skyairline.com/parque-nacional-torres-del-paine/</x:v>
      </x:c>
      <x:c r="K1050" s="16" t="b">
        <x:v>0</x:v>
      </x:c>
      <x:c r="L1050" s="11" t="n">
        <x:v>0</x:v>
      </x:c>
      <x:c r="M1050" s="11" t="n">
        <x:v>4</x:v>
      </x:c>
      <x:c r="N1050" s="4"/>
      <x:c r="O1050" s="4"/>
      <x:c r="P1050" s="11" t="n">
        <x:v>0</x:v>
      </x:c>
      <x:c r="Q1050" s="11" t="n">
        <x:v>0</x:v>
      </x:c>
      <x:c r="R1050" s="11" t="str">
        <x:f>IF(OR(P1050="",Q1050=""),"",Q1050-P1050)</x:f>
      </x:c>
      <x:c r="S1050" s="13" t="str">
        <x:f>IF(OR(P1050="",Q1050="",P1050=0),"",((Q1050/30)/(P1050/31))-1)</x:f>
      </x:c>
      <x:c r="T1050" s="11" t="n">
        <x:v>465</x:v>
      </x:c>
      <x:c r="U1050" s="11" t="n">
        <x:v>195</x:v>
      </x:c>
      <x:c r="V1050" s="14" t="n">
        <x:v>0</x:v>
      </x:c>
      <x:c r="W1050" s="12" t="n">
        <x:v>27.78974358974359</x:v>
      </x:c>
      <x:c r="X1050" s="11"/>
      <x:c r="Y1050" s="11"/>
      <x:c r="Z1050" s="4" t="str">
        <x:v>https://blog.skyairline.com/parque-nacional-torres-del-paine/</x:v>
      </x:c>
      <x:c r="AA1050" s="4" t="str">
        <x:v>https://blog.skyairline.com/parque-nacional-torres-del-paine/</x:v>
      </x:c>
      <x:c r="AB1050" s="4" t="str">
        <x:v>Coincidencia URL</x:v>
      </x:c>
      <x:c r="AC1050" s="4" t="str">
        <x:v>Publicado hasta septiembre</x:v>
      </x:c>
      <x:c r="AD1050" s="4"/>
      <x:c r="AE1050" s="4"/>
      <x:c r="AF1050" s="16" t="b">
        <x:v>0</x:v>
      </x:c>
    </x:row>
    <x:row r="1051" ht="44" customHeight="1">
      <x:c r="A1051" s="4" t="n">
        <x:v>1449</x:v>
      </x:c>
      <x:c r="B1051" s="4" t="str">
        <x:v>https://blog.skyairline.com/tips-de-hospedaje/</x:v>
      </x:c>
      <x:c r="C1051" s="9" t="str">
        <x:v>Tips de hospedaje para aprovechar al máximo tu estadía en hotel</x:v>
      </x:c>
      <x:c r="D1051" s="17" t="d">
        <x:v>2022-02-22T00:00:00.000Z</x:v>
      </x:c>
      <x:c r="E1051" s="17" t="d">
        <x:v>2022-02-22T00:00:00.000Z</x:v>
      </x:c>
      <x:c r="F1051" s="4" t="str">
        <x:v>Planificación de Viaje</x:v>
      </x:c>
      <x:c r="G1051" s="11" t="n">
        <x:v>1079</x:v>
      </x:c>
      <x:c r="H1051" s="11" t="n">
        <x:v>200</x:v>
      </x:c>
      <x:c r="I1051" s="11" t="n">
        <x:v>1</x:v>
      </x:c>
      <x:c r="J1051" s="4" t="str">
        <x:v>https://blog.skyairline.com/tips-de-hospedaje/</x:v>
      </x:c>
      <x:c r="K1051" s="16" t="b">
        <x:v>0</x:v>
      </x:c>
      <x:c r="L1051" s="11" t="n">
        <x:v>0</x:v>
      </x:c>
      <x:c r="M1051" s="11" t="n">
        <x:v>2</x:v>
      </x:c>
      <x:c r="N1051" s="4"/>
      <x:c r="O1051" s="4"/>
      <x:c r="P1051" s="11" t="n">
        <x:v>0</x:v>
      </x:c>
      <x:c r="Q1051" s="11" t="n">
        <x:v>0</x:v>
      </x:c>
      <x:c r="R1051" s="11" t="str">
        <x:f>IF(OR(P1051="",Q1051=""),"",Q1051-P1051)</x:f>
      </x:c>
      <x:c r="S1051" s="13" t="str">
        <x:f>IF(OR(P1051="",Q1051="",P1051=0),"",((Q1051/30)/(P1051/31))-1)</x:f>
      </x:c>
      <x:c r="T1051" s="11" t="n">
        <x:v>61</x:v>
      </x:c>
      <x:c r="U1051" s="11" t="n">
        <x:v>34</x:v>
      </x:c>
      <x:c r="V1051" s="14" t="n">
        <x:v>0</x:v>
      </x:c>
      <x:c r="W1051" s="12" t="n">
        <x:v>8.294117647058822</x:v>
      </x:c>
      <x:c r="X1051" s="11"/>
      <x:c r="Y1051" s="11"/>
      <x:c r="Z1051" s="4" t="str">
        <x:v>https://blog.skyairline.com/tips-de-hospedaje/</x:v>
      </x:c>
      <x:c r="AA1051" s="4" t="str">
        <x:v>https://blog.skyairline.com/tips-de-hospedaje/</x:v>
      </x:c>
      <x:c r="AB1051" s="4" t="str">
        <x:v>Coincidencia URL</x:v>
      </x:c>
      <x:c r="AC1051" s="4" t="str">
        <x:v>Publicado hasta septiembre</x:v>
      </x:c>
      <x:c r="AD1051" s="4"/>
      <x:c r="AE1051" s="4"/>
      <x:c r="AF1051" s="16" t="b">
        <x:v>0</x:v>
      </x:c>
    </x:row>
    <x:row r="1052" ht="44" customHeight="1">
      <x:c r="A1052" s="4" t="n">
        <x:v>1452</x:v>
      </x:c>
      <x:c r="B1052" s="4" t="str">
        <x:v>https://blog.skyairline.com/gastos-hormiga/</x:v>
      </x:c>
      <x:c r="C1052" s="9" t="str">
        <x:v>6 gastos hormiga con los que debes tener cuidado al viajar</x:v>
      </x:c>
      <x:c r="D1052" s="17" t="d">
        <x:v>2022-02-21T00:00:00.000Z</x:v>
      </x:c>
      <x:c r="E1052" s="17" t="d">
        <x:v>2022-02-21T00:00:00.000Z</x:v>
      </x:c>
      <x:c r="F1052" s="4" t="str">
        <x:v>Planificación de Viaje</x:v>
      </x:c>
      <x:c r="G1052" s="11" t="n">
        <x:v>1031</x:v>
      </x:c>
      <x:c r="H1052" s="11" t="n">
        <x:v>200</x:v>
      </x:c>
      <x:c r="I1052" s="11" t="n">
        <x:v>1</x:v>
      </x:c>
      <x:c r="J1052" s="4" t="str">
        <x:v>https://blog.skyairline.com/gastos-hormiga/</x:v>
      </x:c>
      <x:c r="K1052" s="16" t="b">
        <x:v>0</x:v>
      </x:c>
      <x:c r="L1052" s="11" t="n">
        <x:v>0</x:v>
      </x:c>
      <x:c r="M1052" s="11" t="n">
        <x:v>4</x:v>
      </x:c>
      <x:c r="N1052" s="4"/>
      <x:c r="O1052" s="4"/>
      <x:c r="P1052" s="11" t="n">
        <x:v>0</x:v>
      </x:c>
      <x:c r="Q1052" s="11" t="n">
        <x:v>0</x:v>
      </x:c>
      <x:c r="R1052" s="11" t="str">
        <x:f>IF(OR(P1052="",Q1052=""),"",Q1052-P1052)</x:f>
      </x:c>
      <x:c r="S1052" s="13" t="str">
        <x:f>IF(OR(P1052="",Q1052="",P1052=0),"",((Q1052/30)/(P1052/31))-1)</x:f>
      </x:c>
      <x:c r="T1052" s="11" t="n">
        <x:v>29</x:v>
      </x:c>
      <x:c r="U1052" s="11" t="n">
        <x:v>11</x:v>
      </x:c>
      <x:c r="V1052" s="14" t="n">
        <x:v>0</x:v>
      </x:c>
      <x:c r="W1052" s="12" t="n">
        <x:v>22</x:v>
      </x:c>
      <x:c r="X1052" s="11" t="n">
        <x:v>1</x:v>
      </x:c>
      <x:c r="Y1052" s="11" t="n">
        <x:v>2</x:v>
      </x:c>
      <x:c r="Z1052" s="4" t="str">
        <x:v>https://blog.skyairline.com/gastos-hormiga/</x:v>
      </x:c>
      <x:c r="AA1052" s="4" t="str">
        <x:v>https://blog.skyairline.com/gastos-hormiga/</x:v>
      </x:c>
      <x:c r="AB1052" s="4" t="str">
        <x:v>Coincidencia URL</x:v>
      </x:c>
      <x:c r="AC1052" s="4" t="str">
        <x:v>Publicado hasta septiembre</x:v>
      </x:c>
      <x:c r="AD1052" s="4" t="str">
        <x:v>/gastos-hormiga/</x:v>
      </x:c>
      <x:c r="AE1052" s="4"/>
      <x:c r="AF1052" s="16" t="b">
        <x:v>0</x:v>
      </x:c>
    </x:row>
    <x:row r="1053" ht="44" customHeight="1">
      <x:c r="A1053" s="4" t="n">
        <x:v>1456</x:v>
      </x:c>
      <x:c r="B1053" s="4" t="str">
        <x:v>https://blog.skyairline.com/cuanto-dinero-se-necesita-para-viajar/</x:v>
      </x:c>
      <x:c r="C1053" s="9" t="str">
        <x:v>¿Cuánto dinero se necesita para viajar?</x:v>
      </x:c>
      <x:c r="D1053" s="17" t="d">
        <x:v>2022-02-24T00:00:00.000Z</x:v>
      </x:c>
      <x:c r="E1053" s="17" t="d">
        <x:v>2022-02-24T00:00:00.000Z</x:v>
      </x:c>
      <x:c r="F1053" s="4" t="str">
        <x:v>Planificación de Viaje</x:v>
      </x:c>
      <x:c r="G1053" s="11" t="n">
        <x:v>1074</x:v>
      </x:c>
      <x:c r="H1053" s="11" t="n">
        <x:v>200</x:v>
      </x:c>
      <x:c r="I1053" s="11" t="n">
        <x:v>1</x:v>
      </x:c>
      <x:c r="J1053" s="4" t="str">
        <x:v>https://blog.skyairline.com/cuanto-dinero-se-necesita-para-viajar/</x:v>
      </x:c>
      <x:c r="K1053" s="16" t="b">
        <x:v>0</x:v>
      </x:c>
      <x:c r="L1053" s="11" t="n">
        <x:v>0</x:v>
      </x:c>
      <x:c r="M1053" s="11" t="n">
        <x:v>1</x:v>
      </x:c>
      <x:c r="N1053" s="4"/>
      <x:c r="O1053" s="4"/>
      <x:c r="P1053" s="11" t="n">
        <x:v>1</x:v>
      </x:c>
      <x:c r="Q1053" s="11" t="n">
        <x:v>0</x:v>
      </x:c>
      <x:c r="R1053" s="11" t="str">
        <x:f>IF(OR(P1053="",Q1053=""),"",Q1053-P1053)</x:f>
      </x:c>
      <x:c r="S1053" s="13" t="str">
        <x:f>IF(OR(P1053="",Q1053="",P1053=0),"",((Q1053/30)/(P1053/31))-1)</x:f>
      </x:c>
      <x:c r="T1053" s="11" t="n">
        <x:v>157</x:v>
      </x:c>
      <x:c r="U1053" s="11" t="n">
        <x:v>120</x:v>
      </x:c>
      <x:c r="V1053" s="14" t="n">
        <x:v>0</x:v>
      </x:c>
      <x:c r="W1053" s="12" t="n">
        <x:v>9.766666666666667</x:v>
      </x:c>
      <x:c r="X1053" s="11"/>
      <x:c r="Y1053" s="11"/>
      <x:c r="Z1053" s="4" t="str">
        <x:v>https://blog.skyairline.com/cuanto-dinero-se-necesita-para-viajar/</x:v>
      </x:c>
      <x:c r="AA1053" s="4" t="str">
        <x:v>https://blog.skyairline.com/cuanto-dinero-se-necesita-para-viajar/</x:v>
      </x:c>
      <x:c r="AB1053" s="4" t="str">
        <x:v>Coincidencia URL</x:v>
      </x:c>
      <x:c r="AC1053" s="4" t="str">
        <x:v>Publicado hasta septiembre</x:v>
      </x:c>
      <x:c r="AD1053" s="4"/>
      <x:c r="AE1053" s="4"/>
      <x:c r="AF1053" s="16" t="b">
        <x:v>0</x:v>
      </x:c>
    </x:row>
    <x:row r="1054" ht="44" customHeight="1">
      <x:c r="A1054" s="4" t="n">
        <x:v>1459</x:v>
      </x:c>
      <x:c r="B1054" s="4" t="str">
        <x:v>https://blog.skyairline.com/gastronomia-chilena/</x:v>
      </x:c>
      <x:c r="C1054" s="9" t="str">
        <x:v>¿Qué comer en Santiago? Paseo por la gastronomía chilena</x:v>
      </x:c>
      <x:c r="D1054" s="17" t="d">
        <x:v>2022-02-25T00:00:00.000Z</x:v>
      </x:c>
      <x:c r="E1054" s="17" t="d">
        <x:v>2022-02-25T00:00:00.000Z</x:v>
      </x:c>
      <x:c r="F1054" s="4" t="str">
        <x:v>Cultura</x:v>
      </x:c>
      <x:c r="G1054" s="11" t="n">
        <x:v>992</x:v>
      </x:c>
      <x:c r="H1054" s="11" t="n">
        <x:v>200</x:v>
      </x:c>
      <x:c r="I1054" s="11" t="n">
        <x:v>1</x:v>
      </x:c>
      <x:c r="J1054" s="4" t="str">
        <x:v>https://blog.skyairline.com/gastronomia-chilena/</x:v>
      </x:c>
      <x:c r="K1054" s="16" t="b">
        <x:v>0</x:v>
      </x:c>
      <x:c r="L1054" s="11" t="n">
        <x:v>0</x:v>
      </x:c>
      <x:c r="M1054" s="11" t="n">
        <x:v>1</x:v>
      </x:c>
      <x:c r="N1054" s="4"/>
      <x:c r="O1054" s="4"/>
      <x:c r="P1054" s="11" t="n">
        <x:v>0</x:v>
      </x:c>
      <x:c r="Q1054" s="11" t="n">
        <x:v>0</x:v>
      </x:c>
      <x:c r="R1054" s="11" t="str">
        <x:f>IF(OR(P1054="",Q1054=""),"",Q1054-P1054)</x:f>
      </x:c>
      <x:c r="S1054" s="13" t="str">
        <x:f>IF(OR(P1054="",Q1054="",P1054=0),"",((Q1054/30)/(P1054/31))-1)</x:f>
      </x:c>
      <x:c r="T1054" s="11" t="n">
        <x:v>808</x:v>
      </x:c>
      <x:c r="U1054" s="11" t="n">
        <x:v>343</x:v>
      </x:c>
      <x:c r="V1054" s="14" t="n">
        <x:v>0</x:v>
      </x:c>
      <x:c r="W1054" s="12" t="n">
        <x:v>40.89212827988338</x:v>
      </x:c>
      <x:c r="X1054" s="11"/>
      <x:c r="Y1054" s="11"/>
      <x:c r="Z1054" s="4" t="str">
        <x:v>https://blog.skyairline.com/gastronomia-chilena/</x:v>
      </x:c>
      <x:c r="AA1054" s="4" t="str">
        <x:v>https://blog.skyairline.com/gastronomia-chilena/</x:v>
      </x:c>
      <x:c r="AB1054" s="4" t="str">
        <x:v>Coincidencia URL</x:v>
      </x:c>
      <x:c r="AC1054" s="4" t="str">
        <x:v>Publicado hasta septiembre</x:v>
      </x:c>
      <x:c r="AD1054" s="4"/>
      <x:c r="AE1054" s="4"/>
      <x:c r="AF1054" s="16" t="b">
        <x:v>0</x:v>
      </x:c>
    </x:row>
    <x:row r="1055" ht="44" customHeight="1">
      <x:c r="A1055" s="4" t="n">
        <x:v>1502</x:v>
      </x:c>
      <x:c r="B1055" s="4" t="str">
        <x:v>https://blog.skyairline.com/museo-maya-de-cancun/</x:v>
      </x:c>
      <x:c r="C1055" s="9" t="str">
        <x:v>Conoce el Museo Maya, un imperdible de Cancún</x:v>
      </x:c>
      <x:c r="D1055" s="17" t="d">
        <x:v>2022-03-06T00:00:00.000Z</x:v>
      </x:c>
      <x:c r="E1055" s="17" t="d">
        <x:v>2022-03-06T00:00:00.000Z</x:v>
      </x:c>
      <x:c r="F1055" s="4" t="str">
        <x:v>Destinos</x:v>
      </x:c>
      <x:c r="G1055" s="11" t="n">
        <x:v>1003</x:v>
      </x:c>
      <x:c r="H1055" s="11" t="n">
        <x:v>200</x:v>
      </x:c>
      <x:c r="I1055" s="11" t="n">
        <x:v>1</x:v>
      </x:c>
      <x:c r="J1055" s="4" t="str">
        <x:v>https://blog.skyairline.com/museo-maya-de-cancun/</x:v>
      </x:c>
      <x:c r="K1055" s="16" t="b">
        <x:v>0</x:v>
      </x:c>
      <x:c r="L1055" s="11" t="n">
        <x:v>0</x:v>
      </x:c>
      <x:c r="M1055" s="11" t="n">
        <x:v>4</x:v>
      </x:c>
      <x:c r="N1055" s="4"/>
      <x:c r="O1055" s="4"/>
      <x:c r="P1055" s="11" t="n">
        <x:v>0</x:v>
      </x:c>
      <x:c r="Q1055" s="11" t="n">
        <x:v>0</x:v>
      </x:c>
      <x:c r="R1055" s="11" t="str">
        <x:f>IF(OR(P1055="",Q1055=""),"",Q1055-P1055)</x:f>
      </x:c>
      <x:c r="S1055" s="13" t="str">
        <x:f>IF(OR(P1055="",Q1055="",P1055=0),"",((Q1055/30)/(P1055/31))-1)</x:f>
      </x:c>
      <x:c r="T1055" s="11" t="n">
        <x:v>134</x:v>
      </x:c>
      <x:c r="U1055" s="11" t="n">
        <x:v>77</x:v>
      </x:c>
      <x:c r="V1055" s="14" t="n">
        <x:v>0</x:v>
      </x:c>
      <x:c r="W1055" s="12" t="n">
        <x:v>26.064935064935064</x:v>
      </x:c>
      <x:c r="X1055" s="11"/>
      <x:c r="Y1055" s="11"/>
      <x:c r="Z1055" s="4" t="str">
        <x:v>https://blog.skyairline.com/museo-maya-de-cancun/</x:v>
      </x:c>
      <x:c r="AA1055" s="4" t="str">
        <x:v>https://blog.skyairline.com/museo-maya-de-cancun/</x:v>
      </x:c>
      <x:c r="AB1055" s="4" t="str">
        <x:v>Coincidencia URL</x:v>
      </x:c>
      <x:c r="AC1055" s="4" t="str">
        <x:v>Publicado hasta septiembre</x:v>
      </x:c>
      <x:c r="AD1055" s="4"/>
      <x:c r="AE1055" s="4"/>
      <x:c r="AF1055" s="16" t="b">
        <x:v>0</x:v>
      </x:c>
    </x:row>
    <x:row r="1056" ht="44" customHeight="1">
      <x:c r="A1056" s="4" t="n">
        <x:v>1505</x:v>
      </x:c>
      <x:c r="B1056" s="4" t="str">
        <x:v>https://blog.skyairline.com/viajeros/</x:v>
      </x:c>
      <x:c r="C1056" s="9" t="str">
        <x:v>Ocho icónicos viajeros y exploradores que inspirarán tu próxima aventura</x:v>
      </x:c>
      <x:c r="D1056" s="17" t="d">
        <x:v>2022-03-07T00:00:00.000Z</x:v>
      </x:c>
      <x:c r="E1056" s="17" t="d">
        <x:v>2022-03-07T00:00:00.000Z</x:v>
      </x:c>
      <x:c r="F1056" s="4" t="str">
        <x:v>Cultura</x:v>
      </x:c>
      <x:c r="G1056" s="11" t="n">
        <x:v>1029</x:v>
      </x:c>
      <x:c r="H1056" s="11" t="n">
        <x:v>200</x:v>
      </x:c>
      <x:c r="I1056" s="11" t="n">
        <x:v>1</x:v>
      </x:c>
      <x:c r="J1056" s="4" t="str">
        <x:v>https://blog.skyairline.com/viajeros/</x:v>
      </x:c>
      <x:c r="K1056" s="16" t="b">
        <x:v>0</x:v>
      </x:c>
      <x:c r="L1056" s="11" t="n">
        <x:v>0</x:v>
      </x:c>
      <x:c r="M1056" s="11" t="n">
        <x:v>0</x:v>
      </x:c>
      <x:c r="N1056" s="4"/>
      <x:c r="O1056" s="4"/>
      <x:c r="P1056" s="11" t="n">
        <x:v>3</x:v>
      </x:c>
      <x:c r="Q1056" s="11" t="n">
        <x:v>0</x:v>
      </x:c>
      <x:c r="R1056" s="11" t="str">
        <x:f>IF(OR(P1056="",Q1056=""),"",Q1056-P1056)</x:f>
      </x:c>
      <x:c r="S1056" s="13" t="str">
        <x:f>IF(OR(P1056="",Q1056="",P1056=0),"",((Q1056/30)/(P1056/31))-1)</x:f>
      </x:c>
      <x:c r="T1056" s="11" t="n">
        <x:v>346</x:v>
      </x:c>
      <x:c r="U1056" s="11" t="n">
        <x:v>608</x:v>
      </x:c>
      <x:c r="V1056" s="14" t="n">
        <x:v>0</x:v>
      </x:c>
      <x:c r="W1056" s="12" t="n">
        <x:v>9.74671052631579</x:v>
      </x:c>
      <x:c r="X1056" s="11" t="n">
        <x:v>1</x:v>
      </x:c>
      <x:c r="Y1056" s="11" t="n">
        <x:v>1</x:v>
      </x:c>
      <x:c r="Z1056" s="4" t="str">
        <x:v>https://blog.skyairline.com/viajeros/</x:v>
      </x:c>
      <x:c r="AA1056" s="4" t="str">
        <x:v>https://blog.skyairline.com/viajeros/</x:v>
      </x:c>
      <x:c r="AB1056" s="4" t="str">
        <x:v>Coincidencia URL</x:v>
      </x:c>
      <x:c r="AC1056" s="4" t="str">
        <x:v>Publicado hasta septiembre</x:v>
      </x:c>
      <x:c r="AD1056" s="4" t="str">
        <x:v>/viajeros/</x:v>
      </x:c>
      <x:c r="AE1056" s="4"/>
      <x:c r="AF1056" s="16" t="b">
        <x:v>0</x:v>
      </x:c>
    </x:row>
    <x:row r="1057" ht="44" customHeight="1">
      <x:c r="A1057" s="4" t="n">
        <x:v>1522</x:v>
      </x:c>
      <x:c r="B1057" s="4" t="str">
        <x:v>https://blog.skyairline.com/sky-refuerza-sus-protocolos-de-seguridad-frente-a-temporada-alta-y-variante-omicron/</x:v>
      </x:c>
      <x:c r="C1057" s="9" t="str">
        <x:v>SKY refuerza sus protocolos de seguridad frente a temporada alta y variante Ómicron</x:v>
      </x:c>
      <x:c r="D1057" s="17" t="d">
        <x:v>2022-02-15T00:00:00.000Z</x:v>
      </x:c>
      <x:c r="E1057" s="17" t="d">
        <x:v>2022-02-15T00:00:00.000Z</x:v>
      </x:c>
      <x:c r="F1057" s="4" t="str">
        <x:v>Noticias</x:v>
      </x:c>
      <x:c r="G1057" s="11" t="n">
        <x:v>478</x:v>
      </x:c>
      <x:c r="H1057" s="11" t="n">
        <x:v>200</x:v>
      </x:c>
      <x:c r="I1057" s="11" t="n">
        <x:v>1</x:v>
      </x:c>
      <x:c r="J1057" s="4" t="str">
        <x:v>https://blog.skyairline.com/sky-refuerza-sus-protocolos-de-seguridad-frente-a-temporada-alta-y-variante-omicron/</x:v>
      </x:c>
      <x:c r="K1057" s="16" t="b">
        <x:v>0</x:v>
      </x:c>
      <x:c r="L1057" s="11" t="n">
        <x:v>0</x:v>
      </x:c>
      <x:c r="M1057" s="11" t="n">
        <x:v>0</x:v>
      </x:c>
      <x:c r="N1057" s="4"/>
      <x:c r="O1057" s="4"/>
      <x:c r="P1057" s="11" t="n">
        <x:v>0</x:v>
      </x:c>
      <x:c r="Q1057" s="11" t="n">
        <x:v>0</x:v>
      </x:c>
      <x:c r="R1057" s="11" t="str">
        <x:f>IF(OR(P1057="",Q1057=""),"",Q1057-P1057)</x:f>
      </x:c>
      <x:c r="S1057" s="13" t="str">
        <x:f>IF(OR(P1057="",Q1057="",P1057=0),"",((Q1057/30)/(P1057/31))-1)</x:f>
      </x:c>
      <x:c r="T1057" s="11" t="n">
        <x:v>7</x:v>
      </x:c>
      <x:c r="U1057" s="11" t="n">
        <x:v>10</x:v>
      </x:c>
      <x:c r="V1057" s="14" t="n">
        <x:v>0</x:v>
      </x:c>
      <x:c r="W1057" s="12" t="n">
        <x:v>9.6</x:v>
      </x:c>
      <x:c r="X1057" s="11"/>
      <x:c r="Y1057" s="11"/>
      <x:c r="Z1057" s="4" t="str">
        <x:v>https://blog.skyairline.com/sky-refuerza-sus-protocolos-de-seguridad-frente-a-temporada-alta-y-variante-omicron/</x:v>
      </x:c>
      <x:c r="AA1057" s="4" t="str">
        <x:v>https://blog.skyairline.com/sky-refuerza-sus-protocolos-de-seguridad-frente-a-temporada-alta-y-variante-omicron/</x:v>
      </x:c>
      <x:c r="AB1057" s="4" t="str">
        <x:v>Coincidencia URL</x:v>
      </x:c>
      <x:c r="AC1057" s="4" t="str">
        <x:v>Publicado hasta septiembre</x:v>
      </x:c>
      <x:c r="AD1057" s="4"/>
      <x:c r="AE1057" s="4"/>
      <x:c r="AF1057" s="16" t="b">
        <x:v>0</x:v>
      </x:c>
    </x:row>
    <x:row r="1058" ht="44" customHeight="1">
      <x:c r="A1058" s="4" t="n">
        <x:v>1541</x:v>
      </x:c>
      <x:c r="B1058" s="4" t="str">
        <x:v>https://blog.skyairline.com/playas-en-punta-cana/</x:v>
      </x:c>
      <x:c r="C1058" s="9" t="str">
        <x:v>7 playas en Punta Cana que no puedes dejar de visitar</x:v>
      </x:c>
      <x:c r="D1058" s="17" t="d">
        <x:v>2022-03-09T00:00:00.000Z</x:v>
      </x:c>
      <x:c r="E1058" s="17" t="d">
        <x:v>2022-03-09T00:00:00.000Z</x:v>
      </x:c>
      <x:c r="F1058" s="4" t="str">
        <x:v>Destinos</x:v>
      </x:c>
      <x:c r="G1058" s="11" t="n">
        <x:v>936</x:v>
      </x:c>
      <x:c r="H1058" s="11" t="n">
        <x:v>200</x:v>
      </x:c>
      <x:c r="I1058" s="11" t="n">
        <x:v>1</x:v>
      </x:c>
      <x:c r="J1058" s="4" t="str">
        <x:v>https://blog.skyairline.com/playas-en-punta-cana/</x:v>
      </x:c>
      <x:c r="K1058" s="16" t="b">
        <x:v>0</x:v>
      </x:c>
      <x:c r="L1058" s="11" t="n">
        <x:v>0</x:v>
      </x:c>
      <x:c r="M1058" s="11" t="n">
        <x:v>2</x:v>
      </x:c>
      <x:c r="N1058" s="4"/>
      <x:c r="O1058" s="4"/>
      <x:c r="P1058" s="11" t="n">
        <x:v>3</x:v>
      </x:c>
      <x:c r="Q1058" s="11" t="n">
        <x:v>0</x:v>
      </x:c>
      <x:c r="R1058" s="11" t="str">
        <x:f>IF(OR(P1058="",Q1058=""),"",Q1058-P1058)</x:f>
      </x:c>
      <x:c r="S1058" s="13" t="str">
        <x:f>IF(OR(P1058="",Q1058="",P1058=0),"",((Q1058/30)/(P1058/31))-1)</x:f>
      </x:c>
      <x:c r="T1058" s="11" t="n">
        <x:v>304</x:v>
      </x:c>
      <x:c r="U1058" s="11" t="n">
        <x:v>219</x:v>
      </x:c>
      <x:c r="V1058" s="14" t="n">
        <x:v>0</x:v>
      </x:c>
      <x:c r="W1058" s="12" t="n">
        <x:v>24.337899543378995</x:v>
      </x:c>
      <x:c r="X1058" s="11" t="n">
        <x:v>3</x:v>
      </x:c>
      <x:c r="Y1058" s="11" t="n">
        <x:v>3</x:v>
      </x:c>
      <x:c r="Z1058" s="4" t="str">
        <x:v>https://blog.skyairline.com/playas-en-punta-cana/</x:v>
      </x:c>
      <x:c r="AA1058" s="4" t="str">
        <x:v>https://blog.skyairline.com/playas-en-punta-cana/</x:v>
      </x:c>
      <x:c r="AB1058" s="4" t="str">
        <x:v>Coincidencia URL</x:v>
      </x:c>
      <x:c r="AC1058" s="4" t="str">
        <x:v>Publicado hasta septiembre</x:v>
      </x:c>
      <x:c r="AD1058" s="4" t="str">
        <x:v>/playas-en-punta-cana/</x:v>
      </x:c>
      <x:c r="AE1058" s="4"/>
      <x:c r="AF1058" s="16" t="b">
        <x:v>0</x:v>
      </x:c>
    </x:row>
    <x:row r="1059" ht="44" customHeight="1">
      <x:c r="A1059" s="4" t="n">
        <x:v>1543</x:v>
      </x:c>
      <x:c r="B1059" s="4" t="str">
        <x:v>https://blog.skyairline.com/que-hacer-con-ninos-en-cancun/</x:v>
      </x:c>
      <x:c r="C1059" s="9" t="str">
        <x:v>10 mejores actividades para hacer con niños en Cancún</x:v>
      </x:c>
      <x:c r="D1059" s="17" t="d">
        <x:v>2024-11-18T00:00:00.000Z</x:v>
      </x:c>
      <x:c r="E1059" s="17" t="d">
        <x:v>2024-11-18T00:00:00.000Z</x:v>
      </x:c>
      <x:c r="F1059" s="4" t="str">
        <x:v>Cancún, Destinos</x:v>
      </x:c>
      <x:c r="G1059" s="11" t="n">
        <x:v>3090</x:v>
      </x:c>
      <x:c r="H1059" s="11" t="n">
        <x:v>200</x:v>
      </x:c>
      <x:c r="I1059" s="11" t="n">
        <x:v>1</x:v>
      </x:c>
      <x:c r="J1059" s="4" t="str">
        <x:v>https://blog.skyairline.com/que-hacer-con-ninos-en-cancun/</x:v>
      </x:c>
      <x:c r="K1059" s="16" t="b">
        <x:v>0</x:v>
      </x:c>
      <x:c r="L1059" s="11" t="n">
        <x:v>0</x:v>
      </x:c>
      <x:c r="M1059" s="11" t="n">
        <x:v>3</x:v>
      </x:c>
      <x:c r="N1059" s="4"/>
      <x:c r="O1059" s="4"/>
      <x:c r="P1059" s="11" t="n">
        <x:v>2</x:v>
      </x:c>
      <x:c r="Q1059" s="11" t="n">
        <x:v>0</x:v>
      </x:c>
      <x:c r="R1059" s="11" t="str">
        <x:f>IF(OR(P1059="",Q1059=""),"",Q1059-P1059)</x:f>
      </x:c>
      <x:c r="S1059" s="13" t="str">
        <x:f>IF(OR(P1059="",Q1059="",P1059=0),"",((Q1059/30)/(P1059/31))-1)</x:f>
      </x:c>
      <x:c r="T1059" s="11" t="n">
        <x:v>511</x:v>
      </x:c>
      <x:c r="U1059" s="11" t="n">
        <x:v>179</x:v>
      </x:c>
      <x:c r="V1059" s="14" t="n">
        <x:v>0</x:v>
      </x:c>
      <x:c r="W1059" s="12" t="n">
        <x:v>15.687150837988828</x:v>
      </x:c>
      <x:c r="X1059" s="11"/>
      <x:c r="Y1059" s="11"/>
      <x:c r="Z1059" s="4" t="str">
        <x:v>https://blog.skyairline.com/que-hacer-con-ninos-en-cancun/</x:v>
      </x:c>
      <x:c r="AA1059" s="4" t="str">
        <x:v>https://blog.skyairline.com/que-hacer-con-ninos-en-cancun/</x:v>
      </x:c>
      <x:c r="AB1059" s="4" t="str">
        <x:v>Coincidencia URL</x:v>
      </x:c>
      <x:c r="AC1059" s="4" t="str">
        <x:v>Publicado hasta septiembre</x:v>
      </x:c>
      <x:c r="AD1059" s="4"/>
      <x:c r="AE1059" s="4"/>
      <x:c r="AF1059" s="16" t="b">
        <x:v>1</x:v>
      </x:c>
    </x:row>
    <x:row r="1060" ht="44" customHeight="1">
      <x:c r="A1060" s="4" t="n">
        <x:v>1576</x:v>
      </x:c>
      <x:c r="B1060" s="4" t="str">
        <x:v>https://blog.skyairline.com/viaje-de-descanso/</x:v>
      </x:c>
      <x:c r="C1060" s="9" t="str">
        <x:v>¿Qué es verdaderamente un viaje de descanso y por qué es beneficioso?</x:v>
      </x:c>
      <x:c r="D1060" s="17" t="d">
        <x:v>2022-03-13T00:00:00.000Z</x:v>
      </x:c>
      <x:c r="E1060" s="17" t="d">
        <x:v>2022-03-13T00:00:00.000Z</x:v>
      </x:c>
      <x:c r="F1060" s="4" t="str">
        <x:v>Destinos</x:v>
      </x:c>
      <x:c r="G1060" s="11" t="n">
        <x:v>1051</x:v>
      </x:c>
      <x:c r="H1060" s="11" t="n">
        <x:v>200</x:v>
      </x:c>
      <x:c r="I1060" s="11" t="n">
        <x:v>1</x:v>
      </x:c>
      <x:c r="J1060" s="4" t="str">
        <x:v>https://blog.skyairline.com/viaje-de-descanso/</x:v>
      </x:c>
      <x:c r="K1060" s="16" t="b">
        <x:v>0</x:v>
      </x:c>
      <x:c r="L1060" s="11" t="n">
        <x:v>0</x:v>
      </x:c>
      <x:c r="M1060" s="11" t="n">
        <x:v>4</x:v>
      </x:c>
      <x:c r="N1060" s="4"/>
      <x:c r="O1060" s="4"/>
      <x:c r="P1060" s="11" t="n">
        <x:v>2</x:v>
      </x:c>
      <x:c r="Q1060" s="11" t="n">
        <x:v>0</x:v>
      </x:c>
      <x:c r="R1060" s="11" t="str">
        <x:f>IF(OR(P1060="",Q1060=""),"",Q1060-P1060)</x:f>
      </x:c>
      <x:c r="S1060" s="13" t="str">
        <x:f>IF(OR(P1060="",Q1060="",P1060=0),"",((Q1060/30)/(P1060/31))-1)</x:f>
      </x:c>
      <x:c r="T1060" s="11" t="n">
        <x:v>52</x:v>
      </x:c>
      <x:c r="U1060" s="11" t="n">
        <x:v>18</x:v>
      </x:c>
      <x:c r="V1060" s="14" t="n">
        <x:v>0</x:v>
      </x:c>
      <x:c r="W1060" s="12" t="n">
        <x:v>9.666666666666666</x:v>
      </x:c>
      <x:c r="X1060" s="11"/>
      <x:c r="Y1060" s="11"/>
      <x:c r="Z1060" s="4" t="str">
        <x:v>https://blog.skyairline.com/viaje-de-descanso/</x:v>
      </x:c>
      <x:c r="AA1060" s="4" t="str">
        <x:v>https://blog.skyairline.com/viaje-de-descanso/</x:v>
      </x:c>
      <x:c r="AB1060" s="4" t="str">
        <x:v>Coincidencia URL</x:v>
      </x:c>
      <x:c r="AC1060" s="4" t="str">
        <x:v>Publicado hasta septiembre</x:v>
      </x:c>
      <x:c r="AD1060" s="4"/>
      <x:c r="AE1060" s="4"/>
      <x:c r="AF1060" s="16" t="b">
        <x:v>0</x:v>
      </x:c>
    </x:row>
    <x:row r="1061" ht="44" customHeight="1">
      <x:c r="A1061" s="4" t="n">
        <x:v>1584</x:v>
      </x:c>
      <x:c r="B1061" s="4" t="str">
        <x:v>https://blog.skyairline.com/compras-en-cancun/</x:v>
      </x:c>
      <x:c r="C1061" s="9" t="str">
        <x:v>Descubre las mejores opciones para compras en Cancún</x:v>
      </x:c>
      <x:c r="D1061" s="17" t="d">
        <x:v>2024-12-27T00:00:00.000Z</x:v>
      </x:c>
      <x:c r="E1061" s="17" t="d">
        <x:v>2024-12-27T00:00:00.000Z</x:v>
      </x:c>
      <x:c r="F1061" s="4" t="str">
        <x:v>Cancún, Planificación de Viaje</x:v>
      </x:c>
      <x:c r="G1061" s="11" t="n">
        <x:v>1249</x:v>
      </x:c>
      <x:c r="H1061" s="11" t="n">
        <x:v>200</x:v>
      </x:c>
      <x:c r="I1061" s="11" t="n">
        <x:v>1</x:v>
      </x:c>
      <x:c r="J1061" s="4" t="str">
        <x:v>https://blog.skyairline.com/compras-en-cancun/</x:v>
      </x:c>
      <x:c r="K1061" s="16" t="b">
        <x:v>0</x:v>
      </x:c>
      <x:c r="L1061" s="11" t="n">
        <x:v>0</x:v>
      </x:c>
      <x:c r="M1061" s="11" t="n">
        <x:v>3</x:v>
      </x:c>
      <x:c r="N1061" s="4"/>
      <x:c r="O1061" s="4"/>
      <x:c r="P1061" s="11" t="n">
        <x:v>0</x:v>
      </x:c>
      <x:c r="Q1061" s="11" t="n">
        <x:v>0</x:v>
      </x:c>
      <x:c r="R1061" s="11" t="str">
        <x:f>IF(OR(P1061="",Q1061=""),"",Q1061-P1061)</x:f>
      </x:c>
      <x:c r="S1061" s="13" t="str">
        <x:f>IF(OR(P1061="",Q1061="",P1061=0),"",((Q1061/30)/(P1061/31))-1)</x:f>
      </x:c>
      <x:c r="T1061" s="11" t="n">
        <x:v>506</x:v>
      </x:c>
      <x:c r="U1061" s="11" t="n">
        <x:v>360</x:v>
      </x:c>
      <x:c r="V1061" s="14" t="n">
        <x:v>0</x:v>
      </x:c>
      <x:c r="W1061" s="12" t="n">
        <x:v>12.483333333333333</x:v>
      </x:c>
      <x:c r="X1061" s="11"/>
      <x:c r="Y1061" s="11"/>
      <x:c r="Z1061" s="4" t="str">
        <x:v>https://blog.skyairline.com/compras-en-cancun/</x:v>
      </x:c>
      <x:c r="AA1061" s="4" t="str">
        <x:v>https://blog.skyairline.com/compras-en-cancun/</x:v>
      </x:c>
      <x:c r="AB1061" s="4" t="str">
        <x:v>Coincidencia URL</x:v>
      </x:c>
      <x:c r="AC1061" s="4" t="str">
        <x:v>Publicado hasta septiembre</x:v>
      </x:c>
      <x:c r="AD1061" s="4"/>
      <x:c r="AE1061" s="4"/>
      <x:c r="AF1061" s="16" t="b">
        <x:v>0</x:v>
      </x:c>
    </x:row>
    <x:row r="1062" ht="44" customHeight="1">
      <x:c r="A1062" s="4" t="n">
        <x:v>1592</x:v>
      </x:c>
      <x:c r="B1062" s="4" t="str">
        <x:v>https://blog.skyairline.com/sky-recibe-reconocimiento-por-brindar-la-mejor-experiencia-y-servicio-en-aeropuerto-de-lima/</x:v>
      </x:c>
      <x:c r="C1062" s="9" t="str">
        <x:v>SKY recibe reconocimiento por brindar la mejor experiencia y servicio en aeropuerto de Lima</x:v>
      </x:c>
      <x:c r="D1062" s="17" t="d">
        <x:v>2022-03-08T00:00:00.000Z</x:v>
      </x:c>
      <x:c r="E1062" s="17" t="d">
        <x:v>2022-03-08T00:00:00.000Z</x:v>
      </x:c>
      <x:c r="F1062" s="4" t="str">
        <x:v>Noticias</x:v>
      </x:c>
      <x:c r="G1062" s="11" t="n">
        <x:v>238</x:v>
      </x:c>
      <x:c r="H1062" s="11" t="n">
        <x:v>200</x:v>
      </x:c>
      <x:c r="I1062" s="11" t="n">
        <x:v>1</x:v>
      </x:c>
      <x:c r="J1062" s="4" t="str">
        <x:v>https://blog.skyairline.com/sky-recibe-reconocimiento-por-brindar-la-mejor-experiencia-y-servicio-en-aeropuerto-de-lima/</x:v>
      </x:c>
      <x:c r="K1062" s="16" t="b">
        <x:v>0</x:v>
      </x:c>
      <x:c r="L1062" s="11" t="n">
        <x:v>0</x:v>
      </x:c>
      <x:c r="M1062" s="11" t="n">
        <x:v>0</x:v>
      </x:c>
      <x:c r="N1062" s="4"/>
      <x:c r="O1062" s="4"/>
      <x:c r="P1062" s="11" t="n">
        <x:v>0</x:v>
      </x:c>
      <x:c r="Q1062" s="11" t="n">
        <x:v>0</x:v>
      </x:c>
      <x:c r="R1062" s="11" t="str">
        <x:f>IF(OR(P1062="",Q1062=""),"",Q1062-P1062)</x:f>
      </x:c>
      <x:c r="S1062" s="13" t="str">
        <x:f>IF(OR(P1062="",Q1062="",P1062=0),"",((Q1062/30)/(P1062/31))-1)</x:f>
      </x:c>
      <x:c r="T1062" s="11" t="n">
        <x:v>27</x:v>
      </x:c>
      <x:c r="U1062" s="11" t="n">
        <x:v>18</x:v>
      </x:c>
      <x:c r="V1062" s="14" t="n">
        <x:v>0</x:v>
      </x:c>
      <x:c r="W1062" s="12" t="n">
        <x:v>8.055555555555555</x:v>
      </x:c>
      <x:c r="X1062" s="11"/>
      <x:c r="Y1062" s="11"/>
      <x:c r="Z1062" s="4" t="str">
        <x:v>https://blog.skyairline.com/sky-recibe-reconocimiento-por-brindar-la-mejor-experiencia-y-servicio-en-aeropuerto-de-lima/</x:v>
      </x:c>
      <x:c r="AA1062" s="4" t="str">
        <x:v>https://blog.skyairline.com/sky-recibe-reconocimiento-por-brindar-la-mejor-experiencia-y-servicio-en-aeropuerto-de-lima/</x:v>
      </x:c>
      <x:c r="AB1062" s="4" t="str">
        <x:v>Coincidencia URL</x:v>
      </x:c>
      <x:c r="AC1062" s="4" t="str">
        <x:v>Publicado hasta septiembre</x:v>
      </x:c>
      <x:c r="AD1062" s="4"/>
      <x:c r="AE1062" s="4"/>
      <x:c r="AF1062" s="16" t="b">
        <x:v>0</x:v>
      </x:c>
    </x:row>
    <x:row r="1063" ht="44" customHeight="1">
      <x:c r="A1063" s="4" t="n">
        <x:v>1594</x:v>
      </x:c>
      <x:c r="B1063" s="4" t="str">
        <x:v>https://blog.skyairline.com/consejos-de-salud-al-viajar/</x:v>
      </x:c>
      <x:c r="C1063" s="9" t="str">
        <x:v>10 consejos de salud al viajar que debes seguir más allá de la pandemia</x:v>
      </x:c>
      <x:c r="D1063" s="17" t="d">
        <x:v>2022-03-17T00:00:00.000Z</x:v>
      </x:c>
      <x:c r="E1063" s="17" t="d">
        <x:v>2022-03-17T00:00:00.000Z</x:v>
      </x:c>
      <x:c r="F1063" s="4" t="str">
        <x:v>Planificación de Viaje</x:v>
      </x:c>
      <x:c r="G1063" s="11" t="n">
        <x:v>1043</x:v>
      </x:c>
      <x:c r="H1063" s="11" t="n">
        <x:v>200</x:v>
      </x:c>
      <x:c r="I1063" s="11" t="n">
        <x:v>1</x:v>
      </x:c>
      <x:c r="J1063" s="4" t="str">
        <x:v>https://blog.skyairline.com/consejos-de-salud-al-viajar/</x:v>
      </x:c>
      <x:c r="K1063" s="16" t="b">
        <x:v>0</x:v>
      </x:c>
      <x:c r="L1063" s="11" t="n">
        <x:v>0</x:v>
      </x:c>
      <x:c r="M1063" s="11" t="n">
        <x:v>1</x:v>
      </x:c>
      <x:c r="N1063" s="4"/>
      <x:c r="O1063" s="4"/>
      <x:c r="P1063" s="11" t="n">
        <x:v>0</x:v>
      </x:c>
      <x:c r="Q1063" s="11" t="n">
        <x:v>0</x:v>
      </x:c>
      <x:c r="R1063" s="11" t="str">
        <x:f>IF(OR(P1063="",Q1063=""),"",Q1063-P1063)</x:f>
      </x:c>
      <x:c r="S1063" s="13" t="str">
        <x:f>IF(OR(P1063="",Q1063="",P1063=0),"",((Q1063/30)/(P1063/31))-1)</x:f>
      </x:c>
      <x:c r="T1063" s="11" t="n">
        <x:v>10</x:v>
      </x:c>
      <x:c r="U1063" s="11" t="n">
        <x:v>6</x:v>
      </x:c>
      <x:c r="V1063" s="14" t="n">
        <x:v>0</x:v>
      </x:c>
      <x:c r="W1063" s="12" t="n">
        <x:v>6.333333333333333</x:v>
      </x:c>
      <x:c r="X1063" s="11"/>
      <x:c r="Y1063" s="11"/>
      <x:c r="Z1063" s="4" t="str">
        <x:v>https://blog.skyairline.com/consejos-de-salud-al-viajar/</x:v>
      </x:c>
      <x:c r="AA1063" s="4" t="str">
        <x:v>https://blog.skyairline.com/consejos-de-salud-al-viajar/</x:v>
      </x:c>
      <x:c r="AB1063" s="4" t="str">
        <x:v>Coincidencia URL</x:v>
      </x:c>
      <x:c r="AC1063" s="4" t="str">
        <x:v>Publicado hasta septiembre</x:v>
      </x:c>
      <x:c r="AD1063" s="4"/>
      <x:c r="AE1063" s="4"/>
      <x:c r="AF1063" s="16" t="b">
        <x:v>0</x:v>
      </x:c>
    </x:row>
    <x:row r="1064" ht="44" customHeight="1">
      <x:c r="A1064" s="4" t="n">
        <x:v>1597</x:v>
      </x:c>
      <x:c r="B1064" s="4" t="str">
        <x:v>https://blog.skyairline.com/consejos-de-seguridad-para-hacer-turismo-de-aventura/</x:v>
      </x:c>
      <x:c r="C1064" s="9" t="str">
        <x:v>9 consejos de seguridad para hacer turismo de aventura</x:v>
      </x:c>
      <x:c r="D1064" s="17" t="d">
        <x:v>2022-03-18T00:00:00.000Z</x:v>
      </x:c>
      <x:c r="E1064" s="17" t="d">
        <x:v>2022-03-18T00:00:00.000Z</x:v>
      </x:c>
      <x:c r="F1064" s="4" t="str">
        <x:v>Planificación de Viaje</x:v>
      </x:c>
      <x:c r="G1064" s="11" t="n">
        <x:v>1060</x:v>
      </x:c>
      <x:c r="H1064" s="11" t="n">
        <x:v>200</x:v>
      </x:c>
      <x:c r="I1064" s="11" t="n">
        <x:v>1</x:v>
      </x:c>
      <x:c r="J1064" s="4" t="str">
        <x:v>https://blog.skyairline.com/consejos-de-seguridad-para-hacer-turismo-de-aventura/</x:v>
      </x:c>
      <x:c r="K1064" s="16" t="b">
        <x:v>0</x:v>
      </x:c>
      <x:c r="L1064" s="11" t="n">
        <x:v>0</x:v>
      </x:c>
      <x:c r="M1064" s="11" t="n">
        <x:v>4</x:v>
      </x:c>
      <x:c r="N1064" s="4"/>
      <x:c r="O1064" s="4"/>
      <x:c r="P1064" s="11" t="n">
        <x:v>0</x:v>
      </x:c>
      <x:c r="Q1064" s="11" t="n">
        <x:v>0</x:v>
      </x:c>
      <x:c r="R1064" s="11" t="str">
        <x:f>IF(OR(P1064="",Q1064=""),"",Q1064-P1064)</x:f>
      </x:c>
      <x:c r="S1064" s="13" t="str">
        <x:f>IF(OR(P1064="",Q1064="",P1064=0),"",((Q1064/30)/(P1064/31))-1)</x:f>
      </x:c>
      <x:c r="T1064" s="11" t="n">
        <x:v>69</x:v>
      </x:c>
      <x:c r="U1064" s="11" t="n">
        <x:v>31</x:v>
      </x:c>
      <x:c r="V1064" s="14" t="n">
        <x:v>0</x:v>
      </x:c>
      <x:c r="W1064" s="12" t="n">
        <x:v>11.516129032258064</x:v>
      </x:c>
      <x:c r="X1064" s="11"/>
      <x:c r="Y1064" s="11"/>
      <x:c r="Z1064" s="4" t="str">
        <x:v>https://blog.skyairline.com/consejos-de-seguridad-para-hacer-turismo-de-aventura/</x:v>
      </x:c>
      <x:c r="AA1064" s="4" t="str">
        <x:v>https://blog.skyairline.com/consejos-de-seguridad-para-hacer-turismo-de-aventura/</x:v>
      </x:c>
      <x:c r="AB1064" s="4" t="str">
        <x:v>Coincidencia URL</x:v>
      </x:c>
      <x:c r="AC1064" s="4" t="str">
        <x:v>Publicado hasta septiembre</x:v>
      </x:c>
      <x:c r="AD1064" s="4"/>
      <x:c r="AE1064" s="4"/>
      <x:c r="AF1064" s="16" t="b">
        <x:v>0</x:v>
      </x:c>
    </x:row>
    <x:row r="1065" ht="44" customHeight="1">
      <x:c r="A1065" s="4" t="n">
        <x:v>1600</x:v>
      </x:c>
      <x:c r="B1065" s="4" t="str">
        <x:v>https://blog.skyairline.com/no-aumentar-de-peso-al-viajar/</x:v>
      </x:c>
      <x:c r="C1065" s="9" t="str">
        <x:v>¿Cómo no aumentar de peso al viajar y vacacionar?</x:v>
      </x:c>
      <x:c r="D1065" s="17" t="d">
        <x:v>2022-03-19T00:00:00.000Z</x:v>
      </x:c>
      <x:c r="E1065" s="17" t="d">
        <x:v>2022-03-19T00:00:00.000Z</x:v>
      </x:c>
      <x:c r="F1065" s="4" t="str">
        <x:v>Planificación de Viaje</x:v>
      </x:c>
      <x:c r="G1065" s="11" t="n">
        <x:v>980</x:v>
      </x:c>
      <x:c r="H1065" s="11" t="n">
        <x:v>200</x:v>
      </x:c>
      <x:c r="I1065" s="11" t="n">
        <x:v>1</x:v>
      </x:c>
      <x:c r="J1065" s="4" t="str">
        <x:v>https://blog.skyairline.com/no-aumentar-de-peso-al-viajar/</x:v>
      </x:c>
      <x:c r="K1065" s="16" t="b">
        <x:v>0</x:v>
      </x:c>
      <x:c r="L1065" s="11" t="n">
        <x:v>0</x:v>
      </x:c>
      <x:c r="M1065" s="11" t="n">
        <x:v>7</x:v>
      </x:c>
      <x:c r="N1065" s="4"/>
      <x:c r="O1065" s="4"/>
      <x:c r="P1065" s="11" t="n">
        <x:v>0</x:v>
      </x:c>
      <x:c r="Q1065" s="11" t="n">
        <x:v>0</x:v>
      </x:c>
      <x:c r="R1065" s="11" t="str">
        <x:f>IF(OR(P1065="",Q1065=""),"",Q1065-P1065)</x:f>
      </x:c>
      <x:c r="S1065" s="13" t="str">
        <x:f>IF(OR(P1065="",Q1065="",P1065=0),"",((Q1065/30)/(P1065/31))-1)</x:f>
      </x:c>
      <x:c r="T1065" s="11" t="n">
        <x:v>23</x:v>
      </x:c>
      <x:c r="U1065" s="11" t="n">
        <x:v>12</x:v>
      </x:c>
      <x:c r="V1065" s="14" t="n">
        <x:v>0</x:v>
      </x:c>
      <x:c r="W1065" s="12" t="n">
        <x:v>5.333333333333333</x:v>
      </x:c>
      <x:c r="X1065" s="11"/>
      <x:c r="Y1065" s="11"/>
      <x:c r="Z1065" s="4" t="str">
        <x:v>https://blog.skyairline.com/no-aumentar-de-peso-al-viajar/</x:v>
      </x:c>
      <x:c r="AA1065" s="4" t="str">
        <x:v>https://blog.skyairline.com/no-aumentar-de-peso-al-viajar/</x:v>
      </x:c>
      <x:c r="AB1065" s="4" t="str">
        <x:v>Coincidencia URL</x:v>
      </x:c>
      <x:c r="AC1065" s="4" t="str">
        <x:v>Publicado hasta septiembre</x:v>
      </x:c>
      <x:c r="AD1065" s="4"/>
      <x:c r="AE1065" s="4"/>
      <x:c r="AF1065" s="16" t="b">
        <x:v>0</x:v>
      </x:c>
    </x:row>
    <x:row r="1066" ht="44" customHeight="1">
      <x:c r="A1066" s="4" t="n">
        <x:v>1612</x:v>
      </x:c>
      <x:c r="B1066" s="4" t="str">
        <x:v>https://blog.skyairline.com/ver-el-otono-en-chile/</x:v>
      </x:c>
      <x:c r="C1066" s="9" t="str">
        <x:v>5 lugares naturales inmejorables para ver el otoño en Chile</x:v>
      </x:c>
      <x:c r="D1066" s="17" t="d">
        <x:v>2022-03-20T00:00:00.000Z</x:v>
      </x:c>
      <x:c r="E1066" s="17" t="d">
        <x:v>2022-03-20T00:00:00.000Z</x:v>
      </x:c>
      <x:c r="F1066" s="4" t="str">
        <x:v>Destinos</x:v>
      </x:c>
      <x:c r="G1066" s="11" t="n">
        <x:v>1034</x:v>
      </x:c>
      <x:c r="H1066" s="11" t="n">
        <x:v>200</x:v>
      </x:c>
      <x:c r="I1066" s="11" t="n">
        <x:v>1</x:v>
      </x:c>
      <x:c r="J1066" s="4" t="str">
        <x:v>https://blog.skyairline.com/ver-el-otono-en-chile/</x:v>
      </x:c>
      <x:c r="K1066" s="16" t="b">
        <x:v>0</x:v>
      </x:c>
      <x:c r="L1066" s="11" t="n">
        <x:v>0</x:v>
      </x:c>
      <x:c r="M1066" s="11" t="n">
        <x:v>3</x:v>
      </x:c>
      <x:c r="N1066" s="4"/>
      <x:c r="O1066" s="4"/>
      <x:c r="P1066" s="11" t="n">
        <x:v>0</x:v>
      </x:c>
      <x:c r="Q1066" s="11" t="n">
        <x:v>0</x:v>
      </x:c>
      <x:c r="R1066" s="11" t="str">
        <x:f>IF(OR(P1066="",Q1066=""),"",Q1066-P1066)</x:f>
      </x:c>
      <x:c r="S1066" s="13" t="str">
        <x:f>IF(OR(P1066="",Q1066="",P1066=0),"",((Q1066/30)/(P1066/31))-1)</x:f>
      </x:c>
      <x:c r="T1066" s="11" t="n">
        <x:v>8</x:v>
      </x:c>
      <x:c r="U1066" s="11" t="n">
        <x:v>5</x:v>
      </x:c>
      <x:c r="V1066" s="14" t="n">
        <x:v>0</x:v>
      </x:c>
      <x:c r="W1066" s="12" t="n">
        <x:v>25.4</x:v>
      </x:c>
      <x:c r="X1066" s="11"/>
      <x:c r="Y1066" s="11"/>
      <x:c r="Z1066" s="4" t="str">
        <x:v>https://blog.skyairline.com/ver-el-otono-en-chile/</x:v>
      </x:c>
      <x:c r="AA1066" s="4" t="str">
        <x:v>https://blog.skyairline.com/ver-el-otono-en-chile/</x:v>
      </x:c>
      <x:c r="AB1066" s="4" t="str">
        <x:v>Coincidencia URL</x:v>
      </x:c>
      <x:c r="AC1066" s="4" t="str">
        <x:v>Publicado hasta septiembre</x:v>
      </x:c>
      <x:c r="AD1066" s="4"/>
      <x:c r="AE1066" s="4"/>
      <x:c r="AF1066" s="16" t="b">
        <x:v>0</x:v>
      </x:c>
    </x:row>
    <x:row r="1067" ht="44" customHeight="1">
      <x:c r="A1067" s="4" t="n">
        <x:v>1616</x:v>
      </x:c>
      <x:c r="B1067" s="4" t="str">
        <x:v>https://blog.skyairline.com/proteger-la-piel-del-sol/</x:v>
      </x:c>
      <x:c r="C1067" s="9" t="str">
        <x:v>Consejos para proteger tu piel del sol mientras viajas en verano</x:v>
      </x:c>
      <x:c r="D1067" s="17" t="d">
        <x:v>2022-03-22T00:00:00.000Z</x:v>
      </x:c>
      <x:c r="E1067" s="17" t="d">
        <x:v>2022-03-22T00:00:00.000Z</x:v>
      </x:c>
      <x:c r="F1067" s="4" t="str">
        <x:v>Destinos</x:v>
      </x:c>
      <x:c r="G1067" s="11" t="n">
        <x:v>1021</x:v>
      </x:c>
      <x:c r="H1067" s="11" t="n">
        <x:v>200</x:v>
      </x:c>
      <x:c r="I1067" s="11" t="n">
        <x:v>1</x:v>
      </x:c>
      <x:c r="J1067" s="4" t="str">
        <x:v>https://blog.skyairline.com/proteger-la-piel-del-sol/</x:v>
      </x:c>
      <x:c r="K1067" s="16" t="b">
        <x:v>0</x:v>
      </x:c>
      <x:c r="L1067" s="11" t="n">
        <x:v>0</x:v>
      </x:c>
      <x:c r="M1067" s="11" t="n">
        <x:v>3</x:v>
      </x:c>
      <x:c r="N1067" s="4"/>
      <x:c r="O1067" s="4"/>
      <x:c r="P1067" s="11" t="n">
        <x:v>0</x:v>
      </x:c>
      <x:c r="Q1067" s="11" t="n">
        <x:v>0</x:v>
      </x:c>
      <x:c r="R1067" s="11" t="str">
        <x:f>IF(OR(P1067="",Q1067=""),"",Q1067-P1067)</x:f>
      </x:c>
      <x:c r="S1067" s="13" t="str">
        <x:f>IF(OR(P1067="",Q1067="",P1067=0),"",((Q1067/30)/(P1067/31))-1)</x:f>
      </x:c>
      <x:c r="T1067" s="11" t="n">
        <x:v>45</x:v>
      </x:c>
      <x:c r="U1067" s="11" t="n">
        <x:v>3</x:v>
      </x:c>
      <x:c r="V1067" s="14" t="n">
        <x:v>0</x:v>
      </x:c>
      <x:c r="W1067" s="12" t="n">
        <x:v>14.333333333333334</x:v>
      </x:c>
      <x:c r="X1067" s="11"/>
      <x:c r="Y1067" s="11"/>
      <x:c r="Z1067" s="4" t="str">
        <x:v>https://blog.skyairline.com/proteger-la-piel-del-sol/</x:v>
      </x:c>
      <x:c r="AA1067" s="4" t="str">
        <x:v>https://blog.skyairline.com/proteger-la-piel-del-sol/</x:v>
      </x:c>
      <x:c r="AB1067" s="4" t="str">
        <x:v>Coincidencia URL</x:v>
      </x:c>
      <x:c r="AC1067" s="4" t="str">
        <x:v>Publicado hasta septiembre</x:v>
      </x:c>
      <x:c r="AD1067" s="4"/>
      <x:c r="AE1067" s="4"/>
      <x:c r="AF1067" s="16" t="b">
        <x:v>0</x:v>
      </x:c>
    </x:row>
    <x:row r="1068" ht="44" customHeight="1">
      <x:c r="A1068" s="4" t="n">
        <x:v>1620</x:v>
      </x:c>
      <x:c r="B1068" s="4" t="str">
        <x:v>https://blog.skyairline.com/temporada-alta/</x:v>
      </x:c>
      <x:c r="C1068" s="9" t="str">
        <x:v>9 consejos imperdibles para viajar en temporada alta</x:v>
      </x:c>
      <x:c r="D1068" s="17" t="d">
        <x:v>2022-03-24T00:00:00.000Z</x:v>
      </x:c>
      <x:c r="E1068" s="17" t="d">
        <x:v>2022-03-24T00:00:00.000Z</x:v>
      </x:c>
      <x:c r="F1068" s="4" t="str">
        <x:v>Destinos</x:v>
      </x:c>
      <x:c r="G1068" s="11" t="n">
        <x:v>1077</x:v>
      </x:c>
      <x:c r="H1068" s="11" t="n">
        <x:v>200</x:v>
      </x:c>
      <x:c r="I1068" s="11" t="n">
        <x:v>1</x:v>
      </x:c>
      <x:c r="J1068" s="4" t="str">
        <x:v>https://blog.skyairline.com/temporada-alta/</x:v>
      </x:c>
      <x:c r="K1068" s="16" t="b">
        <x:v>0</x:v>
      </x:c>
      <x:c r="L1068" s="11" t="n">
        <x:v>0</x:v>
      </x:c>
      <x:c r="M1068" s="11" t="n">
        <x:v>4</x:v>
      </x:c>
      <x:c r="N1068" s="4"/>
      <x:c r="O1068" s="4"/>
      <x:c r="P1068" s="11" t="n">
        <x:v>0</x:v>
      </x:c>
      <x:c r="Q1068" s="11" t="n">
        <x:v>0</x:v>
      </x:c>
      <x:c r="R1068" s="11" t="str">
        <x:f>IF(OR(P1068="",Q1068=""),"",Q1068-P1068)</x:f>
      </x:c>
      <x:c r="S1068" s="13" t="str">
        <x:f>IF(OR(P1068="",Q1068="",P1068=0),"",((Q1068/30)/(P1068/31))-1)</x:f>
      </x:c>
      <x:c r="T1068" s="11" t="n">
        <x:v>15</x:v>
      </x:c>
      <x:c r="U1068" s="11" t="n">
        <x:v>6</x:v>
      </x:c>
      <x:c r="V1068" s="14" t="n">
        <x:v>0</x:v>
      </x:c>
      <x:c r="W1068" s="12" t="n">
        <x:v>52.333333333333336</x:v>
      </x:c>
      <x:c r="X1068" s="11"/>
      <x:c r="Y1068" s="11"/>
      <x:c r="Z1068" s="4" t="str">
        <x:v>https://blog.skyairline.com/temporada-alta/</x:v>
      </x:c>
      <x:c r="AA1068" s="4" t="str">
        <x:v>https://blog.skyairline.com/temporada-alta/</x:v>
      </x:c>
      <x:c r="AB1068" s="4" t="str">
        <x:v>Coincidencia URL</x:v>
      </x:c>
      <x:c r="AC1068" s="4" t="str">
        <x:v>Publicado hasta septiembre</x:v>
      </x:c>
      <x:c r="AD1068" s="4"/>
      <x:c r="AE1068" s="4"/>
      <x:c r="AF1068" s="16" t="b">
        <x:v>1</x:v>
      </x:c>
    </x:row>
    <x:row r="1069" ht="44" customHeight="1">
      <x:c r="A1069" s="4" t="n">
        <x:v>1624</x:v>
      </x:c>
      <x:c r="B1069" s="4" t="str">
        <x:v>https://blog.skyairline.com/lugares-culturales-de-copiapo/</x:v>
      </x:c>
      <x:c r="C1069" s="9" t="str">
        <x:v>Cinco lugares culturales de Copiapó que vale la pena conocer</x:v>
      </x:c>
      <x:c r="D1069" s="17" t="d">
        <x:v>2022-03-26T00:00:00.000Z</x:v>
      </x:c>
      <x:c r="E1069" s="17" t="d">
        <x:v>2022-03-26T00:00:00.000Z</x:v>
      </x:c>
      <x:c r="F1069" s="4" t="str">
        <x:v>Destinos</x:v>
      </x:c>
      <x:c r="G1069" s="11" t="n">
        <x:v>1217</x:v>
      </x:c>
      <x:c r="H1069" s="11" t="n">
        <x:v>200</x:v>
      </x:c>
      <x:c r="I1069" s="11" t="n">
        <x:v>1</x:v>
      </x:c>
      <x:c r="J1069" s="4" t="str">
        <x:v>https://blog.skyairline.com/lugares-culturales-de-copiapo/</x:v>
      </x:c>
      <x:c r="K1069" s="16" t="b">
        <x:v>0</x:v>
      </x:c>
      <x:c r="L1069" s="11" t="n">
        <x:v>0</x:v>
      </x:c>
      <x:c r="M1069" s="11" t="n">
        <x:v>3</x:v>
      </x:c>
      <x:c r="N1069" s="4"/>
      <x:c r="O1069" s="4"/>
      <x:c r="P1069" s="11" t="n">
        <x:v>2</x:v>
      </x:c>
      <x:c r="Q1069" s="11" t="n">
        <x:v>0</x:v>
      </x:c>
      <x:c r="R1069" s="11" t="str">
        <x:f>IF(OR(P1069="",Q1069=""),"",Q1069-P1069)</x:f>
      </x:c>
      <x:c r="S1069" s="13" t="str">
        <x:f>IF(OR(P1069="",Q1069="",P1069=0),"",((Q1069/30)/(P1069/31))-1)</x:f>
      </x:c>
      <x:c r="T1069" s="11" t="n">
        <x:v>74</x:v>
      </x:c>
      <x:c r="U1069" s="11" t="n">
        <x:v>71</x:v>
      </x:c>
      <x:c r="V1069" s="14" t="n">
        <x:v>0</x:v>
      </x:c>
      <x:c r="W1069" s="12" t="n">
        <x:v>11.774647887323944</x:v>
      </x:c>
      <x:c r="X1069" s="11"/>
      <x:c r="Y1069" s="11"/>
      <x:c r="Z1069" s="4" t="str">
        <x:v>https://blog.skyairline.com/lugares-culturales-de-copiapo/</x:v>
      </x:c>
      <x:c r="AA1069" s="4" t="str">
        <x:v>https://blog.skyairline.com/lugares-culturales-de-copiapo/</x:v>
      </x:c>
      <x:c r="AB1069" s="4" t="str">
        <x:v>Coincidencia URL</x:v>
      </x:c>
      <x:c r="AC1069" s="4" t="str">
        <x:v>Publicado hasta septiembre</x:v>
      </x:c>
      <x:c r="AD1069" s="4"/>
      <x:c r="AE1069" s="4"/>
      <x:c r="AF1069" s="16" t="b">
        <x:v>0</x:v>
      </x:c>
    </x:row>
    <x:row r="1070" ht="44" customHeight="1">
      <x:c r="A1070" s="4" t="n">
        <x:v>1632</x:v>
      </x:c>
      <x:c r="B1070" s="4" t="str">
        <x:v>https://blog.skyairline.com/selfies-y-fotos-durante-un-viaje/</x:v>
      </x:c>
      <x:c r="C1070" s="9" t="str">
        <x:v>Guía básica para tomarte selfies y fotos durante un viaje</x:v>
      </x:c>
      <x:c r="D1070" s="17" t="d">
        <x:v>2022-03-30T00:00:00.000Z</x:v>
      </x:c>
      <x:c r="E1070" s="17" t="d">
        <x:v>2022-03-30T00:00:00.000Z</x:v>
      </x:c>
      <x:c r="F1070" s="4" t="str">
        <x:v>Planificación de Viaje</x:v>
      </x:c>
      <x:c r="G1070" s="11" t="n">
        <x:v>1299</x:v>
      </x:c>
      <x:c r="H1070" s="11" t="n">
        <x:v>200</x:v>
      </x:c>
      <x:c r="I1070" s="11" t="n">
        <x:v>1</x:v>
      </x:c>
      <x:c r="J1070" s="4" t="str">
        <x:v>https://blog.skyairline.com/selfies-y-fotos-durante-un-viaje/</x:v>
      </x:c>
      <x:c r="K1070" s="16" t="b">
        <x:v>0</x:v>
      </x:c>
      <x:c r="L1070" s="11" t="n">
        <x:v>0</x:v>
      </x:c>
      <x:c r="M1070" s="11" t="n">
        <x:v>4</x:v>
      </x:c>
      <x:c r="N1070" s="4"/>
      <x:c r="O1070" s="4"/>
      <x:c r="P1070" s="11" t="n">
        <x:v>0</x:v>
      </x:c>
      <x:c r="Q1070" s="11" t="n">
        <x:v>0</x:v>
      </x:c>
      <x:c r="R1070" s="11" t="str">
        <x:f>IF(OR(P1070="",Q1070=""),"",Q1070-P1070)</x:f>
      </x:c>
      <x:c r="S1070" s="13" t="str">
        <x:f>IF(OR(P1070="",Q1070="",P1070=0),"",((Q1070/30)/(P1070/31))-1)</x:f>
      </x:c>
      <x:c r="T1070" s="11" t="n">
        <x:v>154</x:v>
      </x:c>
      <x:c r="U1070" s="11" t="n">
        <x:v>58</x:v>
      </x:c>
      <x:c r="V1070" s="14" t="n">
        <x:v>0</x:v>
      </x:c>
      <x:c r="W1070" s="12" t="n">
        <x:v>18.82758620689655</x:v>
      </x:c>
      <x:c r="X1070" s="11"/>
      <x:c r="Y1070" s="11"/>
      <x:c r="Z1070" s="4" t="str">
        <x:v>https://blog.skyairline.com/selfies-y-fotos-durante-un-viaje/</x:v>
      </x:c>
      <x:c r="AA1070" s="4" t="str">
        <x:v>https://blog.skyairline.com/selfies-y-fotos-durante-un-viaje/</x:v>
      </x:c>
      <x:c r="AB1070" s="4" t="str">
        <x:v>Coincidencia URL</x:v>
      </x:c>
      <x:c r="AC1070" s="4" t="str">
        <x:v>Publicado hasta septiembre</x:v>
      </x:c>
      <x:c r="AD1070" s="4"/>
      <x:c r="AE1070" s="4"/>
      <x:c r="AF1070" s="16" t="b">
        <x:v>0</x:v>
      </x:c>
    </x:row>
    <x:row r="1071" ht="44" customHeight="1">
      <x:c r="A1071" s="4" t="n">
        <x:v>1634</x:v>
      </x:c>
      <x:c r="B1071" s="4" t="str">
        <x:v>https://blog.skyairline.com/parque-cultural-ruinas-de-huanchaca/</x:v>
      </x:c>
      <x:c r="C1071" s="9" t="str">
        <x:v>¿Vas a Antofagasta? ¡No te pierdas el Parque Cultural Ruinas de Huanchaca!</x:v>
      </x:c>
      <x:c r="D1071" s="17" t="d">
        <x:v>2022-03-31T00:00:00.000Z</x:v>
      </x:c>
      <x:c r="E1071" s="17" t="d">
        <x:v>2022-03-31T00:00:00.000Z</x:v>
      </x:c>
      <x:c r="F1071" s="4" t="str">
        <x:v>Destinos</x:v>
      </x:c>
      <x:c r="G1071" s="11" t="n">
        <x:v>1059</x:v>
      </x:c>
      <x:c r="H1071" s="11" t="n">
        <x:v>200</x:v>
      </x:c>
      <x:c r="I1071" s="11" t="n">
        <x:v>1</x:v>
      </x:c>
      <x:c r="J1071" s="4" t="str">
        <x:v>https://blog.skyairline.com/parque-cultural-ruinas-de-huanchaca/</x:v>
      </x:c>
      <x:c r="K1071" s="16" t="b">
        <x:v>0</x:v>
      </x:c>
      <x:c r="L1071" s="11" t="n">
        <x:v>0</x:v>
      </x:c>
      <x:c r="M1071" s="11" t="n">
        <x:v>4</x:v>
      </x:c>
      <x:c r="N1071" s="4"/>
      <x:c r="O1071" s="4"/>
      <x:c r="P1071" s="11" t="n">
        <x:v>0</x:v>
      </x:c>
      <x:c r="Q1071" s="11" t="n">
        <x:v>0</x:v>
      </x:c>
      <x:c r="R1071" s="11" t="str">
        <x:f>IF(OR(P1071="",Q1071=""),"",Q1071-P1071)</x:f>
      </x:c>
      <x:c r="S1071" s="13" t="str">
        <x:f>IF(OR(P1071="",Q1071="",P1071=0),"",((Q1071/30)/(P1071/31))-1)</x:f>
      </x:c>
      <x:c r="T1071" s="11" t="n">
        <x:v>118</x:v>
      </x:c>
      <x:c r="U1071" s="11" t="n">
        <x:v>93</x:v>
      </x:c>
      <x:c r="V1071" s="14" t="n">
        <x:v>0</x:v>
      </x:c>
      <x:c r="W1071" s="12" t="n">
        <x:v>15.483870967741936</x:v>
      </x:c>
      <x:c r="X1071" s="11"/>
      <x:c r="Y1071" s="11"/>
      <x:c r="Z1071" s="4" t="str">
        <x:v>https://blog.skyairline.com/parque-cultural-ruinas-de-huanchaca/</x:v>
      </x:c>
      <x:c r="AA1071" s="4" t="str">
        <x:v>https://blog.skyairline.com/parque-cultural-ruinas-de-huanchaca/</x:v>
      </x:c>
      <x:c r="AB1071" s="4" t="str">
        <x:v>Coincidencia URL</x:v>
      </x:c>
      <x:c r="AC1071" s="4" t="str">
        <x:v>Publicado hasta septiembre</x:v>
      </x:c>
      <x:c r="AD1071" s="4"/>
      <x:c r="AE1071" s="4"/>
      <x:c r="AF1071" s="16" t="b">
        <x:v>0</x:v>
      </x:c>
    </x:row>
    <x:row r="1072" ht="44" customHeight="1">
      <x:c r="A1072" s="4" t="n">
        <x:v>1656</x:v>
      </x:c>
      <x:c r="B1072" s="4" t="str">
        <x:v>https://blog.skyairline.com/viaja-a-punta-cana/</x:v>
      </x:c>
      <x:c r="C1072" s="9" t="str">
        <x:v>¿Viajas a Punta Cana? Descubre todo lo que puedes hacer</x:v>
      </x:c>
      <x:c r="D1072" s="17" t="d">
        <x:v>2022-04-02T00:00:00.000Z</x:v>
      </x:c>
      <x:c r="E1072" s="17" t="d">
        <x:v>2022-04-02T00:00:00.000Z</x:v>
      </x:c>
      <x:c r="F1072" s="4" t="str">
        <x:v>Destinos</x:v>
      </x:c>
      <x:c r="G1072" s="11" t="n">
        <x:v>966</x:v>
      </x:c>
      <x:c r="H1072" s="11" t="n">
        <x:v>200</x:v>
      </x:c>
      <x:c r="I1072" s="11" t="n">
        <x:v>1</x:v>
      </x:c>
      <x:c r="J1072" s="4" t="str">
        <x:v>https://blog.skyairline.com/viaja-a-punta-cana/</x:v>
      </x:c>
      <x:c r="K1072" s="16" t="b">
        <x:v>0</x:v>
      </x:c>
      <x:c r="L1072" s="11" t="n">
        <x:v>0</x:v>
      </x:c>
      <x:c r="M1072" s="11" t="n">
        <x:v>4</x:v>
      </x:c>
      <x:c r="N1072" s="4"/>
      <x:c r="O1072" s="4"/>
      <x:c r="P1072" s="11" t="n">
        <x:v>0</x:v>
      </x:c>
      <x:c r="Q1072" s="11" t="n">
        <x:v>0</x:v>
      </x:c>
      <x:c r="R1072" s="11" t="str">
        <x:f>IF(OR(P1072="",Q1072=""),"",Q1072-P1072)</x:f>
      </x:c>
      <x:c r="S1072" s="13" t="str">
        <x:f>IF(OR(P1072="",Q1072="",P1072=0),"",((Q1072/30)/(P1072/31))-1)</x:f>
      </x:c>
      <x:c r="T1072" s="11" t="n">
        <x:v>3</x:v>
      </x:c>
      <x:c r="U1072" s="11" t="n">
        <x:v>1</x:v>
      </x:c>
      <x:c r="V1072" s="14" t="n">
        <x:v>0</x:v>
      </x:c>
      <x:c r="W1072" s="12" t="n">
        <x:v>13</x:v>
      </x:c>
      <x:c r="X1072" s="11" t="n">
        <x:v>1</x:v>
      </x:c>
      <x:c r="Y1072" s="11" t="n">
        <x:v>1</x:v>
      </x:c>
      <x:c r="Z1072" s="4" t="str">
        <x:v>https://blog.skyairline.com/viaja-a-punta-cana/</x:v>
      </x:c>
      <x:c r="AA1072" s="4" t="str">
        <x:v>https://blog.skyairline.com/viaja-a-punta-cana/</x:v>
      </x:c>
      <x:c r="AB1072" s="4" t="str">
        <x:v>Coincidencia URL</x:v>
      </x:c>
      <x:c r="AC1072" s="4" t="str">
        <x:v>Publicado hasta septiembre</x:v>
      </x:c>
      <x:c r="AD1072" s="4" t="str">
        <x:v>/viaja-a-punta-cana/</x:v>
      </x:c>
      <x:c r="AE1072" s="4"/>
      <x:c r="AF1072" s="16" t="b">
        <x:v>0</x:v>
      </x:c>
    </x:row>
    <x:row r="1073" ht="44" customHeight="1">
      <x:c r="A1073" s="4" t="n">
        <x:v>1659</x:v>
      </x:c>
      <x:c r="B1073" s="4" t="str">
        <x:v>https://blog.skyairline.com/excursiones-en-rio-de-janeiro/</x:v>
      </x:c>
      <x:c r="C1073" s="9" t="str">
        <x:v>¿Hacer excursiones en Río de Janeiro? ¡Claro que es posible!</x:v>
      </x:c>
      <x:c r="D1073" s="17" t="d">
        <x:v>2022-04-03T00:00:00.000Z</x:v>
      </x:c>
      <x:c r="E1073" s="17" t="d">
        <x:v>2022-04-03T00:00:00.000Z</x:v>
      </x:c>
      <x:c r="F1073" s="4" t="str">
        <x:v>Destinos</x:v>
      </x:c>
      <x:c r="G1073" s="11" t="n">
        <x:v>1097</x:v>
      </x:c>
      <x:c r="H1073" s="11" t="n">
        <x:v>200</x:v>
      </x:c>
      <x:c r="I1073" s="11" t="n">
        <x:v>1</x:v>
      </x:c>
      <x:c r="J1073" s="4" t="str">
        <x:v>https://blog.skyairline.com/excursiones-en-rio-de-janeiro/</x:v>
      </x:c>
      <x:c r="K1073" s="16" t="b">
        <x:v>0</x:v>
      </x:c>
      <x:c r="L1073" s="11" t="n">
        <x:v>0</x:v>
      </x:c>
      <x:c r="M1073" s="11" t="n">
        <x:v>6</x:v>
      </x:c>
      <x:c r="N1073" s="4"/>
      <x:c r="O1073" s="4"/>
      <x:c r="P1073" s="11" t="n">
        <x:v>0</x:v>
      </x:c>
      <x:c r="Q1073" s="11" t="n">
        <x:v>0</x:v>
      </x:c>
      <x:c r="R1073" s="11" t="str">
        <x:f>IF(OR(P1073="",Q1073=""),"",Q1073-P1073)</x:f>
      </x:c>
      <x:c r="S1073" s="13" t="str">
        <x:f>IF(OR(P1073="",Q1073="",P1073=0),"",((Q1073/30)/(P1073/31))-1)</x:f>
      </x:c>
      <x:c r="T1073" s="11" t="n">
        <x:v>9</x:v>
      </x:c>
      <x:c r="U1073" s="11" t="n">
        <x:v>11</x:v>
      </x:c>
      <x:c r="V1073" s="14" t="n">
        <x:v>0</x:v>
      </x:c>
      <x:c r="W1073" s="12" t="n">
        <x:v>17.181818181818183</x:v>
      </x:c>
      <x:c r="X1073" s="11"/>
      <x:c r="Y1073" s="11"/>
      <x:c r="Z1073" s="4" t="str">
        <x:v>https://blog.skyairline.com/excursiones-en-rio-de-janeiro/</x:v>
      </x:c>
      <x:c r="AA1073" s="4" t="str">
        <x:v>https://blog.skyairline.com/excursiones-en-rio-de-janeiro/</x:v>
      </x:c>
      <x:c r="AB1073" s="4" t="str">
        <x:v>Coincidencia URL</x:v>
      </x:c>
      <x:c r="AC1073" s="4" t="str">
        <x:v>Publicado hasta septiembre</x:v>
      </x:c>
      <x:c r="AD1073" s="4"/>
      <x:c r="AE1073" s="4"/>
      <x:c r="AF1073" s="16" t="b">
        <x:v>0</x:v>
      </x:c>
    </x:row>
    <x:row r="1074" ht="44" customHeight="1">
      <x:c r="A1074" s="4" t="n">
        <x:v>1666</x:v>
      </x:c>
      <x:c r="B1074" s="4" t="str">
        <x:v>https://blog.skyairline.com/viajar-en-otono/</x:v>
      </x:c>
      <x:c r="C1074" s="9" t="str">
        <x:v>Vuelos baratos a Buenos Aires, viaja en otoño y disfruta de la ciudad</x:v>
      </x:c>
      <x:c r="D1074" s="17" t="d">
        <x:v>2026-04-23T00:00:00.000Z</x:v>
      </x:c>
      <x:c r="E1074" s="17" t="d">
        <x:v>2026-04-16T00:00:00.000Z</x:v>
      </x:c>
      <x:c r="F1074" s="4" t="str">
        <x:v>Destinos</x:v>
      </x:c>
      <x:c r="G1074" s="11" t="n">
        <x:v>1002</x:v>
      </x:c>
      <x:c r="H1074" s="11" t="n">
        <x:v>200</x:v>
      </x:c>
      <x:c r="I1074" s="11" t="n">
        <x:v>1</x:v>
      </x:c>
      <x:c r="J1074" s="4" t="str">
        <x:v>https://blog.skyairline.com/viajar-en-otono/</x:v>
      </x:c>
      <x:c r="K1074" s="16" t="b">
        <x:v>0</x:v>
      </x:c>
      <x:c r="L1074" s="11" t="n">
        <x:v>0</x:v>
      </x:c>
      <x:c r="M1074" s="11" t="n">
        <x:v>0</x:v>
      </x:c>
      <x:c r="N1074" s="4"/>
      <x:c r="O1074" s="4"/>
      <x:c r="P1074" s="11" t="n">
        <x:v>0</x:v>
      </x:c>
      <x:c r="Q1074" s="11" t="n">
        <x:v>0</x:v>
      </x:c>
      <x:c r="R1074" s="11" t="str">
        <x:f>IF(OR(P1074="",Q1074=""),"",Q1074-P1074)</x:f>
      </x:c>
      <x:c r="S1074" s="13" t="str">
        <x:f>IF(OR(P1074="",Q1074="",P1074=0),"",((Q1074/30)/(P1074/31))-1)</x:f>
      </x:c>
      <x:c r="T1074" s="11" t="n">
        <x:v>83</x:v>
      </x:c>
      <x:c r="U1074" s="11" t="n">
        <x:v>10</x:v>
      </x:c>
      <x:c r="V1074" s="14" t="n">
        <x:v>0</x:v>
      </x:c>
      <x:c r="W1074" s="12" t="n">
        <x:v>10.5</x:v>
      </x:c>
      <x:c r="X1074" s="11"/>
      <x:c r="Y1074" s="11"/>
      <x:c r="Z1074" s="4" t="str">
        <x:v>https://blog.skyairline.com/viajar-en-otono/</x:v>
      </x:c>
      <x:c r="AA1074" s="4" t="str">
        <x:v>https://blog.skyairline.com/viajar-en-otono/</x:v>
      </x:c>
      <x:c r="AB1074" s="4" t="str">
        <x:v>Coincidencia URL</x:v>
      </x:c>
      <x:c r="AC1074" s="4" t="str">
        <x:v>Publicado hasta septiembre</x:v>
      </x:c>
      <x:c r="AD1074" s="4"/>
      <x:c r="AE1074" s="4"/>
      <x:c r="AF1074" s="16" t="b">
        <x:v>0</x:v>
      </x:c>
    </x:row>
    <x:row r="1075" ht="44" customHeight="1">
      <x:c r="A1075" s="4" t="n">
        <x:v>1672</x:v>
      </x:c>
      <x:c r="B1075" s="4" t="str">
        <x:v>https://blog.skyairline.com/socializar-durante-un-viaje/</x:v>
      </x:c>
      <x:c r="C1075" s="9" t="str">
        <x:v>¿Cómo socializar más en tu próximo viaje?</x:v>
      </x:c>
      <x:c r="D1075" s="17" t="d">
        <x:v>2022-04-07T00:00:00.000Z</x:v>
      </x:c>
      <x:c r="E1075" s="17" t="d">
        <x:v>2022-04-07T00:00:00.000Z</x:v>
      </x:c>
      <x:c r="F1075" s="4" t="str">
        <x:v>Planificación de Viaje</x:v>
      </x:c>
      <x:c r="G1075" s="11" t="n">
        <x:v>959</x:v>
      </x:c>
      <x:c r="H1075" s="11" t="n">
        <x:v>200</x:v>
      </x:c>
      <x:c r="I1075" s="11" t="n">
        <x:v>1</x:v>
      </x:c>
      <x:c r="J1075" s="4" t="str">
        <x:v>https://blog.skyairline.com/socializar-durante-un-viaje/</x:v>
      </x:c>
      <x:c r="K1075" s="16" t="b">
        <x:v>0</x:v>
      </x:c>
      <x:c r="L1075" s="11" t="n">
        <x:v>0</x:v>
      </x:c>
      <x:c r="M1075" s="11" t="n">
        <x:v>0</x:v>
      </x:c>
      <x:c r="N1075" s="4"/>
      <x:c r="O1075" s="4"/>
      <x:c r="P1075" s="11" t="n">
        <x:v>0</x:v>
      </x:c>
      <x:c r="Q1075" s="11" t="n">
        <x:v>0</x:v>
      </x:c>
      <x:c r="R1075" s="11" t="str">
        <x:f>IF(OR(P1075="",Q1075=""),"",Q1075-P1075)</x:f>
      </x:c>
      <x:c r="S1075" s="13" t="str">
        <x:f>IF(OR(P1075="",Q1075="",P1075=0),"",((Q1075/30)/(P1075/31))-1)</x:f>
      </x:c>
      <x:c r="T1075" s="11" t="n">
        <x:v>14</x:v>
      </x:c>
      <x:c r="U1075" s="11" t="n">
        <x:v>12</x:v>
      </x:c>
      <x:c r="V1075" s="14" t="n">
        <x:v>0</x:v>
      </x:c>
      <x:c r="W1075" s="12" t="n">
        <x:v>10.666666666666666</x:v>
      </x:c>
      <x:c r="X1075" s="11"/>
      <x:c r="Y1075" s="11"/>
      <x:c r="Z1075" s="4" t="str">
        <x:v>https://blog.skyairline.com/socializar-durante-un-viaje/</x:v>
      </x:c>
      <x:c r="AA1075" s="4" t="str">
        <x:v>https://blog.skyairline.com/socializar-durante-un-viaje/</x:v>
      </x:c>
      <x:c r="AB1075" s="4" t="str">
        <x:v>Coincidencia URL</x:v>
      </x:c>
      <x:c r="AC1075" s="4" t="str">
        <x:v>Publicado hasta septiembre</x:v>
      </x:c>
      <x:c r="AD1075" s="4"/>
      <x:c r="AE1075" s="4"/>
      <x:c r="AF1075" s="16" t="b">
        <x:v>0</x:v>
      </x:c>
    </x:row>
    <x:row r="1076" ht="44" customHeight="1">
      <x:c r="A1076" s="4" t="n">
        <x:v>1675</x:v>
      </x:c>
      <x:c r="B1076" s="4" t="str">
        <x:v>https://blog.skyairline.com/preparativos-para-viajar-2/</x:v>
      </x:c>
      <x:c r="C1076" s="9" t="str">
        <x:v>Preparativos para viajar: 17 cosas que no puedes olvidar</x:v>
      </x:c>
      <x:c r="D1076" s="17" t="d">
        <x:v>2022-04-08T00:00:00.000Z</x:v>
      </x:c>
      <x:c r="E1076" s="17" t="d">
        <x:v>2022-04-08T00:00:00.000Z</x:v>
      </x:c>
      <x:c r="F1076" s="4" t="str">
        <x:v>Planificación de Viaje</x:v>
      </x:c>
      <x:c r="G1076" s="11" t="n">
        <x:v>1972</x:v>
      </x:c>
      <x:c r="H1076" s="11" t="n">
        <x:v>200</x:v>
      </x:c>
      <x:c r="I1076" s="11" t="n">
        <x:v>1</x:v>
      </x:c>
      <x:c r="J1076" s="4" t="str">
        <x:v>https://blog.skyairline.com/preparativos-para-viajar-2/</x:v>
      </x:c>
      <x:c r="K1076" s="16" t="b">
        <x:v>0</x:v>
      </x:c>
      <x:c r="L1076" s="11" t="n">
        <x:v>0</x:v>
      </x:c>
      <x:c r="M1076" s="11" t="n">
        <x:v>4</x:v>
      </x:c>
      <x:c r="N1076" s="4"/>
      <x:c r="O1076" s="4"/>
      <x:c r="P1076" s="11" t="n">
        <x:v>2</x:v>
      </x:c>
      <x:c r="Q1076" s="11" t="n">
        <x:v>0</x:v>
      </x:c>
      <x:c r="R1076" s="11" t="str">
        <x:f>IF(OR(P1076="",Q1076=""),"",Q1076-P1076)</x:f>
      </x:c>
      <x:c r="S1076" s="13" t="str">
        <x:f>IF(OR(P1076="",Q1076="",P1076=0),"",((Q1076/30)/(P1076/31))-1)</x:f>
      </x:c>
      <x:c r="T1076" s="11" t="n">
        <x:v>229</x:v>
      </x:c>
      <x:c r="U1076" s="11" t="n">
        <x:v>139</x:v>
      </x:c>
      <x:c r="V1076" s="14" t="n">
        <x:v>0</x:v>
      </x:c>
      <x:c r="W1076" s="12" t="n">
        <x:v>8.956834532374101</x:v>
      </x:c>
      <x:c r="X1076" s="11" t="n">
        <x:v>2</x:v>
      </x:c>
      <x:c r="Y1076" s="11" t="n">
        <x:v>3</x:v>
      </x:c>
      <x:c r="Z1076" s="4" t="str">
        <x:v>https://blog.skyairline.com/preparativos-para-viajar-2/</x:v>
      </x:c>
      <x:c r="AA1076" s="4" t="str">
        <x:v>https://blog.skyairline.com/preparativos-para-viajar-2/</x:v>
      </x:c>
      <x:c r="AB1076" s="4" t="str">
        <x:v>Coincidencia URL</x:v>
      </x:c>
      <x:c r="AC1076" s="4" t="str">
        <x:v>Publicado hasta septiembre</x:v>
      </x:c>
      <x:c r="AD1076" s="4" t="str">
        <x:v>/preparativos-para-viajar-2/</x:v>
      </x:c>
      <x:c r="AE1076" s="4"/>
      <x:c r="AF1076" s="16" t="b">
        <x:v>0</x:v>
      </x:c>
    </x:row>
    <x:row r="1077" ht="44" customHeight="1">
      <x:c r="A1077" s="4" t="n">
        <x:v>1681</x:v>
      </x:c>
      <x:c r="B1077" s="4" t="str">
        <x:v>https://blog.skyairline.com/visita-a-centros-historicos/</x:v>
      </x:c>
      <x:c r="C1077" s="9" t="str">
        <x:v>5 tips de seguridad al visitar centros históricos y lugares públicos en tiempos de COVID-19</x:v>
      </x:c>
      <x:c r="D1077" s="17" t="d">
        <x:v>2022-04-10T00:00:00.000Z</x:v>
      </x:c>
      <x:c r="E1077" s="17" t="d">
        <x:v>2022-04-10T00:00:00.000Z</x:v>
      </x:c>
      <x:c r="F1077" s="4" t="str">
        <x:v>Cultura</x:v>
      </x:c>
      <x:c r="G1077" s="11" t="n">
        <x:v>1044</x:v>
      </x:c>
      <x:c r="H1077" s="11" t="n">
        <x:v>200</x:v>
      </x:c>
      <x:c r="I1077" s="11" t="n">
        <x:v>1</x:v>
      </x:c>
      <x:c r="J1077" s="4" t="str">
        <x:v>https://blog.skyairline.com/visita-a-centros-historicos/</x:v>
      </x:c>
      <x:c r="K1077" s="16" t="b">
        <x:v>0</x:v>
      </x:c>
      <x:c r="L1077" s="11" t="n">
        <x:v>0</x:v>
      </x:c>
      <x:c r="M1077" s="11" t="n">
        <x:v>4</x:v>
      </x:c>
      <x:c r="N1077" s="4"/>
      <x:c r="O1077" s="4"/>
      <x:c r="P1077" s="11" t="n">
        <x:v>0</x:v>
      </x:c>
      <x:c r="Q1077" s="11" t="n">
        <x:v>0</x:v>
      </x:c>
      <x:c r="R1077" s="11" t="str">
        <x:f>IF(OR(P1077="",Q1077=""),"",Q1077-P1077)</x:f>
      </x:c>
      <x:c r="S1077" s="13" t="str">
        <x:f>IF(OR(P1077="",Q1077="",P1077=0),"",((Q1077/30)/(P1077/31))-1)</x:f>
      </x:c>
      <x:c r="T1077" s="11" t="n">
        <x:v>10</x:v>
      </x:c>
      <x:c r="U1077" s="11" t="n">
        <x:v>5</x:v>
      </x:c>
      <x:c r="V1077" s="14" t="n">
        <x:v>0</x:v>
      </x:c>
      <x:c r="W1077" s="12" t="n">
        <x:v>6.8</x:v>
      </x:c>
      <x:c r="X1077" s="11"/>
      <x:c r="Y1077" s="11"/>
      <x:c r="Z1077" s="4" t="str">
        <x:v>https://blog.skyairline.com/visita-a-centros-historicos/</x:v>
      </x:c>
      <x:c r="AA1077" s="4" t="str">
        <x:v>https://blog.skyairline.com/visita-a-centros-historicos/</x:v>
      </x:c>
      <x:c r="AB1077" s="4" t="str">
        <x:v>Coincidencia URL</x:v>
      </x:c>
      <x:c r="AC1077" s="4" t="str">
        <x:v>Publicado hasta septiembre</x:v>
      </x:c>
      <x:c r="AD1077" s="4"/>
      <x:c r="AE1077" s="4"/>
      <x:c r="AF1077" s="16" t="b">
        <x:v>0</x:v>
      </x:c>
    </x:row>
    <x:row r="1078" ht="44" customHeight="1">
      <x:c r="A1078" s="4" t="n">
        <x:v>1684</x:v>
      </x:c>
      <x:c r="B1078" s="4" t="str">
        <x:v>https://blog.skyairline.com/deportes-y-actividades-fisicas/</x:v>
      </x:c>
      <x:c r="C1078" s="9" t="str">
        <x:v>Turismo activo: actividades para disfrutar de tus vacaciones en movimiento</x:v>
      </x:c>
      <x:c r="D1078" s="17" t="d">
        <x:v>2026-10-14T00:00:00.000Z</x:v>
      </x:c>
      <x:c r="E1078" s="17" t="d">
        <x:v>2026-10-05T00:00:00.000Z</x:v>
      </x:c>
      <x:c r="F1078" s="4" t="str">
        <x:v>Planificación de Viaje</x:v>
      </x:c>
      <x:c r="G1078" s="11" t="n">
        <x:v>1150</x:v>
      </x:c>
      <x:c r="H1078" s="11" t="n">
        <x:v>200</x:v>
      </x:c>
      <x:c r="I1078" s="11" t="n">
        <x:v>1</x:v>
      </x:c>
      <x:c r="J1078" s="4" t="str">
        <x:v>https://blog.skyairline.com/deportes-y-actividades-fisicas/</x:v>
      </x:c>
      <x:c r="K1078" s="16" t="b">
        <x:v>0</x:v>
      </x:c>
      <x:c r="L1078" s="11" t="n">
        <x:v>0</x:v>
      </x:c>
      <x:c r="M1078" s="11" t="n">
        <x:v>0</x:v>
      </x:c>
      <x:c r="N1078" s="4"/>
      <x:c r="O1078" s="4"/>
      <x:c r="P1078" s="11" t="n">
        <x:v>0</x:v>
      </x:c>
      <x:c r="Q1078" s="11" t="n">
        <x:v>0</x:v>
      </x:c>
      <x:c r="R1078" s="11" t="str">
        <x:f>IF(OR(P1078="",Q1078=""),"",Q1078-P1078)</x:f>
      </x:c>
      <x:c r="S1078" s="13" t="str">
        <x:f>IF(OR(P1078="",Q1078="",P1078=0),"",((Q1078/30)/(P1078/31))-1)</x:f>
      </x:c>
      <x:c r="T1078" s="11" t="n">
        <x:v>66</x:v>
      </x:c>
      <x:c r="U1078" s="11" t="n">
        <x:v>42</x:v>
      </x:c>
      <x:c r="V1078" s="14" t="n">
        <x:v>0</x:v>
      </x:c>
      <x:c r="W1078" s="12" t="n">
        <x:v>19.595238095238095</x:v>
      </x:c>
      <x:c r="X1078" s="11"/>
      <x:c r="Y1078" s="11"/>
      <x:c r="Z1078" s="4" t="str">
        <x:v>https://blog.skyairline.com/deportes-y-actividades-fisicas/</x:v>
      </x:c>
      <x:c r="AA1078" s="4" t="str">
        <x:v>https://blog.skyairline.com/deportes-y-actividades-fisicas/</x:v>
      </x:c>
      <x:c r="AB1078" s="4" t="str">
        <x:v>Coincidencia URL</x:v>
      </x:c>
      <x:c r="AC1078" s="4" t="str">
        <x:v>Publicado después del mes</x:v>
      </x:c>
      <x:c r="AD1078" s="4"/>
      <x:c r="AE1078" s="4"/>
      <x:c r="AF1078" s="16" t="b">
        <x:v>0</x:v>
      </x:c>
    </x:row>
    <x:row r="1079" ht="44" customHeight="1">
      <x:c r="A1079" s="4" t="n">
        <x:v>1709</x:v>
      </x:c>
      <x:c r="B1079" s="4" t="str">
        <x:v>https://blog.skyairline.com/vida-nocturna-en-miami/</x:v>
      </x:c>
      <x:c r="C1079" s="9" t="str">
        <x:v>¿Vida nocturna en Miami? ¡Hay mucho para escoger!</x:v>
      </x:c>
      <x:c r="D1079" s="17" t="d">
        <x:v>2022-04-18T00:00:00.000Z</x:v>
      </x:c>
      <x:c r="E1079" s="17" t="d">
        <x:v>2022-04-18T00:00:00.000Z</x:v>
      </x:c>
      <x:c r="F1079" s="4" t="str">
        <x:v>Cultura</x:v>
      </x:c>
      <x:c r="G1079" s="11" t="n">
        <x:v>1036</x:v>
      </x:c>
      <x:c r="H1079" s="11" t="n">
        <x:v>200</x:v>
      </x:c>
      <x:c r="I1079" s="11" t="n">
        <x:v>1</x:v>
      </x:c>
      <x:c r="J1079" s="4" t="str">
        <x:v>https://blog.skyairline.com/vida-nocturna-en-miami/</x:v>
      </x:c>
      <x:c r="K1079" s="16" t="b">
        <x:v>0</x:v>
      </x:c>
      <x:c r="L1079" s="11" t="n">
        <x:v>0</x:v>
      </x:c>
      <x:c r="M1079" s="11" t="n">
        <x:v>5</x:v>
      </x:c>
      <x:c r="N1079" s="4"/>
      <x:c r="O1079" s="4"/>
      <x:c r="P1079" s="11" t="n">
        <x:v>0</x:v>
      </x:c>
      <x:c r="Q1079" s="11" t="n">
        <x:v>0</x:v>
      </x:c>
      <x:c r="R1079" s="11" t="str">
        <x:f>IF(OR(P1079="",Q1079=""),"",Q1079-P1079)</x:f>
      </x:c>
      <x:c r="S1079" s="13" t="str">
        <x:f>IF(OR(P1079="",Q1079="",P1079=0),"",((Q1079/30)/(P1079/31))-1)</x:f>
      </x:c>
      <x:c r="T1079" s="11" t="n">
        <x:v>23</x:v>
      </x:c>
      <x:c r="U1079" s="11" t="n">
        <x:v>10</x:v>
      </x:c>
      <x:c r="V1079" s="14" t="n">
        <x:v>0</x:v>
      </x:c>
      <x:c r="W1079" s="12" t="n">
        <x:v>21</x:v>
      </x:c>
      <x:c r="X1079" s="11"/>
      <x:c r="Y1079" s="11"/>
      <x:c r="Z1079" s="4" t="str">
        <x:v>https://blog.skyairline.com/vida-nocturna-en-miami/</x:v>
      </x:c>
      <x:c r="AA1079" s="4" t="str">
        <x:v>https://blog.skyairline.com/vida-nocturna-en-miami/</x:v>
      </x:c>
      <x:c r="AB1079" s="4" t="str">
        <x:v>Coincidencia URL</x:v>
      </x:c>
      <x:c r="AC1079" s="4" t="str">
        <x:v>Publicado hasta septiembre</x:v>
      </x:c>
      <x:c r="AD1079" s="4"/>
      <x:c r="AE1079" s="4"/>
      <x:c r="AF1079" s="16" t="b">
        <x:v>0</x:v>
      </x:c>
    </x:row>
    <x:row r="1080" ht="44" customHeight="1">
      <x:c r="A1080" s="4" t="n">
        <x:v>1716</x:v>
      </x:c>
      <x:c r="B1080" s="4" t="str">
        <x:v>https://blog.skyairline.com/tips-para-tener-un-viaje-de-descanso/</x:v>
      </x:c>
      <x:c r="C1080" s="9" t="str">
        <x:v>6 tips para que realmente tengas un viaje de descanso</x:v>
      </x:c>
      <x:c r="D1080" s="17" t="d">
        <x:v>2022-04-16T00:00:00.000Z</x:v>
      </x:c>
      <x:c r="E1080" s="17" t="d">
        <x:v>2022-04-16T00:00:00.000Z</x:v>
      </x:c>
      <x:c r="F1080" s="4" t="str">
        <x:v>Planificación de Viaje</x:v>
      </x:c>
      <x:c r="G1080" s="11" t="n">
        <x:v>1039</x:v>
      </x:c>
      <x:c r="H1080" s="11" t="n">
        <x:v>200</x:v>
      </x:c>
      <x:c r="I1080" s="11" t="n">
        <x:v>1</x:v>
      </x:c>
      <x:c r="J1080" s="4" t="str">
        <x:v>https://blog.skyairline.com/tips-para-tener-un-viaje-de-descanso/</x:v>
      </x:c>
      <x:c r="K1080" s="16" t="b">
        <x:v>0</x:v>
      </x:c>
      <x:c r="L1080" s="11" t="n">
        <x:v>0</x:v>
      </x:c>
      <x:c r="M1080" s="11" t="n">
        <x:v>4</x:v>
      </x:c>
      <x:c r="N1080" s="4"/>
      <x:c r="O1080" s="4"/>
      <x:c r="P1080" s="11" t="n">
        <x:v>1</x:v>
      </x:c>
      <x:c r="Q1080" s="11" t="n">
        <x:v>0</x:v>
      </x:c>
      <x:c r="R1080" s="11" t="str">
        <x:f>IF(OR(P1080="",Q1080=""),"",Q1080-P1080)</x:f>
      </x:c>
      <x:c r="S1080" s="13" t="str">
        <x:f>IF(OR(P1080="",Q1080="",P1080=0),"",((Q1080/30)/(P1080/31))-1)</x:f>
      </x:c>
      <x:c r="T1080" s="11" t="n">
        <x:v>129</x:v>
      </x:c>
      <x:c r="U1080" s="11" t="n">
        <x:v>7</x:v>
      </x:c>
      <x:c r="V1080" s="14" t="n">
        <x:v>0</x:v>
      </x:c>
      <x:c r="W1080" s="12" t="n">
        <x:v>7.857142857142857</x:v>
      </x:c>
      <x:c r="X1080" s="11"/>
      <x:c r="Y1080" s="11"/>
      <x:c r="Z1080" s="4" t="str">
        <x:v>https://blog.skyairline.com/tips-para-tener-un-viaje-de-descanso/</x:v>
      </x:c>
      <x:c r="AA1080" s="4" t="str">
        <x:v>https://blog.skyairline.com/tips-para-tener-un-viaje-de-descanso/</x:v>
      </x:c>
      <x:c r="AB1080" s="4" t="str">
        <x:v>Coincidencia URL</x:v>
      </x:c>
      <x:c r="AC1080" s="4" t="str">
        <x:v>Publicado hasta septiembre</x:v>
      </x:c>
      <x:c r="AD1080" s="4"/>
      <x:c r="AE1080" s="4"/>
      <x:c r="AF1080" s="16" t="b">
        <x:v>0</x:v>
      </x:c>
    </x:row>
    <x:row r="1081" ht="44" customHeight="1">
      <x:c r="A1081" s="4" t="n">
        <x:v>1722</x:v>
      </x:c>
      <x:c r="B1081" s="4" t="str">
        <x:v>https://blog.skyairline.com/combatir-el-jet-lag/</x:v>
      </x:c>
      <x:c r="C1081" s="9" t="str">
        <x:v>9 maneras de combatir el jet lag</x:v>
      </x:c>
      <x:c r="D1081" s="17" t="d">
        <x:v>2022-04-17T00:00:00.000Z</x:v>
      </x:c>
      <x:c r="E1081" s="17" t="d">
        <x:v>2022-04-17T00:00:00.000Z</x:v>
      </x:c>
      <x:c r="F1081" s="4" t="str">
        <x:v>Planificación de Viaje</x:v>
      </x:c>
      <x:c r="G1081" s="11" t="n">
        <x:v>1086</x:v>
      </x:c>
      <x:c r="H1081" s="11" t="n">
        <x:v>200</x:v>
      </x:c>
      <x:c r="I1081" s="11" t="n">
        <x:v>1</x:v>
      </x:c>
      <x:c r="J1081" s="4" t="str">
        <x:v>https://blog.skyairline.com/combatir-el-jet-lag/</x:v>
      </x:c>
      <x:c r="K1081" s="16" t="b">
        <x:v>0</x:v>
      </x:c>
      <x:c r="L1081" s="11" t="n">
        <x:v>0</x:v>
      </x:c>
      <x:c r="M1081" s="11" t="n">
        <x:v>5</x:v>
      </x:c>
      <x:c r="N1081" s="4"/>
      <x:c r="O1081" s="4"/>
      <x:c r="P1081" s="11" t="n">
        <x:v>0</x:v>
      </x:c>
      <x:c r="Q1081" s="11" t="n">
        <x:v>0</x:v>
      </x:c>
      <x:c r="R1081" s="11" t="str">
        <x:f>IF(OR(P1081="",Q1081=""),"",Q1081-P1081)</x:f>
      </x:c>
      <x:c r="S1081" s="13" t="str">
        <x:f>IF(OR(P1081="",Q1081="",P1081=0),"",((Q1081/30)/(P1081/31))-1)</x:f>
      </x:c>
      <x:c r="T1081" s="11" t="n">
        <x:v>60</x:v>
      </x:c>
      <x:c r="U1081" s="11" t="n">
        <x:v>52</x:v>
      </x:c>
      <x:c r="V1081" s="14" t="n">
        <x:v>0</x:v>
      </x:c>
      <x:c r="W1081" s="12" t="n">
        <x:v>32.69230769230769</x:v>
      </x:c>
      <x:c r="X1081" s="11"/>
      <x:c r="Y1081" s="11"/>
      <x:c r="Z1081" s="4" t="str">
        <x:v>https://blog.skyairline.com/combatir-el-jet-lag/</x:v>
      </x:c>
      <x:c r="AA1081" s="4" t="str">
        <x:v>https://blog.skyairline.com/combatir-el-jet-lag/</x:v>
      </x:c>
      <x:c r="AB1081" s="4" t="str">
        <x:v>Coincidencia URL</x:v>
      </x:c>
      <x:c r="AC1081" s="4" t="str">
        <x:v>Publicado hasta septiembre</x:v>
      </x:c>
      <x:c r="AD1081" s="4"/>
      <x:c r="AE1081" s="4"/>
      <x:c r="AF1081" s="16" t="b">
        <x:v>0</x:v>
      </x:c>
    </x:row>
    <x:row r="1082" ht="44" customHeight="1">
      <x:c r="A1082" s="4" t="n">
        <x:v>1730</x:v>
      </x:c>
      <x:c r="B1082" s="4" t="str">
        <x:v>https://blog.skyairline.com/vuelo-a-miami/</x:v>
      </x:c>
      <x:c r="C1082" s="9" t="str">
        <x:v>¿Qué hacer en Miami? Guía para que tu viaje sea inolvidable</x:v>
      </x:c>
      <x:c r="D1082" s="17" t="d">
        <x:v>2025-10-30T00:00:00.000Z</x:v>
      </x:c>
      <x:c r="E1082" s="17" t="d">
        <x:v>2026-01-12T00:00:00.000Z</x:v>
      </x:c>
      <x:c r="F1082" s="4" t="str">
        <x:v>Destinos</x:v>
      </x:c>
      <x:c r="G1082" s="11" t="n">
        <x:v>1462</x:v>
      </x:c>
      <x:c r="H1082" s="11" t="n">
        <x:v>200</x:v>
      </x:c>
      <x:c r="I1082" s="11" t="n">
        <x:v>1</x:v>
      </x:c>
      <x:c r="J1082" s="4" t="str">
        <x:v>https://blog.skyairline.com/vuelo-a-miami/</x:v>
      </x:c>
      <x:c r="K1082" s="16" t="b">
        <x:v>0</x:v>
      </x:c>
      <x:c r="L1082" s="11" t="n">
        <x:v>0</x:v>
      </x:c>
      <x:c r="M1082" s="11" t="n">
        <x:v>0</x:v>
      </x:c>
      <x:c r="N1082" s="4"/>
      <x:c r="O1082" s="4"/>
      <x:c r="P1082" s="11" t="n">
        <x:v>0</x:v>
      </x:c>
      <x:c r="Q1082" s="11" t="n">
        <x:v>0</x:v>
      </x:c>
      <x:c r="R1082" s="11" t="str">
        <x:f>IF(OR(P1082="",Q1082=""),"",Q1082-P1082)</x:f>
      </x:c>
      <x:c r="S1082" s="13" t="str">
        <x:f>IF(OR(P1082="",Q1082="",P1082=0),"",((Q1082/30)/(P1082/31))-1)</x:f>
      </x:c>
      <x:c r="T1082" s="11" t="n">
        <x:v>148</x:v>
      </x:c>
      <x:c r="U1082" s="11" t="n">
        <x:v>14</x:v>
      </x:c>
      <x:c r="V1082" s="14" t="n">
        <x:v>0</x:v>
      </x:c>
      <x:c r="W1082" s="12" t="n">
        <x:v>48</x:v>
      </x:c>
      <x:c r="X1082" s="11"/>
      <x:c r="Y1082" s="11"/>
      <x:c r="Z1082" s="4" t="str">
        <x:v>https://blog.skyairline.com/vuelo-a-miami/</x:v>
      </x:c>
      <x:c r="AA1082" s="4" t="str">
        <x:v>https://blog.skyairline.com/vuelo-a-miami/</x:v>
      </x:c>
      <x:c r="AB1082" s="4" t="str">
        <x:v>Coincidencia URL</x:v>
      </x:c>
      <x:c r="AC1082" s="4" t="str">
        <x:v>Publicado hasta septiembre</x:v>
      </x:c>
      <x:c r="AD1082" s="4"/>
      <x:c r="AE1082" s="4"/>
      <x:c r="AF1082" s="16" t="b">
        <x:v>0</x:v>
      </x:c>
    </x:row>
    <x:row r="1083" ht="44" customHeight="1">
      <x:c r="A1083" s="4" t="n">
        <x:v>1733</x:v>
      </x:c>
      <x:c r="B1083" s="4" t="str">
        <x:v>https://blog.skyairline.com/conducir-en-miami/</x:v>
      </x:c>
      <x:c r="C1083" s="9" t="str">
        <x:v>Cosas que debes saber para todo turista para conducir en Miami</x:v>
      </x:c>
      <x:c r="D1083" s="17" t="d">
        <x:v>2022-04-21T00:00:00.000Z</x:v>
      </x:c>
      <x:c r="E1083" s="17" t="d">
        <x:v>2022-04-21T00:00:00.000Z</x:v>
      </x:c>
      <x:c r="F1083" s="4" t="str">
        <x:v>Destinos</x:v>
      </x:c>
      <x:c r="G1083" s="11" t="n">
        <x:v>1015</x:v>
      </x:c>
      <x:c r="H1083" s="11" t="n">
        <x:v>200</x:v>
      </x:c>
      <x:c r="I1083" s="11" t="n">
        <x:v>1</x:v>
      </x:c>
      <x:c r="J1083" s="4" t="str">
        <x:v>https://blog.skyairline.com/conducir-en-miami/</x:v>
      </x:c>
      <x:c r="K1083" s="16" t="b">
        <x:v>0</x:v>
      </x:c>
      <x:c r="L1083" s="11" t="n">
        <x:v>0</x:v>
      </x:c>
      <x:c r="M1083" s="11" t="n">
        <x:v>3</x:v>
      </x:c>
      <x:c r="N1083" s="4"/>
      <x:c r="O1083" s="4"/>
      <x:c r="P1083" s="11" t="n">
        <x:v>3</x:v>
      </x:c>
      <x:c r="Q1083" s="11" t="n">
        <x:v>0</x:v>
      </x:c>
      <x:c r="R1083" s="11" t="str">
        <x:f>IF(OR(P1083="",Q1083=""),"",Q1083-P1083)</x:f>
      </x:c>
      <x:c r="S1083" s="13" t="str">
        <x:f>IF(OR(P1083="",Q1083="",P1083=0),"",((Q1083/30)/(P1083/31))-1)</x:f>
      </x:c>
      <x:c r="T1083" s="11" t="n">
        <x:v>620</x:v>
      </x:c>
      <x:c r="U1083" s="11" t="n">
        <x:v>287</x:v>
      </x:c>
      <x:c r="V1083" s="14" t="n">
        <x:v>0</x:v>
      </x:c>
      <x:c r="W1083" s="12" t="n">
        <x:v>20.578397212543553</x:v>
      </x:c>
      <x:c r="X1083" s="11"/>
      <x:c r="Y1083" s="11"/>
      <x:c r="Z1083" s="4" t="str">
        <x:v>https://blog.skyairline.com/conducir-en-miami/</x:v>
      </x:c>
      <x:c r="AA1083" s="4" t="str">
        <x:v>https://blog.skyairline.com/conducir-en-miami/</x:v>
      </x:c>
      <x:c r="AB1083" s="4" t="str">
        <x:v>Coincidencia URL</x:v>
      </x:c>
      <x:c r="AC1083" s="4" t="str">
        <x:v>Publicado hasta septiembre</x:v>
      </x:c>
      <x:c r="AD1083" s="4"/>
      <x:c r="AE1083" s="4"/>
      <x:c r="AF1083" s="16" t="b">
        <x:v>0</x:v>
      </x:c>
    </x:row>
    <x:row r="1084" ht="44" customHeight="1">
      <x:c r="A1084" s="4" t="n">
        <x:v>1736</x:v>
      </x:c>
      <x:c r="B1084" s="4" t="str">
        <x:v>https://blog.skyairline.com/visita-a-un-museo/</x:v>
      </x:c>
      <x:c r="C1084" s="9" t="str">
        <x:v>5 consejos para aprovechar al máximo la visita a un museo</x:v>
      </x:c>
      <x:c r="D1084" s="17" t="d">
        <x:v>2022-04-22T00:00:00.000Z</x:v>
      </x:c>
      <x:c r="E1084" s="17" t="d">
        <x:v>2022-04-22T00:00:00.000Z</x:v>
      </x:c>
      <x:c r="F1084" s="4" t="str">
        <x:v>Cultura</x:v>
      </x:c>
      <x:c r="G1084" s="11" t="n">
        <x:v>980</x:v>
      </x:c>
      <x:c r="H1084" s="11" t="n">
        <x:v>200</x:v>
      </x:c>
      <x:c r="I1084" s="11" t="n">
        <x:v>1</x:v>
      </x:c>
      <x:c r="J1084" s="4" t="str">
        <x:v>https://blog.skyairline.com/visita-a-un-museo/</x:v>
      </x:c>
      <x:c r="K1084" s="16" t="b">
        <x:v>0</x:v>
      </x:c>
      <x:c r="L1084" s="11" t="n">
        <x:v>0</x:v>
      </x:c>
      <x:c r="M1084" s="11" t="n">
        <x:v>4</x:v>
      </x:c>
      <x:c r="N1084" s="4"/>
      <x:c r="O1084" s="4"/>
      <x:c r="P1084" s="11" t="n">
        <x:v>0</x:v>
      </x:c>
      <x:c r="Q1084" s="11" t="n">
        <x:v>0</x:v>
      </x:c>
      <x:c r="R1084" s="11" t="str">
        <x:f>IF(OR(P1084="",Q1084=""),"",Q1084-P1084)</x:f>
      </x:c>
      <x:c r="S1084" s="13" t="str">
        <x:f>IF(OR(P1084="",Q1084="",P1084=0),"",((Q1084/30)/(P1084/31))-1)</x:f>
      </x:c>
      <x:c r="T1084" s="11" t="n">
        <x:v>15</x:v>
      </x:c>
      <x:c r="U1084" s="11" t="n">
        <x:v>23</x:v>
      </x:c>
      <x:c r="V1084" s="14" t="n">
        <x:v>0</x:v>
      </x:c>
      <x:c r="W1084" s="12" t="n">
        <x:v>8.434782608695652</x:v>
      </x:c>
      <x:c r="X1084" s="11"/>
      <x:c r="Y1084" s="11"/>
      <x:c r="Z1084" s="4" t="str">
        <x:v>https://blog.skyairline.com/visita-a-un-museo/</x:v>
      </x:c>
      <x:c r="AA1084" s="4" t="str">
        <x:v>https://blog.skyairline.com/visita-a-un-museo/</x:v>
      </x:c>
      <x:c r="AB1084" s="4" t="str">
        <x:v>Coincidencia URL</x:v>
      </x:c>
      <x:c r="AC1084" s="4" t="str">
        <x:v>Publicado hasta septiembre</x:v>
      </x:c>
      <x:c r="AD1084" s="4"/>
      <x:c r="AE1084" s="4"/>
      <x:c r="AF1084" s="16" t="b">
        <x:v>0</x:v>
      </x:c>
    </x:row>
    <x:row r="1085" ht="44" customHeight="1">
      <x:c r="A1085" s="4" t="n">
        <x:v>1745</x:v>
      </x:c>
      <x:c r="B1085" s="4" t="str">
        <x:v>https://blog.skyairline.com/area-costera-protegida-punta-curinanco/</x:v>
      </x:c>
      <x:c r="C1085" s="9" t="str">
        <x:v>Área Costera Protegida: Punta Curiñanco, Un lugar imperdible en Valdivia</x:v>
      </x:c>
      <x:c r="D1085" s="17" t="d">
        <x:v>2022-04-25T00:00:00.000Z</x:v>
      </x:c>
      <x:c r="E1085" s="17" t="d">
        <x:v>2022-04-25T00:00:00.000Z</x:v>
      </x:c>
      <x:c r="F1085" s="4" t="str">
        <x:v>Destinos</x:v>
      </x:c>
      <x:c r="G1085" s="11" t="n">
        <x:v>965</x:v>
      </x:c>
      <x:c r="H1085" s="11" t="n">
        <x:v>200</x:v>
      </x:c>
      <x:c r="I1085" s="11" t="n">
        <x:v>1</x:v>
      </x:c>
      <x:c r="J1085" s="4" t="str">
        <x:v>https://blog.skyairline.com/area-costera-protegida-punta-curinanco/</x:v>
      </x:c>
      <x:c r="K1085" s="16" t="b">
        <x:v>0</x:v>
      </x:c>
      <x:c r="L1085" s="11" t="n">
        <x:v>0</x:v>
      </x:c>
      <x:c r="M1085" s="11" t="n">
        <x:v>3</x:v>
      </x:c>
      <x:c r="N1085" s="4"/>
      <x:c r="O1085" s="4"/>
      <x:c r="P1085" s="11" t="n">
        <x:v>0</x:v>
      </x:c>
      <x:c r="Q1085" s="11" t="n">
        <x:v>0</x:v>
      </x:c>
      <x:c r="R1085" s="11" t="str">
        <x:f>IF(OR(P1085="",Q1085=""),"",Q1085-P1085)</x:f>
      </x:c>
      <x:c r="S1085" s="13" t="str">
        <x:f>IF(OR(P1085="",Q1085="",P1085=0),"",((Q1085/30)/(P1085/31))-1)</x:f>
      </x:c>
      <x:c r="T1085" s="11" t="n">
        <x:v>58</x:v>
      </x:c>
      <x:c r="U1085" s="11" t="n">
        <x:v>51</x:v>
      </x:c>
      <x:c r="V1085" s="14" t="n">
        <x:v>0</x:v>
      </x:c>
      <x:c r="W1085" s="12" t="n">
        <x:v>18.098039215686274</x:v>
      </x:c>
      <x:c r="X1085" s="11"/>
      <x:c r="Y1085" s="11"/>
      <x:c r="Z1085" s="4" t="str">
        <x:v>https://blog.skyairline.com/area-costera-protegida-punta-curinanco/</x:v>
      </x:c>
      <x:c r="AA1085" s="4" t="str">
        <x:v>https://blog.skyairline.com/area-costera-protegida-punta-curinanco/</x:v>
      </x:c>
      <x:c r="AB1085" s="4" t="str">
        <x:v>Coincidencia URL</x:v>
      </x:c>
      <x:c r="AC1085" s="4" t="str">
        <x:v>Publicado hasta septiembre</x:v>
      </x:c>
      <x:c r="AD1085" s="4"/>
      <x:c r="AE1085" s="4"/>
      <x:c r="AF1085" s="16" t="b">
        <x:v>0</x:v>
      </x:c>
    </x:row>
    <x:row r="1086" ht="44" customHeight="1">
      <x:c r="A1086" s="4" t="n">
        <x:v>1751</x:v>
      </x:c>
      <x:c r="B1086" s="4" t="str">
        <x:v>https://blog.skyairline.com/dia-de-playa/</x:v>
      </x:c>
      <x:c r="C1086" s="9" t="str">
        <x:v>6 tips básicos para disfrutar al máximo un día de playa</x:v>
      </x:c>
      <x:c r="D1086" s="17" t="d">
        <x:v>2022-04-27T00:00:00.000Z</x:v>
      </x:c>
      <x:c r="E1086" s="17" t="d">
        <x:v>2022-04-27T00:00:00.000Z</x:v>
      </x:c>
      <x:c r="F1086" s="4" t="str">
        <x:v>Planificación de Viaje</x:v>
      </x:c>
      <x:c r="G1086" s="11" t="n">
        <x:v>1029</x:v>
      </x:c>
      <x:c r="H1086" s="11" t="n">
        <x:v>200</x:v>
      </x:c>
      <x:c r="I1086" s="11" t="n">
        <x:v>1</x:v>
      </x:c>
      <x:c r="J1086" s="4" t="str">
        <x:v>https://blog.skyairline.com/dia-de-playa/</x:v>
      </x:c>
      <x:c r="K1086" s="16" t="b">
        <x:v>0</x:v>
      </x:c>
      <x:c r="L1086" s="11" t="n">
        <x:v>0</x:v>
      </x:c>
      <x:c r="M1086" s="11" t="n">
        <x:v>4</x:v>
      </x:c>
      <x:c r="N1086" s="4"/>
      <x:c r="O1086" s="4"/>
      <x:c r="P1086" s="11" t="n">
        <x:v>0</x:v>
      </x:c>
      <x:c r="Q1086" s="11" t="n">
        <x:v>0</x:v>
      </x:c>
      <x:c r="R1086" s="11" t="str">
        <x:f>IF(OR(P1086="",Q1086=""),"",Q1086-P1086)</x:f>
      </x:c>
      <x:c r="S1086" s="13" t="str">
        <x:f>IF(OR(P1086="",Q1086="",P1086=0),"",((Q1086/30)/(P1086/31))-1)</x:f>
      </x:c>
      <x:c r="T1086" s="11" t="n">
        <x:v>191</x:v>
      </x:c>
      <x:c r="U1086" s="11" t="n">
        <x:v>138</x:v>
      </x:c>
      <x:c r="V1086" s="14" t="n">
        <x:v>0</x:v>
      </x:c>
      <x:c r="W1086" s="12" t="n">
        <x:v>11.797101449275363</x:v>
      </x:c>
      <x:c r="X1086" s="11" t="n">
        <x:v>1</x:v>
      </x:c>
      <x:c r="Y1086" s="11" t="n">
        <x:v>1</x:v>
      </x:c>
      <x:c r="Z1086" s="4" t="str">
        <x:v>https://blog.skyairline.com/dia-de-playa/</x:v>
      </x:c>
      <x:c r="AA1086" s="4" t="str">
        <x:v>https://blog.skyairline.com/dia-de-playa/</x:v>
      </x:c>
      <x:c r="AB1086" s="4" t="str">
        <x:v>Coincidencia URL</x:v>
      </x:c>
      <x:c r="AC1086" s="4" t="str">
        <x:v>Publicado hasta septiembre</x:v>
      </x:c>
      <x:c r="AD1086" s="4" t="str">
        <x:v>/dia-de-playa/</x:v>
      </x:c>
      <x:c r="AE1086" s="4"/>
      <x:c r="AF1086" s="16" t="b">
        <x:v>0</x:v>
      </x:c>
    </x:row>
    <x:row r="1087" ht="44" customHeight="1">
      <x:c r="A1087" s="4" t="n">
        <x:v>1760</x:v>
      </x:c>
      <x:c r="B1087" s="4" t="str">
        <x:v>https://blog.skyairline.com/relajarse-antes-de-viajar/</x:v>
      </x:c>
      <x:c r="C1087" s="9" t="str">
        <x:v>8 cosas que puedes hacer el día anterior para relajarte antes de tu viaje</x:v>
      </x:c>
      <x:c r="D1087" s="17" t="d">
        <x:v>2022-04-29T00:00:00.000Z</x:v>
      </x:c>
      <x:c r="E1087" s="17" t="d">
        <x:v>2022-04-29T00:00:00.000Z</x:v>
      </x:c>
      <x:c r="F1087" s="4" t="str">
        <x:v>Planificación de Viaje</x:v>
      </x:c>
      <x:c r="G1087" s="11" t="n">
        <x:v>1017</x:v>
      </x:c>
      <x:c r="H1087" s="11" t="n">
        <x:v>200</x:v>
      </x:c>
      <x:c r="I1087" s="11" t="n">
        <x:v>1</x:v>
      </x:c>
      <x:c r="J1087" s="4" t="str">
        <x:v>https://blog.skyairline.com/relajarse-antes-de-viajar/</x:v>
      </x:c>
      <x:c r="K1087" s="16" t="b">
        <x:v>0</x:v>
      </x:c>
      <x:c r="L1087" s="11" t="n">
        <x:v>0</x:v>
      </x:c>
      <x:c r="M1087" s="11" t="n">
        <x:v>4</x:v>
      </x:c>
      <x:c r="N1087" s="4"/>
      <x:c r="O1087" s="4"/>
      <x:c r="P1087" s="11" t="n">
        <x:v>4</x:v>
      </x:c>
      <x:c r="Q1087" s="11" t="n">
        <x:v>0</x:v>
      </x:c>
      <x:c r="R1087" s="11" t="str">
        <x:f>IF(OR(P1087="",Q1087=""),"",Q1087-P1087)</x:f>
      </x:c>
      <x:c r="S1087" s="13" t="str">
        <x:f>IF(OR(P1087="",Q1087="",P1087=0),"",((Q1087/30)/(P1087/31))-1)</x:f>
      </x:c>
      <x:c r="T1087" s="11" t="n">
        <x:v>175</x:v>
      </x:c>
      <x:c r="U1087" s="11" t="n">
        <x:v>540</x:v>
      </x:c>
      <x:c r="V1087" s="14" t="n">
        <x:v>0</x:v>
      </x:c>
      <x:c r="W1087" s="12" t="n">
        <x:v>8.555555555555555</x:v>
      </x:c>
      <x:c r="X1087" s="11" t="n">
        <x:v>4</x:v>
      </x:c>
      <x:c r="Y1087" s="11" t="n">
        <x:v>5</x:v>
      </x:c>
      <x:c r="Z1087" s="4" t="str">
        <x:v>https://blog.skyairline.com/relajarse-antes-de-viajar/</x:v>
      </x:c>
      <x:c r="AA1087" s="4" t="str">
        <x:v>https://blog.skyairline.com/relajarse-antes-de-viajar/</x:v>
      </x:c>
      <x:c r="AB1087" s="4" t="str">
        <x:v>Coincidencia URL</x:v>
      </x:c>
      <x:c r="AC1087" s="4" t="str">
        <x:v>Publicado hasta septiembre</x:v>
      </x:c>
      <x:c r="AD1087" s="4" t="str">
        <x:v>/relajarse-antes-de-viajar/</x:v>
      </x:c>
      <x:c r="AE1087" s="4"/>
      <x:c r="AF1087" s="16" t="b">
        <x:v>0</x:v>
      </x:c>
    </x:row>
    <x:row r="1088" ht="44" customHeight="1">
      <x:c r="A1088" s="4" t="n">
        <x:v>1763</x:v>
      </x:c>
      <x:c r="B1088" s="4" t="str">
        <x:v>https://blog.skyairline.com/viajar-a-europa/</x:v>
      </x:c>
      <x:c r="C1088" s="9" t="str">
        <x:v>Viajar a Europa o dentro de Latinoamérica: ventajas de cada opción</x:v>
      </x:c>
      <x:c r="D1088" s="17" t="d">
        <x:v>2022-04-30T00:00:00.000Z</x:v>
      </x:c>
      <x:c r="E1088" s="17" t="d">
        <x:v>2022-04-30T00:00:00.000Z</x:v>
      </x:c>
      <x:c r="F1088" s="4" t="str">
        <x:v>Destinos</x:v>
      </x:c>
      <x:c r="G1088" s="11" t="n">
        <x:v>1019</x:v>
      </x:c>
      <x:c r="H1088" s="11" t="n">
        <x:v>200</x:v>
      </x:c>
      <x:c r="I1088" s="11" t="n">
        <x:v>1</x:v>
      </x:c>
      <x:c r="J1088" s="4" t="str">
        <x:v>https://blog.skyairline.com/viajar-a-europa/</x:v>
      </x:c>
      <x:c r="K1088" s="16" t="b">
        <x:v>0</x:v>
      </x:c>
      <x:c r="L1088" s="11" t="n">
        <x:v>0</x:v>
      </x:c>
      <x:c r="M1088" s="11" t="n">
        <x:v>4</x:v>
      </x:c>
      <x:c r="N1088" s="4"/>
      <x:c r="O1088" s="4"/>
      <x:c r="P1088" s="11" t="n">
        <x:v>0</x:v>
      </x:c>
      <x:c r="Q1088" s="11" t="n">
        <x:v>0</x:v>
      </x:c>
      <x:c r="R1088" s="11" t="str">
        <x:f>IF(OR(P1088="",Q1088=""),"",Q1088-P1088)</x:f>
      </x:c>
      <x:c r="S1088" s="13" t="str">
        <x:f>IF(OR(P1088="",Q1088="",P1088=0),"",((Q1088/30)/(P1088/31))-1)</x:f>
      </x:c>
      <x:c r="T1088" s="11" t="n">
        <x:v>16</x:v>
      </x:c>
      <x:c r="U1088" s="11" t="n">
        <x:v>18</x:v>
      </x:c>
      <x:c r="V1088" s="14" t="n">
        <x:v>0</x:v>
      </x:c>
      <x:c r="W1088" s="12" t="n">
        <x:v>9.5</x:v>
      </x:c>
      <x:c r="X1088" s="11"/>
      <x:c r="Y1088" s="11"/>
      <x:c r="Z1088" s="4" t="str">
        <x:v>https://blog.skyairline.com/viajar-a-europa/</x:v>
      </x:c>
      <x:c r="AA1088" s="4" t="str">
        <x:v>https://blog.skyairline.com/viajar-a-europa/</x:v>
      </x:c>
      <x:c r="AB1088" s="4" t="str">
        <x:v>Coincidencia URL</x:v>
      </x:c>
      <x:c r="AC1088" s="4" t="str">
        <x:v>Publicado hasta septiembre</x:v>
      </x:c>
      <x:c r="AD1088" s="4"/>
      <x:c r="AE1088" s="4"/>
      <x:c r="AF1088" s="16" t="b">
        <x:v>0</x:v>
      </x:c>
    </x:row>
    <x:row r="1089" ht="44" customHeight="1">
      <x:c r="A1089" s="4" t="n">
        <x:v>1766</x:v>
      </x:c>
      <x:c r="B1089" s="4" t="str">
        <x:v>https://blog.skyairline.com/itinerario-de-vuelo/</x:v>
      </x:c>
      <x:c r="C1089" s="9" t="str">
        <x:v>¿Por qué es más conveniente hacer todo el itinerario de vuelo con la misma aerolínea?</x:v>
      </x:c>
      <x:c r="D1089" s="17" t="d">
        <x:v>2022-05-01T00:00:00.000Z</x:v>
      </x:c>
      <x:c r="E1089" s="17" t="d">
        <x:v>2022-05-01T00:00:00.000Z</x:v>
      </x:c>
      <x:c r="F1089" s="4" t="str">
        <x:v>Planificación de Viaje</x:v>
      </x:c>
      <x:c r="G1089" s="11" t="n">
        <x:v>937</x:v>
      </x:c>
      <x:c r="H1089" s="11" t="n">
        <x:v>200</x:v>
      </x:c>
      <x:c r="I1089" s="11" t="n">
        <x:v>1</x:v>
      </x:c>
      <x:c r="J1089" s="4" t="str">
        <x:v>https://blog.skyairline.com/itinerario-de-vuelo/</x:v>
      </x:c>
      <x:c r="K1089" s="16" t="b">
        <x:v>0</x:v>
      </x:c>
      <x:c r="L1089" s="11" t="n">
        <x:v>0</x:v>
      </x:c>
      <x:c r="M1089" s="11" t="n">
        <x:v>2</x:v>
      </x:c>
      <x:c r="N1089" s="4"/>
      <x:c r="O1089" s="4"/>
      <x:c r="P1089" s="11" t="n">
        <x:v>0</x:v>
      </x:c>
      <x:c r="Q1089" s="11" t="n">
        <x:v>0</x:v>
      </x:c>
      <x:c r="R1089" s="11" t="str">
        <x:f>IF(OR(P1089="",Q1089=""),"",Q1089-P1089)</x:f>
      </x:c>
      <x:c r="S1089" s="13" t="str">
        <x:f>IF(OR(P1089="",Q1089="",P1089=0),"",((Q1089/30)/(P1089/31))-1)</x:f>
      </x:c>
      <x:c r="T1089" s="11" t="n">
        <x:v>151</x:v>
      </x:c>
      <x:c r="U1089" s="11" t="n">
        <x:v>112</x:v>
      </x:c>
      <x:c r="V1089" s="14" t="n">
        <x:v>0</x:v>
      </x:c>
      <x:c r="W1089" s="12" t="n">
        <x:v>7.946428571428571</x:v>
      </x:c>
      <x:c r="X1089" s="11" t="n">
        <x:v>2</x:v>
      </x:c>
      <x:c r="Y1089" s="11" t="n">
        <x:v>2</x:v>
      </x:c>
      <x:c r="Z1089" s="4" t="str">
        <x:v>https://blog.skyairline.com/itinerario-de-vuelo/</x:v>
      </x:c>
      <x:c r="AA1089" s="4" t="str">
        <x:v>https://blog.skyairline.com/itinerario-de-vuelo/</x:v>
      </x:c>
      <x:c r="AB1089" s="4" t="str">
        <x:v>Coincidencia URL</x:v>
      </x:c>
      <x:c r="AC1089" s="4" t="str">
        <x:v>Publicado hasta septiembre</x:v>
      </x:c>
      <x:c r="AD1089" s="4" t="str">
        <x:v>/itinerario-de-vuelo/</x:v>
      </x:c>
      <x:c r="AE1089" s="4"/>
      <x:c r="AF1089" s="16" t="b">
        <x:v>0</x:v>
      </x:c>
    </x:row>
    <x:row r="1090" ht="44" customHeight="1">
      <x:c r="A1090" s="4" t="n">
        <x:v>1782</x:v>
      </x:c>
      <x:c r="B1090" s="4" t="str">
        <x:v>https://blog.skyairline.com/lugares-para-fotos-de-viajes/</x:v>
      </x:c>
      <x:c r="C1090" s="9" t="str">
        <x:v>9 emblemáticos lugares para fotos de viajes</x:v>
      </x:c>
      <x:c r="D1090" s="17" t="d">
        <x:v>2022-05-06T00:00:00.000Z</x:v>
      </x:c>
      <x:c r="E1090" s="17" t="d">
        <x:v>2022-05-06T00:00:00.000Z</x:v>
      </x:c>
      <x:c r="F1090" s="4" t="str">
        <x:v>Destinos</x:v>
      </x:c>
      <x:c r="G1090" s="11" t="n">
        <x:v>1031</x:v>
      </x:c>
      <x:c r="H1090" s="11" t="n">
        <x:v>200</x:v>
      </x:c>
      <x:c r="I1090" s="11" t="n">
        <x:v>1</x:v>
      </x:c>
      <x:c r="J1090" s="4" t="str">
        <x:v>https://blog.skyairline.com/lugares-para-fotos-de-viajes/</x:v>
      </x:c>
      <x:c r="K1090" s="16" t="b">
        <x:v>0</x:v>
      </x:c>
      <x:c r="L1090" s="11" t="n">
        <x:v>0</x:v>
      </x:c>
      <x:c r="M1090" s="11" t="n">
        <x:v>4</x:v>
      </x:c>
      <x:c r="N1090" s="4"/>
      <x:c r="O1090" s="4"/>
      <x:c r="P1090" s="11" t="n">
        <x:v>0</x:v>
      </x:c>
      <x:c r="Q1090" s="11" t="n">
        <x:v>0</x:v>
      </x:c>
      <x:c r="R1090" s="11" t="str">
        <x:f>IF(OR(P1090="",Q1090=""),"",Q1090-P1090)</x:f>
      </x:c>
      <x:c r="S1090" s="13" t="str">
        <x:f>IF(OR(P1090="",Q1090="",P1090=0),"",((Q1090/30)/(P1090/31))-1)</x:f>
      </x:c>
      <x:c r="T1090" s="11" t="n">
        <x:v>14</x:v>
      </x:c>
      <x:c r="U1090" s="11" t="n">
        <x:v>20</x:v>
      </x:c>
      <x:c r="V1090" s="14" t="n">
        <x:v>0</x:v>
      </x:c>
      <x:c r="W1090" s="12" t="n">
        <x:v>10.55</x:v>
      </x:c>
      <x:c r="X1090" s="11"/>
      <x:c r="Y1090" s="11"/>
      <x:c r="Z1090" s="4" t="str">
        <x:v>https://blog.skyairline.com/lugares-para-fotos-de-viajes/</x:v>
      </x:c>
      <x:c r="AA1090" s="4" t="str">
        <x:v>https://blog.skyairline.com/lugares-para-fotos-de-viajes/</x:v>
      </x:c>
      <x:c r="AB1090" s="4" t="str">
        <x:v>Coincidencia URL</x:v>
      </x:c>
      <x:c r="AC1090" s="4" t="str">
        <x:v>Publicado hasta septiembre</x:v>
      </x:c>
      <x:c r="AD1090" s="4"/>
      <x:c r="AE1090" s="4"/>
      <x:c r="AF1090" s="16" t="b">
        <x:v>0</x:v>
      </x:c>
    </x:row>
    <x:row r="1091" ht="44" customHeight="1">
      <x:c r="A1091" s="4" t="n">
        <x:v>1793</x:v>
      </x:c>
      <x:c r="B1091" s="4" t="str">
        <x:v>https://blog.skyairline.com/sky-inaugura-su-primera-ruta-a-estados-unidos-lima-miami/</x:v>
      </x:c>
      <x:c r="C1091" s="9" t="str">
        <x:v>SKY inaugura su primera ruta a Estados Unidos: Lima- Miami</x:v>
      </x:c>
      <x:c r="D1091" s="17" t="d">
        <x:v>2022-04-20T00:00:00.000Z</x:v>
      </x:c>
      <x:c r="E1091" s="17" t="d">
        <x:v>2022-04-20T00:00:00.000Z</x:v>
      </x:c>
      <x:c r="F1091" s="4" t="str">
        <x:v>Noticias</x:v>
      </x:c>
      <x:c r="G1091" s="11" t="n">
        <x:v>293</x:v>
      </x:c>
      <x:c r="H1091" s="11" t="n">
        <x:v>200</x:v>
      </x:c>
      <x:c r="I1091" s="11" t="n">
        <x:v>1</x:v>
      </x:c>
      <x:c r="J1091" s="4" t="str">
        <x:v>https://blog.skyairline.com/sky-inaugura-su-primera-ruta-a-estados-unidos-lima-miami/</x:v>
      </x:c>
      <x:c r="K1091" s="16" t="b">
        <x:v>0</x:v>
      </x:c>
      <x:c r="L1091" s="11" t="n">
        <x:v>0</x:v>
      </x:c>
      <x:c r="M1091" s="11" t="n">
        <x:v>0</x:v>
      </x:c>
      <x:c r="N1091" s="4"/>
      <x:c r="O1091" s="4"/>
      <x:c r="P1091" s="11" t="n">
        <x:v>0</x:v>
      </x:c>
      <x:c r="Q1091" s="11" t="n">
        <x:v>0</x:v>
      </x:c>
      <x:c r="R1091" s="11" t="str">
        <x:f>IF(OR(P1091="",Q1091=""),"",Q1091-P1091)</x:f>
      </x:c>
      <x:c r="S1091" s="13" t="str">
        <x:f>IF(OR(P1091="",Q1091="",P1091=0),"",((Q1091/30)/(P1091/31))-1)</x:f>
      </x:c>
      <x:c r="T1091" s="11" t="n">
        <x:v>76</x:v>
      </x:c>
      <x:c r="U1091" s="11" t="n">
        <x:v>63</x:v>
      </x:c>
      <x:c r="V1091" s="14" t="n">
        <x:v>0</x:v>
      </x:c>
      <x:c r="W1091" s="12" t="n">
        <x:v>7.936507936507937</x:v>
      </x:c>
      <x:c r="X1091" s="11"/>
      <x:c r="Y1091" s="11"/>
      <x:c r="Z1091" s="4" t="str">
        <x:v>https://blog.skyairline.com/sky-inaugura-su-primera-ruta-a-estados-unidos-lima-miami/</x:v>
      </x:c>
      <x:c r="AA1091" s="4" t="str">
        <x:v>https://blog.skyairline.com/sky-inaugura-su-primera-ruta-a-estados-unidos-lima-miami/</x:v>
      </x:c>
      <x:c r="AB1091" s="4" t="str">
        <x:v>Coincidencia URL</x:v>
      </x:c>
      <x:c r="AC1091" s="4" t="str">
        <x:v>Publicado hasta septiembre</x:v>
      </x:c>
      <x:c r="AD1091" s="4"/>
      <x:c r="AE1091" s="4"/>
      <x:c r="AF1091" s="16" t="b">
        <x:v>0</x:v>
      </x:c>
    </x:row>
    <x:row r="1092" ht="44" customHeight="1">
      <x:c r="A1092" s="4" t="n">
        <x:v>1799</x:v>
      </x:c>
      <x:c r="B1092" s="4" t="str">
        <x:v>https://blog.skyairline.com/prevencion-de-contagios-al-viajar/</x:v>
      </x:c>
      <x:c r="C1092" s="9" t="str">
        <x:v>6 buenas prácticas de prevención de contagios al viajar en grupo</x:v>
      </x:c>
      <x:c r="D1092" s="17" t="d">
        <x:v>2024-08-28T00:00:00.000Z</x:v>
      </x:c>
      <x:c r="E1092" s="17" t="d">
        <x:v>2024-08-28T00:00:00.000Z</x:v>
      </x:c>
      <x:c r="F1092" s="4" t="str">
        <x:v>Planificación de Viaje</x:v>
      </x:c>
      <x:c r="G1092" s="11" t="n">
        <x:v>1043</x:v>
      </x:c>
      <x:c r="H1092" s="11" t="n">
        <x:v>200</x:v>
      </x:c>
      <x:c r="I1092" s="11" t="n">
        <x:v>1</x:v>
      </x:c>
      <x:c r="J1092" s="4" t="str">
        <x:v>https://blog.skyairline.com/prevencion-de-contagios-al-viajar/</x:v>
      </x:c>
      <x:c r="K1092" s="16" t="b">
        <x:v>0</x:v>
      </x:c>
      <x:c r="L1092" s="11" t="n">
        <x:v>0</x:v>
      </x:c>
      <x:c r="M1092" s="11" t="n">
        <x:v>3</x:v>
      </x:c>
      <x:c r="N1092" s="4"/>
      <x:c r="O1092" s="4"/>
      <x:c r="P1092" s="11" t="n">
        <x:v>0</x:v>
      </x:c>
      <x:c r="Q1092" s="11" t="n">
        <x:v>0</x:v>
      </x:c>
      <x:c r="R1092" s="11" t="str">
        <x:f>IF(OR(P1092="",Q1092=""),"",Q1092-P1092)</x:f>
      </x:c>
      <x:c r="S1092" s="13" t="str">
        <x:f>IF(OR(P1092="",Q1092="",P1092=0),"",((Q1092/30)/(P1092/31))-1)</x:f>
      </x:c>
      <x:c r="T1092" s="11" t="n">
        <x:v>44</x:v>
      </x:c>
      <x:c r="U1092" s="11" t="n">
        <x:v>4</x:v>
      </x:c>
      <x:c r="V1092" s="14" t="n">
        <x:v>0</x:v>
      </x:c>
      <x:c r="W1092" s="12" t="n">
        <x:v>7.75</x:v>
      </x:c>
      <x:c r="X1092" s="11"/>
      <x:c r="Y1092" s="11"/>
      <x:c r="Z1092" s="4" t="str">
        <x:v>https://blog.skyairline.com/prevencion-de-contagios-al-viajar/</x:v>
      </x:c>
      <x:c r="AA1092" s="4" t="str">
        <x:v>https://blog.skyairline.com/prevencion-de-contagios-al-viajar/</x:v>
      </x:c>
      <x:c r="AB1092" s="4" t="str">
        <x:v>Coincidencia URL</x:v>
      </x:c>
      <x:c r="AC1092" s="4" t="str">
        <x:v>Publicado hasta septiembre</x:v>
      </x:c>
      <x:c r="AD1092" s="4"/>
      <x:c r="AE1092" s="4"/>
      <x:c r="AF1092" s="16" t="b">
        <x:v>0</x:v>
      </x:c>
    </x:row>
    <x:row r="1093" ht="44" customHeight="1">
      <x:c r="A1093" s="4" t="n">
        <x:v>1805</x:v>
      </x:c>
      <x:c r="B1093" s="4" t="str">
        <x:v>https://blog.skyairline.com/cosas-que-hacer-gratis-en-santiago/</x:v>
      </x:c>
      <x:c r="C1093" s="9" t="str">
        <x:v>Qué hacer en Santiago gratis: panoramas para sumergirte en la ciudad</x:v>
      </x:c>
      <x:c r="D1093" s="17" t="d">
        <x:v>2026-03-15T00:00:00.000Z</x:v>
      </x:c>
      <x:c r="E1093" s="17" t="d">
        <x:v>2026-03-10T00:00:00.000Z</x:v>
      </x:c>
      <x:c r="F1093" s="4" t="str">
        <x:v>Destinos</x:v>
      </x:c>
      <x:c r="G1093" s="11" t="n">
        <x:v>1082</x:v>
      </x:c>
      <x:c r="H1093" s="11" t="n">
        <x:v>200</x:v>
      </x:c>
      <x:c r="I1093" s="11" t="n">
        <x:v>1</x:v>
      </x:c>
      <x:c r="J1093" s="4" t="str">
        <x:v>https://blog.skyairline.com/cosas-que-hacer-gratis-en-santiago/</x:v>
      </x:c>
      <x:c r="K1093" s="16" t="b">
        <x:v>0</x:v>
      </x:c>
      <x:c r="L1093" s="11" t="n">
        <x:v>0</x:v>
      </x:c>
      <x:c r="M1093" s="11" t="n">
        <x:v>0</x:v>
      </x:c>
      <x:c r="N1093" s="4"/>
      <x:c r="O1093" s="4"/>
      <x:c r="P1093" s="11" t="n">
        <x:v>7</x:v>
      </x:c>
      <x:c r="Q1093" s="11" t="n">
        <x:v>0</x:v>
      </x:c>
      <x:c r="R1093" s="11" t="str">
        <x:f>IF(OR(P1093="",Q1093=""),"",Q1093-P1093)</x:f>
      </x:c>
      <x:c r="S1093" s="13" t="str">
        <x:f>IF(OR(P1093="",Q1093="",P1093=0),"",((Q1093/30)/(P1093/31))-1)</x:f>
      </x:c>
      <x:c r="T1093" s="11" t="n">
        <x:v>1139</x:v>
      </x:c>
      <x:c r="U1093" s="11" t="n">
        <x:v>632</x:v>
      </x:c>
      <x:c r="V1093" s="14" t="n">
        <x:v>0</x:v>
      </x:c>
      <x:c r="W1093" s="12" t="n">
        <x:v>25.949367088607595</x:v>
      </x:c>
      <x:c r="X1093" s="11" t="n">
        <x:v>3</x:v>
      </x:c>
      <x:c r="Y1093" s="11" t="n">
        <x:v>3</x:v>
      </x:c>
      <x:c r="Z1093" s="4" t="str">
        <x:v>https://blog.skyairline.com/cosas-que-hacer-gratis-en-santiago/</x:v>
      </x:c>
      <x:c r="AA1093" s="4" t="str">
        <x:v>https://blog.skyairline.com/cosas-que-hacer-gratis-en-santiago/</x:v>
      </x:c>
      <x:c r="AB1093" s="4" t="str">
        <x:v>Coincidencia URL</x:v>
      </x:c>
      <x:c r="AC1093" s="4" t="str">
        <x:v>Publicado hasta septiembre</x:v>
      </x:c>
      <x:c r="AD1093" s="4" t="str">
        <x:v>/cosas-que-hacer-gratis-en-santiago/</x:v>
      </x:c>
      <x:c r="AE1093" s="4"/>
      <x:c r="AF1093" s="16" t="b">
        <x:v>0</x:v>
      </x:c>
    </x:row>
    <x:row r="1094" ht="44" customHeight="1">
      <x:c r="A1094" s="4" t="n">
        <x:v>1814</x:v>
      </x:c>
      <x:c r="B1094" s="4" t="str">
        <x:v>https://blog.skyairline.com/puerto-natales/</x:v>
      </x:c>
      <x:c r="C1094" s="9" t="str">
        <x:v>¿Qué hacer en viaje a Puerto Natales?</x:v>
      </x:c>
      <x:c r="D1094" s="17" t="d">
        <x:v>2024-04-16T00:00:00.000Z</x:v>
      </x:c>
      <x:c r="E1094" s="17" t="d">
        <x:v>2024-04-16T00:00:00.000Z</x:v>
      </x:c>
      <x:c r="F1094" s="4" t="str">
        <x:v>Destinos</x:v>
      </x:c>
      <x:c r="G1094" s="11" t="n">
        <x:v>1082</x:v>
      </x:c>
      <x:c r="H1094" s="11" t="n">
        <x:v>200</x:v>
      </x:c>
      <x:c r="I1094" s="11" t="n">
        <x:v>1</x:v>
      </x:c>
      <x:c r="J1094" s="4" t="str">
        <x:v>https://blog.skyairline.com/puerto-natales/</x:v>
      </x:c>
      <x:c r="K1094" s="16" t="b">
        <x:v>0</x:v>
      </x:c>
      <x:c r="L1094" s="11" t="n">
        <x:v>0</x:v>
      </x:c>
      <x:c r="M1094" s="11" t="n">
        <x:v>5</x:v>
      </x:c>
      <x:c r="N1094" s="4"/>
      <x:c r="O1094" s="4"/>
      <x:c r="P1094" s="11" t="n">
        <x:v>0</x:v>
      </x:c>
      <x:c r="Q1094" s="11" t="n">
        <x:v>0</x:v>
      </x:c>
      <x:c r="R1094" s="11" t="str">
        <x:f>IF(OR(P1094="",Q1094=""),"",Q1094-P1094)</x:f>
      </x:c>
      <x:c r="S1094" s="13" t="str">
        <x:f>IF(OR(P1094="",Q1094="",P1094=0),"",((Q1094/30)/(P1094/31))-1)</x:f>
      </x:c>
      <x:c r="T1094" s="11" t="n">
        <x:v>256</x:v>
      </x:c>
      <x:c r="U1094" s="11" t="n">
        <x:v>165</x:v>
      </x:c>
      <x:c r="V1094" s="14" t="n">
        <x:v>0</x:v>
      </x:c>
      <x:c r="W1094" s="12" t="n">
        <x:v>46.339393939393936</x:v>
      </x:c>
      <x:c r="X1094" s="11"/>
      <x:c r="Y1094" s="11"/>
      <x:c r="Z1094" s="4" t="str">
        <x:v>https://blog.skyairline.com/puerto-natales/</x:v>
      </x:c>
      <x:c r="AA1094" s="4" t="str">
        <x:v>https://blog.skyairline.com/puerto-natales/</x:v>
      </x:c>
      <x:c r="AB1094" s="4" t="str">
        <x:v>Coincidencia URL</x:v>
      </x:c>
      <x:c r="AC1094" s="4" t="str">
        <x:v>Publicado hasta septiembre</x:v>
      </x:c>
      <x:c r="AD1094" s="4"/>
      <x:c r="AE1094" s="4"/>
      <x:c r="AF1094" s="16" t="b">
        <x:v>1</x:v>
      </x:c>
    </x:row>
    <x:row r="1095" ht="44" customHeight="1">
      <x:c r="A1095" s="4" t="n">
        <x:v>1830</x:v>
      </x:c>
      <x:c r="B1095" s="4" t="str">
        <x:v>https://blog.skyairline.com/destinos-turisticos/</x:v>
      </x:c>
      <x:c r="C1095" s="9" t="str">
        <x:v>5 destinos turísticos en los que no es esencial arrendar un auto</x:v>
      </x:c>
      <x:c r="D1095" s="17" t="d">
        <x:v>2022-05-17T00:00:00.000Z</x:v>
      </x:c>
      <x:c r="E1095" s="17" t="d">
        <x:v>2022-05-17T00:00:00.000Z</x:v>
      </x:c>
      <x:c r="F1095" s="4" t="str">
        <x:v>Destinos</x:v>
      </x:c>
      <x:c r="G1095" s="11" t="n">
        <x:v>1060</x:v>
      </x:c>
      <x:c r="H1095" s="11" t="n">
        <x:v>200</x:v>
      </x:c>
      <x:c r="I1095" s="11" t="n">
        <x:v>1</x:v>
      </x:c>
      <x:c r="J1095" s="4" t="str">
        <x:v>https://blog.skyairline.com/destinos-turisticos/</x:v>
      </x:c>
      <x:c r="K1095" s="16" t="b">
        <x:v>0</x:v>
      </x:c>
      <x:c r="L1095" s="11" t="n">
        <x:v>0</x:v>
      </x:c>
      <x:c r="M1095" s="11" t="n">
        <x:v>5</x:v>
      </x:c>
      <x:c r="N1095" s="4"/>
      <x:c r="O1095" s="4"/>
      <x:c r="P1095" s="11" t="n">
        <x:v>2</x:v>
      </x:c>
      <x:c r="Q1095" s="11" t="n">
        <x:v>0</x:v>
      </x:c>
      <x:c r="R1095" s="11" t="str">
        <x:f>IF(OR(P1095="",Q1095=""),"",Q1095-P1095)</x:f>
      </x:c>
      <x:c r="S1095" s="13" t="str">
        <x:f>IF(OR(P1095="",Q1095="",P1095=0),"",((Q1095/30)/(P1095/31))-1)</x:f>
      </x:c>
      <x:c r="T1095" s="11" t="n">
        <x:v>67</x:v>
      </x:c>
      <x:c r="U1095" s="11" t="n">
        <x:v>30</x:v>
      </x:c>
      <x:c r="V1095" s="14" t="n">
        <x:v>0</x:v>
      </x:c>
      <x:c r="W1095" s="12" t="n">
        <x:v>6.5</x:v>
      </x:c>
      <x:c r="X1095" s="11"/>
      <x:c r="Y1095" s="11"/>
      <x:c r="Z1095" s="4" t="str">
        <x:v>https://blog.skyairline.com/destinos-turisticos/</x:v>
      </x:c>
      <x:c r="AA1095" s="4" t="str">
        <x:v>https://blog.skyairline.com/destinos-turisticos/</x:v>
      </x:c>
      <x:c r="AB1095" s="4" t="str">
        <x:v>Coincidencia URL</x:v>
      </x:c>
      <x:c r="AC1095" s="4" t="str">
        <x:v>Publicado hasta septiembre</x:v>
      </x:c>
      <x:c r="AD1095" s="4"/>
      <x:c r="AE1095" s="4"/>
      <x:c r="AF1095" s="16" t="b">
        <x:v>0</x:v>
      </x:c>
    </x:row>
    <x:row r="1096" ht="44" customHeight="1">
      <x:c r="A1096" s="4" t="n">
        <x:v>1833</x:v>
      </x:c>
      <x:c r="B1096" s="4" t="str">
        <x:v>https://blog.skyairline.com/hoteles-de-miami/</x:v>
      </x:c>
      <x:c r="C1096" s="9" t="str">
        <x:v>Hoteles en Miami: Dónde hospedarte de acuerdo a tus gustos</x:v>
      </x:c>
      <x:c r="D1096" s="17" t="d">
        <x:v>2026-06-23T00:00:00.000Z</x:v>
      </x:c>
      <x:c r="E1096" s="17" t="d">
        <x:v>2026-06-17T00:00:00.000Z</x:v>
      </x:c>
      <x:c r="F1096" s="4" t="str">
        <x:v>Destinos</x:v>
      </x:c>
      <x:c r="G1096" s="11" t="n">
        <x:v>1011</x:v>
      </x:c>
      <x:c r="H1096" s="11" t="n">
        <x:v>200</x:v>
      </x:c>
      <x:c r="I1096" s="11" t="n">
        <x:v>1</x:v>
      </x:c>
      <x:c r="J1096" s="4" t="str">
        <x:v>https://blog.skyairline.com/hoteles-de-miami/</x:v>
      </x:c>
      <x:c r="K1096" s="16" t="b">
        <x:v>0</x:v>
      </x:c>
      <x:c r="L1096" s="11" t="n">
        <x:v>0</x:v>
      </x:c>
      <x:c r="M1096" s="11" t="n">
        <x:v>0</x:v>
      </x:c>
      <x:c r="N1096" s="4"/>
      <x:c r="O1096" s="4"/>
      <x:c r="P1096" s="11" t="n">
        <x:v>0</x:v>
      </x:c>
      <x:c r="Q1096" s="11" t="n">
        <x:v>0</x:v>
      </x:c>
      <x:c r="R1096" s="11" t="str">
        <x:f>IF(OR(P1096="",Q1096=""),"",Q1096-P1096)</x:f>
      </x:c>
      <x:c r="S1096" s="13" t="str">
        <x:f>IF(OR(P1096="",Q1096="",P1096=0),"",((Q1096/30)/(P1096/31))-1)</x:f>
      </x:c>
      <x:c r="T1096" s="11" t="n">
        <x:v>164</x:v>
      </x:c>
      <x:c r="U1096" s="11" t="n">
        <x:v>154</x:v>
      </x:c>
      <x:c r="V1096" s="14" t="n">
        <x:v>0</x:v>
      </x:c>
      <x:c r="W1096" s="12" t="n">
        <x:v>14.987012987012987</x:v>
      </x:c>
      <x:c r="X1096" s="11"/>
      <x:c r="Y1096" s="11"/>
      <x:c r="Z1096" s="4" t="str">
        <x:v>https://blog.skyairline.com/hoteles-de-miami/</x:v>
      </x:c>
      <x:c r="AA1096" s="4" t="str">
        <x:v>https://blog.skyairline.com/hoteles-de-miami/</x:v>
      </x:c>
      <x:c r="AB1096" s="4" t="str">
        <x:v>Coincidencia URL</x:v>
      </x:c>
      <x:c r="AC1096" s="4" t="str">
        <x:v>Publicado hasta septiembre</x:v>
      </x:c>
      <x:c r="AD1096" s="4"/>
      <x:c r="AE1096" s="4"/>
      <x:c r="AF1096" s="16" t="b">
        <x:v>0</x:v>
      </x:c>
    </x:row>
    <x:row r="1097" ht="44" customHeight="1">
      <x:c r="A1097" s="4" t="n">
        <x:v>1874</x:v>
      </x:c>
      <x:c r="B1097" s="4" t="str">
        <x:v>https://blog.skyairline.com/punta-cana-o-cancun/</x:v>
      </x:c>
      <x:c r="C1097" s="9" t="str">
        <x:v>¿Punta Cana o Cancún? Escoge estos fabulosos destinos</x:v>
      </x:c>
      <x:c r="D1097" s="17" t="d">
        <x:v>2022-05-30T00:00:00.000Z</x:v>
      </x:c>
      <x:c r="E1097" s="17" t="d">
        <x:v>2022-05-30T00:00:00.000Z</x:v>
      </x:c>
      <x:c r="F1097" s="4" t="str">
        <x:v>Destinos</x:v>
      </x:c>
      <x:c r="G1097" s="11" t="n">
        <x:v>1008</x:v>
      </x:c>
      <x:c r="H1097" s="11" t="n">
        <x:v>200</x:v>
      </x:c>
      <x:c r="I1097" s="11" t="n">
        <x:v>1</x:v>
      </x:c>
      <x:c r="J1097" s="4" t="str">
        <x:v>https://blog.skyairline.com/punta-cana-o-cancun/</x:v>
      </x:c>
      <x:c r="K1097" s="16" t="b">
        <x:v>0</x:v>
      </x:c>
      <x:c r="L1097" s="11" t="n">
        <x:v>0</x:v>
      </x:c>
      <x:c r="M1097" s="11" t="n">
        <x:v>4</x:v>
      </x:c>
      <x:c r="N1097" s="4"/>
      <x:c r="O1097" s="4"/>
      <x:c r="P1097" s="11" t="n">
        <x:v>1</x:v>
      </x:c>
      <x:c r="Q1097" s="11" t="n">
        <x:v>0</x:v>
      </x:c>
      <x:c r="R1097" s="11" t="str">
        <x:f>IF(OR(P1097="",Q1097=""),"",Q1097-P1097)</x:f>
      </x:c>
      <x:c r="S1097" s="13" t="str">
        <x:f>IF(OR(P1097="",Q1097="",P1097=0),"",((Q1097/30)/(P1097/31))-1)</x:f>
      </x:c>
      <x:c r="T1097" s="11" t="n">
        <x:v>212</x:v>
      </x:c>
      <x:c r="U1097" s="11" t="n">
        <x:v>68</x:v>
      </x:c>
      <x:c r="V1097" s="14" t="n">
        <x:v>0</x:v>
      </x:c>
      <x:c r="W1097" s="12" t="n">
        <x:v>31.191176470588236</x:v>
      </x:c>
      <x:c r="X1097" s="11"/>
      <x:c r="Y1097" s="11"/>
      <x:c r="Z1097" s="4" t="str">
        <x:v>https://blog.skyairline.com/punta-cana-o-cancun/</x:v>
      </x:c>
      <x:c r="AA1097" s="4" t="str">
        <x:v>https://blog.skyairline.com/punta-cana-o-cancun/</x:v>
      </x:c>
      <x:c r="AB1097" s="4" t="str">
        <x:v>Coincidencia URL</x:v>
      </x:c>
      <x:c r="AC1097" s="4" t="str">
        <x:v>Publicado hasta septiembre</x:v>
      </x:c>
      <x:c r="AD1097" s="4"/>
      <x:c r="AE1097" s="4"/>
      <x:c r="AF1097" s="16" t="b">
        <x:v>0</x:v>
      </x:c>
    </x:row>
    <x:row r="1098" ht="44" customHeight="1">
      <x:c r="A1098" s="4" t="n">
        <x:v>1898</x:v>
      </x:c>
      <x:c r="B1098" s="4" t="str">
        <x:v>https://blog.skyairline.com/camping/</x:v>
      </x:c>
      <x:c r="C1098" s="9" t="str">
        <x:v>Camping: una actividad imperdible en Chile</x:v>
      </x:c>
      <x:c r="D1098" s="17" t="d">
        <x:v>2022-11-12T00:00:00.000Z</x:v>
      </x:c>
      <x:c r="E1098" s="17" t="d">
        <x:v>2022-11-12T00:00:00.000Z</x:v>
      </x:c>
      <x:c r="F1098" s="4" t="str">
        <x:v>Cultura</x:v>
      </x:c>
      <x:c r="G1098" s="11" t="n">
        <x:v>1007</x:v>
      </x:c>
      <x:c r="H1098" s="11" t="n">
        <x:v>200</x:v>
      </x:c>
      <x:c r="I1098" s="11" t="n">
        <x:v>1</x:v>
      </x:c>
      <x:c r="J1098" s="4" t="str">
        <x:v>https://blog.skyairline.com/camping/</x:v>
      </x:c>
      <x:c r="K1098" s="16" t="b">
        <x:v>0</x:v>
      </x:c>
      <x:c r="L1098" s="11" t="n">
        <x:v>0</x:v>
      </x:c>
      <x:c r="M1098" s="11" t="n">
        <x:v>3</x:v>
      </x:c>
      <x:c r="N1098" s="4"/>
      <x:c r="O1098" s="4"/>
      <x:c r="P1098" s="11" t="n">
        <x:v>0</x:v>
      </x:c>
      <x:c r="Q1098" s="11" t="n">
        <x:v>0</x:v>
      </x:c>
      <x:c r="R1098" s="11" t="str">
        <x:f>IF(OR(P1098="",Q1098=""),"",Q1098-P1098)</x:f>
      </x:c>
      <x:c r="S1098" s="13" t="str">
        <x:f>IF(OR(P1098="",Q1098="",P1098=0),"",((Q1098/30)/(P1098/31))-1)</x:f>
      </x:c>
      <x:c r="T1098" s="11" t="n">
        <x:v>99</x:v>
      </x:c>
      <x:c r="U1098" s="11" t="n">
        <x:v>79</x:v>
      </x:c>
      <x:c r="V1098" s="14" t="n">
        <x:v>0</x:v>
      </x:c>
      <x:c r="W1098" s="12" t="n">
        <x:v>8.151898734177216</x:v>
      </x:c>
      <x:c r="X1098" s="11"/>
      <x:c r="Y1098" s="11"/>
      <x:c r="Z1098" s="4" t="str">
        <x:v>https://blog.skyairline.com/camping/</x:v>
      </x:c>
      <x:c r="AA1098" s="4" t="str">
        <x:v>https://blog.skyairline.com/camping/</x:v>
      </x:c>
      <x:c r="AB1098" s="4" t="str">
        <x:v>Coincidencia URL</x:v>
      </x:c>
      <x:c r="AC1098" s="4" t="str">
        <x:v>Publicado hasta septiembre</x:v>
      </x:c>
      <x:c r="AD1098" s="4"/>
      <x:c r="AE1098" s="4"/>
      <x:c r="AF1098" s="16" t="b">
        <x:v>0</x:v>
      </x:c>
    </x:row>
    <x:row r="1099" ht="44" customHeight="1">
      <x:c r="A1099" s="4" t="n">
        <x:v>1901</x:v>
      </x:c>
      <x:c r="B1099" s="4" t="str">
        <x:v>https://blog.skyairline.com/transporte-en-miami/</x:v>
      </x:c>
      <x:c r="C1099" s="9" t="str">
        <x:v>¿Cómo funciona el transporte en Miami?</x:v>
      </x:c>
      <x:c r="D1099" s="17" t="d">
        <x:v>2022-06-03T00:00:00.000Z</x:v>
      </x:c>
      <x:c r="E1099" s="17" t="d">
        <x:v>2022-06-03T00:00:00.000Z</x:v>
      </x:c>
      <x:c r="F1099" s="4" t="str">
        <x:v>Destinos</x:v>
      </x:c>
      <x:c r="G1099" s="11" t="n">
        <x:v>1129</x:v>
      </x:c>
      <x:c r="H1099" s="11" t="n">
        <x:v>200</x:v>
      </x:c>
      <x:c r="I1099" s="11" t="n">
        <x:v>1</x:v>
      </x:c>
      <x:c r="J1099" s="4" t="str">
        <x:v>https://blog.skyairline.com/transporte-en-miami/</x:v>
      </x:c>
      <x:c r="K1099" s="16" t="b">
        <x:v>0</x:v>
      </x:c>
      <x:c r="L1099" s="11" t="n">
        <x:v>0</x:v>
      </x:c>
      <x:c r="M1099" s="11" t="n">
        <x:v>4</x:v>
      </x:c>
      <x:c r="N1099" s="4"/>
      <x:c r="O1099" s="4"/>
      <x:c r="P1099" s="11" t="n">
        <x:v>0</x:v>
      </x:c>
      <x:c r="Q1099" s="11" t="n">
        <x:v>0</x:v>
      </x:c>
      <x:c r="R1099" s="11" t="str">
        <x:f>IF(OR(P1099="",Q1099=""),"",Q1099-P1099)</x:f>
      </x:c>
      <x:c r="S1099" s="13" t="str">
        <x:f>IF(OR(P1099="",Q1099="",P1099=0),"",((Q1099/30)/(P1099/31))-1)</x:f>
      </x:c>
      <x:c r="T1099" s="11" t="n">
        <x:v>61</x:v>
      </x:c>
      <x:c r="U1099" s="11" t="n">
        <x:v>51</x:v>
      </x:c>
      <x:c r="V1099" s="14" t="n">
        <x:v>0</x:v>
      </x:c>
      <x:c r="W1099" s="12" t="n">
        <x:v>13.470588235294118</x:v>
      </x:c>
      <x:c r="X1099" s="11"/>
      <x:c r="Y1099" s="11"/>
      <x:c r="Z1099" s="4" t="str">
        <x:v>https://blog.skyairline.com/transporte-en-miami/</x:v>
      </x:c>
      <x:c r="AA1099" s="4" t="str">
        <x:v>https://blog.skyairline.com/transporte-en-miami/</x:v>
      </x:c>
      <x:c r="AB1099" s="4" t="str">
        <x:v>Coincidencia URL</x:v>
      </x:c>
      <x:c r="AC1099" s="4" t="str">
        <x:v>Publicado hasta septiembre</x:v>
      </x:c>
      <x:c r="AD1099" s="4"/>
      <x:c r="AE1099" s="4"/>
      <x:c r="AF1099" s="16" t="b">
        <x:v>0</x:v>
      </x:c>
    </x:row>
    <x:row r="1100" ht="44" customHeight="1">
      <x:c r="A1100" s="4" t="n">
        <x:v>1904</x:v>
      </x:c>
      <x:c r="B1100" s="4" t="str">
        <x:v>https://blog.skyairline.com/caso-de-hipotermia/</x:v>
      </x:c>
      <x:c r="C1100" s="9" t="str">
        <x:v>¿Cómo prevenir un caso de hipotermia durante el frio?</x:v>
      </x:c>
      <x:c r="D1100" s="17" t="d">
        <x:v>2022-06-04T00:00:00.000Z</x:v>
      </x:c>
      <x:c r="E1100" s="17" t="d">
        <x:v>2022-06-04T00:00:00.000Z</x:v>
      </x:c>
      <x:c r="F1100" s="4" t="str">
        <x:v>Cultura</x:v>
      </x:c>
      <x:c r="G1100" s="11" t="n">
        <x:v>1045</x:v>
      </x:c>
      <x:c r="H1100" s="11" t="n">
        <x:v>200</x:v>
      </x:c>
      <x:c r="I1100" s="11" t="n">
        <x:v>1</x:v>
      </x:c>
      <x:c r="J1100" s="4" t="str">
        <x:v>https://blog.skyairline.com/caso-de-hipotermia/</x:v>
      </x:c>
      <x:c r="K1100" s="16" t="b">
        <x:v>0</x:v>
      </x:c>
      <x:c r="L1100" s="11" t="n">
        <x:v>0</x:v>
      </x:c>
      <x:c r="M1100" s="11" t="n">
        <x:v>3</x:v>
      </x:c>
      <x:c r="N1100" s="4"/>
      <x:c r="O1100" s="4"/>
      <x:c r="P1100" s="11" t="n">
        <x:v>1</x:v>
      </x:c>
      <x:c r="Q1100" s="11" t="n">
        <x:v>0</x:v>
      </x:c>
      <x:c r="R1100" s="11" t="str">
        <x:f>IF(OR(P1100="",Q1100=""),"",Q1100-P1100)</x:f>
      </x:c>
      <x:c r="S1100" s="13" t="str">
        <x:f>IF(OR(P1100="",Q1100="",P1100=0),"",((Q1100/30)/(P1100/31))-1)</x:f>
      </x:c>
      <x:c r="T1100" s="11" t="n">
        <x:v>414</x:v>
      </x:c>
      <x:c r="U1100" s="11" t="n">
        <x:v>27</x:v>
      </x:c>
      <x:c r="V1100" s="14" t="n">
        <x:v>0</x:v>
      </x:c>
      <x:c r="W1100" s="12" t="n">
        <x:v>31.77777777777778</x:v>
      </x:c>
      <x:c r="X1100" s="11"/>
      <x:c r="Y1100" s="11"/>
      <x:c r="Z1100" s="4" t="str">
        <x:v>https://blog.skyairline.com/caso-de-hipotermia/</x:v>
      </x:c>
      <x:c r="AA1100" s="4" t="str">
        <x:v>https://blog.skyairline.com/caso-de-hipotermia/</x:v>
      </x:c>
      <x:c r="AB1100" s="4" t="str">
        <x:v>Coincidencia URL</x:v>
      </x:c>
      <x:c r="AC1100" s="4" t="str">
        <x:v>Publicado hasta septiembre</x:v>
      </x:c>
      <x:c r="AD1100" s="4"/>
      <x:c r="AE1100" s="4"/>
      <x:c r="AF1100" s="16" t="b">
        <x:v>0</x:v>
      </x:c>
    </x:row>
    <x:row r="1101" ht="44" customHeight="1">
      <x:c r="A1101" s="4" t="n">
        <x:v>1910</x:v>
      </x:c>
      <x:c r="B1101" s="4" t="str">
        <x:v>https://blog.skyairline.com/ecoturismo/</x:v>
      </x:c>
      <x:c r="C1101" s="9" t="str">
        <x:v>Ecoturismo: 6 razones para practicarlo</x:v>
      </x:c>
      <x:c r="D1101" s="17" t="d">
        <x:v>2022-06-06T00:00:00.000Z</x:v>
      </x:c>
      <x:c r="E1101" s="17" t="d">
        <x:v>2022-06-06T00:00:00.000Z</x:v>
      </x:c>
      <x:c r="F1101" s="4" t="str">
        <x:v>Cultura</x:v>
      </x:c>
      <x:c r="G1101" s="11" t="n">
        <x:v>1120</x:v>
      </x:c>
      <x:c r="H1101" s="11" t="n">
        <x:v>200</x:v>
      </x:c>
      <x:c r="I1101" s="11" t="n">
        <x:v>1</x:v>
      </x:c>
      <x:c r="J1101" s="4" t="str">
        <x:v>https://blog.skyairline.com/ecoturismo/</x:v>
      </x:c>
      <x:c r="K1101" s="16" t="b">
        <x:v>0</x:v>
      </x:c>
      <x:c r="L1101" s="11" t="n">
        <x:v>0</x:v>
      </x:c>
      <x:c r="M1101" s="11" t="n">
        <x:v>8</x:v>
      </x:c>
      <x:c r="N1101" s="4"/>
      <x:c r="O1101" s="4"/>
      <x:c r="P1101" s="11" t="n">
        <x:v>0</x:v>
      </x:c>
      <x:c r="Q1101" s="11" t="n">
        <x:v>0</x:v>
      </x:c>
      <x:c r="R1101" s="11" t="str">
        <x:f>IF(OR(P1101="",Q1101=""),"",Q1101-P1101)</x:f>
      </x:c>
      <x:c r="S1101" s="13" t="str">
        <x:f>IF(OR(P1101="",Q1101="",P1101=0),"",((Q1101/30)/(P1101/31))-1)</x:f>
      </x:c>
      <x:c r="T1101" s="11" t="n">
        <x:v>11</x:v>
      </x:c>
      <x:c r="U1101" s="11" t="n">
        <x:v>13</x:v>
      </x:c>
      <x:c r="V1101" s="14" t="n">
        <x:v>0</x:v>
      </x:c>
      <x:c r="W1101" s="12" t="n">
        <x:v>15.76923076923077</x:v>
      </x:c>
      <x:c r="X1101" s="11"/>
      <x:c r="Y1101" s="11"/>
      <x:c r="Z1101" s="4" t="str">
        <x:v>https://blog.skyairline.com/ecoturismo/</x:v>
      </x:c>
      <x:c r="AA1101" s="4" t="str">
        <x:v>https://blog.skyairline.com/ecoturismo/</x:v>
      </x:c>
      <x:c r="AB1101" s="4" t="str">
        <x:v>Coincidencia URL</x:v>
      </x:c>
      <x:c r="AC1101" s="4" t="str">
        <x:v>Publicado hasta septiembre</x:v>
      </x:c>
      <x:c r="AD1101" s="4"/>
      <x:c r="AE1101" s="4"/>
      <x:c r="AF1101" s="16" t="b">
        <x:v>0</x:v>
      </x:c>
    </x:row>
    <x:row r="1102" ht="44" customHeight="1">
      <x:c r="A1102" s="4" t="n">
        <x:v>1913</x:v>
      </x:c>
      <x:c r="B1102" s="4" t="str">
        <x:v>https://blog.skyairline.com/tango/</x:v>
      </x:c>
      <x:c r="C1102" s="9" t="str">
        <x:v>¿Qué es el Tango y dónde verlo en tu viaje a Argentina?</x:v>
      </x:c>
      <x:c r="D1102" s="17" t="d">
        <x:v>2026-05-14T00:00:00.000Z</x:v>
      </x:c>
      <x:c r="E1102" s="17" t="d">
        <x:v>2026-05-11T00:00:00.000Z</x:v>
      </x:c>
      <x:c r="F1102" s="4" t="str">
        <x:v>Destinos</x:v>
      </x:c>
      <x:c r="G1102" s="11" t="n">
        <x:v>982</x:v>
      </x:c>
      <x:c r="H1102" s="11" t="n">
        <x:v>200</x:v>
      </x:c>
      <x:c r="I1102" s="11" t="n">
        <x:v>1</x:v>
      </x:c>
      <x:c r="J1102" s="4" t="str">
        <x:v>https://blog.skyairline.com/tango/</x:v>
      </x:c>
      <x:c r="K1102" s="16" t="b">
        <x:v>0</x:v>
      </x:c>
      <x:c r="L1102" s="11" t="n">
        <x:v>0</x:v>
      </x:c>
      <x:c r="M1102" s="11" t="n">
        <x:v>0</x:v>
      </x:c>
      <x:c r="N1102" s="4"/>
      <x:c r="O1102" s="4"/>
      <x:c r="P1102" s="11" t="n">
        <x:v>0</x:v>
      </x:c>
      <x:c r="Q1102" s="11" t="n">
        <x:v>0</x:v>
      </x:c>
      <x:c r="R1102" s="11" t="str">
        <x:f>IF(OR(P1102="",Q1102=""),"",Q1102-P1102)</x:f>
      </x:c>
      <x:c r="S1102" s="13" t="str">
        <x:f>IF(OR(P1102="",Q1102="",P1102=0),"",((Q1102/30)/(P1102/31))-1)</x:f>
      </x:c>
      <x:c r="T1102" s="11" t="n">
        <x:v>199</x:v>
      </x:c>
      <x:c r="U1102" s="11" t="n">
        <x:v>169</x:v>
      </x:c>
      <x:c r="V1102" s="14" t="n">
        <x:v>0</x:v>
      </x:c>
      <x:c r="W1102" s="12" t="n">
        <x:v>8.810650887573964</x:v>
      </x:c>
      <x:c r="X1102" s="11"/>
      <x:c r="Y1102" s="11"/>
      <x:c r="Z1102" s="4" t="str">
        <x:v>https://blog.skyairline.com/tango/</x:v>
      </x:c>
      <x:c r="AA1102" s="4" t="str">
        <x:v>https://blog.skyairline.com/tango/</x:v>
      </x:c>
      <x:c r="AB1102" s="4" t="str">
        <x:v>Coincidencia URL</x:v>
      </x:c>
      <x:c r="AC1102" s="4" t="str">
        <x:v>Publicado hasta septiembre</x:v>
      </x:c>
      <x:c r="AD1102" s="4"/>
      <x:c r="AE1102" s="4"/>
      <x:c r="AF1102" s="16" t="b">
        <x:v>0</x:v>
      </x:c>
    </x:row>
    <x:row r="1103" ht="44" customHeight="1">
      <x:c r="A1103" s="4" t="n">
        <x:v>1919</x:v>
      </x:c>
      <x:c r="B1103" s="4" t="str">
        <x:v>https://blog.skyairline.com/esquiar-en-america-latina/</x:v>
      </x:c>
      <x:c r="C1103" s="9" t="str">
        <x:v>Esquiar en América Latina: ¿Vale la pena?</x:v>
      </x:c>
      <x:c r="D1103" s="17" t="d">
        <x:v>2022-06-09T00:00:00.000Z</x:v>
      </x:c>
      <x:c r="E1103" s="17" t="d">
        <x:v>2022-06-09T00:00:00.000Z</x:v>
      </x:c>
      <x:c r="F1103" s="4" t="str">
        <x:v>Destinos</x:v>
      </x:c>
      <x:c r="G1103" s="11" t="n">
        <x:v>1128</x:v>
      </x:c>
      <x:c r="H1103" s="11" t="n">
        <x:v>200</x:v>
      </x:c>
      <x:c r="I1103" s="11" t="n">
        <x:v>1</x:v>
      </x:c>
      <x:c r="J1103" s="4" t="str">
        <x:v>https://blog.skyairline.com/esquiar-en-america-latina/</x:v>
      </x:c>
      <x:c r="K1103" s="16" t="b">
        <x:v>0</x:v>
      </x:c>
      <x:c r="L1103" s="11" t="n">
        <x:v>0</x:v>
      </x:c>
      <x:c r="M1103" s="11" t="n">
        <x:v>7</x:v>
      </x:c>
      <x:c r="N1103" s="4"/>
      <x:c r="O1103" s="4"/>
      <x:c r="P1103" s="11" t="n">
        <x:v>0</x:v>
      </x:c>
      <x:c r="Q1103" s="11" t="n">
        <x:v>0</x:v>
      </x:c>
      <x:c r="R1103" s="11" t="str">
        <x:f>IF(OR(P1103="",Q1103=""),"",Q1103-P1103)</x:f>
      </x:c>
      <x:c r="S1103" s="13" t="str">
        <x:f>IF(OR(P1103="",Q1103="",P1103=0),"",((Q1103/30)/(P1103/31))-1)</x:f>
      </x:c>
      <x:c r="T1103" s="11" t="n">
        <x:v>114</x:v>
      </x:c>
      <x:c r="U1103" s="11" t="n">
        <x:v>60</x:v>
      </x:c>
      <x:c r="V1103" s="14" t="n">
        <x:v>0</x:v>
      </x:c>
      <x:c r="W1103" s="12" t="n">
        <x:v>9.316666666666666</x:v>
      </x:c>
      <x:c r="X1103" s="11" t="n">
        <x:v>1</x:v>
      </x:c>
      <x:c r="Y1103" s="11" t="n">
        <x:v>1</x:v>
      </x:c>
      <x:c r="Z1103" s="4" t="str">
        <x:v>https://blog.skyairline.com/esquiar-en-america-latina/</x:v>
      </x:c>
      <x:c r="AA1103" s="4" t="str">
        <x:v>https://blog.skyairline.com/esquiar-en-america-latina/</x:v>
      </x:c>
      <x:c r="AB1103" s="4" t="str">
        <x:v>Coincidencia URL</x:v>
      </x:c>
      <x:c r="AC1103" s="4" t="str">
        <x:v>Publicado hasta septiembre</x:v>
      </x:c>
      <x:c r="AD1103" s="4" t="str">
        <x:v>/esquiar-en-america-latina/</x:v>
      </x:c>
      <x:c r="AE1103" s="4"/>
      <x:c r="AF1103" s="16" t="b">
        <x:v>0</x:v>
      </x:c>
    </x:row>
    <x:row r="1104" ht="44" customHeight="1">
      <x:c r="A1104" s="4" t="n">
        <x:v>1931</x:v>
      </x:c>
      <x:c r="B1104" s="4" t="str">
        <x:v>https://blog.skyairline.com/documentar-tu-viaje/</x:v>
      </x:c>
      <x:c r="C1104" s="9" t="str">
        <x:v>Cómo documentar tu viaje para todos tus seguidores</x:v>
      </x:c>
      <x:c r="D1104" s="17" t="d">
        <x:v>2022-06-13T00:00:00.000Z</x:v>
      </x:c>
      <x:c r="E1104" s="17" t="d">
        <x:v>2022-06-13T00:00:00.000Z</x:v>
      </x:c>
      <x:c r="F1104" s="4" t="str">
        <x:v>Planificación de Viaje</x:v>
      </x:c>
      <x:c r="G1104" s="11" t="n">
        <x:v>1060</x:v>
      </x:c>
      <x:c r="H1104" s="11" t="n">
        <x:v>200</x:v>
      </x:c>
      <x:c r="I1104" s="11" t="n">
        <x:v>1</x:v>
      </x:c>
      <x:c r="J1104" s="4" t="str">
        <x:v>https://blog.skyairline.com/documentar-tu-viaje/</x:v>
      </x:c>
      <x:c r="K1104" s="16" t="b">
        <x:v>0</x:v>
      </x:c>
      <x:c r="L1104" s="11" t="n">
        <x:v>0</x:v>
      </x:c>
      <x:c r="M1104" s="11" t="n">
        <x:v>3</x:v>
      </x:c>
      <x:c r="N1104" s="4"/>
      <x:c r="O1104" s="4"/>
      <x:c r="P1104" s="11" t="n">
        <x:v>0</x:v>
      </x:c>
      <x:c r="Q1104" s="11" t="n">
        <x:v>0</x:v>
      </x:c>
      <x:c r="R1104" s="11" t="str">
        <x:f>IF(OR(P1104="",Q1104=""),"",Q1104-P1104)</x:f>
      </x:c>
      <x:c r="S1104" s="13" t="str">
        <x:f>IF(OR(P1104="",Q1104="",P1104=0),"",((Q1104/30)/(P1104/31))-1)</x:f>
      </x:c>
      <x:c r="T1104" s="11" t="n">
        <x:v>30</x:v>
      </x:c>
      <x:c r="U1104" s="11" t="n">
        <x:v>23</x:v>
      </x:c>
      <x:c r="V1104" s="14" t="n">
        <x:v>0</x:v>
      </x:c>
      <x:c r="W1104" s="12" t="n">
        <x:v>7.869565217391305</x:v>
      </x:c>
      <x:c r="X1104" s="11"/>
      <x:c r="Y1104" s="11"/>
      <x:c r="Z1104" s="4" t="str">
        <x:v>https://blog.skyairline.com/documentar-tu-viaje/</x:v>
      </x:c>
      <x:c r="AA1104" s="4" t="str">
        <x:v>https://blog.skyairline.com/documentar-tu-viaje/</x:v>
      </x:c>
      <x:c r="AB1104" s="4" t="str">
        <x:v>Coincidencia URL</x:v>
      </x:c>
      <x:c r="AC1104" s="4" t="str">
        <x:v>Publicado hasta septiembre</x:v>
      </x:c>
      <x:c r="AD1104" s="4"/>
      <x:c r="AE1104" s="4"/>
      <x:c r="AF1104" s="16" t="b">
        <x:v>0</x:v>
      </x:c>
    </x:row>
    <x:row r="1105" ht="44" customHeight="1">
      <x:c r="A1105" s="4" t="n">
        <x:v>1962</x:v>
      </x:c>
      <x:c r="B1105" s="4" t="str">
        <x:v>https://blog.skyairline.com/sky-realiza-su-primer-vuelo-a-estados-unidos/</x:v>
      </x:c>
      <x:c r="C1105" s="9" t="str">
        <x:v>SKY realiza su primer vuelo a Estados Unidos</x:v>
      </x:c>
      <x:c r="D1105" s="17" t="d">
        <x:v>2022-06-15T00:00:00.000Z</x:v>
      </x:c>
      <x:c r="E1105" s="17" t="d">
        <x:v>2022-06-15T00:00:00.000Z</x:v>
      </x:c>
      <x:c r="F1105" s="4" t="str">
        <x:v>Noticias</x:v>
      </x:c>
      <x:c r="G1105" s="11" t="n">
        <x:v>277</x:v>
      </x:c>
      <x:c r="H1105" s="11" t="n">
        <x:v>200</x:v>
      </x:c>
      <x:c r="I1105" s="11" t="n">
        <x:v>1</x:v>
      </x:c>
      <x:c r="J1105" s="4" t="str">
        <x:v>https://blog.skyairline.com/sky-realiza-su-primer-vuelo-a-estados-unidos/</x:v>
      </x:c>
      <x:c r="K1105" s="16" t="b">
        <x:v>0</x:v>
      </x:c>
      <x:c r="L1105" s="11" t="n">
        <x:v>0</x:v>
      </x:c>
      <x:c r="M1105" s="11" t="n">
        <x:v>0</x:v>
      </x:c>
      <x:c r="N1105" s="4"/>
      <x:c r="O1105" s="4"/>
      <x:c r="P1105" s="11" t="n">
        <x:v>1</x:v>
      </x:c>
      <x:c r="Q1105" s="11" t="n">
        <x:v>0</x:v>
      </x:c>
      <x:c r="R1105" s="11" t="str">
        <x:f>IF(OR(P1105="",Q1105=""),"",Q1105-P1105)</x:f>
      </x:c>
      <x:c r="S1105" s="13" t="str">
        <x:f>IF(OR(P1105="",Q1105="",P1105=0),"",((Q1105/30)/(P1105/31))-1)</x:f>
      </x:c>
      <x:c r="T1105" s="11" t="n">
        <x:v>81</x:v>
      </x:c>
      <x:c r="U1105" s="11" t="n">
        <x:v>28</x:v>
      </x:c>
      <x:c r="V1105" s="14" t="n">
        <x:v>0</x:v>
      </x:c>
      <x:c r="W1105" s="12" t="n">
        <x:v>8.25</x:v>
      </x:c>
      <x:c r="X1105" s="11"/>
      <x:c r="Y1105" s="11"/>
      <x:c r="Z1105" s="4" t="str">
        <x:v>https://blog.skyairline.com/sky-realiza-su-primer-vuelo-a-estados-unidos/</x:v>
      </x:c>
      <x:c r="AA1105" s="4" t="str">
        <x:v>https://blog.skyairline.com/sky-realiza-su-primer-vuelo-a-estados-unidos/</x:v>
      </x:c>
      <x:c r="AB1105" s="4" t="str">
        <x:v>Coincidencia URL</x:v>
      </x:c>
      <x:c r="AC1105" s="4" t="str">
        <x:v>Publicado hasta septiembre</x:v>
      </x:c>
      <x:c r="AD1105" s="4"/>
      <x:c r="AE1105" s="4"/>
      <x:c r="AF1105" s="16" t="b">
        <x:v>0</x:v>
      </x:c>
    </x:row>
    <x:row r="1106" ht="44" customHeight="1">
      <x:c r="A1106" s="4" t="n">
        <x:v>1971</x:v>
      </x:c>
      <x:c r="B1106" s="4" t="str">
        <x:v>https://blog.skyairline.com/playas-de-chile/</x:v>
      </x:c>
      <x:c r="C1106" s="9" t="str">
        <x:v>Playas de Chile ¿Cómo apoyar su conservación?</x:v>
      </x:c>
      <x:c r="D1106" s="17" t="d">
        <x:v>2025-10-20T00:00:00.000Z</x:v>
      </x:c>
      <x:c r="E1106" s="17" t="d">
        <x:v>2026-01-12T00:00:00.000Z</x:v>
      </x:c>
      <x:c r="F1106" s="4" t="str">
        <x:v>Cultura</x:v>
      </x:c>
      <x:c r="G1106" s="11" t="n">
        <x:v>1088</x:v>
      </x:c>
      <x:c r="H1106" s="11" t="n">
        <x:v>200</x:v>
      </x:c>
      <x:c r="I1106" s="11" t="n">
        <x:v>1</x:v>
      </x:c>
      <x:c r="J1106" s="4" t="str">
        <x:v>https://blog.skyairline.com/playas-de-chile/</x:v>
      </x:c>
      <x:c r="K1106" s="16" t="b">
        <x:v>0</x:v>
      </x:c>
      <x:c r="L1106" s="11" t="n">
        <x:v>0</x:v>
      </x:c>
      <x:c r="M1106" s="11" t="n">
        <x:v>0</x:v>
      </x:c>
      <x:c r="N1106" s="4"/>
      <x:c r="O1106" s="4"/>
      <x:c r="P1106" s="11" t="n">
        <x:v>4</x:v>
      </x:c>
      <x:c r="Q1106" s="11" t="n">
        <x:v>0</x:v>
      </x:c>
      <x:c r="R1106" s="11" t="str">
        <x:f>IF(OR(P1106="",Q1106=""),"",Q1106-P1106)</x:f>
      </x:c>
      <x:c r="S1106" s="13" t="str">
        <x:f>IF(OR(P1106="",Q1106="",P1106=0),"",((Q1106/30)/(P1106/31))-1)</x:f>
      </x:c>
      <x:c r="T1106" s="11" t="n">
        <x:v>100</x:v>
      </x:c>
      <x:c r="U1106" s="11" t="n">
        <x:v>50</x:v>
      </x:c>
      <x:c r="V1106" s="14" t="n">
        <x:v>0</x:v>
      </x:c>
      <x:c r="W1106" s="12" t="n">
        <x:v>5.46</x:v>
      </x:c>
      <x:c r="X1106" s="11"/>
      <x:c r="Y1106" s="11"/>
      <x:c r="Z1106" s="4" t="str">
        <x:v>https://blog.skyairline.com/playas-de-chile/</x:v>
      </x:c>
      <x:c r="AA1106" s="4" t="str">
        <x:v>https://blog.skyairline.com/playas-de-chile/</x:v>
      </x:c>
      <x:c r="AB1106" s="4" t="str">
        <x:v>Coincidencia URL</x:v>
      </x:c>
      <x:c r="AC1106" s="4" t="str">
        <x:v>Publicado hasta septiembre</x:v>
      </x:c>
      <x:c r="AD1106" s="4"/>
      <x:c r="AE1106" s="4"/>
      <x:c r="AF1106" s="16" t="b">
        <x:v>0</x:v>
      </x:c>
    </x:row>
    <x:row r="1107" ht="44" customHeight="1">
      <x:c r="A1107" s="4" t="n">
        <x:v>1977</x:v>
      </x:c>
      <x:c r="B1107" s="4" t="str">
        <x:v>https://blog.skyairline.com/la-candelaria/</x:v>
      </x:c>
      <x:c r="C1107" s="9" t="str">
        <x:v>La Candelaria: La belleza de Bogotá</x:v>
      </x:c>
      <x:c r="D1107" s="17" t="d">
        <x:v>2022-06-22T00:00:00.000Z</x:v>
      </x:c>
      <x:c r="E1107" s="17" t="d">
        <x:v>2022-06-22T00:00:00.000Z</x:v>
      </x:c>
      <x:c r="F1107" s="4" t="str">
        <x:v>Destinos</x:v>
      </x:c>
      <x:c r="G1107" s="11" t="n">
        <x:v>1038</x:v>
      </x:c>
      <x:c r="H1107" s="11" t="n">
        <x:v>200</x:v>
      </x:c>
      <x:c r="I1107" s="11" t="n">
        <x:v>1</x:v>
      </x:c>
      <x:c r="J1107" s="4" t="str">
        <x:v>https://blog.skyairline.com/la-candelaria/</x:v>
      </x:c>
      <x:c r="K1107" s="16" t="b">
        <x:v>0</x:v>
      </x:c>
      <x:c r="L1107" s="11" t="n">
        <x:v>0</x:v>
      </x:c>
      <x:c r="M1107" s="11" t="n">
        <x:v>3</x:v>
      </x:c>
      <x:c r="N1107" s="4"/>
      <x:c r="O1107" s="4"/>
      <x:c r="P1107" s="11" t="n">
        <x:v>1</x:v>
      </x:c>
      <x:c r="Q1107" s="11" t="n">
        <x:v>0</x:v>
      </x:c>
      <x:c r="R1107" s="11" t="str">
        <x:f>IF(OR(P1107="",Q1107=""),"",Q1107-P1107)</x:f>
      </x:c>
      <x:c r="S1107" s="13" t="str">
        <x:f>IF(OR(P1107="",Q1107="",P1107=0),"",((Q1107/30)/(P1107/31))-1)</x:f>
      </x:c>
      <x:c r="T1107" s="11" t="n">
        <x:v>29</x:v>
      </x:c>
      <x:c r="U1107" s="11" t="n">
        <x:v>11</x:v>
      </x:c>
      <x:c r="V1107" s="14" t="n">
        <x:v>0</x:v>
      </x:c>
      <x:c r="W1107" s="12" t="n">
        <x:v>15.181818181818182</x:v>
      </x:c>
      <x:c r="X1107" s="11"/>
      <x:c r="Y1107" s="11"/>
      <x:c r="Z1107" s="4" t="str">
        <x:v>https://blog.skyairline.com/la-candelaria/</x:v>
      </x:c>
      <x:c r="AA1107" s="4" t="str">
        <x:v>https://blog.skyairline.com/la-candelaria/</x:v>
      </x:c>
      <x:c r="AB1107" s="4" t="str">
        <x:v>Coincidencia URL</x:v>
      </x:c>
      <x:c r="AC1107" s="4" t="str">
        <x:v>Publicado hasta septiembre</x:v>
      </x:c>
      <x:c r="AD1107" s="4"/>
      <x:c r="AE1107" s="4"/>
      <x:c r="AF1107" s="16" t="b">
        <x:v>0</x:v>
      </x:c>
    </x:row>
    <x:row r="1108" ht="44" customHeight="1">
      <x:c r="A1108" s="4" t="n">
        <x:v>1984</x:v>
      </x:c>
      <x:c r="B1108" s="4" t="str">
        <x:v>https://blog.skyairline.com/patrimonios-naturales-de-chile/</x:v>
      </x:c>
      <x:c r="C1108" s="9" t="str">
        <x:v>¿Conoces estos patrimonios naturales de Chile?</x:v>
      </x:c>
      <x:c r="D1108" s="17" t="d">
        <x:v>2022-06-24T00:00:00.000Z</x:v>
      </x:c>
      <x:c r="E1108" s="17" t="d">
        <x:v>2022-06-24T00:00:00.000Z</x:v>
      </x:c>
      <x:c r="F1108" s="4" t="str">
        <x:v>Destinos</x:v>
      </x:c>
      <x:c r="G1108" s="11" t="n">
        <x:v>1021</x:v>
      </x:c>
      <x:c r="H1108" s="11" t="n">
        <x:v>200</x:v>
      </x:c>
      <x:c r="I1108" s="11" t="n">
        <x:v>1</x:v>
      </x:c>
      <x:c r="J1108" s="4" t="str">
        <x:v>https://blog.skyairline.com/patrimonios-naturales-de-chile/</x:v>
      </x:c>
      <x:c r="K1108" s="16" t="b">
        <x:v>0</x:v>
      </x:c>
      <x:c r="L1108" s="11" t="n">
        <x:v>0</x:v>
      </x:c>
      <x:c r="M1108" s="11" t="n">
        <x:v>3</x:v>
      </x:c>
      <x:c r="N1108" s="4"/>
      <x:c r="O1108" s="4"/>
      <x:c r="P1108" s="11" t="n">
        <x:v>1</x:v>
      </x:c>
      <x:c r="Q1108" s="11" t="n">
        <x:v>0</x:v>
      </x:c>
      <x:c r="R1108" s="11" t="str">
        <x:f>IF(OR(P1108="",Q1108=""),"",Q1108-P1108)</x:f>
      </x:c>
      <x:c r="S1108" s="13" t="str">
        <x:f>IF(OR(P1108="",Q1108="",P1108=0),"",((Q1108/30)/(P1108/31))-1)</x:f>
      </x:c>
      <x:c r="T1108" s="11" t="n">
        <x:v>244</x:v>
      </x:c>
      <x:c r="U1108" s="11" t="n">
        <x:v>251</x:v>
      </x:c>
      <x:c r="V1108" s="14" t="n">
        <x:v>0</x:v>
      </x:c>
      <x:c r="W1108" s="12" t="n">
        <x:v>10.350597609561753</x:v>
      </x:c>
      <x:c r="X1108" s="11" t="n">
        <x:v>9</x:v>
      </x:c>
      <x:c r="Y1108" s="11" t="n">
        <x:v>11</x:v>
      </x:c>
      <x:c r="Z1108" s="4" t="str">
        <x:v>https://blog.skyairline.com/patrimonios-naturales-de-chile/</x:v>
      </x:c>
      <x:c r="AA1108" s="4" t="str">
        <x:v>https://blog.skyairline.com/patrimonios-naturales-de-chile/</x:v>
      </x:c>
      <x:c r="AB1108" s="4" t="str">
        <x:v>Coincidencia URL</x:v>
      </x:c>
      <x:c r="AC1108" s="4" t="str">
        <x:v>Publicado hasta septiembre</x:v>
      </x:c>
      <x:c r="AD1108" s="4" t="str">
        <x:v>/patrimonios-naturales-de-chile/</x:v>
      </x:c>
      <x:c r="AE1108" s="4"/>
      <x:c r="AF1108" s="16" t="b">
        <x:v>0</x:v>
      </x:c>
    </x:row>
    <x:row r="1109" ht="44" customHeight="1">
      <x:c r="A1109" s="4" t="n">
        <x:v>1990</x:v>
      </x:c>
      <x:c r="B1109" s="4" t="str">
        <x:v>https://blog.skyairline.com/diversidad-biologica/</x:v>
      </x:c>
      <x:c r="C1109" s="9" t="str">
        <x:v>La Diversidad Biológica: conócela y protégela</x:v>
      </x:c>
      <x:c r="D1109" s="17" t="d">
        <x:v>2022-06-27T00:00:00.000Z</x:v>
      </x:c>
      <x:c r="E1109" s="17" t="d">
        <x:v>2022-06-27T00:00:00.000Z</x:v>
      </x:c>
      <x:c r="F1109" s="4" t="str">
        <x:v>Destinos</x:v>
      </x:c>
      <x:c r="G1109" s="11" t="n">
        <x:v>1081</x:v>
      </x:c>
      <x:c r="H1109" s="11" t="n">
        <x:v>200</x:v>
      </x:c>
      <x:c r="I1109" s="11" t="n">
        <x:v>1</x:v>
      </x:c>
      <x:c r="J1109" s="4" t="str">
        <x:v>https://blog.skyairline.com/diversidad-biologica/</x:v>
      </x:c>
      <x:c r="K1109" s="16" t="b">
        <x:v>0</x:v>
      </x:c>
      <x:c r="L1109" s="11" t="n">
        <x:v>0</x:v>
      </x:c>
      <x:c r="M1109" s="11" t="n">
        <x:v>3</x:v>
      </x:c>
      <x:c r="N1109" s="4"/>
      <x:c r="O1109" s="4"/>
      <x:c r="P1109" s="11" t="n">
        <x:v>0</x:v>
      </x:c>
      <x:c r="Q1109" s="11" t="n">
        <x:v>0</x:v>
      </x:c>
      <x:c r="R1109" s="11" t="str">
        <x:f>IF(OR(P1109="",Q1109=""),"",Q1109-P1109)</x:f>
      </x:c>
      <x:c r="S1109" s="13" t="str">
        <x:f>IF(OR(P1109="",Q1109="",P1109=0),"",((Q1109/30)/(P1109/31))-1)</x:f>
      </x:c>
      <x:c r="T1109" s="11" t="n">
        <x:v>6</x:v>
      </x:c>
      <x:c r="U1109" s="11" t="n">
        <x:v>23</x:v>
      </x:c>
      <x:c r="V1109" s="14" t="n">
        <x:v>0</x:v>
      </x:c>
      <x:c r="W1109" s="12" t="n">
        <x:v>7.043478260869565</x:v>
      </x:c>
      <x:c r="X1109" s="11"/>
      <x:c r="Y1109" s="11"/>
      <x:c r="Z1109" s="4" t="str">
        <x:v>https://blog.skyairline.com/diversidad-biologica/</x:v>
      </x:c>
      <x:c r="AA1109" s="4" t="str">
        <x:v>https://blog.skyairline.com/diversidad-biologica/</x:v>
      </x:c>
      <x:c r="AB1109" s="4" t="str">
        <x:v>Coincidencia URL</x:v>
      </x:c>
      <x:c r="AC1109" s="4" t="str">
        <x:v>Publicado hasta septiembre</x:v>
      </x:c>
      <x:c r="AD1109" s="4"/>
      <x:c r="AE1109" s="4"/>
      <x:c r="AF1109" s="16" t="b">
        <x:v>0</x:v>
      </x:c>
    </x:row>
    <x:row r="1110" ht="44" customHeight="1">
      <x:c r="A1110" s="4" t="n">
        <x:v>1996</x:v>
      </x:c>
      <x:c r="B1110" s="4" t="str">
        <x:v>https://blog.skyairline.com/senderismo/</x:v>
      </x:c>
      <x:c r="C1110" s="9" t="str">
        <x:v>5 razones para hacer senderismo</x:v>
      </x:c>
      <x:c r="D1110" s="17" t="d">
        <x:v>2026-04-21T00:00:00.000Z</x:v>
      </x:c>
      <x:c r="E1110" s="17" t="d">
        <x:v>2026-04-16T00:00:00.000Z</x:v>
      </x:c>
      <x:c r="F1110" s="4" t="str">
        <x:v>Cultura</x:v>
      </x:c>
      <x:c r="G1110" s="11" t="n">
        <x:v>1166</x:v>
      </x:c>
      <x:c r="H1110" s="11" t="n">
        <x:v>200</x:v>
      </x:c>
      <x:c r="I1110" s="11" t="n">
        <x:v>1</x:v>
      </x:c>
      <x:c r="J1110" s="4" t="str">
        <x:v>https://blog.skyairline.com/senderismo/</x:v>
      </x:c>
      <x:c r="K1110" s="16" t="b">
        <x:v>0</x:v>
      </x:c>
      <x:c r="L1110" s="11" t="n">
        <x:v>0</x:v>
      </x:c>
      <x:c r="M1110" s="11" t="n">
        <x:v>0</x:v>
      </x:c>
      <x:c r="N1110" s="4"/>
      <x:c r="O1110" s="4"/>
      <x:c r="P1110" s="11" t="n">
        <x:v>0</x:v>
      </x:c>
      <x:c r="Q1110" s="11" t="n">
        <x:v>0</x:v>
      </x:c>
      <x:c r="R1110" s="11" t="str">
        <x:f>IF(OR(P1110="",Q1110=""),"",Q1110-P1110)</x:f>
      </x:c>
      <x:c r="S1110" s="13" t="str">
        <x:f>IF(OR(P1110="",Q1110="",P1110=0),"",((Q1110/30)/(P1110/31))-1)</x:f>
      </x:c>
      <x:c r="T1110" s="11" t="n">
        <x:v>65</x:v>
      </x:c>
      <x:c r="U1110" s="11" t="n">
        <x:v>150</x:v>
      </x:c>
      <x:c r="V1110" s="14" t="n">
        <x:v>0</x:v>
      </x:c>
      <x:c r="W1110" s="12" t="n">
        <x:v>5.593333333333334</x:v>
      </x:c>
      <x:c r="X1110" s="11"/>
      <x:c r="Y1110" s="11"/>
      <x:c r="Z1110" s="4" t="str">
        <x:v>https://blog.skyairline.com/senderismo/</x:v>
      </x:c>
      <x:c r="AA1110" s="4" t="str">
        <x:v>https://blog.skyairline.com/senderismo/</x:v>
      </x:c>
      <x:c r="AB1110" s="4" t="str">
        <x:v>Coincidencia URL</x:v>
      </x:c>
      <x:c r="AC1110" s="4" t="str">
        <x:v>Publicado hasta septiembre</x:v>
      </x:c>
      <x:c r="AD1110" s="4"/>
      <x:c r="AE1110" s="4"/>
      <x:c r="AF1110" s="16" t="b">
        <x:v>0</x:v>
      </x:c>
    </x:row>
    <x:row r="1111" ht="44" customHeight="1">
      <x:c r="A1111" s="4" t="n">
        <x:v>2020</x:v>
      </x:c>
      <x:c r="B1111" s="4" t="str">
        <x:v>https://blog.skyairline.com/sky-sorteara-2-entradas-para-ver-al-conejo-malo-en-su-concierto-en-miami-y-en-exclusiva/</x:v>
      </x:c>
      <x:c r="C1111" s="9" t="str">
        <x:v>SKY sorteará 2 entradas para ver al Conejo Malo en su concierto en Miami y en exclusiva</x:v>
      </x:c>
      <x:c r="D1111" s="17" t="d">
        <x:v>2022-06-29T00:00:00.000Z</x:v>
      </x:c>
      <x:c r="E1111" s="17" t="d">
        <x:v>2022-06-29T00:00:00.000Z</x:v>
      </x:c>
      <x:c r="F1111" s="4" t="str">
        <x:v>Noticias</x:v>
      </x:c>
      <x:c r="G1111" s="11" t="n">
        <x:v>354</x:v>
      </x:c>
      <x:c r="H1111" s="11" t="n">
        <x:v>200</x:v>
      </x:c>
      <x:c r="I1111" s="11" t="n">
        <x:v>1</x:v>
      </x:c>
      <x:c r="J1111" s="4" t="str">
        <x:v>https://blog.skyairline.com/sky-sorteara-2-entradas-para-ver-al-conejo-malo-en-su-concierto-en-miami-y-en-exclusiva/</x:v>
      </x:c>
      <x:c r="K1111" s="16" t="b">
        <x:v>0</x:v>
      </x:c>
      <x:c r="L1111" s="11" t="n">
        <x:v>0</x:v>
      </x:c>
      <x:c r="M1111" s="11" t="n">
        <x:v>0</x:v>
      </x:c>
      <x:c r="N1111" s="4"/>
      <x:c r="O1111" s="4"/>
      <x:c r="P1111" s="11" t="n">
        <x:v>0</x:v>
      </x:c>
      <x:c r="Q1111" s="11" t="n">
        <x:v>0</x:v>
      </x:c>
      <x:c r="R1111" s="11" t="str">
        <x:f>IF(OR(P1111="",Q1111=""),"",Q1111-P1111)</x:f>
      </x:c>
      <x:c r="S1111" s="13" t="str">
        <x:f>IF(OR(P1111="",Q1111="",P1111=0),"",((Q1111/30)/(P1111/31))-1)</x:f>
      </x:c>
      <x:c r="T1111" s="11" t="n">
        <x:v>3</x:v>
      </x:c>
      <x:c r="U1111" s="11" t="n">
        <x:v>4</x:v>
      </x:c>
      <x:c r="V1111" s="14" t="n">
        <x:v>0</x:v>
      </x:c>
      <x:c r="W1111" s="12" t="n">
        <x:v>5.75</x:v>
      </x:c>
      <x:c r="X1111" s="11"/>
      <x:c r="Y1111" s="11"/>
      <x:c r="Z1111" s="4" t="str">
        <x:v>https://blog.skyairline.com/sky-sorteara-2-entradas-para-ver-al-conejo-malo-en-su-concierto-en-miami-y-en-exclusiva/</x:v>
      </x:c>
      <x:c r="AA1111" s="4" t="str">
        <x:v>https://blog.skyairline.com/sky-sorteara-2-entradas-para-ver-al-conejo-malo-en-su-concierto-en-miami-y-en-exclusiva/</x:v>
      </x:c>
      <x:c r="AB1111" s="4" t="str">
        <x:v>Coincidencia URL</x:v>
      </x:c>
      <x:c r="AC1111" s="4" t="str">
        <x:v>Publicado hasta septiembre</x:v>
      </x:c>
      <x:c r="AD1111" s="4"/>
      <x:c r="AE1111" s="4"/>
      <x:c r="AF1111" s="16" t="b">
        <x:v>0</x:v>
      </x:c>
    </x:row>
    <x:row r="1112" ht="44" customHeight="1">
      <x:c r="A1112" s="4" t="n">
        <x:v>2025</x:v>
      </x:c>
      <x:c r="B1112" s="4" t="str">
        <x:v>https://blog.skyairline.com/sky-se-posiciona-como-la-aerolinea-mas-puntual-del-continente/</x:v>
      </x:c>
      <x:c r="C1112" s="9" t="str">
        <x:v>SKY se posiciona como la aerolínea más puntual del continente</x:v>
      </x:c>
      <x:c r="D1112" s="17" t="d">
        <x:v>2022-06-29T00:00:00.000Z</x:v>
      </x:c>
      <x:c r="E1112" s="17" t="d">
        <x:v>2022-06-29T00:00:00.000Z</x:v>
      </x:c>
      <x:c r="F1112" s="4" t="str">
        <x:v>Noticias</x:v>
      </x:c>
      <x:c r="G1112" s="11" t="n">
        <x:v>391</x:v>
      </x:c>
      <x:c r="H1112" s="11" t="n">
        <x:v>200</x:v>
      </x:c>
      <x:c r="I1112" s="11" t="n">
        <x:v>1</x:v>
      </x:c>
      <x:c r="J1112" s="4" t="str">
        <x:v>https://blog.skyairline.com/sky-se-posiciona-como-la-aerolinea-mas-puntual-del-continente/</x:v>
      </x:c>
      <x:c r="K1112" s="16" t="b">
        <x:v>0</x:v>
      </x:c>
      <x:c r="L1112" s="11" t="n">
        <x:v>0</x:v>
      </x:c>
      <x:c r="M1112" s="11" t="n">
        <x:v>0</x:v>
      </x:c>
      <x:c r="N1112" s="4"/>
      <x:c r="O1112" s="4"/>
      <x:c r="P1112" s="11" t="n">
        <x:v>0</x:v>
      </x:c>
      <x:c r="Q1112" s="11" t="n">
        <x:v>0</x:v>
      </x:c>
      <x:c r="R1112" s="11" t="str">
        <x:f>IF(OR(P1112="",Q1112=""),"",Q1112-P1112)</x:f>
      </x:c>
      <x:c r="S1112" s="13" t="str">
        <x:f>IF(OR(P1112="",Q1112="",P1112=0),"",((Q1112/30)/(P1112/31))-1)</x:f>
      </x:c>
      <x:c r="T1112" s="11" t="n">
        <x:v>15</x:v>
      </x:c>
      <x:c r="U1112" s="11" t="n">
        <x:v>12</x:v>
      </x:c>
      <x:c r="V1112" s="14" t="n">
        <x:v>0</x:v>
      </x:c>
      <x:c r="W1112" s="12" t="n">
        <x:v>8.916666666666668</x:v>
      </x:c>
      <x:c r="X1112" s="11"/>
      <x:c r="Y1112" s="11"/>
      <x:c r="Z1112" s="4" t="str">
        <x:v>https://blog.skyairline.com/sky-se-posiciona-como-la-aerolinea-mas-puntual-del-continente/</x:v>
      </x:c>
      <x:c r="AA1112" s="4" t="str">
        <x:v>https://blog.skyairline.com/sky-se-posiciona-como-la-aerolinea-mas-puntual-del-continente/</x:v>
      </x:c>
      <x:c r="AB1112" s="4" t="str">
        <x:v>Coincidencia URL</x:v>
      </x:c>
      <x:c r="AC1112" s="4" t="str">
        <x:v>Publicado hasta septiembre</x:v>
      </x:c>
      <x:c r="AD1112" s="4"/>
      <x:c r="AE1112" s="4"/>
      <x:c r="AF1112" s="16" t="b">
        <x:v>0</x:v>
      </x:c>
    </x:row>
    <x:row r="1113" ht="44" customHeight="1">
      <x:c r="A1113" s="4" t="n">
        <x:v>2041</x:v>
      </x:c>
      <x:c r="B1113" s="4" t="str">
        <x:v>https://blog.skyairline.com/comida-tipica-argentina/</x:v>
      </x:c>
      <x:c r="C1113" s="9" t="str">
        <x:v>Comida típica argentina: Sus mejores delicias</x:v>
      </x:c>
      <x:c r="D1113" s="17" t="d">
        <x:v>2022-07-01T00:00:00.000Z</x:v>
      </x:c>
      <x:c r="E1113" s="17" t="d">
        <x:v>2022-07-01T00:00:00.000Z</x:v>
      </x:c>
      <x:c r="F1113" s="4" t="str">
        <x:v>Cultura</x:v>
      </x:c>
      <x:c r="G1113" s="11" t="n">
        <x:v>997</x:v>
      </x:c>
      <x:c r="H1113" s="11" t="n">
        <x:v>200</x:v>
      </x:c>
      <x:c r="I1113" s="11" t="n">
        <x:v>1</x:v>
      </x:c>
      <x:c r="J1113" s="4" t="str">
        <x:v>https://blog.skyairline.com/comida-tipica-argentina/</x:v>
      </x:c>
      <x:c r="K1113" s="16" t="b">
        <x:v>0</x:v>
      </x:c>
      <x:c r="L1113" s="11" t="n">
        <x:v>0</x:v>
      </x:c>
      <x:c r="M1113" s="11" t="n">
        <x:v>0</x:v>
      </x:c>
      <x:c r="N1113" s="4"/>
      <x:c r="O1113" s="4"/>
      <x:c r="P1113" s="11" t="n">
        <x:v>0</x:v>
      </x:c>
      <x:c r="Q1113" s="11" t="n">
        <x:v>0</x:v>
      </x:c>
      <x:c r="R1113" s="11" t="str">
        <x:f>IF(OR(P1113="",Q1113=""),"",Q1113-P1113)</x:f>
      </x:c>
      <x:c r="S1113" s="13" t="str">
        <x:f>IF(OR(P1113="",Q1113="",P1113=0),"",((Q1113/30)/(P1113/31))-1)</x:f>
      </x:c>
      <x:c r="T1113" s="11" t="n">
        <x:v>718</x:v>
      </x:c>
      <x:c r="U1113" s="11" t="n">
        <x:v>519</x:v>
      </x:c>
      <x:c r="V1113" s="14" t="n">
        <x:v>0</x:v>
      </x:c>
      <x:c r="W1113" s="12" t="n">
        <x:v>43.95375722543353</x:v>
      </x:c>
      <x:c r="X1113" s="11"/>
      <x:c r="Y1113" s="11"/>
      <x:c r="Z1113" s="4" t="str">
        <x:v>https://blog.skyairline.com/comida-tipica-argentina/</x:v>
      </x:c>
      <x:c r="AA1113" s="4" t="str">
        <x:v>https://blog.skyairline.com/comida-tipica-argentina/</x:v>
      </x:c>
      <x:c r="AB1113" s="4" t="str">
        <x:v>Coincidencia URL</x:v>
      </x:c>
      <x:c r="AC1113" s="4" t="str">
        <x:v>Publicado hasta septiembre</x:v>
      </x:c>
      <x:c r="AD1113" s="4"/>
      <x:c r="AE1113" s="4"/>
      <x:c r="AF1113" s="16" t="b">
        <x:v>0</x:v>
      </x:c>
    </x:row>
    <x:row r="1114" ht="44" customHeight="1">
      <x:c r="A1114" s="4" t="n">
        <x:v>2044</x:v>
      </x:c>
      <x:c r="B1114" s="4" t="str">
        <x:v>https://blog.skyairline.com/reciclaje/</x:v>
      </x:c>
      <x:c r="C1114" s="9" t="str">
        <x:v>¿Cómo practicar el reciclaje mientras haces turismo?</x:v>
      </x:c>
      <x:c r="D1114" s="17" t="d">
        <x:v>2022-07-04T00:00:00.000Z</x:v>
      </x:c>
      <x:c r="E1114" s="17" t="d">
        <x:v>2022-07-04T00:00:00.000Z</x:v>
      </x:c>
      <x:c r="F1114" s="4" t="str">
        <x:v>Cultura</x:v>
      </x:c>
      <x:c r="G1114" s="11" t="n">
        <x:v>1057</x:v>
      </x:c>
      <x:c r="H1114" s="11" t="n">
        <x:v>200</x:v>
      </x:c>
      <x:c r="I1114" s="11" t="n">
        <x:v>1</x:v>
      </x:c>
      <x:c r="J1114" s="4" t="str">
        <x:v>https://blog.skyairline.com/reciclaje/</x:v>
      </x:c>
      <x:c r="K1114" s="16" t="b">
        <x:v>0</x:v>
      </x:c>
      <x:c r="L1114" s="11" t="n">
        <x:v>0</x:v>
      </x:c>
      <x:c r="M1114" s="11" t="n">
        <x:v>4</x:v>
      </x:c>
      <x:c r="N1114" s="4"/>
      <x:c r="O1114" s="4"/>
      <x:c r="P1114" s="11" t="n">
        <x:v>1</x:v>
      </x:c>
      <x:c r="Q1114" s="11" t="n">
        <x:v>0</x:v>
      </x:c>
      <x:c r="R1114" s="11" t="str">
        <x:f>IF(OR(P1114="",Q1114=""),"",Q1114-P1114)</x:f>
      </x:c>
      <x:c r="S1114" s="13" t="str">
        <x:f>IF(OR(P1114="",Q1114="",P1114=0),"",((Q1114/30)/(P1114/31))-1)</x:f>
      </x:c>
      <x:c r="T1114" s="11" t="n">
        <x:v>35</x:v>
      </x:c>
      <x:c r="U1114" s="11" t="n">
        <x:v>121</x:v>
      </x:c>
      <x:c r="V1114" s="14" t="n">
        <x:v>0</x:v>
      </x:c>
      <x:c r="W1114" s="12" t="n">
        <x:v>6.553719008264463</x:v>
      </x:c>
      <x:c r="X1114" s="11"/>
      <x:c r="Y1114" s="11"/>
      <x:c r="Z1114" s="4" t="str">
        <x:v>https://blog.skyairline.com/reciclaje/</x:v>
      </x:c>
      <x:c r="AA1114" s="4" t="str">
        <x:v>https://blog.skyairline.com/reciclaje/</x:v>
      </x:c>
      <x:c r="AB1114" s="4" t="str">
        <x:v>Coincidencia URL</x:v>
      </x:c>
      <x:c r="AC1114" s="4" t="str">
        <x:v>Publicado hasta septiembre</x:v>
      </x:c>
      <x:c r="AD1114" s="4"/>
      <x:c r="AE1114" s="4"/>
      <x:c r="AF1114" s="16" t="b">
        <x:v>0</x:v>
      </x:c>
    </x:row>
    <x:row r="1115" ht="44" customHeight="1">
      <x:c r="A1115" s="4" t="n">
        <x:v>2047</x:v>
      </x:c>
      <x:c r="B1115" s="4" t="str">
        <x:v>https://blog.skyairline.com/prepararse-para-el-invierno/</x:v>
      </x:c>
      <x:c r="C1115" s="9" t="str">
        <x:v>Cómo prepararse para el invierno cuando se hace turismo</x:v>
      </x:c>
      <x:c r="D1115" s="17" t="d">
        <x:v>2022-07-05T00:00:00.000Z</x:v>
      </x:c>
      <x:c r="E1115" s="17" t="d">
        <x:v>2022-07-05T00:00:00.000Z</x:v>
      </x:c>
      <x:c r="F1115" s="4" t="str">
        <x:v>Cultura</x:v>
      </x:c>
      <x:c r="G1115" s="11" t="n">
        <x:v>999</x:v>
      </x:c>
      <x:c r="H1115" s="11" t="n">
        <x:v>200</x:v>
      </x:c>
      <x:c r="I1115" s="11" t="n">
        <x:v>1</x:v>
      </x:c>
      <x:c r="J1115" s="4" t="str">
        <x:v>https://blog.skyairline.com/prepararse-para-el-invierno/</x:v>
      </x:c>
      <x:c r="K1115" s="16" t="b">
        <x:v>0</x:v>
      </x:c>
      <x:c r="L1115" s="11" t="n">
        <x:v>0</x:v>
      </x:c>
      <x:c r="M1115" s="11" t="n">
        <x:v>4</x:v>
      </x:c>
      <x:c r="N1115" s="4"/>
      <x:c r="O1115" s="4"/>
      <x:c r="P1115" s="11" t="n">
        <x:v>0</x:v>
      </x:c>
      <x:c r="Q1115" s="11" t="n">
        <x:v>0</x:v>
      </x:c>
      <x:c r="R1115" s="11" t="str">
        <x:f>IF(OR(P1115="",Q1115=""),"",Q1115-P1115)</x:f>
      </x:c>
      <x:c r="S1115" s="13" t="str">
        <x:f>IF(OR(P1115="",Q1115="",P1115=0),"",((Q1115/30)/(P1115/31))-1)</x:f>
      </x:c>
      <x:c r="T1115" s="11" t="n">
        <x:v>78</x:v>
      </x:c>
      <x:c r="U1115" s="11" t="n">
        <x:v>22</x:v>
      </x:c>
      <x:c r="V1115" s="14" t="n">
        <x:v>0</x:v>
      </x:c>
      <x:c r="W1115" s="12" t="n">
        <x:v>3.727272727272727</x:v>
      </x:c>
      <x:c r="X1115" s="11"/>
      <x:c r="Y1115" s="11"/>
      <x:c r="Z1115" s="4" t="str">
        <x:v>https://blog.skyairline.com/prepararse-para-el-invierno/</x:v>
      </x:c>
      <x:c r="AA1115" s="4" t="str">
        <x:v>https://blog.skyairline.com/prepararse-para-el-invierno/</x:v>
      </x:c>
      <x:c r="AB1115" s="4" t="str">
        <x:v>Coincidencia URL</x:v>
      </x:c>
      <x:c r="AC1115" s="4" t="str">
        <x:v>Publicado hasta septiembre</x:v>
      </x:c>
      <x:c r="AD1115" s="4"/>
      <x:c r="AE1115" s="4"/>
      <x:c r="AF1115" s="16" t="b">
        <x:v>0</x:v>
      </x:c>
    </x:row>
    <x:row r="1116" ht="44" customHeight="1">
      <x:c r="A1116" s="4" t="n">
        <x:v>2050</x:v>
      </x:c>
      <x:c r="B1116" s="4" t="str">
        <x:v>https://blog.skyairline.com/cultura-de-miami/</x:v>
      </x:c>
      <x:c r="C1116" s="9" t="str">
        <x:v>¿Cómo es Miami? Todo lo que necesitas saber para animarte a viajar</x:v>
      </x:c>
      <x:c r="D1116" s="17" t="d">
        <x:v>2026-06-25T00:00:00.000Z</x:v>
      </x:c>
      <x:c r="E1116" s="17" t="d">
        <x:v>2026-06-25T00:00:00.000Z</x:v>
      </x:c>
      <x:c r="F1116" s="4" t="str">
        <x:v>Destinos</x:v>
      </x:c>
      <x:c r="G1116" s="11" t="n">
        <x:v>1161</x:v>
      </x:c>
      <x:c r="H1116" s="11" t="n">
        <x:v>200</x:v>
      </x:c>
      <x:c r="I1116" s="11" t="n">
        <x:v>1</x:v>
      </x:c>
      <x:c r="J1116" s="4" t="str">
        <x:v>https://blog.skyairline.com/cultura-de-miami/</x:v>
      </x:c>
      <x:c r="K1116" s="16" t="b">
        <x:v>0</x:v>
      </x:c>
      <x:c r="L1116" s="11" t="n">
        <x:v>0</x:v>
      </x:c>
      <x:c r="M1116" s="11" t="n">
        <x:v>0</x:v>
      </x:c>
      <x:c r="N1116" s="4"/>
      <x:c r="O1116" s="4"/>
      <x:c r="P1116" s="11" t="n">
        <x:v>2</x:v>
      </x:c>
      <x:c r="Q1116" s="11" t="n">
        <x:v>0</x:v>
      </x:c>
      <x:c r="R1116" s="11" t="str">
        <x:f>IF(OR(P1116="",Q1116=""),"",Q1116-P1116)</x:f>
      </x:c>
      <x:c r="S1116" s="13" t="str">
        <x:f>IF(OR(P1116="",Q1116="",P1116=0),"",((Q1116/30)/(P1116/31))-1)</x:f>
      </x:c>
      <x:c r="T1116" s="11" t="n">
        <x:v>1489</x:v>
      </x:c>
      <x:c r="U1116" s="11" t="n">
        <x:v>1220</x:v>
      </x:c>
      <x:c r="V1116" s="14" t="n">
        <x:v>0</x:v>
      </x:c>
      <x:c r="W1116" s="12" t="n">
        <x:v>8.009016393442623</x:v>
      </x:c>
      <x:c r="X1116" s="11" t="n">
        <x:v>1</x:v>
      </x:c>
      <x:c r="Y1116" s="11" t="n">
        <x:v>1</x:v>
      </x:c>
      <x:c r="Z1116" s="4" t="str">
        <x:v>https://blog.skyairline.com/cultura-de-miami/</x:v>
      </x:c>
      <x:c r="AA1116" s="4" t="str">
        <x:v>https://blog.skyairline.com/cultura-de-miami/</x:v>
      </x:c>
      <x:c r="AB1116" s="4" t="str">
        <x:v>Coincidencia URL</x:v>
      </x:c>
      <x:c r="AC1116" s="4" t="str">
        <x:v>Publicado hasta septiembre</x:v>
      </x:c>
      <x:c r="AD1116" s="4" t="str">
        <x:v>/cultura-de-miami/</x:v>
      </x:c>
      <x:c r="AE1116" s="4"/>
      <x:c r="AF1116" s="16" t="b">
        <x:v>0</x:v>
      </x:c>
    </x:row>
    <x:row r="1117" ht="44" customHeight="1">
      <x:c r="A1117" s="4" t="n">
        <x:v>2053</x:v>
      </x:c>
      <x:c r="B1117" s="4" t="str">
        <x:v>https://blog.skyairline.com/comida-tipica-chilena/</x:v>
      </x:c>
      <x:c r="C1117" s="9" t="str">
        <x:v>Comida típica chilena: 10 platos que tienes que probar en tu viaje</x:v>
      </x:c>
      <x:c r="D1117" s="17" t="d">
        <x:v>2026-10-04T00:00:00.000Z</x:v>
      </x:c>
      <x:c r="E1117" s="17" t="d">
        <x:v>2026-09-22T00:00:00.000Z</x:v>
      </x:c>
      <x:c r="F1117" s="4" t="str">
        <x:v>Destinos</x:v>
      </x:c>
      <x:c r="G1117" s="11" t="n">
        <x:v>1089</x:v>
      </x:c>
      <x:c r="H1117" s="11" t="n">
        <x:v>200</x:v>
      </x:c>
      <x:c r="I1117" s="11" t="n">
        <x:v>1</x:v>
      </x:c>
      <x:c r="J1117" s="4" t="str">
        <x:v>https://blog.skyairline.com/comida-tipica-chilena/</x:v>
      </x:c>
      <x:c r="K1117" s="16" t="b">
        <x:v>0</x:v>
      </x:c>
      <x:c r="L1117" s="11" t="n">
        <x:v>0</x:v>
      </x:c>
      <x:c r="M1117" s="11" t="n">
        <x:v>0</x:v>
      </x:c>
      <x:c r="N1117" s="4"/>
      <x:c r="O1117" s="4"/>
      <x:c r="P1117" s="11" t="n">
        <x:v>1</x:v>
      </x:c>
      <x:c r="Q1117" s="11" t="n">
        <x:v>0</x:v>
      </x:c>
      <x:c r="R1117" s="11" t="str">
        <x:f>IF(OR(P1117="",Q1117=""),"",Q1117-P1117)</x:f>
      </x:c>
      <x:c r="S1117" s="13" t="str">
        <x:f>IF(OR(P1117="",Q1117="",P1117=0),"",((Q1117/30)/(P1117/31))-1)</x:f>
      </x:c>
      <x:c r="T1117" s="11" t="n">
        <x:v>698</x:v>
      </x:c>
      <x:c r="U1117" s="11" t="n">
        <x:v>316</x:v>
      </x:c>
      <x:c r="V1117" s="14" t="n">
        <x:v>0</x:v>
      </x:c>
      <x:c r="W1117" s="12" t="n">
        <x:v>57.712025316455694</x:v>
      </x:c>
      <x:c r="X1117" s="11" t="n">
        <x:v>3</x:v>
      </x:c>
      <x:c r="Y1117" s="11" t="n">
        <x:v>3</x:v>
      </x:c>
      <x:c r="Z1117" s="4" t="str">
        <x:v>https://blog.skyairline.com/comida-tipica-chilena/</x:v>
      </x:c>
      <x:c r="AA1117" s="4" t="str">
        <x:v>https://blog.skyairline.com/comida-tipica-chilena/</x:v>
      </x:c>
      <x:c r="AB1117" s="4" t="str">
        <x:v>Coincidencia URL</x:v>
      </x:c>
      <x:c r="AC1117" s="4" t="str">
        <x:v>Publicado después del mes</x:v>
      </x:c>
      <x:c r="AD1117" s="4" t="str">
        <x:v>/comida-tipica-chilena/</x:v>
      </x:c>
      <x:c r="AE1117" s="4"/>
      <x:c r="AF1117" s="16" t="b">
        <x:v>0</x:v>
      </x:c>
    </x:row>
    <x:row r="1118" ht="44" customHeight="1">
      <x:c r="A1118" s="4" t="n">
        <x:v>2059</x:v>
      </x:c>
      <x:c r="B1118" s="4" t="str">
        <x:v>https://blog.skyairline.com/nieve-en-chile-y-argentina/</x:v>
      </x:c>
      <x:c r="C1118" s="9" t="str">
        <x:v>¿Dónde ver la nieve en Chile y Argentina? Descubre su belleza</x:v>
      </x:c>
      <x:c r="D1118" s="17" t="d">
        <x:v>2022-07-12T00:00:00.000Z</x:v>
      </x:c>
      <x:c r="E1118" s="17" t="d">
        <x:v>2022-07-12T00:00:00.000Z</x:v>
      </x:c>
      <x:c r="F1118" s="4" t="str">
        <x:v>Destinos</x:v>
      </x:c>
      <x:c r="G1118" s="11" t="n">
        <x:v>1120</x:v>
      </x:c>
      <x:c r="H1118" s="11" t="n">
        <x:v>200</x:v>
      </x:c>
      <x:c r="I1118" s="11" t="n">
        <x:v>1</x:v>
      </x:c>
      <x:c r="J1118" s="4" t="str">
        <x:v>https://blog.skyairline.com/nieve-en-chile-y-argentina/</x:v>
      </x:c>
      <x:c r="K1118" s="16" t="b">
        <x:v>0</x:v>
      </x:c>
      <x:c r="L1118" s="11" t="n">
        <x:v>0</x:v>
      </x:c>
      <x:c r="M1118" s="11" t="n">
        <x:v>3</x:v>
      </x:c>
      <x:c r="N1118" s="4"/>
      <x:c r="O1118" s="4"/>
      <x:c r="P1118" s="11" t="n">
        <x:v>1</x:v>
      </x:c>
      <x:c r="Q1118" s="11" t="n">
        <x:v>0</x:v>
      </x:c>
      <x:c r="R1118" s="11" t="str">
        <x:f>IF(OR(P1118="",Q1118=""),"",Q1118-P1118)</x:f>
      </x:c>
      <x:c r="S1118" s="13" t="str">
        <x:f>IF(OR(P1118="",Q1118="",P1118=0),"",((Q1118/30)/(P1118/31))-1)</x:f>
      </x:c>
      <x:c r="T1118" s="11" t="n">
        <x:v>116</x:v>
      </x:c>
      <x:c r="U1118" s="11" t="n">
        <x:v>74</x:v>
      </x:c>
      <x:c r="V1118" s="14" t="n">
        <x:v>0</x:v>
      </x:c>
      <x:c r="W1118" s="12" t="n">
        <x:v>35.25675675675676</x:v>
      </x:c>
      <x:c r="X1118" s="11"/>
      <x:c r="Y1118" s="11"/>
      <x:c r="Z1118" s="4" t="str">
        <x:v>https://blog.skyairline.com/nieve-en-chile-y-argentina/</x:v>
      </x:c>
      <x:c r="AA1118" s="4" t="str">
        <x:v>https://blog.skyairline.com/nieve-en-chile-y-argentina/</x:v>
      </x:c>
      <x:c r="AB1118" s="4" t="str">
        <x:v>Coincidencia URL</x:v>
      </x:c>
      <x:c r="AC1118" s="4" t="str">
        <x:v>Publicado hasta septiembre</x:v>
      </x:c>
      <x:c r="AD1118" s="4"/>
      <x:c r="AE1118" s="4"/>
      <x:c r="AF1118" s="16" t="b">
        <x:v>0</x:v>
      </x:c>
    </x:row>
    <x:row r="1119" ht="44" customHeight="1">
      <x:c r="A1119" s="4" t="n">
        <x:v>2062</x:v>
      </x:c>
      <x:c r="B1119" s="4" t="str">
        <x:v>https://blog.skyairline.com/tomar-vino-en-mendoza/</x:v>
      </x:c>
      <x:c r="C1119" s="9" t="str">
        <x:v>¿Dónde tomar vino en Mendoza?</x:v>
      </x:c>
      <x:c r="D1119" s="17" t="d">
        <x:v>2022-07-13T00:00:00.000Z</x:v>
      </x:c>
      <x:c r="E1119" s="17" t="d">
        <x:v>2022-07-13T00:00:00.000Z</x:v>
      </x:c>
      <x:c r="F1119" s="4" t="str">
        <x:v>Destinos</x:v>
      </x:c>
      <x:c r="G1119" s="11" t="n">
        <x:v>1006</x:v>
      </x:c>
      <x:c r="H1119" s="11" t="n">
        <x:v>200</x:v>
      </x:c>
      <x:c r="I1119" s="11" t="n">
        <x:v>1</x:v>
      </x:c>
      <x:c r="J1119" s="4" t="str">
        <x:v>https://blog.skyairline.com/tomar-vino-en-mendoza/</x:v>
      </x:c>
      <x:c r="K1119" s="16" t="b">
        <x:v>0</x:v>
      </x:c>
      <x:c r="L1119" s="11" t="n">
        <x:v>0</x:v>
      </x:c>
      <x:c r="M1119" s="11" t="n">
        <x:v>4</x:v>
      </x:c>
      <x:c r="N1119" s="4"/>
      <x:c r="O1119" s="4"/>
      <x:c r="P1119" s="11" t="n">
        <x:v>0</x:v>
      </x:c>
      <x:c r="Q1119" s="11" t="n">
        <x:v>0</x:v>
      </x:c>
      <x:c r="R1119" s="11" t="str">
        <x:f>IF(OR(P1119="",Q1119=""),"",Q1119-P1119)</x:f>
      </x:c>
      <x:c r="S1119" s="13" t="str">
        <x:f>IF(OR(P1119="",Q1119="",P1119=0),"",((Q1119/30)/(P1119/31))-1)</x:f>
      </x:c>
      <x:c r="T1119" s="11" t="n">
        <x:v>7</x:v>
      </x:c>
      <x:c r="U1119" s="11" t="n">
        <x:v>3</x:v>
      </x:c>
      <x:c r="V1119" s="14" t="n">
        <x:v>0</x:v>
      </x:c>
      <x:c r="W1119" s="12" t="n">
        <x:v>5</x:v>
      </x:c>
      <x:c r="X1119" s="11"/>
      <x:c r="Y1119" s="11"/>
      <x:c r="Z1119" s="4" t="str">
        <x:v>https://blog.skyairline.com/tomar-vino-en-mendoza/</x:v>
      </x:c>
      <x:c r="AA1119" s="4" t="str">
        <x:v>https://blog.skyairline.com/tomar-vino-en-mendoza/</x:v>
      </x:c>
      <x:c r="AB1119" s="4" t="str">
        <x:v>Coincidencia URL</x:v>
      </x:c>
      <x:c r="AC1119" s="4" t="str">
        <x:v>Publicado hasta septiembre</x:v>
      </x:c>
      <x:c r="AD1119" s="4"/>
      <x:c r="AE1119" s="4"/>
      <x:c r="AF1119" s="16" t="b">
        <x:v>0</x:v>
      </x:c>
    </x:row>
    <x:row r="1120" ht="44" customHeight="1">
      <x:c r="A1120" s="4" t="n">
        <x:v>2065</x:v>
      </x:c>
      <x:c r="B1120" s="4" t="str">
        <x:v>https://blog.skyairline.com/festivales-musicales-en-america-latina/</x:v>
      </x:c>
      <x:c r="C1120" s="9" t="str">
        <x:v>Los Mejores Festivales Musicales en América Latina</x:v>
      </x:c>
      <x:c r="D1120" s="17" t="d">
        <x:v>2022-07-14T00:00:00.000Z</x:v>
      </x:c>
      <x:c r="E1120" s="17" t="d">
        <x:v>2022-07-14T00:00:00.000Z</x:v>
      </x:c>
      <x:c r="F1120" s="4" t="str">
        <x:v>Planificación de Viaje</x:v>
      </x:c>
      <x:c r="G1120" s="11" t="n">
        <x:v>173</x:v>
      </x:c>
      <x:c r="H1120" s="11" t="n">
        <x:v>200</x:v>
      </x:c>
      <x:c r="I1120" s="11" t="n">
        <x:v>1</x:v>
      </x:c>
      <x:c r="J1120" s="4" t="str">
        <x:v>https://blog.skyairline.com/festivales-musicales-en-america-latina/</x:v>
      </x:c>
      <x:c r="K1120" s="16" t="b">
        <x:v>0</x:v>
      </x:c>
      <x:c r="L1120" s="11" t="n">
        <x:v>0</x:v>
      </x:c>
      <x:c r="M1120" s="11" t="n">
        <x:v>0</x:v>
      </x:c>
      <x:c r="N1120" s="4"/>
      <x:c r="O1120" s="4"/>
      <x:c r="P1120" s="11" t="n">
        <x:v>0</x:v>
      </x:c>
      <x:c r="Q1120" s="11" t="n">
        <x:v>0</x:v>
      </x:c>
      <x:c r="R1120" s="11" t="str">
        <x:f>IF(OR(P1120="",Q1120=""),"",Q1120-P1120)</x:f>
      </x:c>
      <x:c r="S1120" s="13" t="str">
        <x:f>IF(OR(P1120="",Q1120="",P1120=0),"",((Q1120/30)/(P1120/31))-1)</x:f>
      </x:c>
      <x:c r="T1120" s="11" t="n">
        <x:v>21</x:v>
      </x:c>
      <x:c r="U1120" s="11" t="n">
        <x:v>16</x:v>
      </x:c>
      <x:c r="V1120" s="14" t="n">
        <x:v>0</x:v>
      </x:c>
      <x:c r="W1120" s="12" t="n">
        <x:v>21.75</x:v>
      </x:c>
      <x:c r="X1120" s="11"/>
      <x:c r="Y1120" s="11"/>
      <x:c r="Z1120" s="4" t="str">
        <x:v>https://blog.skyairline.com/festivales-musicales-en-america-latina/</x:v>
      </x:c>
      <x:c r="AA1120" s="4" t="str">
        <x:v>https://blog.skyairline.com/festivales-musicales-en-america-latina/</x:v>
      </x:c>
      <x:c r="AB1120" s="4" t="str">
        <x:v>Coincidencia URL</x:v>
      </x:c>
      <x:c r="AC1120" s="4" t="str">
        <x:v>Publicado hasta septiembre</x:v>
      </x:c>
      <x:c r="AD1120" s="4"/>
      <x:c r="AE1120" s="4"/>
      <x:c r="AF1120" s="16" t="b">
        <x:v>0</x:v>
      </x:c>
    </x:row>
    <x:row r="1121" ht="44" customHeight="1">
      <x:c r="A1121" s="4" t="n">
        <x:v>2068</x:v>
      </x:c>
      <x:c r="B1121" s="4" t="str">
        <x:v>https://blog.skyairline.com/deportes-para-hacer-en-invierno/</x:v>
      </x:c>
      <x:c r="C1121" s="9" t="str">
        <x:v>Los 5 mejores deportes para hacer al viajar en invierno</x:v>
      </x:c>
      <x:c r="D1121" s="17" t="d">
        <x:v>2025-09-01T00:00:00.000Z</x:v>
      </x:c>
      <x:c r="E1121" s="17" t="d">
        <x:v>2026-01-12T00:00:00.000Z</x:v>
      </x:c>
      <x:c r="F1121" s="4" t="str">
        <x:v>Cultura</x:v>
      </x:c>
      <x:c r="G1121" s="11" t="n">
        <x:v>1060</x:v>
      </x:c>
      <x:c r="H1121" s="11" t="n">
        <x:v>200</x:v>
      </x:c>
      <x:c r="I1121" s="11" t="n">
        <x:v>1</x:v>
      </x:c>
      <x:c r="J1121" s="4" t="str">
        <x:v>https://blog.skyairline.com/deportes-para-hacer-en-invierno/</x:v>
      </x:c>
      <x:c r="K1121" s="16" t="b">
        <x:v>0</x:v>
      </x:c>
      <x:c r="L1121" s="11" t="n">
        <x:v>0</x:v>
      </x:c>
      <x:c r="M1121" s="11" t="n">
        <x:v>0</x:v>
      </x:c>
      <x:c r="N1121" s="4"/>
      <x:c r="O1121" s="4"/>
      <x:c r="P1121" s="11" t="n">
        <x:v>0</x:v>
      </x:c>
      <x:c r="Q1121" s="11" t="n">
        <x:v>0</x:v>
      </x:c>
      <x:c r="R1121" s="11" t="str">
        <x:f>IF(OR(P1121="",Q1121=""),"",Q1121-P1121)</x:f>
      </x:c>
      <x:c r="S1121" s="13" t="str">
        <x:f>IF(OR(P1121="",Q1121="",P1121=0),"",((Q1121/30)/(P1121/31))-1)</x:f>
      </x:c>
      <x:c r="T1121" s="11" t="n">
        <x:v>180</x:v>
      </x:c>
      <x:c r="U1121" s="11" t="n">
        <x:v>74</x:v>
      </x:c>
      <x:c r="V1121" s="14" t="n">
        <x:v>0</x:v>
      </x:c>
      <x:c r="W1121" s="12" t="n">
        <x:v>11.162162162162161</x:v>
      </x:c>
      <x:c r="X1121" s="11"/>
      <x:c r="Y1121" s="11"/>
      <x:c r="Z1121" s="4" t="str">
        <x:v>https://blog.skyairline.com/deportes-para-hacer-en-invierno/</x:v>
      </x:c>
      <x:c r="AA1121" s="4" t="str">
        <x:v>https://blog.skyairline.com/deportes-para-hacer-en-invierno/</x:v>
      </x:c>
      <x:c r="AB1121" s="4" t="str">
        <x:v>Coincidencia URL</x:v>
      </x:c>
      <x:c r="AC1121" s="4" t="str">
        <x:v>Publicado hasta septiembre</x:v>
      </x:c>
      <x:c r="AD1121" s="4"/>
      <x:c r="AE1121" s="4"/>
      <x:c r="AF1121" s="16" t="b">
        <x:v>0</x:v>
      </x:c>
    </x:row>
    <x:row r="1122" ht="44" customHeight="1">
      <x:c r="A1122" s="4" t="n">
        <x:v>2071</x:v>
      </x:c>
      <x:c r="B1122" s="4" t="str">
        <x:v>https://blog.skyairline.com/tomar-fotos/</x:v>
      </x:c>
      <x:c r="C1122" s="9" t="str">
        <x:v>Tips para tomar increíbles fotos durante tu viaje</x:v>
      </x:c>
      <x:c r="D1122" s="17" t="d">
        <x:v>2024-09-04T00:00:00.000Z</x:v>
      </x:c>
      <x:c r="E1122" s="17" t="d">
        <x:v>2024-09-04T00:00:00.000Z</x:v>
      </x:c>
      <x:c r="F1122" s="4" t="str">
        <x:v>Planificación de Viaje</x:v>
      </x:c>
      <x:c r="G1122" s="11" t="n">
        <x:v>1053</x:v>
      </x:c>
      <x:c r="H1122" s="11" t="n">
        <x:v>200</x:v>
      </x:c>
      <x:c r="I1122" s="11" t="n">
        <x:v>1</x:v>
      </x:c>
      <x:c r="J1122" s="4" t="str">
        <x:v>https://blog.skyairline.com/tomar-fotos/</x:v>
      </x:c>
      <x:c r="K1122" s="16" t="b">
        <x:v>0</x:v>
      </x:c>
      <x:c r="L1122" s="11" t="n">
        <x:v>0</x:v>
      </x:c>
      <x:c r="M1122" s="11" t="n">
        <x:v>3</x:v>
      </x:c>
      <x:c r="N1122" s="4"/>
      <x:c r="O1122" s="4"/>
      <x:c r="P1122" s="11" t="n">
        <x:v>1</x:v>
      </x:c>
      <x:c r="Q1122" s="11" t="n">
        <x:v>0</x:v>
      </x:c>
      <x:c r="R1122" s="11" t="str">
        <x:f>IF(OR(P1122="",Q1122=""),"",Q1122-P1122)</x:f>
      </x:c>
      <x:c r="S1122" s="13" t="str">
        <x:f>IF(OR(P1122="",Q1122="",P1122=0),"",((Q1122/30)/(P1122/31))-1)</x:f>
      </x:c>
      <x:c r="T1122" s="11" t="n">
        <x:v>133</x:v>
      </x:c>
      <x:c r="U1122" s="11" t="n">
        <x:v>46</x:v>
      </x:c>
      <x:c r="V1122" s="14" t="n">
        <x:v>0</x:v>
      </x:c>
      <x:c r="W1122" s="12" t="n">
        <x:v>6.543478260869565</x:v>
      </x:c>
      <x:c r="X1122" s="11"/>
      <x:c r="Y1122" s="11"/>
      <x:c r="Z1122" s="4" t="str">
        <x:v>https://blog.skyairline.com/tomar-fotos/</x:v>
      </x:c>
      <x:c r="AA1122" s="4" t="str">
        <x:v>https://blog.skyairline.com/tomar-fotos/</x:v>
      </x:c>
      <x:c r="AB1122" s="4" t="str">
        <x:v>Coincidencia URL</x:v>
      </x:c>
      <x:c r="AC1122" s="4" t="str">
        <x:v>Publicado hasta septiembre</x:v>
      </x:c>
      <x:c r="AD1122" s="4"/>
      <x:c r="AE1122" s="4"/>
      <x:c r="AF1122" s="16" t="b">
        <x:v>0</x:v>
      </x:c>
    </x:row>
    <x:row r="1123" ht="44" customHeight="1">
      <x:c r="A1123" s="4" t="n">
        <x:v>2075</x:v>
      </x:c>
      <x:c r="B1123" s="4" t="str">
        <x:v>https://blog.skyairline.com/restaurantes-en-buenos-aires/</x:v>
      </x:c>
      <x:c r="C1123" s="9" t="str">
        <x:v>Restaurantes en Buenos Aires: cuáles debes visitar</x:v>
      </x:c>
      <x:c r="D1123" s="17" t="d">
        <x:v>2026-08-26T00:00:00.000Z</x:v>
      </x:c>
      <x:c r="E1123" s="17" t="d">
        <x:v>2026-08-21T00:00:00.000Z</x:v>
      </x:c>
      <x:c r="F1123" s="4" t="str">
        <x:v>Destinos</x:v>
      </x:c>
      <x:c r="G1123" s="11" t="n">
        <x:v>1095</x:v>
      </x:c>
      <x:c r="H1123" s="11" t="n">
        <x:v>200</x:v>
      </x:c>
      <x:c r="I1123" s="11" t="n">
        <x:v>1</x:v>
      </x:c>
      <x:c r="J1123" s="4" t="str">
        <x:v>https://blog.skyairline.com/restaurantes-en-buenos-aires/</x:v>
      </x:c>
      <x:c r="K1123" s="16" t="b">
        <x:v>0</x:v>
      </x:c>
      <x:c r="L1123" s="11" t="n">
        <x:v>0</x:v>
      </x:c>
      <x:c r="M1123" s="11" t="n">
        <x:v>0</x:v>
      </x:c>
      <x:c r="N1123" s="4"/>
      <x:c r="O1123" s="4"/>
      <x:c r="P1123" s="11" t="n">
        <x:v>0</x:v>
      </x:c>
      <x:c r="Q1123" s="11" t="n">
        <x:v>0</x:v>
      </x:c>
      <x:c r="R1123" s="11" t="str">
        <x:f>IF(OR(P1123="",Q1123=""),"",Q1123-P1123)</x:f>
      </x:c>
      <x:c r="S1123" s="13" t="str">
        <x:f>IF(OR(P1123="",Q1123="",P1123=0),"",((Q1123/30)/(P1123/31))-1)</x:f>
      </x:c>
      <x:c r="T1123" s="11" t="n">
        <x:v>19</x:v>
      </x:c>
      <x:c r="U1123" s="11" t="n">
        <x:v>10</x:v>
      </x:c>
      <x:c r="V1123" s="14" t="n">
        <x:v>0</x:v>
      </x:c>
      <x:c r="W1123" s="12" t="n">
        <x:v>8</x:v>
      </x:c>
      <x:c r="X1123" s="11"/>
      <x:c r="Y1123" s="11"/>
      <x:c r="Z1123" s="4" t="str">
        <x:v>https://blog.skyairline.com/restaurantes-en-buenos-aires/</x:v>
      </x:c>
      <x:c r="AA1123" s="4" t="str">
        <x:v>https://blog.skyairline.com/restaurantes-en-buenos-aires/</x:v>
      </x:c>
      <x:c r="AB1123" s="4" t="str">
        <x:v>Coincidencia URL</x:v>
      </x:c>
      <x:c r="AC1123" s="4" t="str">
        <x:v>Publicado hasta septiembre</x:v>
      </x:c>
      <x:c r="AD1123" s="4"/>
      <x:c r="AE1123" s="4"/>
      <x:c r="AF1123" s="16" t="b">
        <x:v>0</x:v>
      </x:c>
    </x:row>
    <x:row r="1124" ht="44" customHeight="1">
      <x:c r="A1124" s="4" t="n">
        <x:v>2078</x:v>
      </x:c>
      <x:c r="B1124" s="4" t="str">
        <x:v>https://blog.skyairline.com/hoteles-tematicos/</x:v>
      </x:c>
      <x:c r="C1124" s="9" t="str">
        <x:v>Haz tu viaje único con estos hoteles temáticos</x:v>
      </x:c>
      <x:c r="D1124" s="17" t="d">
        <x:v>2022-07-20T00:00:00.000Z</x:v>
      </x:c>
      <x:c r="E1124" s="17" t="d">
        <x:v>2022-07-20T00:00:00.000Z</x:v>
      </x:c>
      <x:c r="F1124" s="4" t="str">
        <x:v>Cultura</x:v>
      </x:c>
      <x:c r="G1124" s="11" t="n">
        <x:v>1078</x:v>
      </x:c>
      <x:c r="H1124" s="11" t="n">
        <x:v>200</x:v>
      </x:c>
      <x:c r="I1124" s="11" t="n">
        <x:v>1</x:v>
      </x:c>
      <x:c r="J1124" s="4" t="str">
        <x:v>https://blog.skyairline.com/hoteles-tematicos/</x:v>
      </x:c>
      <x:c r="K1124" s="16" t="b">
        <x:v>0</x:v>
      </x:c>
      <x:c r="L1124" s="11" t="n">
        <x:v>0</x:v>
      </x:c>
      <x:c r="M1124" s="11" t="n">
        <x:v>4</x:v>
      </x:c>
      <x:c r="N1124" s="4"/>
      <x:c r="O1124" s="4"/>
      <x:c r="P1124" s="11" t="n">
        <x:v>0</x:v>
      </x:c>
      <x:c r="Q1124" s="11" t="n">
        <x:v>0</x:v>
      </x:c>
      <x:c r="R1124" s="11" t="str">
        <x:f>IF(OR(P1124="",Q1124=""),"",Q1124-P1124)</x:f>
      </x:c>
      <x:c r="S1124" s="13" t="str">
        <x:f>IF(OR(P1124="",Q1124="",P1124=0),"",((Q1124/30)/(P1124/31))-1)</x:f>
      </x:c>
      <x:c r="T1124" s="11" t="n">
        <x:v>18</x:v>
      </x:c>
      <x:c r="U1124" s="11" t="n">
        <x:v>28</x:v>
      </x:c>
      <x:c r="V1124" s="14" t="n">
        <x:v>0</x:v>
      </x:c>
      <x:c r="W1124" s="12" t="n">
        <x:v>9.892857142857142</x:v>
      </x:c>
      <x:c r="X1124" s="11"/>
      <x:c r="Y1124" s="11"/>
      <x:c r="Z1124" s="4" t="str">
        <x:v>https://blog.skyairline.com/hoteles-tematicos/</x:v>
      </x:c>
      <x:c r="AA1124" s="4" t="str">
        <x:v>https://blog.skyairline.com/hoteles-tematicos/</x:v>
      </x:c>
      <x:c r="AB1124" s="4" t="str">
        <x:v>Coincidencia URL</x:v>
      </x:c>
      <x:c r="AC1124" s="4" t="str">
        <x:v>Publicado hasta septiembre</x:v>
      </x:c>
      <x:c r="AD1124" s="4"/>
      <x:c r="AE1124" s="4"/>
      <x:c r="AF1124" s="16" t="b">
        <x:v>0</x:v>
      </x:c>
    </x:row>
    <x:row r="1125" ht="44" customHeight="1">
      <x:c r="A1125" s="4" t="n">
        <x:v>2087</x:v>
      </x:c>
      <x:c r="B1125" s="4" t="str">
        <x:v>https://blog.skyairline.com/hacer-surf/</x:v>
      </x:c>
      <x:c r="C1125" s="9" t="str">
        <x:v>Estas son las mejores playas para hacer Surf</x:v>
      </x:c>
      <x:c r="D1125" s="17" t="d">
        <x:v>2022-07-25T00:00:00.000Z</x:v>
      </x:c>
      <x:c r="E1125" s="17" t="d">
        <x:v>2022-07-25T00:00:00.000Z</x:v>
      </x:c>
      <x:c r="F1125" s="4" t="str">
        <x:v>Destinos</x:v>
      </x:c>
      <x:c r="G1125" s="11" t="n">
        <x:v>1012</x:v>
      </x:c>
      <x:c r="H1125" s="11" t="n">
        <x:v>200</x:v>
      </x:c>
      <x:c r="I1125" s="11" t="n">
        <x:v>1</x:v>
      </x:c>
      <x:c r="J1125" s="4" t="str">
        <x:v>https://blog.skyairline.com/hacer-surf/</x:v>
      </x:c>
      <x:c r="K1125" s="16" t="b">
        <x:v>0</x:v>
      </x:c>
      <x:c r="L1125" s="11" t="n">
        <x:v>0</x:v>
      </x:c>
      <x:c r="M1125" s="11" t="n">
        <x:v>4</x:v>
      </x:c>
      <x:c r="N1125" s="4"/>
      <x:c r="O1125" s="4"/>
      <x:c r="P1125" s="11" t="n">
        <x:v>0</x:v>
      </x:c>
      <x:c r="Q1125" s="11" t="n">
        <x:v>0</x:v>
      </x:c>
      <x:c r="R1125" s="11" t="str">
        <x:f>IF(OR(P1125="",Q1125=""),"",Q1125-P1125)</x:f>
      </x:c>
      <x:c r="S1125" s="13" t="str">
        <x:f>IF(OR(P1125="",Q1125="",P1125=0),"",((Q1125/30)/(P1125/31))-1)</x:f>
      </x:c>
      <x:c r="T1125" s="11" t="n">
        <x:v>73</x:v>
      </x:c>
      <x:c r="U1125" s="11" t="n">
        <x:v>91</x:v>
      </x:c>
      <x:c r="V1125" s="14" t="n">
        <x:v>0</x:v>
      </x:c>
      <x:c r="W1125" s="12" t="n">
        <x:v>8.989010989010989</x:v>
      </x:c>
      <x:c r="X1125" s="11"/>
      <x:c r="Y1125" s="11"/>
      <x:c r="Z1125" s="4" t="str">
        <x:v>https://blog.skyairline.com/hacer-surf/</x:v>
      </x:c>
      <x:c r="AA1125" s="4" t="str">
        <x:v>https://blog.skyairline.com/hacer-surf/</x:v>
      </x:c>
      <x:c r="AB1125" s="4" t="str">
        <x:v>Coincidencia URL</x:v>
      </x:c>
      <x:c r="AC1125" s="4" t="str">
        <x:v>Publicado hasta septiembre</x:v>
      </x:c>
      <x:c r="AD1125" s="4"/>
      <x:c r="AE1125" s="4"/>
      <x:c r="AF1125" s="16" t="b">
        <x:v>0</x:v>
      </x:c>
    </x:row>
    <x:row r="1126" ht="44" customHeight="1">
      <x:c r="A1126" s="4" t="n">
        <x:v>2113</x:v>
      </x:c>
      <x:c r="B1126" s="4" t="str">
        <x:v>https://blog.skyairline.com/vacaciones-de-invierno-2022-sao-paulo-rio-de-janeiro-y-buenos-aires-son-los-destinos-favoritos-para-julio/</x:v>
      </x:c>
      <x:c r="C1126" s="9" t="str">
        <x:v>Vacaciones de invierno 2026: 3 destinos internacionales para disfrutar con tus hijos</x:v>
      </x:c>
      <x:c r="D1126" s="17" t="d">
        <x:v>2026-07-29T00:00:00.000Z</x:v>
      </x:c>
      <x:c r="E1126" s="17" t="d">
        <x:v>2026-07-22T00:00:00.000Z</x:v>
      </x:c>
      <x:c r="F1126" s="4" t="str">
        <x:v>Noticias</x:v>
      </x:c>
      <x:c r="G1126" s="11" t="n">
        <x:v>1038</x:v>
      </x:c>
      <x:c r="H1126" s="11" t="n">
        <x:v>200</x:v>
      </x:c>
      <x:c r="I1126" s="11" t="n">
        <x:v>1</x:v>
      </x:c>
      <x:c r="J1126" s="4" t="str">
        <x:v>https://blog.skyairline.com/vacaciones-de-invierno-2022-sao-paulo-rio-de-janeiro-y-buenos-aires-son-los-destinos-favoritos-para-julio/</x:v>
      </x:c>
      <x:c r="K1126" s="16" t="b">
        <x:v>0</x:v>
      </x:c>
      <x:c r="L1126" s="11" t="n">
        <x:v>0</x:v>
      </x:c>
      <x:c r="M1126" s="11" t="n">
        <x:v>0</x:v>
      </x:c>
      <x:c r="N1126" s="4"/>
      <x:c r="O1126" s="4"/>
      <x:c r="P1126" s="11" t="n">
        <x:v>0</x:v>
      </x:c>
      <x:c r="Q1126" s="11" t="n">
        <x:v>0</x:v>
      </x:c>
      <x:c r="R1126" s="11" t="str">
        <x:f>IF(OR(P1126="",Q1126=""),"",Q1126-P1126)</x:f>
      </x:c>
      <x:c r="S1126" s="13" t="str">
        <x:f>IF(OR(P1126="",Q1126="",P1126=0),"",((Q1126/30)/(P1126/31))-1)</x:f>
      </x:c>
      <x:c r="T1126" s="11" t="n">
        <x:v>18</x:v>
      </x:c>
      <x:c r="U1126" s="11" t="n">
        <x:v>70</x:v>
      </x:c>
      <x:c r="V1126" s="14" t="n">
        <x:v>0</x:v>
      </x:c>
      <x:c r="W1126" s="12" t="n">
        <x:v>8.557142857142857</x:v>
      </x:c>
      <x:c r="X1126" s="11"/>
      <x:c r="Y1126" s="11"/>
      <x:c r="Z1126" s="4" t="str">
        <x:v>https://blog.skyairline.com/vacaciones-de-invierno-2022-sao-paulo-rio-de-janeiro-y-buenos-aires-son-los-destinos-favoritos-para-julio/</x:v>
      </x:c>
      <x:c r="AA1126" s="4" t="str">
        <x:v>https://blog.skyairline.com/vacaciones-de-invierno-2022-sao-paulo-rio-de-janeiro-y-buenos-aires-son-los-destinos-favoritos-para-julio/</x:v>
      </x:c>
      <x:c r="AB1126" s="4" t="str">
        <x:v>Coincidencia URL</x:v>
      </x:c>
      <x:c r="AC1126" s="4" t="str">
        <x:v>Publicado hasta septiembre</x:v>
      </x:c>
      <x:c r="AD1126" s="4"/>
      <x:c r="AE1126" s="4"/>
      <x:c r="AF1126" s="16" t="b">
        <x:v>0</x:v>
      </x:c>
    </x:row>
    <x:row r="1127" ht="44" customHeight="1">
      <x:c r="A1127" s="4" t="n">
        <x:v>2122</x:v>
      </x:c>
      <x:c r="B1127" s="4" t="str">
        <x:v>https://blog.skyairline.com/mejores-aeropuertos-de-latinoamerica/</x:v>
      </x:c>
      <x:c r="C1127" s="9" t="str">
        <x:v>¿A cuál Aeropuerto Internacional vas a llegar en tu próximo viaje?</x:v>
      </x:c>
      <x:c r="D1127" s="17" t="d">
        <x:v>2026-05-02T00:00:00.000Z</x:v>
      </x:c>
      <x:c r="E1127" s="17" t="d">
        <x:v>2026-04-30T00:00:00.000Z</x:v>
      </x:c>
      <x:c r="F1127" s="4" t="str">
        <x:v>Cultura</x:v>
      </x:c>
      <x:c r="G1127" s="11" t="n">
        <x:v>1032</x:v>
      </x:c>
      <x:c r="H1127" s="11" t="n">
        <x:v>200</x:v>
      </x:c>
      <x:c r="I1127" s="11" t="n">
        <x:v>1</x:v>
      </x:c>
      <x:c r="J1127" s="4" t="str">
        <x:v>https://blog.skyairline.com/mejores-aeropuertos-de-latinoamerica/</x:v>
      </x:c>
      <x:c r="K1127" s="16" t="b">
        <x:v>0</x:v>
      </x:c>
      <x:c r="L1127" s="11" t="n">
        <x:v>0</x:v>
      </x:c>
      <x:c r="M1127" s="11" t="n">
        <x:v>0</x:v>
      </x:c>
      <x:c r="N1127" s="4"/>
      <x:c r="O1127" s="4"/>
      <x:c r="P1127" s="11" t="n">
        <x:v>2</x:v>
      </x:c>
      <x:c r="Q1127" s="11" t="n">
        <x:v>0</x:v>
      </x:c>
      <x:c r="R1127" s="11" t="str">
        <x:f>IF(OR(P1127="",Q1127=""),"",Q1127-P1127)</x:f>
      </x:c>
      <x:c r="S1127" s="13" t="str">
        <x:f>IF(OR(P1127="",Q1127="",P1127=0),"",((Q1127/30)/(P1127/31))-1)</x:f>
      </x:c>
      <x:c r="T1127" s="11" t="n">
        <x:v>509</x:v>
      </x:c>
      <x:c r="U1127" s="11" t="n">
        <x:v>287</x:v>
      </x:c>
      <x:c r="V1127" s="14" t="n">
        <x:v>0</x:v>
      </x:c>
      <x:c r="W1127" s="12" t="n">
        <x:v>8.041811846689896</x:v>
      </x:c>
      <x:c r="X1127" s="11"/>
      <x:c r="Y1127" s="11"/>
      <x:c r="Z1127" s="4" t="str">
        <x:v>https://blog.skyairline.com/mejores-aeropuertos-de-latinoamerica/</x:v>
      </x:c>
      <x:c r="AA1127" s="4" t="str">
        <x:v>https://blog.skyairline.com/mejores-aeropuertos-de-latinoamerica/</x:v>
      </x:c>
      <x:c r="AB1127" s="4" t="str">
        <x:v>Coincidencia URL</x:v>
      </x:c>
      <x:c r="AC1127" s="4" t="str">
        <x:v>Publicado hasta septiembre</x:v>
      </x:c>
      <x:c r="AD1127" s="4"/>
      <x:c r="AE1127" s="4"/>
      <x:c r="AF1127" s="16" t="b">
        <x:v>0</x:v>
      </x:c>
    </x:row>
    <x:row r="1128" ht="44" customHeight="1">
      <x:c r="A1128" s="4" t="n">
        <x:v>2156</x:v>
      </x:c>
      <x:c r="B1128" s="4" t="str">
        <x:v>https://blog.skyairline.com/sky-cierra-el-primer-semestre-con-un-crecimiento-de-30-en-comparacion-al-ultimo-ano-sin-pandemia/</x:v>
      </x:c>
      <x:c r="C1128" s="9" t="str">
        <x:v>SKY cierra el primer semestre con un crecimiento de 30% en comparación al último año sin pandemia</x:v>
      </x:c>
      <x:c r="D1128" s="17" t="d">
        <x:v>2022-07-31T00:00:00.000Z</x:v>
      </x:c>
      <x:c r="E1128" s="17" t="d">
        <x:v>2022-07-31T00:00:00.000Z</x:v>
      </x:c>
      <x:c r="F1128" s="4" t="str">
        <x:v>Noticias</x:v>
      </x:c>
      <x:c r="G1128" s="11" t="n">
        <x:v>337</x:v>
      </x:c>
      <x:c r="H1128" s="11" t="n">
        <x:v>200</x:v>
      </x:c>
      <x:c r="I1128" s="11" t="n">
        <x:v>1</x:v>
      </x:c>
      <x:c r="J1128" s="4" t="str">
        <x:v>https://blog.skyairline.com/sky-cierra-el-primer-semestre-con-un-crecimiento-de-30-en-comparacion-al-ultimo-ano-sin-pandemia/</x:v>
      </x:c>
      <x:c r="K1128" s="16" t="b">
        <x:v>0</x:v>
      </x:c>
      <x:c r="L1128" s="11" t="n">
        <x:v>0</x:v>
      </x:c>
      <x:c r="M1128" s="11" t="n">
        <x:v>0</x:v>
      </x:c>
      <x:c r="N1128" s="4"/>
      <x:c r="O1128" s="4"/>
      <x:c r="P1128" s="11" t="n">
        <x:v>0</x:v>
      </x:c>
      <x:c r="Q1128" s="11" t="n">
        <x:v>0</x:v>
      </x:c>
      <x:c r="R1128" s="11" t="str">
        <x:f>IF(OR(P1128="",Q1128=""),"",Q1128-P1128)</x:f>
      </x:c>
      <x:c r="S1128" s="13" t="str">
        <x:f>IF(OR(P1128="",Q1128="",P1128=0),"",((Q1128/30)/(P1128/31))-1)</x:f>
      </x:c>
      <x:c r="T1128" s="11" t="n">
        <x:v>25</x:v>
      </x:c>
      <x:c r="U1128" s="11" t="n">
        <x:v>28</x:v>
      </x:c>
      <x:c r="V1128" s="14" t="n">
        <x:v>0</x:v>
      </x:c>
      <x:c r="W1128" s="12" t="n">
        <x:v>9.214285714285714</x:v>
      </x:c>
      <x:c r="X1128" s="11" t="n">
        <x:v>1</x:v>
      </x:c>
      <x:c r="Y1128" s="11" t="n">
        <x:v>1</x:v>
      </x:c>
      <x:c r="Z1128" s="4" t="str">
        <x:v>https://blog.skyairline.com/sky-cierra-el-primer-semestre-con-un-crecimiento-de-30-en-comparacion-al-ultimo-ano-sin-pandemia/</x:v>
      </x:c>
      <x:c r="AA1128" s="4" t="str">
        <x:v>https://blog.skyairline.com/sky-cierra-el-primer-semestre-con-un-crecimiento-de-30-en-comparacion-al-ultimo-ano-sin-pandemia/</x:v>
      </x:c>
      <x:c r="AB1128" s="4" t="str">
        <x:v>Coincidencia URL</x:v>
      </x:c>
      <x:c r="AC1128" s="4" t="str">
        <x:v>Publicado hasta septiembre</x:v>
      </x:c>
      <x:c r="AD1128" s="4" t="str">
        <x:v>/sky-cierra-el-primer-semestre-con-un-crecimiento-de-30-en-comparacion-al-ultimo-ano-sin-pandemia/</x:v>
      </x:c>
      <x:c r="AE1128" s="4"/>
      <x:c r="AF1128" s="16" t="b">
        <x:v>0</x:v>
      </x:c>
    </x:row>
    <x:row r="1129" ht="44" customHeight="1">
      <x:c r="A1129" s="4" t="n">
        <x:v>2159</x:v>
      </x:c>
      <x:c r="B1129" s="4" t="str">
        <x:v>https://blog.skyairline.com/sky-aumenta-la-presencia-de-mujeres-piloto-superando-el-promedio-mundial/</x:v>
      </x:c>
      <x:c r="C1129" s="9" t="str">
        <x:v>SKY aumenta la presencia de mujeres piloto superando el promedio mundial</x:v>
      </x:c>
      <x:c r="D1129" s="17" t="d">
        <x:v>2022-08-01T00:00:00.000Z</x:v>
      </x:c>
      <x:c r="E1129" s="17" t="d">
        <x:v>2022-08-01T00:00:00.000Z</x:v>
      </x:c>
      <x:c r="F1129" s="4" t="str">
        <x:v>Noticias</x:v>
      </x:c>
      <x:c r="G1129" s="11" t="n">
        <x:v>492</x:v>
      </x:c>
      <x:c r="H1129" s="11" t="n">
        <x:v>200</x:v>
      </x:c>
      <x:c r="I1129" s="11" t="n">
        <x:v>1</x:v>
      </x:c>
      <x:c r="J1129" s="4" t="str">
        <x:v>https://blog.skyairline.com/sky-aumenta-la-presencia-de-mujeres-piloto-superando-el-promedio-mundial/</x:v>
      </x:c>
      <x:c r="K1129" s="16" t="b">
        <x:v>0</x:v>
      </x:c>
      <x:c r="L1129" s="11" t="n">
        <x:v>0</x:v>
      </x:c>
      <x:c r="M1129" s="11" t="n">
        <x:v>0</x:v>
      </x:c>
      <x:c r="N1129" s="4" t="str">
        <x:v>T15</x:v>
      </x:c>
      <x:c r="O1129" s="4"/>
      <x:c r="P1129" s="11" t="n">
        <x:v>0</x:v>
      </x:c>
      <x:c r="Q1129" s="11" t="n">
        <x:v>0</x:v>
      </x:c>
      <x:c r="R1129" s="11" t="str">
        <x:f>IF(OR(P1129="",Q1129=""),"",Q1129-P1129)</x:f>
      </x:c>
      <x:c r="S1129" s="13" t="str">
        <x:f>IF(OR(P1129="",Q1129="",P1129=0),"",((Q1129/30)/(P1129/31))-1)</x:f>
      </x:c>
      <x:c r="T1129" s="11" t="n">
        <x:v>15</x:v>
      </x:c>
      <x:c r="U1129" s="11" t="n">
        <x:v>1</x:v>
      </x:c>
      <x:c r="V1129" s="14" t="n">
        <x:v>0</x:v>
      </x:c>
      <x:c r="W1129" s="12" t="n">
        <x:v>17</x:v>
      </x:c>
      <x:c r="X1129" s="11"/>
      <x:c r="Y1129" s="11"/>
      <x:c r="Z1129" s="4" t="str">
        <x:v>https://blog.skyairline.com/sky-aumenta-la-presencia-de-mujeres-piloto-superando-el-promedio-mundial/</x:v>
      </x:c>
      <x:c r="AA1129" s="4" t="str">
        <x:v>https://blog.skyairline.com/sky-aumenta-la-presencia-de-mujeres-piloto-superando-el-promedio-mundial/</x:v>
      </x:c>
      <x:c r="AB1129" s="4" t="str">
        <x:v>Coincidencia URL</x:v>
      </x:c>
      <x:c r="AC1129" s="4" t="str">
        <x:v>Publicado hasta septiembre</x:v>
      </x:c>
      <x:c r="AD1129" s="4"/>
      <x:c r="AE1129" s="4"/>
      <x:c r="AF1129" s="16" t="b">
        <x:v>0</x:v>
      </x:c>
    </x:row>
    <x:row r="1130" ht="44" customHeight="1">
      <x:c r="A1130" s="4" t="n">
        <x:v>2176</x:v>
      </x:c>
      <x:c r="B1130" s="4" t="str">
        <x:v>https://blog.skyairline.com/parque-nacional-torres-del-paine-2/</x:v>
      </x:c>
      <x:c r="C1130" s="9" t="str">
        <x:v>¿Qué hacer en el Parque Nacional Torres del Paine?</x:v>
      </x:c>
      <x:c r="D1130" s="17" t="d">
        <x:v>2022-08-13T00:00:00.000Z</x:v>
      </x:c>
      <x:c r="E1130" s="17" t="d">
        <x:v>2022-08-13T00:00:00.000Z</x:v>
      </x:c>
      <x:c r="F1130" s="4" t="str">
        <x:v>Destinos</x:v>
      </x:c>
      <x:c r="G1130" s="11" t="n">
        <x:v>1106</x:v>
      </x:c>
      <x:c r="H1130" s="11" t="n">
        <x:v>200</x:v>
      </x:c>
      <x:c r="I1130" s="11" t="n">
        <x:v>1</x:v>
      </x:c>
      <x:c r="J1130" s="4" t="str">
        <x:v>https://blog.skyairline.com/parque-nacional-torres-del-paine-2/</x:v>
      </x:c>
      <x:c r="K1130" s="16" t="b">
        <x:v>0</x:v>
      </x:c>
      <x:c r="L1130" s="11" t="n">
        <x:v>0</x:v>
      </x:c>
      <x:c r="M1130" s="11" t="n">
        <x:v>3</x:v>
      </x:c>
      <x:c r="N1130" s="4"/>
      <x:c r="O1130" s="4"/>
      <x:c r="P1130" s="11" t="n">
        <x:v>0</x:v>
      </x:c>
      <x:c r="Q1130" s="11" t="n">
        <x:v>0</x:v>
      </x:c>
      <x:c r="R1130" s="11" t="str">
        <x:f>IF(OR(P1130="",Q1130=""),"",Q1130-P1130)</x:f>
      </x:c>
      <x:c r="S1130" s="13" t="str">
        <x:f>IF(OR(P1130="",Q1130="",P1130=0),"",((Q1130/30)/(P1130/31))-1)</x:f>
      </x:c>
      <x:c r="T1130" s="11" t="n">
        <x:v>106</x:v>
      </x:c>
      <x:c r="U1130" s="11" t="n">
        <x:v>104</x:v>
      </x:c>
      <x:c r="V1130" s="14" t="n">
        <x:v>0</x:v>
      </x:c>
      <x:c r="W1130" s="12" t="n">
        <x:v>18.48076923076923</x:v>
      </x:c>
      <x:c r="X1130" s="11" t="n">
        <x:v>2</x:v>
      </x:c>
      <x:c r="Y1130" s="11" t="n">
        <x:v>0</x:v>
      </x:c>
      <x:c r="Z1130" s="4" t="str">
        <x:v>https://blog.skyairline.com/parque-nacional-torres-del-paine-2/</x:v>
      </x:c>
      <x:c r="AA1130" s="4" t="str">
        <x:v>https://blog.skyairline.com/parque-nacional-torres-del-paine-2/</x:v>
      </x:c>
      <x:c r="AB1130" s="4" t="str">
        <x:v>Coincidencia URL</x:v>
      </x:c>
      <x:c r="AC1130" s="4" t="str">
        <x:v>Publicado hasta septiembre</x:v>
      </x:c>
      <x:c r="AD1130" s="4" t="str">
        <x:v>/parque-nacional-torres-del-paine-2/</x:v>
      </x:c>
      <x:c r="AE1130" s="4"/>
      <x:c r="AF1130" s="16" t="b">
        <x:v>0</x:v>
      </x:c>
    </x:row>
    <x:row r="1131" ht="44" customHeight="1">
      <x:c r="A1131" s="4" t="n">
        <x:v>2184</x:v>
      </x:c>
      <x:c r="B1131" s="4" t="str">
        <x:v>https://blog.skyairline.com/glaciar-spegazzini/</x:v>
      </x:c>
      <x:c r="C1131" s="9" t="str">
        <x:v>Glaciar Spegazzini, guia para visitar esta belleza de Argentina</x:v>
      </x:c>
      <x:c r="D1131" s="17" t="d">
        <x:v>2026-05-01T00:00:00.000Z</x:v>
      </x:c>
      <x:c r="E1131" s="17" t="d">
        <x:v>2026-04-28T00:00:00.000Z</x:v>
      </x:c>
      <x:c r="F1131" s="4" t="str">
        <x:v>Destinos</x:v>
      </x:c>
      <x:c r="G1131" s="11" t="n">
        <x:v>1021</x:v>
      </x:c>
      <x:c r="H1131" s="11" t="n">
        <x:v>200</x:v>
      </x:c>
      <x:c r="I1131" s="11" t="n">
        <x:v>1</x:v>
      </x:c>
      <x:c r="J1131" s="4" t="str">
        <x:v>https://blog.skyairline.com/glaciar-spegazzini/</x:v>
      </x:c>
      <x:c r="K1131" s="16" t="b">
        <x:v>0</x:v>
      </x:c>
      <x:c r="L1131" s="11" t="n">
        <x:v>0</x:v>
      </x:c>
      <x:c r="M1131" s="11" t="n">
        <x:v>0</x:v>
      </x:c>
      <x:c r="N1131" s="4"/>
      <x:c r="O1131" s="4"/>
      <x:c r="P1131" s="11" t="n">
        <x:v>2</x:v>
      </x:c>
      <x:c r="Q1131" s="11" t="n">
        <x:v>0</x:v>
      </x:c>
      <x:c r="R1131" s="11" t="str">
        <x:f>IF(OR(P1131="",Q1131=""),"",Q1131-P1131)</x:f>
      </x:c>
      <x:c r="S1131" s="13" t="str">
        <x:f>IF(OR(P1131="",Q1131="",P1131=0),"",((Q1131/30)/(P1131/31))-1)</x:f>
      </x:c>
      <x:c r="T1131" s="11" t="n">
        <x:v>166</x:v>
      </x:c>
      <x:c r="U1131" s="11" t="n">
        <x:v>104</x:v>
      </x:c>
      <x:c r="V1131" s="14" t="n">
        <x:v>0</x:v>
      </x:c>
      <x:c r="W1131" s="12" t="n">
        <x:v>15.884615384615385</x:v>
      </x:c>
      <x:c r="X1131" s="11"/>
      <x:c r="Y1131" s="11"/>
      <x:c r="Z1131" s="4" t="str">
        <x:v>https://blog.skyairline.com/glaciar-spegazzini/</x:v>
      </x:c>
      <x:c r="AA1131" s="4" t="str">
        <x:v>https://blog.skyairline.com/glaciar-spegazzini/</x:v>
      </x:c>
      <x:c r="AB1131" s="4" t="str">
        <x:v>Coincidencia URL</x:v>
      </x:c>
      <x:c r="AC1131" s="4" t="str">
        <x:v>Publicado hasta septiembre</x:v>
      </x:c>
      <x:c r="AD1131" s="4"/>
      <x:c r="AE1131" s="4"/>
      <x:c r="AF1131" s="16" t="b">
        <x:v>0</x:v>
      </x:c>
    </x:row>
    <x:row r="1132" ht="44" customHeight="1">
      <x:c r="A1132" s="4" t="n">
        <x:v>2196</x:v>
      </x:c>
      <x:c r="B1132" s="4" t="str">
        <x:v>https://blog.skyairline.com/guia-turistica/</x:v>
      </x:c>
      <x:c r="C1132" s="9" t="str">
        <x:v>Guía Turística para conocer lo mejor de América Latina</x:v>
      </x:c>
      <x:c r="D1132" s="17" t="d">
        <x:v>2022-08-20T00:00:00.000Z</x:v>
      </x:c>
      <x:c r="E1132" s="17" t="d">
        <x:v>2022-08-20T00:00:00.000Z</x:v>
      </x:c>
      <x:c r="F1132" s="4" t="str">
        <x:v>Planificación de Viaje</x:v>
      </x:c>
      <x:c r="G1132" s="11" t="n">
        <x:v>835</x:v>
      </x:c>
      <x:c r="H1132" s="11" t="n">
        <x:v>200</x:v>
      </x:c>
      <x:c r="I1132" s="11" t="n">
        <x:v>1</x:v>
      </x:c>
      <x:c r="J1132" s="4" t="str">
        <x:v>https://blog.skyairline.com/guia-turistica/</x:v>
      </x:c>
      <x:c r="K1132" s="16" t="b">
        <x:v>0</x:v>
      </x:c>
      <x:c r="L1132" s="11" t="n">
        <x:v>0</x:v>
      </x:c>
      <x:c r="M1132" s="11" t="n">
        <x:v>4</x:v>
      </x:c>
      <x:c r="N1132" s="4"/>
      <x:c r="O1132" s="4"/>
      <x:c r="P1132" s="11" t="n">
        <x:v>1</x:v>
      </x:c>
      <x:c r="Q1132" s="11" t="n">
        <x:v>0</x:v>
      </x:c>
      <x:c r="R1132" s="11" t="str">
        <x:f>IF(OR(P1132="",Q1132=""),"",Q1132-P1132)</x:f>
      </x:c>
      <x:c r="S1132" s="13" t="str">
        <x:f>IF(OR(P1132="",Q1132="",P1132=0),"",((Q1132/30)/(P1132/31))-1)</x:f>
      </x:c>
      <x:c r="T1132" s="11" t="n">
        <x:v>32</x:v>
      </x:c>
      <x:c r="U1132" s="11" t="n">
        <x:v>12</x:v>
      </x:c>
      <x:c r="V1132" s="14" t="n">
        <x:v>0</x:v>
      </x:c>
      <x:c r="W1132" s="12" t="n">
        <x:v>9.583333333333334</x:v>
      </x:c>
      <x:c r="X1132" s="11"/>
      <x:c r="Y1132" s="11"/>
      <x:c r="Z1132" s="4" t="str">
        <x:v>https://blog.skyairline.com/guia-turistica/</x:v>
      </x:c>
      <x:c r="AA1132" s="4" t="str">
        <x:v>https://blog.skyairline.com/guia-turistica/</x:v>
      </x:c>
      <x:c r="AB1132" s="4" t="str">
        <x:v>Coincidencia URL</x:v>
      </x:c>
      <x:c r="AC1132" s="4" t="str">
        <x:v>Publicado hasta septiembre</x:v>
      </x:c>
      <x:c r="AD1132" s="4"/>
      <x:c r="AE1132" s="4"/>
      <x:c r="AF1132" s="16" t="b">
        <x:v>0</x:v>
      </x:c>
    </x:row>
    <x:row r="1133" ht="44" customHeight="1">
      <x:c r="A1133" s="4" t="n">
        <x:v>2202</x:v>
      </x:c>
      <x:c r="B1133" s="4" t="str">
        <x:v>https://blog.skyairline.com/viajar-a-chile/</x:v>
      </x:c>
      <x:c r="C1133" s="9" t="str">
        <x:v>Viajar a Chile: tips para sacar el máximo provecho a tu aventura</x:v>
      </x:c>
      <x:c r="D1133" s="17" t="d">
        <x:v>2022-08-23T00:00:00.000Z</x:v>
      </x:c>
      <x:c r="E1133" s="17" t="d">
        <x:v>2022-08-23T00:00:00.000Z</x:v>
      </x:c>
      <x:c r="F1133" s="4" t="str">
        <x:v>Destinos</x:v>
      </x:c>
      <x:c r="G1133" s="11" t="n">
        <x:v>1196</x:v>
      </x:c>
      <x:c r="H1133" s="11" t="n">
        <x:v>200</x:v>
      </x:c>
      <x:c r="I1133" s="11" t="n">
        <x:v>1</x:v>
      </x:c>
      <x:c r="J1133" s="4" t="str">
        <x:v>https://blog.skyairline.com/viajar-a-chile/</x:v>
      </x:c>
      <x:c r="K1133" s="16" t="b">
        <x:v>0</x:v>
      </x:c>
      <x:c r="L1133" s="11" t="n">
        <x:v>0</x:v>
      </x:c>
      <x:c r="M1133" s="11" t="n">
        <x:v>3</x:v>
      </x:c>
      <x:c r="N1133" s="4"/>
      <x:c r="O1133" s="4"/>
      <x:c r="P1133" s="11" t="n">
        <x:v>0</x:v>
      </x:c>
      <x:c r="Q1133" s="11" t="n">
        <x:v>0</x:v>
      </x:c>
      <x:c r="R1133" s="11" t="str">
        <x:f>IF(OR(P1133="",Q1133=""),"",Q1133-P1133)</x:f>
      </x:c>
      <x:c r="S1133" s="13" t="str">
        <x:f>IF(OR(P1133="",Q1133="",P1133=0),"",((Q1133/30)/(P1133/31))-1)</x:f>
      </x:c>
      <x:c r="T1133" s="11" t="n">
        <x:v>55</x:v>
      </x:c>
      <x:c r="U1133" s="11" t="n">
        <x:v>6</x:v>
      </x:c>
      <x:c r="V1133" s="14" t="n">
        <x:v>0</x:v>
      </x:c>
      <x:c r="W1133" s="12" t="n">
        <x:v>22.166666666666668</x:v>
      </x:c>
      <x:c r="X1133" s="11"/>
      <x:c r="Y1133" s="11"/>
      <x:c r="Z1133" s="4" t="str">
        <x:v>https://blog.skyairline.com/viajar-a-chile/</x:v>
      </x:c>
      <x:c r="AA1133" s="4" t="str">
        <x:v>https://blog.skyairline.com/viajar-a-chile/</x:v>
      </x:c>
      <x:c r="AB1133" s="4" t="str">
        <x:v>Coincidencia URL</x:v>
      </x:c>
      <x:c r="AC1133" s="4" t="str">
        <x:v>Publicado hasta septiembre</x:v>
      </x:c>
      <x:c r="AD1133" s="4"/>
      <x:c r="AE1133" s="4"/>
      <x:c r="AF1133" s="16" t="b">
        <x:v>0</x:v>
      </x:c>
    </x:row>
    <x:row r="1134" ht="44" customHeight="1">
      <x:c r="A1134" s="4" t="n">
        <x:v>2211</x:v>
      </x:c>
      <x:c r="B1134" s="4" t="str">
        <x:v>https://blog.skyairline.com/fiestas-patrias-peruanas-conoce-los-destinos-mas-visitados-de-cada-region-del-peru/</x:v>
      </x:c>
      <x:c r="C1134" s="9" t="str">
        <x:v>Fiestas Patrias del Perú 2026 ¿A dónde viajar en el feriado largo?</x:v>
      </x:c>
      <x:c r="D1134" s="17" t="d">
        <x:v>2026-05-21T00:00:00.000Z</x:v>
      </x:c>
      <x:c r="E1134" s="17" t="d">
        <x:v>2026-05-20T00:00:00.000Z</x:v>
      </x:c>
      <x:c r="F1134" s="4" t="str">
        <x:v>Planificación de Viaje</x:v>
      </x:c>
      <x:c r="G1134" s="11" t="n">
        <x:v>1154</x:v>
      </x:c>
      <x:c r="H1134" s="11" t="n">
        <x:v>200</x:v>
      </x:c>
      <x:c r="I1134" s="11" t="n">
        <x:v>1</x:v>
      </x:c>
      <x:c r="J1134" s="4" t="str">
        <x:v>https://blog.skyairline.com/fiestas-patrias-peruanas-conoce-los-destinos-mas-visitados-de-cada-region-del-peru/</x:v>
      </x:c>
      <x:c r="K1134" s="16" t="b">
        <x:v>0</x:v>
      </x:c>
      <x:c r="L1134" s="11" t="n">
        <x:v>0</x:v>
      </x:c>
      <x:c r="M1134" s="11" t="n">
        <x:v>0</x:v>
      </x:c>
      <x:c r="N1134" s="4"/>
      <x:c r="O1134" s="4"/>
      <x:c r="P1134" s="11" t="n">
        <x:v>1</x:v>
      </x:c>
      <x:c r="Q1134" s="11" t="n">
        <x:v>0</x:v>
      </x:c>
      <x:c r="R1134" s="11" t="str">
        <x:f>IF(OR(P1134="",Q1134=""),"",Q1134-P1134)</x:f>
      </x:c>
      <x:c r="S1134" s="13" t="str">
        <x:f>IF(OR(P1134="",Q1134="",P1134=0),"",((Q1134/30)/(P1134/31))-1)</x:f>
      </x:c>
      <x:c r="T1134" s="11" t="n">
        <x:v>30</x:v>
      </x:c>
      <x:c r="U1134" s="11" t="n">
        <x:v>9</x:v>
      </x:c>
      <x:c r="V1134" s="14" t="n">
        <x:v>0</x:v>
      </x:c>
      <x:c r="W1134" s="12" t="n">
        <x:v>14.222222222222221</x:v>
      </x:c>
      <x:c r="X1134" s="11"/>
      <x:c r="Y1134" s="11"/>
      <x:c r="Z1134" s="4" t="str">
        <x:v>https://blog.skyairline.com/fiestas-patrias-peruanas-conoce-los-destinos-mas-visitados-de-cada-region-del-peru/</x:v>
      </x:c>
      <x:c r="AA1134" s="4" t="str">
        <x:v>https://blog.skyairline.com/fiestas-patrias-peruanas-conoce-los-destinos-mas-visitados-de-cada-region-del-peru/</x:v>
      </x:c>
      <x:c r="AB1134" s="4" t="str">
        <x:v>Coincidencia URL</x:v>
      </x:c>
      <x:c r="AC1134" s="4" t="str">
        <x:v>Publicado hasta septiembre</x:v>
      </x:c>
      <x:c r="AD1134" s="4"/>
      <x:c r="AE1134" s="4"/>
      <x:c r="AF1134" s="16" t="b">
        <x:v>0</x:v>
      </x:c>
    </x:row>
    <x:row r="1135" ht="44" customHeight="1">
      <x:c r="A1135" s="4" t="n">
        <x:v>2228</x:v>
      </x:c>
      <x:c r="B1135" s="4" t="str">
        <x:v>https://blog.skyairline.com/actividades-que-puedes-hacer-en-cusco/</x:v>
      </x:c>
      <x:c r="C1135" s="9" t="str">
        <x:v>8 actividades que puedes hacer si visitas Cusco</x:v>
      </x:c>
      <x:c r="D1135" s="17" t="d">
        <x:v>2022-08-24T00:00:00.000Z</x:v>
      </x:c>
      <x:c r="E1135" s="17" t="d">
        <x:v>2022-08-24T00:00:00.000Z</x:v>
      </x:c>
      <x:c r="F1135" s="4" t="str">
        <x:v>Destinos</x:v>
      </x:c>
      <x:c r="G1135" s="11" t="n">
        <x:v>1046</x:v>
      </x:c>
      <x:c r="H1135" s="11" t="n">
        <x:v>200</x:v>
      </x:c>
      <x:c r="I1135" s="11" t="n">
        <x:v>1</x:v>
      </x:c>
      <x:c r="J1135" s="4" t="str">
        <x:v>https://blog.skyairline.com/actividades-que-puedes-hacer-en-cusco/</x:v>
      </x:c>
      <x:c r="K1135" s="16" t="b">
        <x:v>0</x:v>
      </x:c>
      <x:c r="L1135" s="11" t="n">
        <x:v>0</x:v>
      </x:c>
      <x:c r="M1135" s="11" t="n">
        <x:v>3</x:v>
      </x:c>
      <x:c r="N1135" s="4"/>
      <x:c r="O1135" s="4"/>
      <x:c r="P1135" s="11" t="n">
        <x:v>0</x:v>
      </x:c>
      <x:c r="Q1135" s="11" t="n">
        <x:v>0</x:v>
      </x:c>
      <x:c r="R1135" s="11" t="str">
        <x:f>IF(OR(P1135="",Q1135=""),"",Q1135-P1135)</x:f>
      </x:c>
      <x:c r="S1135" s="13" t="str">
        <x:f>IF(OR(P1135="",Q1135="",P1135=0),"",((Q1135/30)/(P1135/31))-1)</x:f>
      </x:c>
      <x:c r="T1135" s="11" t="n">
        <x:v>20</x:v>
      </x:c>
      <x:c r="U1135" s="11" t="n">
        <x:v>69</x:v>
      </x:c>
      <x:c r="V1135" s="14" t="n">
        <x:v>0</x:v>
      </x:c>
      <x:c r="W1135" s="12" t="n">
        <x:v>30.92753623188406</x:v>
      </x:c>
      <x:c r="X1135" s="11" t="n">
        <x:v>1</x:v>
      </x:c>
      <x:c r="Y1135" s="11" t="n">
        <x:v>1</x:v>
      </x:c>
      <x:c r="Z1135" s="4" t="str">
        <x:v>https://blog.skyairline.com/actividades-que-puedes-hacer-en-cusco/</x:v>
      </x:c>
      <x:c r="AA1135" s="4" t="str">
        <x:v>https://blog.skyairline.com/actividades-que-puedes-hacer-en-cusco/</x:v>
      </x:c>
      <x:c r="AB1135" s="4" t="str">
        <x:v>Coincidencia URL</x:v>
      </x:c>
      <x:c r="AC1135" s="4" t="str">
        <x:v>Publicado hasta septiembre</x:v>
      </x:c>
      <x:c r="AD1135" s="4" t="str">
        <x:v>/actividades-que-puedes-hacer-en-cusco/</x:v>
      </x:c>
      <x:c r="AE1135" s="4"/>
      <x:c r="AF1135" s="16" t="b">
        <x:v>0</x:v>
      </x:c>
    </x:row>
    <x:row r="1136" ht="44" customHeight="1">
      <x:c r="A1136" s="4" t="n">
        <x:v>2237</x:v>
      </x:c>
      <x:c r="B1136" s="4" t="str">
        <x:v>https://blog.skyairline.com/viajar-a-cusco-bajo-presupuesto/</x:v>
      </x:c>
      <x:c r="C1136" s="9" t="str">
        <x:v>Cómo viajar con bajo presupuesto</x:v>
      </x:c>
      <x:c r="D1136" s="17" t="d">
        <x:v>2022-08-30T00:00:00.000Z</x:v>
      </x:c>
      <x:c r="E1136" s="17" t="d">
        <x:v>2022-08-30T00:00:00.000Z</x:v>
      </x:c>
      <x:c r="F1136" s="4" t="str">
        <x:v>Destinos</x:v>
      </x:c>
      <x:c r="G1136" s="11" t="n">
        <x:v>1107</x:v>
      </x:c>
      <x:c r="H1136" s="11" t="n">
        <x:v>200</x:v>
      </x:c>
      <x:c r="I1136" s="11" t="n">
        <x:v>1</x:v>
      </x:c>
      <x:c r="J1136" s="4" t="str">
        <x:v>https://blog.skyairline.com/viajar-a-cusco-bajo-presupuesto/</x:v>
      </x:c>
      <x:c r="K1136" s="16" t="b">
        <x:v>0</x:v>
      </x:c>
      <x:c r="L1136" s="11" t="n">
        <x:v>0</x:v>
      </x:c>
      <x:c r="M1136" s="11" t="n">
        <x:v>6</x:v>
      </x:c>
      <x:c r="N1136" s="4"/>
      <x:c r="O1136" s="4"/>
      <x:c r="P1136" s="11" t="n">
        <x:v>0</x:v>
      </x:c>
      <x:c r="Q1136" s="11" t="n">
        <x:v>0</x:v>
      </x:c>
      <x:c r="R1136" s="11" t="str">
        <x:f>IF(OR(P1136="",Q1136=""),"",Q1136-P1136)</x:f>
      </x:c>
      <x:c r="S1136" s="13" t="str">
        <x:f>IF(OR(P1136="",Q1136="",P1136=0),"",((Q1136/30)/(P1136/31))-1)</x:f>
      </x:c>
      <x:c r="T1136" s="11" t="n">
        <x:v>226</x:v>
      </x:c>
      <x:c r="U1136" s="11" t="n">
        <x:v>86</x:v>
      </x:c>
      <x:c r="V1136" s="14" t="n">
        <x:v>0</x:v>
      </x:c>
      <x:c r="W1136" s="12" t="n">
        <x:v>9.63953488372093</x:v>
      </x:c>
      <x:c r="X1136" s="11"/>
      <x:c r="Y1136" s="11"/>
      <x:c r="Z1136" s="4" t="str">
        <x:v>https://blog.skyairline.com/viajar-a-cusco-bajo-presupuesto/</x:v>
      </x:c>
      <x:c r="AA1136" s="4" t="str">
        <x:v>https://blog.skyairline.com/viajar-a-cusco-bajo-presupuesto/</x:v>
      </x:c>
      <x:c r="AB1136" s="4" t="str">
        <x:v>Coincidencia URL</x:v>
      </x:c>
      <x:c r="AC1136" s="4" t="str">
        <x:v>Publicado hasta septiembre</x:v>
      </x:c>
      <x:c r="AD1136" s="4"/>
      <x:c r="AE1136" s="4"/>
      <x:c r="AF1136" s="16" t="b">
        <x:v>0</x:v>
      </x:c>
    </x:row>
    <x:row r="1137" ht="44" customHeight="1">
      <x:c r="A1137" s="4" t="n">
        <x:v>2250</x:v>
      </x:c>
      <x:c r="B1137" s="4" t="str">
        <x:v>https://blog.skyairline.com/viajes-sin-escala/</x:v>
      </x:c>
      <x:c r="C1137" s="9" t="str">
        <x:v>10 consejos para tomar vuelos sin escalas y aprovechar mejor tu tiempo en aeropuertos</x:v>
      </x:c>
      <x:c r="D1137" s="17" t="d">
        <x:v>2022-09-03T00:00:00.000Z</x:v>
      </x:c>
      <x:c r="E1137" s="17" t="d">
        <x:v>2022-09-03T00:00:00.000Z</x:v>
      </x:c>
      <x:c r="F1137" s="4" t="str">
        <x:v>Planificación de Viaje</x:v>
      </x:c>
      <x:c r="G1137" s="11" t="n">
        <x:v>1068</x:v>
      </x:c>
      <x:c r="H1137" s="11" t="n">
        <x:v>200</x:v>
      </x:c>
      <x:c r="I1137" s="11" t="n">
        <x:v>1</x:v>
      </x:c>
      <x:c r="J1137" s="4" t="str">
        <x:v>https://blog.skyairline.com/viajes-sin-escala/</x:v>
      </x:c>
      <x:c r="K1137" s="16" t="b">
        <x:v>0</x:v>
      </x:c>
      <x:c r="L1137" s="11" t="n">
        <x:v>0</x:v>
      </x:c>
      <x:c r="M1137" s="11" t="n">
        <x:v>4</x:v>
      </x:c>
      <x:c r="N1137" s="4"/>
      <x:c r="O1137" s="4"/>
      <x:c r="P1137" s="11" t="n">
        <x:v>2</x:v>
      </x:c>
      <x:c r="Q1137" s="11" t="n">
        <x:v>0</x:v>
      </x:c>
      <x:c r="R1137" s="11" t="str">
        <x:f>IF(OR(P1137="",Q1137=""),"",Q1137-P1137)</x:f>
      </x:c>
      <x:c r="S1137" s="13" t="str">
        <x:f>IF(OR(P1137="",Q1137="",P1137=0),"",((Q1137/30)/(P1137/31))-1)</x:f>
      </x:c>
      <x:c r="T1137" s="11" t="n">
        <x:v>323</x:v>
      </x:c>
      <x:c r="U1137" s="11" t="n">
        <x:v>201</x:v>
      </x:c>
      <x:c r="V1137" s="14" t="n">
        <x:v>0</x:v>
      </x:c>
      <x:c r="W1137" s="12" t="n">
        <x:v>7.8059701492537314</x:v>
      </x:c>
      <x:c r="X1137" s="11"/>
      <x:c r="Y1137" s="11"/>
      <x:c r="Z1137" s="4" t="str">
        <x:v>https://blog.skyairline.com/viajes-sin-escala/</x:v>
      </x:c>
      <x:c r="AA1137" s="4" t="str">
        <x:v>https://blog.skyairline.com/viajes-sin-escala/</x:v>
      </x:c>
      <x:c r="AB1137" s="4" t="str">
        <x:v>Coincidencia URL</x:v>
      </x:c>
      <x:c r="AC1137" s="4" t="str">
        <x:v>Publicado hasta septiembre</x:v>
      </x:c>
      <x:c r="AD1137" s="4"/>
      <x:c r="AE1137" s="4"/>
      <x:c r="AF1137" s="16" t="b">
        <x:v>0</x:v>
      </x:c>
    </x:row>
    <x:row r="1138" ht="44" customHeight="1">
      <x:c r="A1138" s="4" t="n">
        <x:v>2253</x:v>
      </x:c>
      <x:c r="B1138" s="4" t="str">
        <x:v>https://blog.skyairline.com/san-pedro-de-atacama-3/</x:v>
      </x:c>
      <x:c r="C1138" s="9" t="str">
        <x:v>San Pedro de Atacama: 8 lugares qué debes visitar en tu viaje</x:v>
      </x:c>
      <x:c r="D1138" s="17" t="d">
        <x:v>2022-09-05T00:00:00.000Z</x:v>
      </x:c>
      <x:c r="E1138" s="17" t="d">
        <x:v>2025-12-15T00:00:00.000Z</x:v>
      </x:c>
      <x:c r="F1138" s="4" t="str">
        <x:v>Destinos</x:v>
      </x:c>
      <x:c r="G1138" s="11" t="n">
        <x:v>1034</x:v>
      </x:c>
      <x:c r="H1138" s="11" t="n">
        <x:v>200</x:v>
      </x:c>
      <x:c r="I1138" s="11" t="n">
        <x:v>1</x:v>
      </x:c>
      <x:c r="J1138" s="4" t="str">
        <x:v>https://blog.skyairline.com/san-pedro-de-atacama-3/</x:v>
      </x:c>
      <x:c r="K1138" s="16" t="b">
        <x:v>0</x:v>
      </x:c>
      <x:c r="L1138" s="11" t="n">
        <x:v>0</x:v>
      </x:c>
      <x:c r="M1138" s="11" t="n">
        <x:v>0</x:v>
      </x:c>
      <x:c r="N1138" s="4"/>
      <x:c r="O1138" s="4"/>
      <x:c r="P1138" s="11" t="n">
        <x:v>0</x:v>
      </x:c>
      <x:c r="Q1138" s="11" t="n">
        <x:v>0</x:v>
      </x:c>
      <x:c r="R1138" s="11" t="str">
        <x:f>IF(OR(P1138="",Q1138=""),"",Q1138-P1138)</x:f>
      </x:c>
      <x:c r="S1138" s="13" t="str">
        <x:f>IF(OR(P1138="",Q1138="",P1138=0),"",((Q1138/30)/(P1138/31))-1)</x:f>
      </x:c>
      <x:c r="T1138" s="11" t="n">
        <x:v>27</x:v>
      </x:c>
      <x:c r="U1138" s="11" t="n">
        <x:v>177</x:v>
      </x:c>
      <x:c r="V1138" s="14" t="n">
        <x:v>0</x:v>
      </x:c>
      <x:c r="W1138" s="12" t="n">
        <x:v>10.875706214689265</x:v>
      </x:c>
      <x:c r="X1138" s="11" t="n">
        <x:v>1</x:v>
      </x:c>
      <x:c r="Y1138" s="11" t="n">
        <x:v>1</x:v>
      </x:c>
      <x:c r="Z1138" s="4" t="str">
        <x:v>https://blog.skyairline.com/san-pedro-de-atacama-3/</x:v>
      </x:c>
      <x:c r="AA1138" s="4" t="str">
        <x:v>https://blog.skyairline.com/san-pedro-de-atacama-3/</x:v>
      </x:c>
      <x:c r="AB1138" s="4" t="str">
        <x:v>Coincidencia URL</x:v>
      </x:c>
      <x:c r="AC1138" s="4" t="str">
        <x:v>Publicado hasta septiembre</x:v>
      </x:c>
      <x:c r="AD1138" s="4" t="str">
        <x:v>/san-pedro-de-atacama-3/</x:v>
      </x:c>
      <x:c r="AE1138" s="4"/>
      <x:c r="AF1138" s="16" t="b">
        <x:v>0</x:v>
      </x:c>
    </x:row>
    <x:row r="1139" ht="44" customHeight="1">
      <x:c r="A1139" s="4" t="n">
        <x:v>2256</x:v>
      </x:c>
      <x:c r="B1139" s="4" t="str">
        <x:v>https://blog.skyairline.com/asistencia-para-viajes-internacionales/</x:v>
      </x:c>
      <x:c r="C1139" s="9" t="str">
        <x:v>Asistencia para viajes internacionales: ¿Por qué es tan importante?</x:v>
      </x:c>
      <x:c r="D1139" s="17" t="d">
        <x:v>2022-09-06T00:00:00.000Z</x:v>
      </x:c>
      <x:c r="E1139" s="17" t="d">
        <x:v>2022-09-06T00:00:00.000Z</x:v>
      </x:c>
      <x:c r="F1139" s="4" t="str">
        <x:v>Planificación de Viaje</x:v>
      </x:c>
      <x:c r="G1139" s="11" t="n">
        <x:v>1054</x:v>
      </x:c>
      <x:c r="H1139" s="11" t="n">
        <x:v>200</x:v>
      </x:c>
      <x:c r="I1139" s="11" t="n">
        <x:v>1</x:v>
      </x:c>
      <x:c r="J1139" s="4" t="str">
        <x:v>https://blog.skyairline.com/asistencia-para-viajes-internacionales/</x:v>
      </x:c>
      <x:c r="K1139" s="16" t="b">
        <x:v>0</x:v>
      </x:c>
      <x:c r="L1139" s="11" t="n">
        <x:v>0</x:v>
      </x:c>
      <x:c r="M1139" s="11" t="n">
        <x:v>6</x:v>
      </x:c>
      <x:c r="N1139" s="4"/>
      <x:c r="O1139" s="4"/>
      <x:c r="P1139" s="11" t="n">
        <x:v>1</x:v>
      </x:c>
      <x:c r="Q1139" s="11" t="n">
        <x:v>0</x:v>
      </x:c>
      <x:c r="R1139" s="11" t="str">
        <x:f>IF(OR(P1139="",Q1139=""),"",Q1139-P1139)</x:f>
      </x:c>
      <x:c r="S1139" s="13" t="str">
        <x:f>IF(OR(P1139="",Q1139="",P1139=0),"",((Q1139/30)/(P1139/31))-1)</x:f>
      </x:c>
      <x:c r="T1139" s="11" t="n">
        <x:v>238</x:v>
      </x:c>
      <x:c r="U1139" s="11" t="n">
        <x:v>222</x:v>
      </x:c>
      <x:c r="V1139" s="14" t="n">
        <x:v>0</x:v>
      </x:c>
      <x:c r="W1139" s="12" t="n">
        <x:v>8.211711711711711</x:v>
      </x:c>
      <x:c r="X1139" s="11"/>
      <x:c r="Y1139" s="11"/>
      <x:c r="Z1139" s="4" t="str">
        <x:v>https://blog.skyairline.com/asistencia-para-viajes-internacionales/</x:v>
      </x:c>
      <x:c r="AA1139" s="4" t="str">
        <x:v>https://blog.skyairline.com/asistencia-para-viajes-internacionales/</x:v>
      </x:c>
      <x:c r="AB1139" s="4" t="str">
        <x:v>Coincidencia URL</x:v>
      </x:c>
      <x:c r="AC1139" s="4" t="str">
        <x:v>Publicado hasta septiembre</x:v>
      </x:c>
      <x:c r="AD1139" s="4"/>
      <x:c r="AE1139" s="4"/>
      <x:c r="AF1139" s="16" t="b">
        <x:v>0</x:v>
      </x:c>
    </x:row>
    <x:row r="1140" ht="44" customHeight="1">
      <x:c r="A1140" s="4" t="n">
        <x:v>2273</x:v>
      </x:c>
      <x:c r="B1140" s="4" t="str">
        <x:v>https://blog.skyairline.com/consejos-para-aprovechar-el-black-friday-en-chile/</x:v>
      </x:c>
      <x:c r="C1140" s="9" t="str">
        <x:v>Consejos para aprovechar el Black Friday en Chile y viajar al menor precio</x:v>
      </x:c>
      <x:c r="D1140" s="17" t="d">
        <x:v>2022-09-14T00:00:00.000Z</x:v>
      </x:c>
      <x:c r="E1140" s="17" t="d">
        <x:v>2022-09-14T00:00:00.000Z</x:v>
      </x:c>
      <x:c r="F1140" s="4" t="str">
        <x:v>Planificación de Viaje</x:v>
      </x:c>
      <x:c r="G1140" s="11" t="n">
        <x:v>1080</x:v>
      </x:c>
      <x:c r="H1140" s="11" t="n">
        <x:v>200</x:v>
      </x:c>
      <x:c r="I1140" s="11" t="n">
        <x:v>1</x:v>
      </x:c>
      <x:c r="J1140" s="4" t="str">
        <x:v>https://blog.skyairline.com/consejos-para-aprovechar-el-black-friday-en-chile/</x:v>
      </x:c>
      <x:c r="K1140" s="16" t="b">
        <x:v>0</x:v>
      </x:c>
      <x:c r="L1140" s="11" t="n">
        <x:v>0</x:v>
      </x:c>
      <x:c r="M1140" s="11" t="n">
        <x:v>6</x:v>
      </x:c>
      <x:c r="N1140" s="4"/>
      <x:c r="O1140" s="4"/>
      <x:c r="P1140" s="11" t="n">
        <x:v>0</x:v>
      </x:c>
      <x:c r="Q1140" s="11" t="n">
        <x:v>0</x:v>
      </x:c>
      <x:c r="R1140" s="11" t="str">
        <x:f>IF(OR(P1140="",Q1140=""),"",Q1140-P1140)</x:f>
      </x:c>
      <x:c r="S1140" s="13" t="str">
        <x:f>IF(OR(P1140="",Q1140="",P1140=0),"",((Q1140/30)/(P1140/31))-1)</x:f>
      </x:c>
      <x:c r="T1140" s="11" t="n">
        <x:v>453</x:v>
      </x:c>
      <x:c r="U1140" s="11" t="n">
        <x:v>501</x:v>
      </x:c>
      <x:c r="V1140" s="14" t="n">
        <x:v>0</x:v>
      </x:c>
      <x:c r="W1140" s="12" t="n">
        <x:v>11.447105788423153</x:v>
      </x:c>
      <x:c r="X1140" s="11"/>
      <x:c r="Y1140" s="11"/>
      <x:c r="Z1140" s="4" t="str">
        <x:v>https://blog.skyairline.com/consejos-para-aprovechar-el-black-friday-en-chile/</x:v>
      </x:c>
      <x:c r="AA1140" s="4" t="str">
        <x:v>https://blog.skyairline.com/consejos-para-aprovechar-el-black-friday-en-chile/</x:v>
      </x:c>
      <x:c r="AB1140" s="4" t="str">
        <x:v>Coincidencia URL</x:v>
      </x:c>
      <x:c r="AC1140" s="4" t="str">
        <x:v>Publicado hasta septiembre</x:v>
      </x:c>
      <x:c r="AD1140" s="4"/>
      <x:c r="AE1140" s="4"/>
      <x:c r="AF1140" s="16" t="b">
        <x:v>0</x:v>
      </x:c>
    </x:row>
    <x:row r="1141" ht="44" customHeight="1">
      <x:c r="A1141" s="4" t="n">
        <x:v>2292</x:v>
      </x:c>
      <x:c r="B1141" s="4" t="str">
        <x:v>https://blog.skyairline.com/excursiones-en-punta-cana/</x:v>
      </x:c>
      <x:c r="C1141" s="9" t="str">
        <x:v>7 excursiones en Punta Cana que no puedes perderte</x:v>
      </x:c>
      <x:c r="D1141" s="17" t="d">
        <x:v>2022-09-19T00:00:00.000Z</x:v>
      </x:c>
      <x:c r="E1141" s="17" t="d">
        <x:v>2022-09-19T00:00:00.000Z</x:v>
      </x:c>
      <x:c r="F1141" s="4" t="str">
        <x:v>Destinos</x:v>
      </x:c>
      <x:c r="G1141" s="11" t="n">
        <x:v>1037</x:v>
      </x:c>
      <x:c r="H1141" s="11" t="n">
        <x:v>200</x:v>
      </x:c>
      <x:c r="I1141" s="11" t="n">
        <x:v>1</x:v>
      </x:c>
      <x:c r="J1141" s="4" t="str">
        <x:v>https://blog.skyairline.com/excursiones-en-punta-cana/</x:v>
      </x:c>
      <x:c r="K1141" s="16" t="b">
        <x:v>0</x:v>
      </x:c>
      <x:c r="L1141" s="11" t="n">
        <x:v>0</x:v>
      </x:c>
      <x:c r="M1141" s="11" t="n">
        <x:v>3</x:v>
      </x:c>
      <x:c r="N1141" s="4"/>
      <x:c r="O1141" s="4"/>
      <x:c r="P1141" s="11" t="n">
        <x:v>0</x:v>
      </x:c>
      <x:c r="Q1141" s="11" t="n">
        <x:v>0</x:v>
      </x:c>
      <x:c r="R1141" s="11" t="str">
        <x:f>IF(OR(P1141="",Q1141=""),"",Q1141-P1141)</x:f>
      </x:c>
      <x:c r="S1141" s="13" t="str">
        <x:f>IF(OR(P1141="",Q1141="",P1141=0),"",((Q1141/30)/(P1141/31))-1)</x:f>
      </x:c>
      <x:c r="T1141" s="11" t="n">
        <x:v>73</x:v>
      </x:c>
      <x:c r="U1141" s="11" t="n">
        <x:v>12</x:v>
      </x:c>
      <x:c r="V1141" s="14" t="n">
        <x:v>0</x:v>
      </x:c>
      <x:c r="W1141" s="12" t="n">
        <x:v>11.083333333333334</x:v>
      </x:c>
      <x:c r="X1141" s="11"/>
      <x:c r="Y1141" s="11"/>
      <x:c r="Z1141" s="4" t="str">
        <x:v>https://blog.skyairline.com/excursiones-en-punta-cana/</x:v>
      </x:c>
      <x:c r="AA1141" s="4" t="str">
        <x:v>https://blog.skyairline.com/excursiones-en-punta-cana/</x:v>
      </x:c>
      <x:c r="AB1141" s="4" t="str">
        <x:v>Coincidencia URL</x:v>
      </x:c>
      <x:c r="AC1141" s="4" t="str">
        <x:v>Publicado hasta septiembre</x:v>
      </x:c>
      <x:c r="AD1141" s="4"/>
      <x:c r="AE1141" s="4"/>
      <x:c r="AF1141" s="16" t="b">
        <x:v>0</x:v>
      </x:c>
    </x:row>
    <x:row r="1142" ht="44" customHeight="1">
      <x:c r="A1142" s="4" t="n">
        <x:v>2299</x:v>
      </x:c>
      <x:c r="B1142" s="4" t="str">
        <x:v>https://blog.skyairline.com/tours-en-cancun/</x:v>
      </x:c>
      <x:c r="C1142" s="9" t="str">
        <x:v>Mejores tours en Cancún que puedes hacer durante tu visita</x:v>
      </x:c>
      <x:c r="D1142" s="17" t="d">
        <x:v>2022-09-27T00:00:00.000Z</x:v>
      </x:c>
      <x:c r="E1142" s="17" t="d">
        <x:v>2022-09-27T00:00:00.000Z</x:v>
      </x:c>
      <x:c r="F1142" s="4" t="str">
        <x:v>Destinos</x:v>
      </x:c>
      <x:c r="G1142" s="11" t="n">
        <x:v>1013</x:v>
      </x:c>
      <x:c r="H1142" s="11" t="n">
        <x:v>200</x:v>
      </x:c>
      <x:c r="I1142" s="11" t="n">
        <x:v>1</x:v>
      </x:c>
      <x:c r="J1142" s="4" t="str">
        <x:v>https://blog.skyairline.com/tours-en-cancun/</x:v>
      </x:c>
      <x:c r="K1142" s="16" t="b">
        <x:v>0</x:v>
      </x:c>
      <x:c r="L1142" s="11" t="n">
        <x:v>0</x:v>
      </x:c>
      <x:c r="M1142" s="11" t="n">
        <x:v>3</x:v>
      </x:c>
      <x:c r="N1142" s="4"/>
      <x:c r="O1142" s="4"/>
      <x:c r="P1142" s="11" t="n">
        <x:v>0</x:v>
      </x:c>
      <x:c r="Q1142" s="11" t="n">
        <x:v>0</x:v>
      </x:c>
      <x:c r="R1142" s="11" t="str">
        <x:f>IF(OR(P1142="",Q1142=""),"",Q1142-P1142)</x:f>
      </x:c>
      <x:c r="S1142" s="13" t="str">
        <x:f>IF(OR(P1142="",Q1142="",P1142=0),"",((Q1142/30)/(P1142/31))-1)</x:f>
      </x:c>
      <x:c r="T1142" s="11" t="n">
        <x:v>18</x:v>
      </x:c>
      <x:c r="U1142" s="11" t="n">
        <x:v>34</x:v>
      </x:c>
      <x:c r="V1142" s="14" t="n">
        <x:v>0</x:v>
      </x:c>
      <x:c r="W1142" s="12" t="n">
        <x:v>17.323529411764707</x:v>
      </x:c>
      <x:c r="X1142" s="11"/>
      <x:c r="Y1142" s="11"/>
      <x:c r="Z1142" s="4" t="str">
        <x:v>https://blog.skyairline.com/tours-en-cancun/</x:v>
      </x:c>
      <x:c r="AA1142" s="4" t="str">
        <x:v>https://blog.skyairline.com/tours-en-cancun/</x:v>
      </x:c>
      <x:c r="AB1142" s="4" t="str">
        <x:v>Coincidencia URL</x:v>
      </x:c>
      <x:c r="AC1142" s="4" t="str">
        <x:v>Publicado hasta septiembre</x:v>
      </x:c>
      <x:c r="AD1142" s="4"/>
      <x:c r="AE1142" s="4"/>
      <x:c r="AF1142" s="16" t="b">
        <x:v>0</x:v>
      </x:c>
    </x:row>
    <x:row r="1143" ht="44" customHeight="1">
      <x:c r="A1143" s="4" t="n">
        <x:v>2308</x:v>
      </x:c>
      <x:c r="B1143" s="4" t="str">
        <x:v>https://blog.skyairline.com/mejores-playas-de-chile/</x:v>
      </x:c>
      <x:c r="C1143" s="9" t="str">
        <x:v>Cuáles son las mejores playas de Chile</x:v>
      </x:c>
      <x:c r="D1143" s="17" t="d">
        <x:v>2026-05-08T00:00:00.000Z</x:v>
      </x:c>
      <x:c r="E1143" s="17" t="d">
        <x:v>2026-05-05T00:00:00.000Z</x:v>
      </x:c>
      <x:c r="F1143" s="4" t="str">
        <x:v>Destinos</x:v>
      </x:c>
      <x:c r="G1143" s="11" t="n">
        <x:v>1089</x:v>
      </x:c>
      <x:c r="H1143" s="11" t="n">
        <x:v>200</x:v>
      </x:c>
      <x:c r="I1143" s="11" t="n">
        <x:v>1</x:v>
      </x:c>
      <x:c r="J1143" s="4" t="str">
        <x:v>https://blog.skyairline.com/mejores-playas-de-chile/</x:v>
      </x:c>
      <x:c r="K1143" s="16" t="b">
        <x:v>0</x:v>
      </x:c>
      <x:c r="L1143" s="11" t="n">
        <x:v>0</x:v>
      </x:c>
      <x:c r="M1143" s="11" t="n">
        <x:v>0</x:v>
      </x:c>
      <x:c r="N1143" s="4"/>
      <x:c r="O1143" s="4"/>
      <x:c r="P1143" s="11" t="n">
        <x:v>2</x:v>
      </x:c>
      <x:c r="Q1143" s="11" t="n">
        <x:v>0</x:v>
      </x:c>
      <x:c r="R1143" s="11" t="str">
        <x:f>IF(OR(P1143="",Q1143=""),"",Q1143-P1143)</x:f>
      </x:c>
      <x:c r="S1143" s="13" t="str">
        <x:f>IF(OR(P1143="",Q1143="",P1143=0),"",((Q1143/30)/(P1143/31))-1)</x:f>
      </x:c>
      <x:c r="T1143" s="11" t="n">
        <x:v>198</x:v>
      </x:c>
      <x:c r="U1143" s="11" t="n">
        <x:v>103</x:v>
      </x:c>
      <x:c r="V1143" s="14" t="n">
        <x:v>0</x:v>
      </x:c>
      <x:c r="W1143" s="12" t="n">
        <x:v>40.89320388349515</x:v>
      </x:c>
      <x:c r="X1143" s="11" t="n">
        <x:v>1</x:v>
      </x:c>
      <x:c r="Y1143" s="11" t="n">
        <x:v>1</x:v>
      </x:c>
      <x:c r="Z1143" s="4" t="str">
        <x:v>https://blog.skyairline.com/mejores-playas-de-chile/</x:v>
      </x:c>
      <x:c r="AA1143" s="4" t="str">
        <x:v>https://blog.skyairline.com/mejores-playas-de-chile/</x:v>
      </x:c>
      <x:c r="AB1143" s="4" t="str">
        <x:v>Coincidencia URL</x:v>
      </x:c>
      <x:c r="AC1143" s="4" t="str">
        <x:v>Publicado hasta septiembre</x:v>
      </x:c>
      <x:c r="AD1143" s="4" t="str">
        <x:v>/mejores-playas-de-chile/</x:v>
      </x:c>
      <x:c r="AE1143" s="4"/>
      <x:c r="AF1143" s="16" t="b">
        <x:v>0</x:v>
      </x:c>
    </x:row>
    <x:row r="1144" ht="44" customHeight="1">
      <x:c r="A1144" s="4" t="n">
        <x:v>2320</x:v>
      </x:c>
      <x:c r="B1144" s="4" t="str">
        <x:v>https://blog.skyairline.com/sky-se-posiciona-como-la-aerolinea-low-cost-mas-puntual-del-continente/</x:v>
      </x:c>
      <x:c r="C1144" s="9" t="str">
        <x:v>SKY se posiciona como la aerolínea Low Cost más puntual del continente</x:v>
      </x:c>
      <x:c r="D1144" s="17" t="d">
        <x:v>2022-09-23T00:00:00.000Z</x:v>
      </x:c>
      <x:c r="E1144" s="17" t="d">
        <x:v>2022-09-23T00:00:00.000Z</x:v>
      </x:c>
      <x:c r="F1144" s="4" t="str">
        <x:v>Noticias</x:v>
      </x:c>
      <x:c r="G1144" s="11" t="n">
        <x:v>480</x:v>
      </x:c>
      <x:c r="H1144" s="11" t="n">
        <x:v>200</x:v>
      </x:c>
      <x:c r="I1144" s="11" t="n">
        <x:v>1</x:v>
      </x:c>
      <x:c r="J1144" s="4" t="str">
        <x:v>https://blog.skyairline.com/sky-se-posiciona-como-la-aerolinea-low-cost-mas-puntual-del-continente/</x:v>
      </x:c>
      <x:c r="K1144" s="16" t="b">
        <x:v>0</x:v>
      </x:c>
      <x:c r="L1144" s="11" t="n">
        <x:v>0</x:v>
      </x:c>
      <x:c r="M1144" s="11" t="n">
        <x:v>0</x:v>
      </x:c>
      <x:c r="N1144" s="4"/>
      <x:c r="O1144" s="4"/>
      <x:c r="P1144" s="11" t="n">
        <x:v>1</x:v>
      </x:c>
      <x:c r="Q1144" s="11" t="n">
        <x:v>0</x:v>
      </x:c>
      <x:c r="R1144" s="11" t="str">
        <x:f>IF(OR(P1144="",Q1144=""),"",Q1144-P1144)</x:f>
      </x:c>
      <x:c r="S1144" s="13" t="str">
        <x:f>IF(OR(P1144="",Q1144="",P1144=0),"",((Q1144/30)/(P1144/31))-1)</x:f>
      </x:c>
      <x:c r="T1144" s="11" t="n">
        <x:v>125</x:v>
      </x:c>
      <x:c r="U1144" s="11" t="n">
        <x:v>86</x:v>
      </x:c>
      <x:c r="V1144" s="14" t="n">
        <x:v>0</x:v>
      </x:c>
      <x:c r="W1144" s="12" t="n">
        <x:v>8.24418604651163</x:v>
      </x:c>
      <x:c r="X1144" s="11"/>
      <x:c r="Y1144" s="11"/>
      <x:c r="Z1144" s="4" t="str">
        <x:v>https://blog.skyairline.com/sky-se-posiciona-como-la-aerolinea-low-cost-mas-puntual-del-continente/</x:v>
      </x:c>
      <x:c r="AA1144" s="4" t="str">
        <x:v>https://blog.skyairline.com/sky-se-posiciona-como-la-aerolinea-low-cost-mas-puntual-del-continente/</x:v>
      </x:c>
      <x:c r="AB1144" s="4" t="str">
        <x:v>Coincidencia URL</x:v>
      </x:c>
      <x:c r="AC1144" s="4" t="str">
        <x:v>Publicado hasta septiembre</x:v>
      </x:c>
      <x:c r="AD1144" s="4"/>
      <x:c r="AE1144" s="4"/>
      <x:c r="AF1144" s="16" t="b">
        <x:v>0</x:v>
      </x:c>
    </x:row>
    <x:row r="1145" ht="44" customHeight="1">
      <x:c r="A1145" s="4" t="n">
        <x:v>2331</x:v>
      </x:c>
      <x:c r="B1145" s="4" t="str">
        <x:v>https://blog.skyairline.com/sky-es-reconocida-por-tercera-vez-como-la-mejor-low-cost-de-sudamerica-en-importante-ranking-de-aviacion-mundial/</x:v>
      </x:c>
      <x:c r="C1145" s="9" t="str">
        <x:v>SKY es reconocida por tercera vez como la mejor low cost de Sudamérica en importante ranking de aviación mundial</x:v>
      </x:c>
      <x:c r="D1145" s="17" t="d">
        <x:v>2022-09-26T00:00:00.000Z</x:v>
      </x:c>
      <x:c r="E1145" s="17" t="d">
        <x:v>2022-09-26T00:00:00.000Z</x:v>
      </x:c>
      <x:c r="F1145" s="4" t="str">
        <x:v>Noticias</x:v>
      </x:c>
      <x:c r="G1145" s="11" t="n">
        <x:v>439</x:v>
      </x:c>
      <x:c r="H1145" s="11" t="n">
        <x:v>200</x:v>
      </x:c>
      <x:c r="I1145" s="11" t="n">
        <x:v>1</x:v>
      </x:c>
      <x:c r="J1145" s="4" t="str">
        <x:v>https://blog.skyairline.com/sky-es-reconocida-por-tercera-vez-como-la-mejor-low-cost-de-sudamerica-en-importante-ranking-de-aviacion-mundial/</x:v>
      </x:c>
      <x:c r="K1145" s="16" t="b">
        <x:v>0</x:v>
      </x:c>
      <x:c r="L1145" s="11" t="n">
        <x:v>0</x:v>
      </x:c>
      <x:c r="M1145" s="11" t="n">
        <x:v>0</x:v>
      </x:c>
      <x:c r="N1145" s="4"/>
      <x:c r="O1145" s="4"/>
      <x:c r="P1145" s="11" t="n">
        <x:v>1</x:v>
      </x:c>
      <x:c r="Q1145" s="11" t="n">
        <x:v>0</x:v>
      </x:c>
      <x:c r="R1145" s="11" t="str">
        <x:f>IF(OR(P1145="",Q1145=""),"",Q1145-P1145)</x:f>
      </x:c>
      <x:c r="S1145" s="13" t="str">
        <x:f>IF(OR(P1145="",Q1145="",P1145=0),"",((Q1145/30)/(P1145/31))-1)</x:f>
      </x:c>
      <x:c r="T1145" s="11" t="n">
        <x:v>70</x:v>
      </x:c>
      <x:c r="U1145" s="11" t="n">
        <x:v>67</x:v>
      </x:c>
      <x:c r="V1145" s="14" t="n">
        <x:v>0</x:v>
      </x:c>
      <x:c r="W1145" s="12" t="n">
        <x:v>8.940298507462686</x:v>
      </x:c>
      <x:c r="X1145" s="11"/>
      <x:c r="Y1145" s="11"/>
      <x:c r="Z1145" s="4" t="str">
        <x:v>https://blog.skyairline.com/sky-es-reconocida-por-tercera-vez-como-la-mejor-low-cost-de-sudamerica-en-importante-ranking-de-aviacion-mundial/</x:v>
      </x:c>
      <x:c r="AA1145" s="4" t="str">
        <x:v>https://blog.skyairline.com/sky-es-reconocida-por-tercera-vez-como-la-mejor-low-cost-de-sudamerica-en-importante-ranking-de-aviacion-mundial/</x:v>
      </x:c>
      <x:c r="AB1145" s="4" t="str">
        <x:v>Coincidencia URL</x:v>
      </x:c>
      <x:c r="AC1145" s="4" t="str">
        <x:v>Publicado hasta septiembre</x:v>
      </x:c>
      <x:c r="AD1145" s="4"/>
      <x:c r="AE1145" s="4"/>
      <x:c r="AF1145" s="16" t="b">
        <x:v>0</x:v>
      </x:c>
    </x:row>
    <x:row r="1146" ht="44" customHeight="1">
      <x:c r="A1146" s="4" t="n">
        <x:v>2345</x:v>
      </x:c>
      <x:c r="B1146" s="4" t="str">
        <x:v>https://blog.skyairline.com/que-es-ecoturismo/</x:v>
      </x:c>
      <x:c r="C1146" s="9" t="str">
        <x:v>¿Qué es ecoturismo y qué actividades sostenibles puedes hacer?</x:v>
      </x:c>
      <x:c r="D1146" s="17" t="d">
        <x:v>2025-09-07T00:00:00.000Z</x:v>
      </x:c>
      <x:c r="E1146" s="17" t="d">
        <x:v>2026-01-12T00:00:00.000Z</x:v>
      </x:c>
      <x:c r="F1146" s="4" t="str">
        <x:v>Cultura</x:v>
      </x:c>
      <x:c r="G1146" s="11" t="n">
        <x:v>1204</x:v>
      </x:c>
      <x:c r="H1146" s="11" t="n">
        <x:v>200</x:v>
      </x:c>
      <x:c r="I1146" s="11" t="n">
        <x:v>1</x:v>
      </x:c>
      <x:c r="J1146" s="4" t="str">
        <x:v>https://blog.skyairline.com/que-es-ecoturismo/</x:v>
      </x:c>
      <x:c r="K1146" s="16" t="b">
        <x:v>0</x:v>
      </x:c>
      <x:c r="L1146" s="11" t="n">
        <x:v>0</x:v>
      </x:c>
      <x:c r="M1146" s="11" t="n">
        <x:v>0</x:v>
      </x:c>
      <x:c r="N1146" s="4"/>
      <x:c r="O1146" s="4"/>
      <x:c r="P1146" s="11" t="n">
        <x:v>0</x:v>
      </x:c>
      <x:c r="Q1146" s="11" t="n">
        <x:v>0</x:v>
      </x:c>
      <x:c r="R1146" s="11" t="str">
        <x:f>IF(OR(P1146="",Q1146=""),"",Q1146-P1146)</x:f>
      </x:c>
      <x:c r="S1146" s="13" t="str">
        <x:f>IF(OR(P1146="",Q1146="",P1146=0),"",((Q1146/30)/(P1146/31))-1)</x:f>
      </x:c>
      <x:c r="T1146" s="11" t="n">
        <x:v>1074</x:v>
      </x:c>
      <x:c r="U1146" s="11" t="n">
        <x:v>568</x:v>
      </x:c>
      <x:c r="V1146" s="14" t="n">
        <x:v>0</x:v>
      </x:c>
      <x:c r="W1146" s="12" t="n">
        <x:v>67.87323943661971</x:v>
      </x:c>
      <x:c r="X1146" s="11" t="n">
        <x:v>1</x:v>
      </x:c>
      <x:c r="Y1146" s="11" t="n">
        <x:v>1</x:v>
      </x:c>
      <x:c r="Z1146" s="4" t="str">
        <x:v>https://blog.skyairline.com/que-es-ecoturismo/</x:v>
      </x:c>
      <x:c r="AA1146" s="4" t="str">
        <x:v>https://blog.skyairline.com/que-es-ecoturismo/</x:v>
      </x:c>
      <x:c r="AB1146" s="4" t="str">
        <x:v>Coincidencia URL</x:v>
      </x:c>
      <x:c r="AC1146" s="4" t="str">
        <x:v>Publicado hasta septiembre</x:v>
      </x:c>
      <x:c r="AD1146" s="4" t="str">
        <x:v>/que-es-ecoturismo/</x:v>
      </x:c>
      <x:c r="AE1146" s="4"/>
      <x:c r="AF1146" s="16" t="b">
        <x:v>0</x:v>
      </x:c>
    </x:row>
    <x:row r="1147" ht="44" customHeight="1">
      <x:c r="A1147" s="4" t="n">
        <x:v>2354</x:v>
      </x:c>
      <x:c r="B1147" s="4" t="str">
        <x:v>https://blog.skyairline.com/hoteles-para-una-sola-persona/</x:v>
      </x:c>
      <x:c r="C1147" s="9" t="str">
        <x:v>Descubre 6 consejos para encontrar hoteles para una persona al mejor precio</x:v>
      </x:c>
      <x:c r="D1147" s="17" t="d">
        <x:v>2022-10-04T00:00:00.000Z</x:v>
      </x:c>
      <x:c r="E1147" s="17" t="d">
        <x:v>2022-10-04T00:00:00.000Z</x:v>
      </x:c>
      <x:c r="F1147" s="4" t="str">
        <x:v>Planificación de Viaje</x:v>
      </x:c>
      <x:c r="G1147" s="11" t="n">
        <x:v>1011</x:v>
      </x:c>
      <x:c r="H1147" s="11" t="n">
        <x:v>200</x:v>
      </x:c>
      <x:c r="I1147" s="11" t="n">
        <x:v>1</x:v>
      </x:c>
      <x:c r="J1147" s="4" t="str">
        <x:v>https://blog.skyairline.com/hoteles-para-una-sola-persona/</x:v>
      </x:c>
      <x:c r="K1147" s="16" t="b">
        <x:v>0</x:v>
      </x:c>
      <x:c r="L1147" s="11" t="n">
        <x:v>0</x:v>
      </x:c>
      <x:c r="M1147" s="11" t="n">
        <x:v>3</x:v>
      </x:c>
      <x:c r="N1147" s="4"/>
      <x:c r="O1147" s="4"/>
      <x:c r="P1147" s="11" t="n">
        <x:v>0</x:v>
      </x:c>
      <x:c r="Q1147" s="11" t="n">
        <x:v>0</x:v>
      </x:c>
      <x:c r="R1147" s="11" t="str">
        <x:f>IF(OR(P1147="",Q1147=""),"",Q1147-P1147)</x:f>
      </x:c>
      <x:c r="S1147" s="13" t="str">
        <x:f>IF(OR(P1147="",Q1147="",P1147=0),"",((Q1147/30)/(P1147/31))-1)</x:f>
      </x:c>
      <x:c r="T1147" s="11" t="n">
        <x:v>14</x:v>
      </x:c>
      <x:c r="U1147" s="11" t="n">
        <x:v>22</x:v>
      </x:c>
      <x:c r="V1147" s="14" t="n">
        <x:v>0</x:v>
      </x:c>
      <x:c r="W1147" s="12" t="n">
        <x:v>5.363636363636363</x:v>
      </x:c>
      <x:c r="X1147" s="11" t="n">
        <x:v>1</x:v>
      </x:c>
      <x:c r="Y1147" s="11" t="n">
        <x:v>1</x:v>
      </x:c>
      <x:c r="Z1147" s="4" t="str">
        <x:v>https://blog.skyairline.com/hoteles-para-una-sola-persona/</x:v>
      </x:c>
      <x:c r="AA1147" s="4" t="str">
        <x:v>https://blog.skyairline.com/hoteles-para-una-sola-persona/</x:v>
      </x:c>
      <x:c r="AB1147" s="4" t="str">
        <x:v>Coincidencia URL</x:v>
      </x:c>
      <x:c r="AC1147" s="4" t="str">
        <x:v>Publicado hasta septiembre</x:v>
      </x:c>
      <x:c r="AD1147" s="4" t="str">
        <x:v>/hoteles-para-una-sola-persona/</x:v>
      </x:c>
      <x:c r="AE1147" s="4"/>
      <x:c r="AF1147" s="16" t="b">
        <x:v>0</x:v>
      </x:c>
    </x:row>
    <x:row r="1148" ht="44" customHeight="1">
      <x:c r="A1148" s="4" t="n">
        <x:v>2357</x:v>
      </x:c>
      <x:c r="B1148" s="4" t="str">
        <x:v>https://blog.skyairline.com/islas-de-los-uros/</x:v>
      </x:c>
      <x:c r="C1148" s="9" t="str">
        <x:v>Islas de los Uros: Qué hacer en este paraíso peruano</x:v>
      </x:c>
      <x:c r="D1148" s="17" t="d">
        <x:v>2022-10-05T00:00:00.000Z</x:v>
      </x:c>
      <x:c r="E1148" s="17" t="d">
        <x:v>2022-10-05T00:00:00.000Z</x:v>
      </x:c>
      <x:c r="F1148" s="4" t="str">
        <x:v>Destinos</x:v>
      </x:c>
      <x:c r="G1148" s="11" t="n">
        <x:v>998</x:v>
      </x:c>
      <x:c r="H1148" s="11" t="n">
        <x:v>200</x:v>
      </x:c>
      <x:c r="I1148" s="11" t="n">
        <x:v>1</x:v>
      </x:c>
      <x:c r="J1148" s="4" t="str">
        <x:v>https://blog.skyairline.com/islas-de-los-uros/</x:v>
      </x:c>
      <x:c r="K1148" s="16" t="b">
        <x:v>0</x:v>
      </x:c>
      <x:c r="L1148" s="11" t="n">
        <x:v>0</x:v>
      </x:c>
      <x:c r="M1148" s="11" t="n">
        <x:v>3</x:v>
      </x:c>
      <x:c r="N1148" s="4"/>
      <x:c r="O1148" s="4"/>
      <x:c r="P1148" s="11" t="n">
        <x:v>0</x:v>
      </x:c>
      <x:c r="Q1148" s="11" t="n">
        <x:v>0</x:v>
      </x:c>
      <x:c r="R1148" s="11" t="str">
        <x:f>IF(OR(P1148="",Q1148=""),"",Q1148-P1148)</x:f>
      </x:c>
      <x:c r="S1148" s="13" t="str">
        <x:f>IF(OR(P1148="",Q1148="",P1148=0),"",((Q1148/30)/(P1148/31))-1)</x:f>
      </x:c>
      <x:c r="T1148" s="11" t="n">
        <x:v>62</x:v>
      </x:c>
      <x:c r="U1148" s="11" t="n">
        <x:v>64</x:v>
      </x:c>
      <x:c r="V1148" s="14" t="n">
        <x:v>0</x:v>
      </x:c>
      <x:c r="W1148" s="12" t="n">
        <x:v>38.140625</x:v>
      </x:c>
      <x:c r="X1148" s="11" t="n">
        <x:v>1</x:v>
      </x:c>
      <x:c r="Y1148" s="11" t="n">
        <x:v>1</x:v>
      </x:c>
      <x:c r="Z1148" s="4" t="str">
        <x:v>https://blog.skyairline.com/islas-de-los-uros/</x:v>
      </x:c>
      <x:c r="AA1148" s="4" t="str">
        <x:v>https://blog.skyairline.com/islas-de-los-uros/</x:v>
      </x:c>
      <x:c r="AB1148" s="4" t="str">
        <x:v>Coincidencia URL</x:v>
      </x:c>
      <x:c r="AC1148" s="4" t="str">
        <x:v>Publicado hasta septiembre</x:v>
      </x:c>
      <x:c r="AD1148" s="4" t="str">
        <x:v>/islas-de-los-uros/</x:v>
      </x:c>
      <x:c r="AE1148" s="4"/>
      <x:c r="AF1148" s="16" t="b">
        <x:v>0</x:v>
      </x:c>
    </x:row>
    <x:row r="1149" ht="44" customHeight="1">
      <x:c r="A1149" s="4" t="n">
        <x:v>2373</x:v>
      </x:c>
      <x:c r="B1149" s="4" t="str">
        <x:v>https://blog.skyairline.com/viajar-a-miami/</x:v>
      </x:c>
      <x:c r="C1149" s="9" t="str">
        <x:v>¿Cuándo viajar a Miami? ¡Descubre la época perfecta para ti!</x:v>
      </x:c>
      <x:c r="D1149" s="17" t="d">
        <x:v>2022-10-10T00:00:00.000Z</x:v>
      </x:c>
      <x:c r="E1149" s="17" t="d">
        <x:v>2022-10-10T00:00:00.000Z</x:v>
      </x:c>
      <x:c r="F1149" s="4" t="str">
        <x:v>Destinos</x:v>
      </x:c>
      <x:c r="G1149" s="11" t="n">
        <x:v>1068</x:v>
      </x:c>
      <x:c r="H1149" s="11" t="n">
        <x:v>200</x:v>
      </x:c>
      <x:c r="I1149" s="11" t="n">
        <x:v>1</x:v>
      </x:c>
      <x:c r="J1149" s="4" t="str">
        <x:v>https://blog.skyairline.com/viajar-a-miami/</x:v>
      </x:c>
      <x:c r="K1149" s="16" t="b">
        <x:v>0</x:v>
      </x:c>
      <x:c r="L1149" s="11" t="n">
        <x:v>0</x:v>
      </x:c>
      <x:c r="M1149" s="11" t="n">
        <x:v>3</x:v>
      </x:c>
      <x:c r="N1149" s="4"/>
      <x:c r="O1149" s="4"/>
      <x:c r="P1149" s="11" t="n">
        <x:v>0</x:v>
      </x:c>
      <x:c r="Q1149" s="11" t="n">
        <x:v>0</x:v>
      </x:c>
      <x:c r="R1149" s="11" t="str">
        <x:f>IF(OR(P1149="",Q1149=""),"",Q1149-P1149)</x:f>
      </x:c>
      <x:c r="S1149" s="13" t="str">
        <x:f>IF(OR(P1149="",Q1149="",P1149=0),"",((Q1149/30)/(P1149/31))-1)</x:f>
      </x:c>
      <x:c r="T1149" s="11" t="n">
        <x:v>360</x:v>
      </x:c>
      <x:c r="U1149" s="11" t="n">
        <x:v>172</x:v>
      </x:c>
      <x:c r="V1149" s="14" t="n">
        <x:v>0</x:v>
      </x:c>
      <x:c r="W1149" s="12" t="n">
        <x:v>27.424418604651162</x:v>
      </x:c>
      <x:c r="X1149" s="11"/>
      <x:c r="Y1149" s="11"/>
      <x:c r="Z1149" s="4" t="str">
        <x:v>https://blog.skyairline.com/viajar-a-miami/</x:v>
      </x:c>
      <x:c r="AA1149" s="4" t="str">
        <x:v>https://blog.skyairline.com/viajar-a-miami/</x:v>
      </x:c>
      <x:c r="AB1149" s="4" t="str">
        <x:v>Coincidencia URL</x:v>
      </x:c>
      <x:c r="AC1149" s="4" t="str">
        <x:v>Publicado hasta septiembre</x:v>
      </x:c>
      <x:c r="AD1149" s="4"/>
      <x:c r="AE1149" s="4"/>
      <x:c r="AF1149" s="16" t="b">
        <x:v>0</x:v>
      </x:c>
    </x:row>
    <x:row r="1150" ht="44" customHeight="1">
      <x:c r="A1150" s="4" t="n">
        <x:v>2376</x:v>
      </x:c>
      <x:c r="B1150" s="4" t="str">
        <x:v>https://blog.skyairline.com/mejor-playa-en-la-rivieramaya/</x:v>
      </x:c>
      <x:c r="C1150" s="9" t="str">
        <x:v>¿Plan de playa en Riviera Maya? Te mostramos las mejores que puedes visitar</x:v>
      </x:c>
      <x:c r="D1150" s="17" t="d">
        <x:v>2024-06-11T00:00:00.000Z</x:v>
      </x:c>
      <x:c r="E1150" s="17" t="d">
        <x:v>2024-06-11T00:00:00.000Z</x:v>
      </x:c>
      <x:c r="F1150" s="4" t="str">
        <x:v>Cancún, Destinos</x:v>
      </x:c>
      <x:c r="G1150" s="11" t="n">
        <x:v>1166</x:v>
      </x:c>
      <x:c r="H1150" s="11" t="n">
        <x:v>200</x:v>
      </x:c>
      <x:c r="I1150" s="11" t="n">
        <x:v>1</x:v>
      </x:c>
      <x:c r="J1150" s="4" t="str">
        <x:v>https://blog.skyairline.com/mejor-playa-en-la-rivieramaya/</x:v>
      </x:c>
      <x:c r="K1150" s="16" t="b">
        <x:v>0</x:v>
      </x:c>
      <x:c r="L1150" s="11" t="n">
        <x:v>0</x:v>
      </x:c>
      <x:c r="M1150" s="11" t="n">
        <x:v>3</x:v>
      </x:c>
      <x:c r="N1150" s="4"/>
      <x:c r="O1150" s="4"/>
      <x:c r="P1150" s="11" t="n">
        <x:v>2</x:v>
      </x:c>
      <x:c r="Q1150" s="11" t="n">
        <x:v>0</x:v>
      </x:c>
      <x:c r="R1150" s="11" t="str">
        <x:f>IF(OR(P1150="",Q1150=""),"",Q1150-P1150)</x:f>
      </x:c>
      <x:c r="S1150" s="13" t="str">
        <x:f>IF(OR(P1150="",Q1150="",P1150=0),"",((Q1150/30)/(P1150/31))-1)</x:f>
      </x:c>
      <x:c r="T1150" s="11" t="n">
        <x:v>88</x:v>
      </x:c>
      <x:c r="U1150" s="11" t="n">
        <x:v>87</x:v>
      </x:c>
      <x:c r="V1150" s="14" t="n">
        <x:v>0</x:v>
      </x:c>
      <x:c r="W1150" s="12" t="n">
        <x:v>46.11494252873563</x:v>
      </x:c>
      <x:c r="X1150" s="11"/>
      <x:c r="Y1150" s="11"/>
      <x:c r="Z1150" s="4" t="str">
        <x:v>https://blog.skyairline.com/mejor-playa-en-la-rivieramaya/</x:v>
      </x:c>
      <x:c r="AA1150" s="4" t="str">
        <x:v>https://blog.skyairline.com/mejor-playa-en-la-rivieramaya/</x:v>
      </x:c>
      <x:c r="AB1150" s="4" t="str">
        <x:v>Coincidencia URL</x:v>
      </x:c>
      <x:c r="AC1150" s="4" t="str">
        <x:v>Publicado hasta septiembre</x:v>
      </x:c>
      <x:c r="AD1150" s="4"/>
      <x:c r="AE1150" s="4"/>
      <x:c r="AF1150" s="16" t="b">
        <x:v>0</x:v>
      </x:c>
    </x:row>
    <x:row r="1151" ht="44" customHeight="1">
      <x:c r="A1151" s="4" t="n">
        <x:v>2388</x:v>
      </x:c>
      <x:c r="B1151" s="4" t="str">
        <x:v>https://blog.skyairline.com/curiosidades-de-chile-2/</x:v>
      </x:c>
      <x:c r="C1151" s="9" t="str">
        <x:v>10 curiosidades de Chile: ¡A ver cuántas te sabes!</x:v>
      </x:c>
      <x:c r="D1151" s="17" t="d">
        <x:v>2022-10-15T00:00:00.000Z</x:v>
      </x:c>
      <x:c r="E1151" s="17" t="d">
        <x:v>2022-10-15T00:00:00.000Z</x:v>
      </x:c>
      <x:c r="F1151" s="4" t="str">
        <x:v>Destinos</x:v>
      </x:c>
      <x:c r="G1151" s="11" t="n">
        <x:v>1143</x:v>
      </x:c>
      <x:c r="H1151" s="11" t="n">
        <x:v>200</x:v>
      </x:c>
      <x:c r="I1151" s="11" t="n">
        <x:v>1</x:v>
      </x:c>
      <x:c r="J1151" s="4" t="str">
        <x:v>https://blog.skyairline.com/curiosidades-de-chile-2/</x:v>
      </x:c>
      <x:c r="K1151" s="16" t="b">
        <x:v>0</x:v>
      </x:c>
      <x:c r="L1151" s="11" t="n">
        <x:v>0</x:v>
      </x:c>
      <x:c r="M1151" s="11" t="n">
        <x:v>3</x:v>
      </x:c>
      <x:c r="N1151" s="4"/>
      <x:c r="O1151" s="4"/>
      <x:c r="P1151" s="11" t="n">
        <x:v>1</x:v>
      </x:c>
      <x:c r="Q1151" s="11" t="n">
        <x:v>0</x:v>
      </x:c>
      <x:c r="R1151" s="11" t="str">
        <x:f>IF(OR(P1151="",Q1151=""),"",Q1151-P1151)</x:f>
      </x:c>
      <x:c r="S1151" s="13" t="str">
        <x:f>IF(OR(P1151="",Q1151="",P1151=0),"",((Q1151/30)/(P1151/31))-1)</x:f>
      </x:c>
      <x:c r="T1151" s="11" t="n">
        <x:v>89</x:v>
      </x:c>
      <x:c r="U1151" s="11" t="n">
        <x:v>25</x:v>
      </x:c>
      <x:c r="V1151" s="14" t="n">
        <x:v>0</x:v>
      </x:c>
      <x:c r="W1151" s="12" t="n">
        <x:v>51.44</x:v>
      </x:c>
      <x:c r="X1151" s="11"/>
      <x:c r="Y1151" s="11"/>
      <x:c r="Z1151" s="4" t="str">
        <x:v>https://blog.skyairline.com/curiosidades-de-chile-2/</x:v>
      </x:c>
      <x:c r="AA1151" s="4" t="str">
        <x:v>https://blog.skyairline.com/curiosidades-de-chile-2/</x:v>
      </x:c>
      <x:c r="AB1151" s="4" t="str">
        <x:v>Coincidencia URL</x:v>
      </x:c>
      <x:c r="AC1151" s="4" t="str">
        <x:v>Publicado hasta septiembre</x:v>
      </x:c>
      <x:c r="AD1151" s="4"/>
      <x:c r="AE1151" s="4"/>
      <x:c r="AF1151" s="16" t="b">
        <x:v>0</x:v>
      </x:c>
    </x:row>
    <x:row r="1152" ht="44" customHeight="1">
      <x:c r="A1152" s="4" t="n">
        <x:v>2394</x:v>
      </x:c>
      <x:c r="B1152" s="4" t="str">
        <x:v>https://blog.skyairline.com/mejor-vida-nocturna/</x:v>
      </x:c>
      <x:c r="C1152" s="9" t="str">
        <x:v>4 ciudades en América Latina con mejor vida nocturna: ¡A disfrutar!</x:v>
      </x:c>
      <x:c r="D1152" s="17" t="d">
        <x:v>2022-10-17T00:00:00.000Z</x:v>
      </x:c>
      <x:c r="E1152" s="17" t="d">
        <x:v>2022-10-17T00:00:00.000Z</x:v>
      </x:c>
      <x:c r="F1152" s="4" t="str">
        <x:v>Destinos</x:v>
      </x:c>
      <x:c r="G1152" s="11" t="n">
        <x:v>1031</x:v>
      </x:c>
      <x:c r="H1152" s="11" t="n">
        <x:v>200</x:v>
      </x:c>
      <x:c r="I1152" s="11" t="n">
        <x:v>1</x:v>
      </x:c>
      <x:c r="J1152" s="4" t="str">
        <x:v>https://blog.skyairline.com/mejor-vida-nocturna/</x:v>
      </x:c>
      <x:c r="K1152" s="16" t="b">
        <x:v>0</x:v>
      </x:c>
      <x:c r="L1152" s="11" t="n">
        <x:v>0</x:v>
      </x:c>
      <x:c r="M1152" s="11" t="n">
        <x:v>3</x:v>
      </x:c>
      <x:c r="N1152" s="4"/>
      <x:c r="O1152" s="4"/>
      <x:c r="P1152" s="11" t="n">
        <x:v>0</x:v>
      </x:c>
      <x:c r="Q1152" s="11" t="n">
        <x:v>0</x:v>
      </x:c>
      <x:c r="R1152" s="11" t="str">
        <x:f>IF(OR(P1152="",Q1152=""),"",Q1152-P1152)</x:f>
      </x:c>
      <x:c r="S1152" s="13" t="str">
        <x:f>IF(OR(P1152="",Q1152="",P1152=0),"",((Q1152/30)/(P1152/31))-1)</x:f>
      </x:c>
      <x:c r="T1152" s="11" t="n">
        <x:v>175</x:v>
      </x:c>
      <x:c r="U1152" s="11" t="n">
        <x:v>156</x:v>
      </x:c>
      <x:c r="V1152" s="14" t="n">
        <x:v>0</x:v>
      </x:c>
      <x:c r="W1152" s="12" t="n">
        <x:v>7.583333333333333</x:v>
      </x:c>
      <x:c r="X1152" s="11" t="n">
        <x:v>1</x:v>
      </x:c>
      <x:c r="Y1152" s="11" t="n">
        <x:v>1</x:v>
      </x:c>
      <x:c r="Z1152" s="4" t="str">
        <x:v>https://blog.skyairline.com/mejor-vida-nocturna/</x:v>
      </x:c>
      <x:c r="AA1152" s="4" t="str">
        <x:v>https://blog.skyairline.com/mejor-vida-nocturna/</x:v>
      </x:c>
      <x:c r="AB1152" s="4" t="str">
        <x:v>Coincidencia URL</x:v>
      </x:c>
      <x:c r="AC1152" s="4" t="str">
        <x:v>Publicado hasta septiembre</x:v>
      </x:c>
      <x:c r="AD1152" s="4" t="str">
        <x:v>/mejor-vida-nocturna/</x:v>
      </x:c>
      <x:c r="AE1152" s="4"/>
      <x:c r="AF1152" s="16" t="b">
        <x:v>0</x:v>
      </x:c>
    </x:row>
    <x:row r="1153" ht="44" customHeight="1">
      <x:c r="A1153" s="4" t="n">
        <x:v>2397</x:v>
      </x:c>
      <x:c r="B1153" s="4" t="str">
        <x:v>https://blog.skyairline.com/navidad-en-chile/</x:v>
      </x:c>
      <x:c r="C1153" s="9" t="str">
        <x:v>¿Cómo se celebra la Navidad?  ¡Acá te contamos las principales tradiciones!</x:v>
      </x:c>
      <x:c r="D1153" s="17" t="d">
        <x:v>2022-10-18T00:00:00.000Z</x:v>
      </x:c>
      <x:c r="E1153" s="17" t="d">
        <x:v>2022-10-18T00:00:00.000Z</x:v>
      </x:c>
      <x:c r="F1153" s="4" t="str">
        <x:v>Cultura</x:v>
      </x:c>
      <x:c r="G1153" s="11" t="n">
        <x:v>1017</x:v>
      </x:c>
      <x:c r="H1153" s="11" t="n">
        <x:v>200</x:v>
      </x:c>
      <x:c r="I1153" s="11" t="n">
        <x:v>1</x:v>
      </x:c>
      <x:c r="J1153" s="4" t="str">
        <x:v>https://blog.skyairline.com/navidad-en-chile/</x:v>
      </x:c>
      <x:c r="K1153" s="16" t="b">
        <x:v>0</x:v>
      </x:c>
      <x:c r="L1153" s="11" t="n">
        <x:v>0</x:v>
      </x:c>
      <x:c r="M1153" s="11" t="n">
        <x:v>3</x:v>
      </x:c>
      <x:c r="N1153" s="4"/>
      <x:c r="O1153" s="4"/>
      <x:c r="P1153" s="11" t="n">
        <x:v>0</x:v>
      </x:c>
      <x:c r="Q1153" s="11" t="n">
        <x:v>0</x:v>
      </x:c>
      <x:c r="R1153" s="11" t="str">
        <x:f>IF(OR(P1153="",Q1153=""),"",Q1153-P1153)</x:f>
      </x:c>
      <x:c r="S1153" s="13" t="str">
        <x:f>IF(OR(P1153="",Q1153="",P1153=0),"",((Q1153/30)/(P1153/31))-1)</x:f>
      </x:c>
      <x:c r="T1153" s="11" t="n">
        <x:v>102</x:v>
      </x:c>
      <x:c r="U1153" s="11" t="n">
        <x:v>124</x:v>
      </x:c>
      <x:c r="V1153" s="14" t="n">
        <x:v>0</x:v>
      </x:c>
      <x:c r="W1153" s="12" t="n">
        <x:v>23.95967741935484</x:v>
      </x:c>
      <x:c r="X1153" s="11"/>
      <x:c r="Y1153" s="11"/>
      <x:c r="Z1153" s="4" t="str">
        <x:v>https://blog.skyairline.com/navidad-en-chile/</x:v>
      </x:c>
      <x:c r="AA1153" s="4" t="str">
        <x:v>https://blog.skyairline.com/navidad-en-chile/</x:v>
      </x:c>
      <x:c r="AB1153" s="4" t="str">
        <x:v>Coincidencia URL</x:v>
      </x:c>
      <x:c r="AC1153" s="4" t="str">
        <x:v>Publicado hasta septiembre</x:v>
      </x:c>
      <x:c r="AD1153" s="4"/>
      <x:c r="AE1153" s="4"/>
      <x:c r="AF1153" s="16" t="b">
        <x:v>0</x:v>
      </x:c>
    </x:row>
    <x:row r="1154" ht="44" customHeight="1">
      <x:c r="A1154" s="4" t="n">
        <x:v>2418</x:v>
      </x:c>
      <x:c r="B1154" s="4" t="str">
        <x:v>https://blog.skyairline.com/sky-es-reconocida-por-tercera-vez-en-el-ano-como-la-aerolinea-mas-puntual-de-latinoamerica/</x:v>
      </x:c>
      <x:c r="C1154" s="9" t="str">
        <x:v>SKY es reconocida por tercera vez en el año como la aerolínea más puntual de Latinoamérica</x:v>
      </x:c>
      <x:c r="D1154" s="17" t="d">
        <x:v>2022-10-21T00:00:00.000Z</x:v>
      </x:c>
      <x:c r="E1154" s="17" t="d">
        <x:v>2022-10-21T00:00:00.000Z</x:v>
      </x:c>
      <x:c r="F1154" s="4" t="str">
        <x:v>Noticias</x:v>
      </x:c>
      <x:c r="G1154" s="11" t="n">
        <x:v>488</x:v>
      </x:c>
      <x:c r="H1154" s="11" t="n">
        <x:v>200</x:v>
      </x:c>
      <x:c r="I1154" s="11" t="n">
        <x:v>1</x:v>
      </x:c>
      <x:c r="J1154" s="4" t="str">
        <x:v>https://blog.skyairline.com/sky-es-reconocida-por-tercera-vez-en-el-ano-como-la-aerolinea-mas-puntual-de-latinoamerica/</x:v>
      </x:c>
      <x:c r="K1154" s="16" t="b">
        <x:v>0</x:v>
      </x:c>
      <x:c r="L1154" s="11" t="n">
        <x:v>0</x:v>
      </x:c>
      <x:c r="M1154" s="11" t="n">
        <x:v>0</x:v>
      </x:c>
      <x:c r="N1154" s="4"/>
      <x:c r="O1154" s="4"/>
      <x:c r="P1154" s="11" t="n">
        <x:v>0</x:v>
      </x:c>
      <x:c r="Q1154" s="11" t="n">
        <x:v>0</x:v>
      </x:c>
      <x:c r="R1154" s="11" t="str">
        <x:f>IF(OR(P1154="",Q1154=""),"",Q1154-P1154)</x:f>
      </x:c>
      <x:c r="S1154" s="13" t="str">
        <x:f>IF(OR(P1154="",Q1154="",P1154=0),"",((Q1154/30)/(P1154/31))-1)</x:f>
      </x:c>
      <x:c r="T1154" s="11" t="n">
        <x:v>53</x:v>
      </x:c>
      <x:c r="U1154" s="11" t="n">
        <x:v>56</x:v>
      </x:c>
      <x:c r="V1154" s="14" t="n">
        <x:v>0</x:v>
      </x:c>
      <x:c r="W1154" s="12" t="n">
        <x:v>7.982142857142857</x:v>
      </x:c>
      <x:c r="X1154" s="11" t="n">
        <x:v>1</x:v>
      </x:c>
      <x:c r="Y1154" s="11" t="n">
        <x:v>1</x:v>
      </x:c>
      <x:c r="Z1154" s="4" t="str">
        <x:v>https://blog.skyairline.com/sky-es-reconocida-por-tercera-vez-en-el-ano-como-la-aerolinea-mas-puntual-de-latinoamerica/</x:v>
      </x:c>
      <x:c r="AA1154" s="4" t="str">
        <x:v>https://blog.skyairline.com/sky-es-reconocida-por-tercera-vez-en-el-ano-como-la-aerolinea-mas-puntual-de-latinoamerica/</x:v>
      </x:c>
      <x:c r="AB1154" s="4" t="str">
        <x:v>Coincidencia URL</x:v>
      </x:c>
      <x:c r="AC1154" s="4" t="str">
        <x:v>Publicado hasta septiembre</x:v>
      </x:c>
      <x:c r="AD1154" s="4" t="str">
        <x:v>/sky-es-reconocida-por-tercera-vez-en-el-ano-como-la-aerolinea-mas-puntual-de-latinoamerica/</x:v>
      </x:c>
      <x:c r="AE1154" s="4"/>
      <x:c r="AF1154" s="16" t="b">
        <x:v>0</x:v>
      </x:c>
    </x:row>
    <x:row r="1155" ht="44" customHeight="1">
      <x:c r="A1155" s="4" t="n">
        <x:v>2427</x:v>
      </x:c>
      <x:c r="B1155" s="4" t="str">
        <x:v>https://blog.skyairline.com/cementerio-de-recoleta/</x:v>
      </x:c>
      <x:c r="C1155" s="9" t="str">
        <x:v>Cementerio de Recoleta: ¿Por qué es un atractivo turístico impresionante?</x:v>
      </x:c>
      <x:c r="D1155" s="17" t="d">
        <x:v>2022-10-25T00:00:00.000Z</x:v>
      </x:c>
      <x:c r="E1155" s="17" t="d">
        <x:v>2022-10-25T00:00:00.000Z</x:v>
      </x:c>
      <x:c r="F1155" s="4" t="str">
        <x:v>Destinos</x:v>
      </x:c>
      <x:c r="G1155" s="11" t="n">
        <x:v>1163</x:v>
      </x:c>
      <x:c r="H1155" s="11" t="n">
        <x:v>200</x:v>
      </x:c>
      <x:c r="I1155" s="11" t="n">
        <x:v>1</x:v>
      </x:c>
      <x:c r="J1155" s="4" t="str">
        <x:v>https://blog.skyairline.com/cementerio-de-recoleta/</x:v>
      </x:c>
      <x:c r="K1155" s="16" t="b">
        <x:v>0</x:v>
      </x:c>
      <x:c r="L1155" s="11" t="n">
        <x:v>0</x:v>
      </x:c>
      <x:c r="M1155" s="11" t="n">
        <x:v>3</x:v>
      </x:c>
      <x:c r="N1155" s="4"/>
      <x:c r="O1155" s="4"/>
      <x:c r="P1155" s="11" t="n">
        <x:v>0</x:v>
      </x:c>
      <x:c r="Q1155" s="11" t="n">
        <x:v>0</x:v>
      </x:c>
      <x:c r="R1155" s="11" t="str">
        <x:f>IF(OR(P1155="",Q1155=""),"",Q1155-P1155)</x:f>
      </x:c>
      <x:c r="S1155" s="13" t="str">
        <x:f>IF(OR(P1155="",Q1155="",P1155=0),"",((Q1155/30)/(P1155/31))-1)</x:f>
      </x:c>
      <x:c r="T1155" s="11" t="n">
        <x:v>154</x:v>
      </x:c>
      <x:c r="U1155" s="11" t="n">
        <x:v>159</x:v>
      </x:c>
      <x:c r="V1155" s="14" t="n">
        <x:v>0</x:v>
      </x:c>
      <x:c r="W1155" s="12" t="n">
        <x:v>47.42138364779874</x:v>
      </x:c>
      <x:c r="X1155" s="11"/>
      <x:c r="Y1155" s="11"/>
      <x:c r="Z1155" s="4" t="str">
        <x:v>https://blog.skyairline.com/cementerio-de-recoleta/</x:v>
      </x:c>
      <x:c r="AA1155" s="4" t="str">
        <x:v>https://blog.skyairline.com/cementerio-de-recoleta/</x:v>
      </x:c>
      <x:c r="AB1155" s="4" t="str">
        <x:v>Coincidencia URL</x:v>
      </x:c>
      <x:c r="AC1155" s="4" t="str">
        <x:v>Publicado hasta septiembre</x:v>
      </x:c>
      <x:c r="AD1155" s="4"/>
      <x:c r="AE1155" s="4"/>
      <x:c r="AF1155" s="16" t="b">
        <x:v>0</x:v>
      </x:c>
    </x:row>
    <x:row r="1156" ht="44" customHeight="1">
      <x:c r="A1156" s="4" t="n">
        <x:v>2430</x:v>
      </x:c>
      <x:c r="B1156" s="4" t="str">
        <x:v>https://blog.skyairline.com/cenas-navidenas-chilenas/</x:v>
      </x:c>
      <x:c r="C1156" s="9" t="str">
        <x:v>¿Cuáles son los platos típicos de las cenas navideñas chilenas? ¡Conócelos aquí!</x:v>
      </x:c>
      <x:c r="D1156" s="17" t="d">
        <x:v>2022-10-26T00:00:00.000Z</x:v>
      </x:c>
      <x:c r="E1156" s="17" t="d">
        <x:v>2022-10-26T00:00:00.000Z</x:v>
      </x:c>
      <x:c r="F1156" s="4" t="str">
        <x:v>Cultura</x:v>
      </x:c>
      <x:c r="G1156" s="11" t="n">
        <x:v>965</x:v>
      </x:c>
      <x:c r="H1156" s="11" t="n">
        <x:v>200</x:v>
      </x:c>
      <x:c r="I1156" s="11" t="n">
        <x:v>1</x:v>
      </x:c>
      <x:c r="J1156" s="4" t="str">
        <x:v>https://blog.skyairline.com/cenas-navidenas-chilenas/</x:v>
      </x:c>
      <x:c r="K1156" s="16" t="b">
        <x:v>0</x:v>
      </x:c>
      <x:c r="L1156" s="11" t="n">
        <x:v>0</x:v>
      </x:c>
      <x:c r="M1156" s="11" t="n">
        <x:v>3</x:v>
      </x:c>
      <x:c r="N1156" s="4"/>
      <x:c r="O1156" s="4"/>
      <x:c r="P1156" s="11" t="n">
        <x:v>0</x:v>
      </x:c>
      <x:c r="Q1156" s="11" t="n">
        <x:v>0</x:v>
      </x:c>
      <x:c r="R1156" s="11" t="str">
        <x:f>IF(OR(P1156="",Q1156=""),"",Q1156-P1156)</x:f>
      </x:c>
      <x:c r="S1156" s="13" t="str">
        <x:f>IF(OR(P1156="",Q1156="",P1156=0),"",((Q1156/30)/(P1156/31))-1)</x:f>
      </x:c>
      <x:c r="T1156" s="11" t="n">
        <x:v>684</x:v>
      </x:c>
      <x:c r="U1156" s="11" t="n">
        <x:v>678</x:v>
      </x:c>
      <x:c r="V1156" s="14" t="n">
        <x:v>0</x:v>
      </x:c>
      <x:c r="W1156" s="12" t="n">
        <x:v>9.845132743362832</x:v>
      </x:c>
      <x:c r="X1156" s="11"/>
      <x:c r="Y1156" s="11"/>
      <x:c r="Z1156" s="4" t="str">
        <x:v>https://blog.skyairline.com/cenas-navidenas-chilenas/</x:v>
      </x:c>
      <x:c r="AA1156" s="4" t="str">
        <x:v>https://blog.skyairline.com/cenas-navidenas-chilenas/</x:v>
      </x:c>
      <x:c r="AB1156" s="4" t="str">
        <x:v>Coincidencia URL</x:v>
      </x:c>
      <x:c r="AC1156" s="4" t="str">
        <x:v>Publicado hasta septiembre</x:v>
      </x:c>
      <x:c r="AD1156" s="4"/>
      <x:c r="AE1156" s="4"/>
      <x:c r="AF1156" s="16" t="b">
        <x:v>0</x:v>
      </x:c>
    </x:row>
    <x:row r="1157" ht="44" customHeight="1">
      <x:c r="A1157" s="4" t="n">
        <x:v>2433</x:v>
      </x:c>
      <x:c r="B1157" s="4" t="str">
        <x:v>https://blog.skyairline.com/cosas-para-hacer-con-poco-presupuesto/</x:v>
      </x:c>
      <x:c r="C1157" s="9" t="str">
        <x:v>Río de Janeiro : cosas para hacer con poco presupuesto ¡Aquí hay 6 actividades divertidas!</x:v>
      </x:c>
      <x:c r="D1157" s="17" t="d">
        <x:v>2022-10-28T00:00:00.000Z</x:v>
      </x:c>
      <x:c r="E1157" s="17" t="d">
        <x:v>2022-10-28T00:00:00.000Z</x:v>
      </x:c>
      <x:c r="F1157" s="4" t="str">
        <x:v>Destinos</x:v>
      </x:c>
      <x:c r="G1157" s="11" t="n">
        <x:v>1027</x:v>
      </x:c>
      <x:c r="H1157" s="11" t="n">
        <x:v>200</x:v>
      </x:c>
      <x:c r="I1157" s="11" t="n">
        <x:v>1</x:v>
      </x:c>
      <x:c r="J1157" s="4" t="str">
        <x:v>https://blog.skyairline.com/cosas-para-hacer-con-poco-presupuesto/</x:v>
      </x:c>
      <x:c r="K1157" s="16" t="b">
        <x:v>0</x:v>
      </x:c>
      <x:c r="L1157" s="11" t="n">
        <x:v>0</x:v>
      </x:c>
      <x:c r="M1157" s="11" t="n">
        <x:v>3</x:v>
      </x:c>
      <x:c r="N1157" s="4"/>
      <x:c r="O1157" s="4"/>
      <x:c r="P1157" s="11" t="n">
        <x:v>0</x:v>
      </x:c>
      <x:c r="Q1157" s="11" t="n">
        <x:v>0</x:v>
      </x:c>
      <x:c r="R1157" s="11" t="str">
        <x:f>IF(OR(P1157="",Q1157=""),"",Q1157-P1157)</x:f>
      </x:c>
      <x:c r="S1157" s="13" t="str">
        <x:f>IF(OR(P1157="",Q1157="",P1157=0),"",((Q1157/30)/(P1157/31))-1)</x:f>
      </x:c>
      <x:c r="T1157" s="11" t="n">
        <x:v>29</x:v>
      </x:c>
      <x:c r="U1157" s="11" t="n">
        <x:v>97</x:v>
      </x:c>
      <x:c r="V1157" s="14" t="n">
        <x:v>0</x:v>
      </x:c>
      <x:c r="W1157" s="12" t="n">
        <x:v>15.835051546391753</x:v>
      </x:c>
      <x:c r="X1157" s="11"/>
      <x:c r="Y1157" s="11"/>
      <x:c r="Z1157" s="4" t="str">
        <x:v>https://blog.skyairline.com/cosas-para-hacer-con-poco-presupuesto/</x:v>
      </x:c>
      <x:c r="AA1157" s="4" t="str">
        <x:v>https://blog.skyairline.com/cosas-para-hacer-con-poco-presupuesto/</x:v>
      </x:c>
      <x:c r="AB1157" s="4" t="str">
        <x:v>Coincidencia URL</x:v>
      </x:c>
      <x:c r="AC1157" s="4" t="str">
        <x:v>Publicado hasta septiembre</x:v>
      </x:c>
      <x:c r="AD1157" s="4"/>
      <x:c r="AE1157" s="4"/>
      <x:c r="AF1157" s="16" t="b">
        <x:v>0</x:v>
      </x:c>
    </x:row>
    <x:row r="1158" ht="44" customHeight="1">
      <x:c r="A1158" s="4" t="n">
        <x:v>2454</x:v>
      </x:c>
      <x:c r="B1158" s="4" t="str">
        <x:v>https://blog.skyairline.com/aplicaciones-para-viajar-en-tu-celular/</x:v>
      </x:c>
      <x:c r="C1158" s="9" t="str">
        <x:v>Aplicaciones para viajar que no puedes dejar de instalar en tu celular</x:v>
      </x:c>
      <x:c r="D1158" s="17" t="d">
        <x:v>2022-11-05T00:00:00.000Z</x:v>
      </x:c>
      <x:c r="E1158" s="17" t="d">
        <x:v>2022-11-05T00:00:00.000Z</x:v>
      </x:c>
      <x:c r="F1158" s="4" t="str">
        <x:v>Planificación de Viaje</x:v>
      </x:c>
      <x:c r="G1158" s="11" t="n">
        <x:v>1006</x:v>
      </x:c>
      <x:c r="H1158" s="11" t="n">
        <x:v>200</x:v>
      </x:c>
      <x:c r="I1158" s="11" t="n">
        <x:v>1</x:v>
      </x:c>
      <x:c r="J1158" s="4" t="str">
        <x:v>https://blog.skyairline.com/aplicaciones-para-viajar-en-tu-celular/</x:v>
      </x:c>
      <x:c r="K1158" s="16" t="b">
        <x:v>0</x:v>
      </x:c>
      <x:c r="L1158" s="11" t="n">
        <x:v>0</x:v>
      </x:c>
      <x:c r="M1158" s="11" t="n">
        <x:v>4</x:v>
      </x:c>
      <x:c r="N1158" s="4"/>
      <x:c r="O1158" s="4"/>
      <x:c r="P1158" s="11" t="n">
        <x:v>0</x:v>
      </x:c>
      <x:c r="Q1158" s="11" t="n">
        <x:v>0</x:v>
      </x:c>
      <x:c r="R1158" s="11" t="str">
        <x:f>IF(OR(P1158="",Q1158=""),"",Q1158-P1158)</x:f>
      </x:c>
      <x:c r="S1158" s="13" t="str">
        <x:f>IF(OR(P1158="",Q1158="",P1158=0),"",((Q1158/30)/(P1158/31))-1)</x:f>
      </x:c>
      <x:c r="T1158" s="11" t="n">
        <x:v>50</x:v>
      </x:c>
      <x:c r="U1158" s="11" t="n">
        <x:v>29</x:v>
      </x:c>
      <x:c r="V1158" s="14" t="n">
        <x:v>0</x:v>
      </x:c>
      <x:c r="W1158" s="12" t="n">
        <x:v>9.96551724137931</x:v>
      </x:c>
      <x:c r="X1158" s="11"/>
      <x:c r="Y1158" s="11"/>
      <x:c r="Z1158" s="4" t="str">
        <x:v>https://blog.skyairline.com/aplicaciones-para-viajar-en-tu-celular/</x:v>
      </x:c>
      <x:c r="AA1158" s="4" t="str">
        <x:v>https://blog.skyairline.com/aplicaciones-para-viajar-en-tu-celular/</x:v>
      </x:c>
      <x:c r="AB1158" s="4" t="str">
        <x:v>Coincidencia URL</x:v>
      </x:c>
      <x:c r="AC1158" s="4" t="str">
        <x:v>Publicado hasta septiembre</x:v>
      </x:c>
      <x:c r="AD1158" s="4"/>
      <x:c r="AE1158" s="4"/>
      <x:c r="AF1158" s="16" t="b">
        <x:v>0</x:v>
      </x:c>
    </x:row>
    <x:row r="1159" ht="44" customHeight="1">
      <x:c r="A1159" s="4" t="n">
        <x:v>2460</x:v>
      </x:c>
      <x:c r="B1159" s="4" t="str">
        <x:v>https://blog.skyairline.com/estaciones-climaticas/</x:v>
      </x:c>
      <x:c r="C1159" s="9" t="str">
        <x:v>Estaciones del año en América del Sur: cuándo viajar a cada país</x:v>
      </x:c>
      <x:c r="D1159" s="17" t="d">
        <x:v>2026-10-15T00:00:00.000Z</x:v>
      </x:c>
      <x:c r="E1159" s="17" t="d">
        <x:v>2026-10-05T00:00:00.000Z</x:v>
      </x:c>
      <x:c r="F1159" s="4" t="str">
        <x:v>Cultura</x:v>
      </x:c>
      <x:c r="G1159" s="11" t="n">
        <x:v>1057</x:v>
      </x:c>
      <x:c r="H1159" s="11" t="n">
        <x:v>200</x:v>
      </x:c>
      <x:c r="I1159" s="11" t="n">
        <x:v>1</x:v>
      </x:c>
      <x:c r="J1159" s="4" t="str">
        <x:v>https://blog.skyairline.com/estaciones-climaticas/</x:v>
      </x:c>
      <x:c r="K1159" s="16" t="b">
        <x:v>0</x:v>
      </x:c>
      <x:c r="L1159" s="11" t="n">
        <x:v>0</x:v>
      </x:c>
      <x:c r="M1159" s="11" t="n">
        <x:v>0</x:v>
      </x:c>
      <x:c r="N1159" s="4"/>
      <x:c r="O1159" s="4"/>
      <x:c r="P1159" s="11" t="n">
        <x:v>1</x:v>
      </x:c>
      <x:c r="Q1159" s="11" t="n">
        <x:v>0</x:v>
      </x:c>
      <x:c r="R1159" s="11" t="str">
        <x:f>IF(OR(P1159="",Q1159=""),"",Q1159-P1159)</x:f>
      </x:c>
      <x:c r="S1159" s="13" t="str">
        <x:f>IF(OR(P1159="",Q1159="",P1159=0),"",((Q1159/30)/(P1159/31))-1)</x:f>
      </x:c>
      <x:c r="T1159" s="11" t="n">
        <x:v>722</x:v>
      </x:c>
      <x:c r="U1159" s="11" t="n">
        <x:v>585</x:v>
      </x:c>
      <x:c r="V1159" s="14" t="n">
        <x:v>0</x:v>
      </x:c>
      <x:c r="W1159" s="12" t="n">
        <x:v>9.476923076923077</x:v>
      </x:c>
      <x:c r="X1159" s="11"/>
      <x:c r="Y1159" s="11"/>
      <x:c r="Z1159" s="4" t="str">
        <x:v>https://blog.skyairline.com/estaciones-climaticas/</x:v>
      </x:c>
      <x:c r="AA1159" s="4" t="str">
        <x:v>https://blog.skyairline.com/estaciones-climaticas/</x:v>
      </x:c>
      <x:c r="AB1159" s="4" t="str">
        <x:v>Coincidencia URL</x:v>
      </x:c>
      <x:c r="AC1159" s="4" t="str">
        <x:v>Publicado después del mes</x:v>
      </x:c>
      <x:c r="AD1159" s="4"/>
      <x:c r="AE1159" s="4"/>
      <x:c r="AF1159" s="16" t="b">
        <x:v>0</x:v>
      </x:c>
    </x:row>
    <x:row r="1160" ht="44" customHeight="1">
      <x:c r="A1160" s="4" t="n">
        <x:v>2466</x:v>
      </x:c>
      <x:c r="B1160" s="4" t="str">
        <x:v>https://blog.skyairline.com/cena-de-navidad-peruana/</x:v>
      </x:c>
      <x:c r="C1160" s="9" t="str">
        <x:v>Principales platos de la cena navideña peruana que no puedes dejar de probar</x:v>
      </x:c>
      <x:c r="D1160" s="17" t="d">
        <x:v>2022-11-11T00:00:00.000Z</x:v>
      </x:c>
      <x:c r="E1160" s="17" t="d">
        <x:v>2022-11-11T00:00:00.000Z</x:v>
      </x:c>
      <x:c r="F1160" s="4" t="str">
        <x:v>Cultura</x:v>
      </x:c>
      <x:c r="G1160" s="11" t="n">
        <x:v>1000</x:v>
      </x:c>
      <x:c r="H1160" s="11" t="n">
        <x:v>200</x:v>
      </x:c>
      <x:c r="I1160" s="11" t="n">
        <x:v>1</x:v>
      </x:c>
      <x:c r="J1160" s="4" t="str">
        <x:v>https://blog.skyairline.com/cena-de-navidad-peruana/</x:v>
      </x:c>
      <x:c r="K1160" s="16" t="b">
        <x:v>0</x:v>
      </x:c>
      <x:c r="L1160" s="11" t="n">
        <x:v>0</x:v>
      </x:c>
      <x:c r="M1160" s="11" t="n">
        <x:v>3</x:v>
      </x:c>
      <x:c r="N1160" s="4"/>
      <x:c r="O1160" s="4"/>
      <x:c r="P1160" s="11" t="n">
        <x:v>0</x:v>
      </x:c>
      <x:c r="Q1160" s="11" t="n">
        <x:v>0</x:v>
      </x:c>
      <x:c r="R1160" s="11" t="str">
        <x:f>IF(OR(P1160="",Q1160=""),"",Q1160-P1160)</x:f>
      </x:c>
      <x:c r="S1160" s="13" t="str">
        <x:f>IF(OR(P1160="",Q1160="",P1160=0),"",((Q1160/30)/(P1160/31))-1)</x:f>
      </x:c>
      <x:c r="T1160" s="11" t="n">
        <x:v>284</x:v>
      </x:c>
      <x:c r="U1160" s="11" t="n">
        <x:v>417</x:v>
      </x:c>
      <x:c r="V1160" s="14" t="n">
        <x:v>0</x:v>
      </x:c>
      <x:c r="W1160" s="12" t="n">
        <x:v>23.695443645083934</x:v>
      </x:c>
      <x:c r="X1160" s="11" t="n">
        <x:v>1</x:v>
      </x:c>
      <x:c r="Y1160" s="11" t="n">
        <x:v>1</x:v>
      </x:c>
      <x:c r="Z1160" s="4" t="str">
        <x:v>https://blog.skyairline.com/cena-de-navidad-peruana/</x:v>
      </x:c>
      <x:c r="AA1160" s="4" t="str">
        <x:v>https://blog.skyairline.com/cena-de-navidad-peruana/</x:v>
      </x:c>
      <x:c r="AB1160" s="4" t="str">
        <x:v>Coincidencia URL</x:v>
      </x:c>
      <x:c r="AC1160" s="4" t="str">
        <x:v>Publicado hasta septiembre</x:v>
      </x:c>
      <x:c r="AD1160" s="4" t="str">
        <x:v>/cena-de-navidad-peruana/</x:v>
      </x:c>
      <x:c r="AE1160" s="4"/>
      <x:c r="AF1160" s="16" t="b">
        <x:v>0</x:v>
      </x:c>
    </x:row>
    <x:row r="1161" ht="44" customHeight="1">
      <x:c r="A1161" s="4" t="n">
        <x:v>2475</x:v>
      </x:c>
      <x:c r="B1161" s="4" t="str">
        <x:v>https://blog.skyairline.com/viajar-a-bogota/</x:v>
      </x:c>
      <x:c r="C1161" s="9" t="str">
        <x:v>¡6 consejos para viajar a Bogotá y no perderte de nada!</x:v>
      </x:c>
      <x:c r="D1161" s="17" t="d">
        <x:v>2022-11-16T00:00:00.000Z</x:v>
      </x:c>
      <x:c r="E1161" s="17" t="d">
        <x:v>2022-11-16T00:00:00.000Z</x:v>
      </x:c>
      <x:c r="F1161" s="4" t="str">
        <x:v>Destinos</x:v>
      </x:c>
      <x:c r="G1161" s="11" t="n">
        <x:v>1007</x:v>
      </x:c>
      <x:c r="H1161" s="11" t="n">
        <x:v>200</x:v>
      </x:c>
      <x:c r="I1161" s="11" t="n">
        <x:v>1</x:v>
      </x:c>
      <x:c r="J1161" s="4" t="str">
        <x:v>https://blog.skyairline.com/viajar-a-bogota/</x:v>
      </x:c>
      <x:c r="K1161" s="16" t="b">
        <x:v>0</x:v>
      </x:c>
      <x:c r="L1161" s="11" t="n">
        <x:v>0</x:v>
      </x:c>
      <x:c r="M1161" s="11" t="n">
        <x:v>0</x:v>
      </x:c>
      <x:c r="N1161" s="4"/>
      <x:c r="O1161" s="4"/>
      <x:c r="P1161" s="11" t="n">
        <x:v>0</x:v>
      </x:c>
      <x:c r="Q1161" s="11" t="n">
        <x:v>0</x:v>
      </x:c>
      <x:c r="R1161" s="11" t="str">
        <x:f>IF(OR(P1161="",Q1161=""),"",Q1161-P1161)</x:f>
      </x:c>
      <x:c r="S1161" s="13" t="str">
        <x:f>IF(OR(P1161="",Q1161="",P1161=0),"",((Q1161/30)/(P1161/31))-1)</x:f>
      </x:c>
      <x:c r="T1161" s="11" t="n">
        <x:v>128</x:v>
      </x:c>
      <x:c r="U1161" s="11" t="n">
        <x:v>12</x:v>
      </x:c>
      <x:c r="V1161" s="14" t="n">
        <x:v>0</x:v>
      </x:c>
      <x:c r="W1161" s="12" t="n">
        <x:v>20.25</x:v>
      </x:c>
      <x:c r="X1161" s="11"/>
      <x:c r="Y1161" s="11"/>
      <x:c r="Z1161" s="4" t="str">
        <x:v>https://blog.skyairline.com/viajar-a-bogota/</x:v>
      </x:c>
      <x:c r="AA1161" s="4" t="str">
        <x:v>https://blog.skyairline.com/viajar-a-bogota/</x:v>
      </x:c>
      <x:c r="AB1161" s="4" t="str">
        <x:v>Coincidencia URL</x:v>
      </x:c>
      <x:c r="AC1161" s="4" t="str">
        <x:v>Publicado hasta septiembre</x:v>
      </x:c>
      <x:c r="AD1161" s="4"/>
      <x:c r="AE1161" s="4"/>
      <x:c r="AF1161" s="16" t="b">
        <x:v>0</x:v>
      </x:c>
    </x:row>
    <x:row r="1162" ht="44" customHeight="1">
      <x:c r="A1162" s="4" t="n">
        <x:v>2493</x:v>
      </x:c>
      <x:c r="B1162" s="4" t="str">
        <x:v>https://blog.skyairline.com/viaje-a-machu-picchu/</x:v>
      </x:c>
      <x:c r="C1162" s="9" t="str">
        <x:v>8 recomendaciones clave para tu viaje a Machu Picchu</x:v>
      </x:c>
      <x:c r="D1162" s="17" t="d">
        <x:v>2022-11-21T00:00:00.000Z</x:v>
      </x:c>
      <x:c r="E1162" s="17" t="d">
        <x:v>2022-11-21T00:00:00.000Z</x:v>
      </x:c>
      <x:c r="F1162" s="4" t="str">
        <x:v>Destinos</x:v>
      </x:c>
      <x:c r="G1162" s="11" t="n">
        <x:v>1129</x:v>
      </x:c>
      <x:c r="H1162" s="11" t="n">
        <x:v>200</x:v>
      </x:c>
      <x:c r="I1162" s="11" t="n">
        <x:v>1</x:v>
      </x:c>
      <x:c r="J1162" s="4" t="str">
        <x:v>https://blog.skyairline.com/viaje-a-machu-picchu/</x:v>
      </x:c>
      <x:c r="K1162" s="16" t="b">
        <x:v>0</x:v>
      </x:c>
      <x:c r="L1162" s="11" t="n">
        <x:v>0</x:v>
      </x:c>
      <x:c r="M1162" s="11" t="n">
        <x:v>3</x:v>
      </x:c>
      <x:c r="N1162" s="4"/>
      <x:c r="O1162" s="4"/>
      <x:c r="P1162" s="11" t="n">
        <x:v>3</x:v>
      </x:c>
      <x:c r="Q1162" s="11" t="n">
        <x:v>0</x:v>
      </x:c>
      <x:c r="R1162" s="11" t="str">
        <x:f>IF(OR(P1162="",Q1162=""),"",Q1162-P1162)</x:f>
      </x:c>
      <x:c r="S1162" s="13" t="str">
        <x:f>IF(OR(P1162="",Q1162="",P1162=0),"",((Q1162/30)/(P1162/31))-1)</x:f>
      </x:c>
      <x:c r="T1162" s="11" t="n">
        <x:v>86</x:v>
      </x:c>
      <x:c r="U1162" s="11" t="n">
        <x:v>27</x:v>
      </x:c>
      <x:c r="V1162" s="14" t="n">
        <x:v>0</x:v>
      </x:c>
      <x:c r="W1162" s="12" t="n">
        <x:v>14.703703703703704</x:v>
      </x:c>
      <x:c r="X1162" s="11" t="n">
        <x:v>4</x:v>
      </x:c>
      <x:c r="Y1162" s="11" t="n">
        <x:v>4</x:v>
      </x:c>
      <x:c r="Z1162" s="4" t="str">
        <x:v>https://blog.skyairline.com/viaje-a-machu-picchu/</x:v>
      </x:c>
      <x:c r="AA1162" s="4" t="str">
        <x:v>https://blog.skyairline.com/viaje-a-machu-picchu/</x:v>
      </x:c>
      <x:c r="AB1162" s="4" t="str">
        <x:v>Coincidencia URL</x:v>
      </x:c>
      <x:c r="AC1162" s="4" t="str">
        <x:v>Publicado hasta septiembre</x:v>
      </x:c>
      <x:c r="AD1162" s="4" t="str">
        <x:v>/viaje-a-machu-picchu/</x:v>
      </x:c>
      <x:c r="AE1162" s="4"/>
      <x:c r="AF1162" s="16" t="b">
        <x:v>0</x:v>
      </x:c>
    </x:row>
    <x:row r="1163" ht="44" customHeight="1">
      <x:c r="A1163" s="4" t="n">
        <x:v>2502</x:v>
      </x:c>
      <x:c r="B1163" s="4" t="str">
        <x:v>https://blog.skyairline.com/vuela-a-cancun/</x:v>
      </x:c>
      <x:c r="C1163" s="9" t="str">
        <x:v>Vuela a Cancún con poco dinero: ¡Un destino impresionante low cost!</x:v>
      </x:c>
      <x:c r="D1163" s="17" t="d">
        <x:v>2022-11-24T00:00:00.000Z</x:v>
      </x:c>
      <x:c r="E1163" s="17" t="d">
        <x:v>2022-11-24T00:00:00.000Z</x:v>
      </x:c>
      <x:c r="F1163" s="4" t="str">
        <x:v>Destinos</x:v>
      </x:c>
      <x:c r="G1163" s="11" t="n">
        <x:v>1045</x:v>
      </x:c>
      <x:c r="H1163" s="11" t="n">
        <x:v>200</x:v>
      </x:c>
      <x:c r="I1163" s="11" t="n">
        <x:v>1</x:v>
      </x:c>
      <x:c r="J1163" s="4" t="str">
        <x:v>https://blog.skyairline.com/vuela-a-cancun/</x:v>
      </x:c>
      <x:c r="K1163" s="16" t="b">
        <x:v>0</x:v>
      </x:c>
      <x:c r="L1163" s="11" t="n">
        <x:v>0</x:v>
      </x:c>
      <x:c r="M1163" s="11" t="n">
        <x:v>0</x:v>
      </x:c>
      <x:c r="N1163" s="4"/>
      <x:c r="O1163" s="4"/>
      <x:c r="P1163" s="11" t="n">
        <x:v>0</x:v>
      </x:c>
      <x:c r="Q1163" s="11" t="n">
        <x:v>0</x:v>
      </x:c>
      <x:c r="R1163" s="11" t="str">
        <x:f>IF(OR(P1163="",Q1163=""),"",Q1163-P1163)</x:f>
      </x:c>
      <x:c r="S1163" s="13" t="str">
        <x:f>IF(OR(P1163="",Q1163="",P1163=0),"",((Q1163/30)/(P1163/31))-1)</x:f>
      </x:c>
      <x:c r="T1163" s="11" t="n">
        <x:v>1</x:v>
      </x:c>
      <x:c r="U1163" s="11" t="n">
        <x:v>14</x:v>
      </x:c>
      <x:c r="V1163" s="14" t="n">
        <x:v>0</x:v>
      </x:c>
      <x:c r="W1163" s="12" t="n">
        <x:v>7</x:v>
      </x:c>
      <x:c r="X1163" s="11"/>
      <x:c r="Y1163" s="11"/>
      <x:c r="Z1163" s="4" t="str">
        <x:v>https://blog.skyairline.com/vuela-a-cancun/</x:v>
      </x:c>
      <x:c r="AA1163" s="4" t="str">
        <x:v>https://blog.skyairline.com/vuela-a-cancun/</x:v>
      </x:c>
      <x:c r="AB1163" s="4" t="str">
        <x:v>Coincidencia URL</x:v>
      </x:c>
      <x:c r="AC1163" s="4" t="str">
        <x:v>Publicado hasta septiembre</x:v>
      </x:c>
      <x:c r="AD1163" s="4"/>
      <x:c r="AE1163" s="4"/>
      <x:c r="AF1163" s="16" t="b">
        <x:v>0</x:v>
      </x:c>
    </x:row>
    <x:row r="1164" ht="44" customHeight="1">
      <x:c r="A1164" s="4" t="n">
        <x:v>2512</x:v>
      </x:c>
      <x:c r="B1164" s="4" t="str">
        <x:v>https://blog.skyairline.com/alianza-lima-anuncio-a-sky-airline-peru-como-nuevo-patrocinador/</x:v>
      </x:c>
      <x:c r="C1164" s="9" t="str">
        <x:v>Alianza Lima anunció a SKY Airline Perú como nuevo patrocinador</x:v>
      </x:c>
      <x:c r="D1164" s="17" t="d">
        <x:v>2022-11-23T00:00:00.000Z</x:v>
      </x:c>
      <x:c r="E1164" s="17" t="d">
        <x:v>2022-11-23T00:00:00.000Z</x:v>
      </x:c>
      <x:c r="F1164" s="4" t="str">
        <x:v>Noticias</x:v>
      </x:c>
      <x:c r="G1164" s="11" t="n">
        <x:v>344</x:v>
      </x:c>
      <x:c r="H1164" s="11" t="n">
        <x:v>200</x:v>
      </x:c>
      <x:c r="I1164" s="11" t="n">
        <x:v>1</x:v>
      </x:c>
      <x:c r="J1164" s="4" t="str">
        <x:v>https://blog.skyairline.com/alianza-lima-anuncio-a-sky-airline-peru-como-nuevo-patrocinador/</x:v>
      </x:c>
      <x:c r="K1164" s="16" t="b">
        <x:v>0</x:v>
      </x:c>
      <x:c r="L1164" s="11" t="n">
        <x:v>0</x:v>
      </x:c>
      <x:c r="M1164" s="11" t="n">
        <x:v>0</x:v>
      </x:c>
      <x:c r="N1164" s="4"/>
      <x:c r="O1164" s="4"/>
      <x:c r="P1164" s="11" t="n">
        <x:v>1</x:v>
      </x:c>
      <x:c r="Q1164" s="11" t="n">
        <x:v>0</x:v>
      </x:c>
      <x:c r="R1164" s="11" t="str">
        <x:f>IF(OR(P1164="",Q1164=""),"",Q1164-P1164)</x:f>
      </x:c>
      <x:c r="S1164" s="13" t="str">
        <x:f>IF(OR(P1164="",Q1164="",P1164=0),"",((Q1164/30)/(P1164/31))-1)</x:f>
      </x:c>
      <x:c r="T1164" s="11" t="n">
        <x:v>76</x:v>
      </x:c>
      <x:c r="U1164" s="11" t="n">
        <x:v>56</x:v>
      </x:c>
      <x:c r="V1164" s="14" t="n">
        <x:v>0</x:v>
      </x:c>
      <x:c r="W1164" s="12" t="n">
        <x:v>6.714285714285714</x:v>
      </x:c>
      <x:c r="X1164" s="11"/>
      <x:c r="Y1164" s="11"/>
      <x:c r="Z1164" s="4" t="str">
        <x:v>https://blog.skyairline.com/alianza-lima-anuncio-a-sky-airline-peru-como-nuevo-patrocinador/</x:v>
      </x:c>
      <x:c r="AA1164" s="4" t="str">
        <x:v>https://blog.skyairline.com/alianza-lima-anuncio-a-sky-airline-peru-como-nuevo-patrocinador/</x:v>
      </x:c>
      <x:c r="AB1164" s="4" t="str">
        <x:v>Coincidencia URL</x:v>
      </x:c>
      <x:c r="AC1164" s="4" t="str">
        <x:v>Publicado hasta septiembre</x:v>
      </x:c>
      <x:c r="AD1164" s="4"/>
      <x:c r="AE1164" s="4"/>
      <x:c r="AF1164" s="16" t="b">
        <x:v>0</x:v>
      </x:c>
    </x:row>
    <x:row r="1165" ht="44" customHeight="1">
      <x:c r="A1165" s="4" t="n">
        <x:v>2518</x:v>
      </x:c>
      <x:c r="B1165" s="4" t="str">
        <x:v>https://blog.skyairline.com/sky-participo-de-la-cop27-exponiendo-sus-avances-en-materia-medioambiental/</x:v>
      </x:c>
      <x:c r="C1165" s="9" t="str">
        <x:v>SKY participó de la COP27 exponiendo sus avances en materia medioambiental</x:v>
      </x:c>
      <x:c r="D1165" s="17" t="d">
        <x:v>2022-11-24T00:00:00.000Z</x:v>
      </x:c>
      <x:c r="E1165" s="17" t="d">
        <x:v>2022-11-24T00:00:00.000Z</x:v>
      </x:c>
      <x:c r="F1165" s="4" t="str">
        <x:v>Noticias</x:v>
      </x:c>
      <x:c r="G1165" s="11" t="n">
        <x:v>118</x:v>
      </x:c>
      <x:c r="H1165" s="11" t="n">
        <x:v>200</x:v>
      </x:c>
      <x:c r="I1165" s="11" t="n">
        <x:v>1</x:v>
      </x:c>
      <x:c r="J1165" s="4" t="str">
        <x:v>https://blog.skyairline.com/sky-participo-de-la-cop27-exponiendo-sus-avances-en-materia-medioambiental/</x:v>
      </x:c>
      <x:c r="K1165" s="16" t="b">
        <x:v>0</x:v>
      </x:c>
      <x:c r="L1165" s="11" t="n">
        <x:v>0</x:v>
      </x:c>
      <x:c r="M1165" s="11" t="n">
        <x:v>0</x:v>
      </x:c>
      <x:c r="N1165" s="4"/>
      <x:c r="O1165" s="4"/>
      <x:c r="P1165" s="11" t="n">
        <x:v>0</x:v>
      </x:c>
      <x:c r="Q1165" s="11" t="n">
        <x:v>0</x:v>
      </x:c>
      <x:c r="R1165" s="11" t="str">
        <x:f>IF(OR(P1165="",Q1165=""),"",Q1165-P1165)</x:f>
      </x:c>
      <x:c r="S1165" s="13" t="str">
        <x:f>IF(OR(P1165="",Q1165="",P1165=0),"",((Q1165/30)/(P1165/31))-1)</x:f>
      </x:c>
      <x:c r="T1165" s="11" t="n">
        <x:v>1</x:v>
      </x:c>
      <x:c r="U1165" s="11" t="n">
        <x:v>2</x:v>
      </x:c>
      <x:c r="V1165" s="14" t="n">
        <x:v>0</x:v>
      </x:c>
      <x:c r="W1165" s="12" t="n">
        <x:v>9</x:v>
      </x:c>
      <x:c r="X1165" s="11"/>
      <x:c r="Y1165" s="11"/>
      <x:c r="Z1165" s="4" t="str">
        <x:v>https://blog.skyairline.com/sky-participo-de-la-cop27-exponiendo-sus-avances-en-materia-medioambiental/</x:v>
      </x:c>
      <x:c r="AA1165" s="4" t="str">
        <x:v>https://blog.skyairline.com/sky-participo-de-la-cop27-exponiendo-sus-avances-en-materia-medioambiental/</x:v>
      </x:c>
      <x:c r="AB1165" s="4" t="str">
        <x:v>Coincidencia URL</x:v>
      </x:c>
      <x:c r="AC1165" s="4" t="str">
        <x:v>Publicado hasta septiembre</x:v>
      </x:c>
      <x:c r="AD1165" s="4"/>
      <x:c r="AE1165" s="4"/>
      <x:c r="AF1165" s="16" t="b">
        <x:v>0</x:v>
      </x:c>
    </x:row>
    <x:row r="1166" ht="44" customHeight="1">
      <x:c r="A1166" s="4" t="n">
        <x:v>2521</x:v>
      </x:c>
      <x:c r="B1166" s="4" t="str">
        <x:v>https://blog.skyairline.com/tours-en-la-serena/</x:v>
      </x:c>
      <x:c r="C1166" s="9" t="str">
        <x:v>¡6 tours en La Serena para que estés en contacto con la naturaleza y vida silvestre!</x:v>
      </x:c>
      <x:c r="D1166" s="17" t="d">
        <x:v>2022-11-26T00:00:00.000Z</x:v>
      </x:c>
      <x:c r="E1166" s="17" t="d">
        <x:v>2022-11-26T00:00:00.000Z</x:v>
      </x:c>
      <x:c r="F1166" s="4" t="str">
        <x:v>Destinos</x:v>
      </x:c>
      <x:c r="G1166" s="11" t="n">
        <x:v>1027</x:v>
      </x:c>
      <x:c r="H1166" s="11" t="n">
        <x:v>200</x:v>
      </x:c>
      <x:c r="I1166" s="11" t="n">
        <x:v>1</x:v>
      </x:c>
      <x:c r="J1166" s="4" t="str">
        <x:v>https://blog.skyairline.com/tours-en-la-serena/</x:v>
      </x:c>
      <x:c r="K1166" s="16" t="b">
        <x:v>0</x:v>
      </x:c>
      <x:c r="L1166" s="11" t="n">
        <x:v>0</x:v>
      </x:c>
      <x:c r="M1166" s="11" t="n">
        <x:v>4</x:v>
      </x:c>
      <x:c r="N1166" s="4"/>
      <x:c r="O1166" s="4"/>
      <x:c r="P1166" s="11" t="n">
        <x:v>0</x:v>
      </x:c>
      <x:c r="Q1166" s="11" t="n">
        <x:v>0</x:v>
      </x:c>
      <x:c r="R1166" s="11" t="str">
        <x:f>IF(OR(P1166="",Q1166=""),"",Q1166-P1166)</x:f>
      </x:c>
      <x:c r="S1166" s="13" t="str">
        <x:f>IF(OR(P1166="",Q1166="",P1166=0),"",((Q1166/30)/(P1166/31))-1)</x:f>
      </x:c>
      <x:c r="T1166" s="11" t="n">
        <x:v>141</x:v>
      </x:c>
      <x:c r="U1166" s="11" t="n">
        <x:v>210</x:v>
      </x:c>
      <x:c r="V1166" s="14" t="n">
        <x:v>0</x:v>
      </x:c>
      <x:c r="W1166" s="12" t="n">
        <x:v>16.51904761904762</x:v>
      </x:c>
      <x:c r="X1166" s="11"/>
      <x:c r="Y1166" s="11"/>
      <x:c r="Z1166" s="4" t="str">
        <x:v>https://blog.skyairline.com/tours-en-la-serena/</x:v>
      </x:c>
      <x:c r="AA1166" s="4" t="str">
        <x:v>https://blog.skyairline.com/tours-en-la-serena/</x:v>
      </x:c>
      <x:c r="AB1166" s="4" t="str">
        <x:v>Coincidencia URL</x:v>
      </x:c>
      <x:c r="AC1166" s="4" t="str">
        <x:v>Publicado hasta septiembre</x:v>
      </x:c>
      <x:c r="AD1166" s="4"/>
      <x:c r="AE1166" s="4"/>
      <x:c r="AF1166" s="16" t="b">
        <x:v>0</x:v>
      </x:c>
    </x:row>
    <x:row r="1167" ht="44" customHeight="1">
      <x:c r="A1167" s="4" t="n">
        <x:v>2524</x:v>
      </x:c>
      <x:c r="B1167" s="4" t="str">
        <x:v>https://blog.skyairline.com/hoteles-en-mendoza/</x:v>
      </x:c>
      <x:c r="C1167" s="9" t="str">
        <x:v>¡7 hoteles en Mendoza donde hospedarse es todo un placer!</x:v>
      </x:c>
      <x:c r="D1167" s="17" t="d">
        <x:v>2022-11-27T00:00:00.000Z</x:v>
      </x:c>
      <x:c r="E1167" s="17" t="d">
        <x:v>2022-11-27T00:00:00.000Z</x:v>
      </x:c>
      <x:c r="F1167" s="4" t="str">
        <x:v>Destinos</x:v>
      </x:c>
      <x:c r="G1167" s="11" t="n">
        <x:v>1081</x:v>
      </x:c>
      <x:c r="H1167" s="11" t="n">
        <x:v>200</x:v>
      </x:c>
      <x:c r="I1167" s="11" t="n">
        <x:v>1</x:v>
      </x:c>
      <x:c r="J1167" s="4" t="str">
        <x:v>https://blog.skyairline.com/hoteles-en-mendoza/</x:v>
      </x:c>
      <x:c r="K1167" s="16" t="b">
        <x:v>0</x:v>
      </x:c>
      <x:c r="L1167" s="11" t="n">
        <x:v>0</x:v>
      </x:c>
      <x:c r="M1167" s="11" t="n">
        <x:v>0</x:v>
      </x:c>
      <x:c r="N1167" s="4"/>
      <x:c r="O1167" s="4"/>
      <x:c r="P1167" s="11" t="n">
        <x:v>1</x:v>
      </x:c>
      <x:c r="Q1167" s="11" t="n">
        <x:v>0</x:v>
      </x:c>
      <x:c r="R1167" s="11" t="str">
        <x:f>IF(OR(P1167="",Q1167=""),"",Q1167-P1167)</x:f>
      </x:c>
      <x:c r="S1167" s="13" t="str">
        <x:f>IF(OR(P1167="",Q1167="",P1167=0),"",((Q1167/30)/(P1167/31))-1)</x:f>
      </x:c>
      <x:c r="T1167" s="11" t="n">
        <x:v>142</x:v>
      </x:c>
      <x:c r="U1167" s="11" t="n">
        <x:v>96</x:v>
      </x:c>
      <x:c r="V1167" s="14" t="n">
        <x:v>0</x:v>
      </x:c>
      <x:c r="W1167" s="12" t="n">
        <x:v>13.21875</x:v>
      </x:c>
      <x:c r="X1167" s="11"/>
      <x:c r="Y1167" s="11"/>
      <x:c r="Z1167" s="4" t="str">
        <x:v>https://blog.skyairline.com/hoteles-en-mendoza/</x:v>
      </x:c>
      <x:c r="AA1167" s="4" t="str">
        <x:v>https://blog.skyairline.com/hoteles-en-mendoza/</x:v>
      </x:c>
      <x:c r="AB1167" s="4" t="str">
        <x:v>Coincidencia URL</x:v>
      </x:c>
      <x:c r="AC1167" s="4" t="str">
        <x:v>Publicado hasta septiembre</x:v>
      </x:c>
      <x:c r="AD1167" s="4"/>
      <x:c r="AE1167" s="4"/>
      <x:c r="AF1167" s="16" t="b">
        <x:v>0</x:v>
      </x:c>
    </x:row>
    <x:row r="1168" ht="44" customHeight="1">
      <x:c r="A1168" s="4" t="n">
        <x:v>2533</x:v>
      </x:c>
      <x:c r="B1168" s="4" t="str">
        <x:v>https://blog.skyairline.com/carnavales-de-rio-de-janeiro/</x:v>
      </x:c>
      <x:c r="C1168" s="9" t="str">
        <x:v>¡6 tips para disfrutar al límite los carnavales de Rio de Janeiro!</x:v>
      </x:c>
      <x:c r="D1168" s="17" t="d">
        <x:v>2022-11-30T00:00:00.000Z</x:v>
      </x:c>
      <x:c r="E1168" s="17" t="d">
        <x:v>2022-11-30T00:00:00.000Z</x:v>
      </x:c>
      <x:c r="F1168" s="4" t="str">
        <x:v>Destinos</x:v>
      </x:c>
      <x:c r="G1168" s="11" t="n">
        <x:v>1010</x:v>
      </x:c>
      <x:c r="H1168" s="11" t="n">
        <x:v>200</x:v>
      </x:c>
      <x:c r="I1168" s="11" t="n">
        <x:v>1</x:v>
      </x:c>
      <x:c r="J1168" s="4" t="str">
        <x:v>https://blog.skyairline.com/carnavales-de-rio-de-janeiro/</x:v>
      </x:c>
      <x:c r="K1168" s="16" t="b">
        <x:v>0</x:v>
      </x:c>
      <x:c r="L1168" s="11" t="n">
        <x:v>0</x:v>
      </x:c>
      <x:c r="M1168" s="11" t="n">
        <x:v>0</x:v>
      </x:c>
      <x:c r="N1168" s="4"/>
      <x:c r="O1168" s="4"/>
      <x:c r="P1168" s="11" t="n">
        <x:v>0</x:v>
      </x:c>
      <x:c r="Q1168" s="11" t="n">
        <x:v>0</x:v>
      </x:c>
      <x:c r="R1168" s="11" t="str">
        <x:f>IF(OR(P1168="",Q1168=""),"",Q1168-P1168)</x:f>
      </x:c>
      <x:c r="S1168" s="13" t="str">
        <x:f>IF(OR(P1168="",Q1168="",P1168=0),"",((Q1168/30)/(P1168/31))-1)</x:f>
      </x:c>
      <x:c r="T1168" s="11" t="n">
        <x:v>10</x:v>
      </x:c>
      <x:c r="U1168" s="11" t="n">
        <x:v>17</x:v>
      </x:c>
      <x:c r="V1168" s="14" t="n">
        <x:v>0</x:v>
      </x:c>
      <x:c r="W1168" s="12" t="n">
        <x:v>11.529411764705882</x:v>
      </x:c>
      <x:c r="X1168" s="11"/>
      <x:c r="Y1168" s="11"/>
      <x:c r="Z1168" s="4" t="str">
        <x:v>https://blog.skyairline.com/carnavales-de-rio-de-janeiro/</x:v>
      </x:c>
      <x:c r="AA1168" s="4" t="str">
        <x:v>https://blog.skyairline.com/carnavales-de-rio-de-janeiro/</x:v>
      </x:c>
      <x:c r="AB1168" s="4" t="str">
        <x:v>Coincidencia URL</x:v>
      </x:c>
      <x:c r="AC1168" s="4" t="str">
        <x:v>Publicado hasta septiembre</x:v>
      </x:c>
      <x:c r="AD1168" s="4"/>
      <x:c r="AE1168" s="4"/>
      <x:c r="AF1168" s="16" t="b">
        <x:v>0</x:v>
      </x:c>
    </x:row>
    <x:row r="1169" ht="44" customHeight="1">
      <x:c r="A1169" s="4" t="n">
        <x:v>2536</x:v>
      </x:c>
      <x:c r="B1169" s="4" t="str">
        <x:v>https://blog.skyairline.com/alojamiento-barato-en-mendoza/</x:v>
      </x:c>
      <x:c r="C1169" s="9" t="str">
        <x:v>¿Buscas alojamiento barato en Mendoza? ¡Acá te damos 6 consejos clave!</x:v>
      </x:c>
      <x:c r="D1169" s="17" t="d">
        <x:v>2022-12-01T00:00:00.000Z</x:v>
      </x:c>
      <x:c r="E1169" s="17" t="d">
        <x:v>2022-12-01T00:00:00.000Z</x:v>
      </x:c>
      <x:c r="F1169" s="4" t="str">
        <x:v>Destinos</x:v>
      </x:c>
      <x:c r="G1169" s="11" t="n">
        <x:v>981</x:v>
      </x:c>
      <x:c r="H1169" s="11" t="n">
        <x:v>200</x:v>
      </x:c>
      <x:c r="I1169" s="11" t="n">
        <x:v>1</x:v>
      </x:c>
      <x:c r="J1169" s="4" t="str">
        <x:v>https://blog.skyairline.com/alojamiento-barato-en-mendoza/</x:v>
      </x:c>
      <x:c r="K1169" s="16" t="b">
        <x:v>0</x:v>
      </x:c>
      <x:c r="L1169" s="11" t="n">
        <x:v>0</x:v>
      </x:c>
      <x:c r="M1169" s="11" t="n">
        <x:v>0</x:v>
      </x:c>
      <x:c r="N1169" s="4"/>
      <x:c r="O1169" s="4"/>
      <x:c r="P1169" s="11" t="n">
        <x:v>0</x:v>
      </x:c>
      <x:c r="Q1169" s="11" t="n">
        <x:v>0</x:v>
      </x:c>
      <x:c r="R1169" s="11" t="str">
        <x:f>IF(OR(P1169="",Q1169=""),"",Q1169-P1169)</x:f>
      </x:c>
      <x:c r="S1169" s="13" t="str">
        <x:f>IF(OR(P1169="",Q1169="",P1169=0),"",((Q1169/30)/(P1169/31))-1)</x:f>
      </x:c>
      <x:c r="T1169" s="11" t="n">
        <x:v>11</x:v>
      </x:c>
      <x:c r="U1169" s="11" t="n">
        <x:v>17</x:v>
      </x:c>
      <x:c r="V1169" s="14" t="n">
        <x:v>0</x:v>
      </x:c>
      <x:c r="W1169" s="12" t="n">
        <x:v>11.117647058823529</x:v>
      </x:c>
      <x:c r="X1169" s="11"/>
      <x:c r="Y1169" s="11"/>
      <x:c r="Z1169" s="4" t="str">
        <x:v>https://blog.skyairline.com/alojamiento-barato-en-mendoza/</x:v>
      </x:c>
      <x:c r="AA1169" s="4" t="str">
        <x:v>https://blog.skyairline.com/alojamiento-barato-en-mendoza/</x:v>
      </x:c>
      <x:c r="AB1169" s="4" t="str">
        <x:v>Coincidencia URL</x:v>
      </x:c>
      <x:c r="AC1169" s="4" t="str">
        <x:v>Publicado hasta septiembre</x:v>
      </x:c>
      <x:c r="AD1169" s="4"/>
      <x:c r="AE1169" s="4"/>
      <x:c r="AF1169" s="16" t="b">
        <x:v>0</x:v>
      </x:c>
    </x:row>
    <x:row r="1170" ht="44" customHeight="1">
      <x:c r="A1170" s="4" t="n">
        <x:v>2545</x:v>
      </x:c>
      <x:c r="B1170" s="4" t="str">
        <x:v>https://blog.skyairline.com/navidad-en-miami/</x:v>
      </x:c>
      <x:c r="C1170" s="9" t="str">
        <x:v>¿Qué puedes hacer si piensas pasar la Navidad en Miami?</x:v>
      </x:c>
      <x:c r="D1170" s="17" t="d">
        <x:v>2022-12-04T00:00:00.000Z</x:v>
      </x:c>
      <x:c r="E1170" s="17" t="d">
        <x:v>2022-12-04T00:00:00.000Z</x:v>
      </x:c>
      <x:c r="F1170" s="4" t="str">
        <x:v>Destinos</x:v>
      </x:c>
      <x:c r="G1170" s="11" t="n">
        <x:v>1004</x:v>
      </x:c>
      <x:c r="H1170" s="11" t="n">
        <x:v>200</x:v>
      </x:c>
      <x:c r="I1170" s="11" t="n">
        <x:v>1</x:v>
      </x:c>
      <x:c r="J1170" s="4" t="str">
        <x:v>https://blog.skyairline.com/navidad-en-miami/</x:v>
      </x:c>
      <x:c r="K1170" s="16" t="b">
        <x:v>0</x:v>
      </x:c>
      <x:c r="L1170" s="11" t="n">
        <x:v>0</x:v>
      </x:c>
      <x:c r="M1170" s="11" t="n">
        <x:v>3</x:v>
      </x:c>
      <x:c r="N1170" s="4"/>
      <x:c r="O1170" s="4"/>
      <x:c r="P1170" s="11" t="n">
        <x:v>0</x:v>
      </x:c>
      <x:c r="Q1170" s="11" t="n">
        <x:v>0</x:v>
      </x:c>
      <x:c r="R1170" s="11" t="str">
        <x:f>IF(OR(P1170="",Q1170=""),"",Q1170-P1170)</x:f>
      </x:c>
      <x:c r="S1170" s="13" t="str">
        <x:f>IF(OR(P1170="",Q1170="",P1170=0),"",((Q1170/30)/(P1170/31))-1)</x:f>
      </x:c>
      <x:c r="T1170" s="11" t="n">
        <x:v>57</x:v>
      </x:c>
      <x:c r="U1170" s="11" t="n">
        <x:v>35</x:v>
      </x:c>
      <x:c r="V1170" s="14" t="n">
        <x:v>0</x:v>
      </x:c>
      <x:c r="W1170" s="12" t="n">
        <x:v>19.285714285714285</x:v>
      </x:c>
      <x:c r="X1170" s="11"/>
      <x:c r="Y1170" s="11"/>
      <x:c r="Z1170" s="4" t="str">
        <x:v>https://blog.skyairline.com/navidad-en-miami/</x:v>
      </x:c>
      <x:c r="AA1170" s="4" t="str">
        <x:v>https://blog.skyairline.com/navidad-en-miami/</x:v>
      </x:c>
      <x:c r="AB1170" s="4" t="str">
        <x:v>Coincidencia URL</x:v>
      </x:c>
      <x:c r="AC1170" s="4" t="str">
        <x:v>Publicado hasta septiembre</x:v>
      </x:c>
      <x:c r="AD1170" s="4"/>
      <x:c r="AE1170" s="4"/>
      <x:c r="AF1170" s="16" t="b">
        <x:v>0</x:v>
      </x:c>
    </x:row>
    <x:row r="1171" ht="44" customHeight="1">
      <x:c r="A1171" s="4" t="n">
        <x:v>2557</x:v>
      </x:c>
      <x:c r="B1171" s="4" t="str">
        <x:v>https://blog.skyairline.com/navidad-en-chile-3/</x:v>
      </x:c>
      <x:c r="C1171" s="9" t="str">
        <x:v>3 actividades para hacer durante las Navidades en Chile</x:v>
      </x:c>
      <x:c r="D1171" s="17" t="d">
        <x:v>2022-12-06T00:00:00.000Z</x:v>
      </x:c>
      <x:c r="E1171" s="17" t="d">
        <x:v>2022-12-06T00:00:00.000Z</x:v>
      </x:c>
      <x:c r="F1171" s="4" t="str">
        <x:v>Cultura</x:v>
      </x:c>
      <x:c r="G1171" s="11" t="n">
        <x:v>1021</x:v>
      </x:c>
      <x:c r="H1171" s="11" t="n">
        <x:v>200</x:v>
      </x:c>
      <x:c r="I1171" s="11" t="n">
        <x:v>1</x:v>
      </x:c>
      <x:c r="J1171" s="4" t="str">
        <x:v>https://blog.skyairline.com/navidad-en-chile-3/</x:v>
      </x:c>
      <x:c r="K1171" s="16" t="b">
        <x:v>0</x:v>
      </x:c>
      <x:c r="L1171" s="11" t="n">
        <x:v>0</x:v>
      </x:c>
      <x:c r="M1171" s="11" t="n">
        <x:v>0</x:v>
      </x:c>
      <x:c r="N1171" s="4"/>
      <x:c r="O1171" s="4"/>
      <x:c r="P1171" s="11" t="n">
        <x:v>0</x:v>
      </x:c>
      <x:c r="Q1171" s="11" t="n">
        <x:v>0</x:v>
      </x:c>
      <x:c r="R1171" s="11" t="str">
        <x:f>IF(OR(P1171="",Q1171=""),"",Q1171-P1171)</x:f>
      </x:c>
      <x:c r="S1171" s="13" t="str">
        <x:f>IF(OR(P1171="",Q1171="",P1171=0),"",((Q1171/30)/(P1171/31))-1)</x:f>
      </x:c>
      <x:c r="T1171" s="11" t="n">
        <x:v>57</x:v>
      </x:c>
      <x:c r="U1171" s="11" t="n">
        <x:v>85</x:v>
      </x:c>
      <x:c r="V1171" s="14" t="n">
        <x:v>0</x:v>
      </x:c>
      <x:c r="W1171" s="12" t="n">
        <x:v>21.51764705882353</x:v>
      </x:c>
      <x:c r="X1171" s="11"/>
      <x:c r="Y1171" s="11"/>
      <x:c r="Z1171" s="4" t="str">
        <x:v>https://blog.skyairline.com/navidad-en-chile-3/</x:v>
      </x:c>
      <x:c r="AA1171" s="4" t="str">
        <x:v>https://blog.skyairline.com/navidad-en-chile-3/</x:v>
      </x:c>
      <x:c r="AB1171" s="4" t="str">
        <x:v>Coincidencia URL</x:v>
      </x:c>
      <x:c r="AC1171" s="4" t="str">
        <x:v>Publicado hasta septiembre</x:v>
      </x:c>
      <x:c r="AD1171" s="4"/>
      <x:c r="AE1171" s="4"/>
      <x:c r="AF1171" s="16" t="b">
        <x:v>0</x:v>
      </x:c>
    </x:row>
    <x:row r="1172" ht="44" customHeight="1">
      <x:c r="A1172" s="4" t="n">
        <x:v>2564</x:v>
      </x:c>
      <x:c r="B1172" s="4" t="str">
        <x:v>https://blog.skyairline.com/verano-en-chile-2/</x:v>
      </x:c>
      <x:c r="C1172" s="9" t="str">
        <x:v>Verano en Chile: los mejores destinos según la zona del país</x:v>
      </x:c>
      <x:c r="D1172" s="17" t="d">
        <x:v>2026-10-02T00:00:00.000Z</x:v>
      </x:c>
      <x:c r="E1172" s="17" t="d">
        <x:v>2026-09-22T00:00:00.000Z</x:v>
      </x:c>
      <x:c r="F1172" s="4" t="str">
        <x:v>Destinos</x:v>
      </x:c>
      <x:c r="G1172" s="11" t="n">
        <x:v>1183</x:v>
      </x:c>
      <x:c r="H1172" s="11" t="n">
        <x:v>200</x:v>
      </x:c>
      <x:c r="I1172" s="11" t="n">
        <x:v>1</x:v>
      </x:c>
      <x:c r="J1172" s="4" t="str">
        <x:v>https://blog.skyairline.com/verano-en-chile-2/</x:v>
      </x:c>
      <x:c r="K1172" s="16" t="b">
        <x:v>0</x:v>
      </x:c>
      <x:c r="L1172" s="11" t="n">
        <x:v>0</x:v>
      </x:c>
      <x:c r="M1172" s="11" t="n">
        <x:v>0</x:v>
      </x:c>
      <x:c r="N1172" s="4"/>
      <x:c r="O1172" s="4"/>
      <x:c r="P1172" s="11" t="n">
        <x:v>0</x:v>
      </x:c>
      <x:c r="Q1172" s="11" t="n">
        <x:v>0</x:v>
      </x:c>
      <x:c r="R1172" s="11" t="str">
        <x:f>IF(OR(P1172="",Q1172=""),"",Q1172-P1172)</x:f>
      </x:c>
      <x:c r="S1172" s="13" t="str">
        <x:f>IF(OR(P1172="",Q1172="",P1172=0),"",((Q1172/30)/(P1172/31))-1)</x:f>
      </x:c>
      <x:c r="T1172" s="11" t="n">
        <x:v>193</x:v>
      </x:c>
      <x:c r="U1172" s="11" t="n">
        <x:v>65</x:v>
      </x:c>
      <x:c r="V1172" s="14" t="n">
        <x:v>0</x:v>
      </x:c>
      <x:c r="W1172" s="12" t="n">
        <x:v>16.861538461538462</x:v>
      </x:c>
      <x:c r="X1172" s="11" t="n">
        <x:v>2</x:v>
      </x:c>
      <x:c r="Y1172" s="11" t="n">
        <x:v>3</x:v>
      </x:c>
      <x:c r="Z1172" s="4" t="str">
        <x:v>https://blog.skyairline.com/verano-en-chile-2/</x:v>
      </x:c>
      <x:c r="AA1172" s="4" t="str">
        <x:v>https://blog.skyairline.com/verano-en-chile-2/</x:v>
      </x:c>
      <x:c r="AB1172" s="4" t="str">
        <x:v>Coincidencia URL</x:v>
      </x:c>
      <x:c r="AC1172" s="4" t="str">
        <x:v>Publicado después del mes</x:v>
      </x:c>
      <x:c r="AD1172" s="4" t="str">
        <x:v>/verano-en-chile-2/</x:v>
      </x:c>
      <x:c r="AE1172" s="4"/>
      <x:c r="AF1172" s="16" t="b">
        <x:v>0</x:v>
      </x:c>
    </x:row>
    <x:row r="1173" ht="44" customHeight="1">
      <x:c r="A1173" s="4" t="n">
        <x:v>2576</x:v>
      </x:c>
      <x:c r="B1173" s="4" t="str">
        <x:v>https://blog.skyairline.com/lugares-luna-de-miel/</x:v>
      </x:c>
      <x:c r="C1173" s="9" t="str">
        <x:v>Lugares de luna de miel que debes considerar</x:v>
      </x:c>
      <x:c r="D1173" s="17" t="d">
        <x:v>2024-10-22T00:00:00.000Z</x:v>
      </x:c>
      <x:c r="E1173" s="17" t="d">
        <x:v>2024-10-22T00:00:00.000Z</x:v>
      </x:c>
      <x:c r="F1173" s="4" t="str">
        <x:v>Buenos Aires, Destinos, Planificación de Viaje</x:v>
      </x:c>
      <x:c r="G1173" s="11" t="n">
        <x:v>2213</x:v>
      </x:c>
      <x:c r="H1173" s="11" t="n">
        <x:v>200</x:v>
      </x:c>
      <x:c r="I1173" s="11" t="n">
        <x:v>1</x:v>
      </x:c>
      <x:c r="J1173" s="4" t="str">
        <x:v>https://blog.skyairline.com/lugares-luna-de-miel/</x:v>
      </x:c>
      <x:c r="K1173" s="16" t="b">
        <x:v>0</x:v>
      </x:c>
      <x:c r="L1173" s="11" t="n">
        <x:v>0</x:v>
      </x:c>
      <x:c r="M1173" s="11" t="n">
        <x:v>7</x:v>
      </x:c>
      <x:c r="N1173" s="4"/>
      <x:c r="O1173" s="4"/>
      <x:c r="P1173" s="11" t="n">
        <x:v>0</x:v>
      </x:c>
      <x:c r="Q1173" s="11" t="n">
        <x:v>0</x:v>
      </x:c>
      <x:c r="R1173" s="11" t="str">
        <x:f>IF(OR(P1173="",Q1173=""),"",Q1173-P1173)</x:f>
      </x:c>
      <x:c r="S1173" s="13" t="str">
        <x:f>IF(OR(P1173="",Q1173="",P1173=0),"",((Q1173/30)/(P1173/31))-1)</x:f>
      </x:c>
      <x:c r="T1173" s="11" t="n">
        <x:v>289</x:v>
      </x:c>
      <x:c r="U1173" s="11" t="n">
        <x:v>243</x:v>
      </x:c>
      <x:c r="V1173" s="14" t="n">
        <x:v>0</x:v>
      </x:c>
      <x:c r="W1173" s="12" t="n">
        <x:v>43.48148148148148</x:v>
      </x:c>
      <x:c r="X1173" s="11"/>
      <x:c r="Y1173" s="11"/>
      <x:c r="Z1173" s="4" t="str">
        <x:v>https://blog.skyairline.com/lugares-luna-de-miel/</x:v>
      </x:c>
      <x:c r="AA1173" s="4" t="str">
        <x:v>https://blog.skyairline.com/lugares-luna-de-miel/</x:v>
      </x:c>
      <x:c r="AB1173" s="4" t="str">
        <x:v>Coincidencia URL</x:v>
      </x:c>
      <x:c r="AC1173" s="4" t="str">
        <x:v>Publicado hasta septiembre</x:v>
      </x:c>
      <x:c r="AD1173" s="4"/>
      <x:c r="AE1173" s="4"/>
      <x:c r="AF1173" s="16" t="b">
        <x:v>0</x:v>
      </x:c>
    </x:row>
    <x:row r="1174" ht="44" customHeight="1">
      <x:c r="A1174" s="4" t="n">
        <x:v>2579</x:v>
      </x:c>
      <x:c r="B1174" s="4" t="str">
        <x:v>https://blog.skyairline.com/sky-chiloe/</x:v>
      </x:c>
      <x:c r="C1174" s="9" t="str">
        <x:v> Visita la Isla de Chiloe en tus próximas vacaciones</x:v>
      </x:c>
      <x:c r="D1174" s="17" t="d">
        <x:v>2022-12-15T00:00:00.000Z</x:v>
      </x:c>
      <x:c r="E1174" s="17" t="d">
        <x:v>2025-11-19T00:00:00.000Z</x:v>
      </x:c>
      <x:c r="F1174" s="4" t="str">
        <x:v>Destinos</x:v>
      </x:c>
      <x:c r="G1174" s="11" t="n">
        <x:v>1030</x:v>
      </x:c>
      <x:c r="H1174" s="11" t="n">
        <x:v>200</x:v>
      </x:c>
      <x:c r="I1174" s="11" t="n">
        <x:v>1</x:v>
      </x:c>
      <x:c r="J1174" s="4" t="str">
        <x:v>https://blog.skyairline.com/sky-chiloe/</x:v>
      </x:c>
      <x:c r="K1174" s="16" t="b">
        <x:v>0</x:v>
      </x:c>
      <x:c r="L1174" s="11" t="n">
        <x:v>0</x:v>
      </x:c>
      <x:c r="M1174" s="11" t="n">
        <x:v>2</x:v>
      </x:c>
      <x:c r="N1174" s="4"/>
      <x:c r="O1174" s="4"/>
      <x:c r="P1174" s="11" t="n">
        <x:v>0</x:v>
      </x:c>
      <x:c r="Q1174" s="11" t="n">
        <x:v>0</x:v>
      </x:c>
      <x:c r="R1174" s="11" t="str">
        <x:f>IF(OR(P1174="",Q1174=""),"",Q1174-P1174)</x:f>
      </x:c>
      <x:c r="S1174" s="13" t="str">
        <x:f>IF(OR(P1174="",Q1174="",P1174=0),"",((Q1174/30)/(P1174/31))-1)</x:f>
      </x:c>
      <x:c r="T1174" s="11" t="n">
        <x:v>57</x:v>
      </x:c>
      <x:c r="U1174" s="11" t="n">
        <x:v>38</x:v>
      </x:c>
      <x:c r="V1174" s="14" t="n">
        <x:v>0</x:v>
      </x:c>
      <x:c r="W1174" s="12" t="n">
        <x:v>22</x:v>
      </x:c>
      <x:c r="X1174" s="11"/>
      <x:c r="Y1174" s="11"/>
      <x:c r="Z1174" s="4" t="str">
        <x:v>https://blog.skyairline.com/sky-chiloe/</x:v>
      </x:c>
      <x:c r="AA1174" s="4" t="str">
        <x:v>https://blog.skyairline.com/sky-chiloe/</x:v>
      </x:c>
      <x:c r="AB1174" s="4" t="str">
        <x:v>Coincidencia URL</x:v>
      </x:c>
      <x:c r="AC1174" s="4" t="str">
        <x:v>Publicado hasta septiembre</x:v>
      </x:c>
      <x:c r="AD1174" s="4"/>
      <x:c r="AE1174" s="4"/>
      <x:c r="AF1174" s="16" t="b">
        <x:v>0</x:v>
      </x:c>
    </x:row>
    <x:row r="1175" ht="44" customHeight="1">
      <x:c r="A1175" s="4" t="n">
        <x:v>2590</x:v>
      </x:c>
      <x:c r="B1175" s="4" t="str">
        <x:v>https://blog.skyairline.com/mejor-comida-peruana/</x:v>
      </x:c>
      <x:c r="C1175" s="9" t="str">
        <x:v>¿Vas a Machu Picchu? No te puedes perder de la mejor comida peruana</x:v>
      </x:c>
      <x:c r="D1175" s="17" t="d">
        <x:v>2022-12-19T00:00:00.000Z</x:v>
      </x:c>
      <x:c r="E1175" s="17" t="d">
        <x:v>2022-12-19T00:00:00.000Z</x:v>
      </x:c>
      <x:c r="F1175" s="4" t="str">
        <x:v>Cultura</x:v>
      </x:c>
      <x:c r="G1175" s="11" t="n">
        <x:v>1097</x:v>
      </x:c>
      <x:c r="H1175" s="11" t="n">
        <x:v>200</x:v>
      </x:c>
      <x:c r="I1175" s="11" t="n">
        <x:v>1</x:v>
      </x:c>
      <x:c r="J1175" s="4" t="str">
        <x:v>https://blog.skyairline.com/mejor-comida-peruana/</x:v>
      </x:c>
      <x:c r="K1175" s="16" t="b">
        <x:v>0</x:v>
      </x:c>
      <x:c r="L1175" s="11" t="n">
        <x:v>0</x:v>
      </x:c>
      <x:c r="M1175" s="11" t="n">
        <x:v>3</x:v>
      </x:c>
      <x:c r="N1175" s="4"/>
      <x:c r="O1175" s="4"/>
      <x:c r="P1175" s="11" t="n">
        <x:v>0</x:v>
      </x:c>
      <x:c r="Q1175" s="11" t="n">
        <x:v>0</x:v>
      </x:c>
      <x:c r="R1175" s="11" t="str">
        <x:f>IF(OR(P1175="",Q1175=""),"",Q1175-P1175)</x:f>
      </x:c>
      <x:c r="S1175" s="13" t="str">
        <x:f>IF(OR(P1175="",Q1175="",P1175=0),"",((Q1175/30)/(P1175/31))-1)</x:f>
      </x:c>
      <x:c r="T1175" s="11" t="n">
        <x:v>35</x:v>
      </x:c>
      <x:c r="U1175" s="11" t="n">
        <x:v>10</x:v>
      </x:c>
      <x:c r="V1175" s="14" t="n">
        <x:v>0</x:v>
      </x:c>
      <x:c r="W1175" s="12" t="n">
        <x:v>18.6</x:v>
      </x:c>
      <x:c r="X1175" s="11" t="n">
        <x:v>1</x:v>
      </x:c>
      <x:c r="Y1175" s="11" t="n">
        <x:v>1</x:v>
      </x:c>
      <x:c r="Z1175" s="4" t="str">
        <x:v>https://blog.skyairline.com/mejor-comida-peruana/</x:v>
      </x:c>
      <x:c r="AA1175" s="4" t="str">
        <x:v>https://blog.skyairline.com/mejor-comida-peruana/</x:v>
      </x:c>
      <x:c r="AB1175" s="4" t="str">
        <x:v>Coincidencia URL</x:v>
      </x:c>
      <x:c r="AC1175" s="4" t="str">
        <x:v>Publicado hasta septiembre</x:v>
      </x:c>
      <x:c r="AD1175" s="4" t="str">
        <x:v>/mejor-comida-peruana/</x:v>
      </x:c>
      <x:c r="AE1175" s="4"/>
      <x:c r="AF1175" s="16" t="b">
        <x:v>0</x:v>
      </x:c>
    </x:row>
    <x:row r="1176" ht="44" customHeight="1">
      <x:c r="A1176" s="4" t="n">
        <x:v>2593</x:v>
      </x:c>
      <x:c r="B1176" s="4" t="str">
        <x:v>https://blog.skyairline.com/verano-en-peru/</x:v>
      </x:c>
      <x:c r="C1176" s="9" t="str">
        <x:v>Verano en Perú: ¿Qué lugares debo visitar?</x:v>
      </x:c>
      <x:c r="D1176" s="17" t="d">
        <x:v>2022-12-20T00:00:00.000Z</x:v>
      </x:c>
      <x:c r="E1176" s="17" t="d">
        <x:v>2022-12-20T00:00:00.000Z</x:v>
      </x:c>
      <x:c r="F1176" s="4" t="str">
        <x:v>Destinos</x:v>
      </x:c>
      <x:c r="G1176" s="11" t="n">
        <x:v>1024</x:v>
      </x:c>
      <x:c r="H1176" s="11" t="n">
        <x:v>200</x:v>
      </x:c>
      <x:c r="I1176" s="11" t="n">
        <x:v>1</x:v>
      </x:c>
      <x:c r="J1176" s="4" t="str">
        <x:v>https://blog.skyairline.com/verano-en-peru/</x:v>
      </x:c>
      <x:c r="K1176" s="16" t="b">
        <x:v>0</x:v>
      </x:c>
      <x:c r="L1176" s="11" t="n">
        <x:v>0</x:v>
      </x:c>
      <x:c r="M1176" s="11" t="n">
        <x:v>3</x:v>
      </x:c>
      <x:c r="N1176" s="4"/>
      <x:c r="O1176" s="4"/>
      <x:c r="P1176" s="11" t="n">
        <x:v>0</x:v>
      </x:c>
      <x:c r="Q1176" s="11" t="n">
        <x:v>0</x:v>
      </x:c>
      <x:c r="R1176" s="11" t="str">
        <x:f>IF(OR(P1176="",Q1176=""),"",Q1176-P1176)</x:f>
      </x:c>
      <x:c r="S1176" s="13" t="str">
        <x:f>IF(OR(P1176="",Q1176="",P1176=0),"",((Q1176/30)/(P1176/31))-1)</x:f>
      </x:c>
      <x:c r="T1176" s="11" t="n">
        <x:v>96</x:v>
      </x:c>
      <x:c r="U1176" s="11" t="n">
        <x:v>63</x:v>
      </x:c>
      <x:c r="V1176" s="14" t="n">
        <x:v>0</x:v>
      </x:c>
      <x:c r="W1176" s="12" t="n">
        <x:v>34.36507936507937</x:v>
      </x:c>
      <x:c r="X1176" s="11"/>
      <x:c r="Y1176" s="11"/>
      <x:c r="Z1176" s="4" t="str">
        <x:v>https://blog.skyairline.com/verano-en-peru/</x:v>
      </x:c>
      <x:c r="AA1176" s="4" t="str">
        <x:v>https://blog.skyairline.com/verano-en-peru/</x:v>
      </x:c>
      <x:c r="AB1176" s="4" t="str">
        <x:v>Coincidencia URL</x:v>
      </x:c>
      <x:c r="AC1176" s="4" t="str">
        <x:v>Publicado hasta septiembre</x:v>
      </x:c>
      <x:c r="AD1176" s="4"/>
      <x:c r="AE1176" s="4"/>
      <x:c r="AF1176" s="16" t="b">
        <x:v>0</x:v>
      </x:c>
    </x:row>
    <x:row r="1177" ht="44" customHeight="1">
      <x:c r="A1177" s="4" t="n">
        <x:v>2596</x:v>
      </x:c>
      <x:c r="B1177" s="4" t="str">
        <x:v>https://blog.skyairline.com/viaje-a-brasil/</x:v>
      </x:c>
      <x:c r="C1177" s="9" t="str">
        <x:v>Viaje a Brasil: naturaleza y aventura garantizadas</x:v>
      </x:c>
      <x:c r="D1177" s="17" t="d">
        <x:v>2022-12-21T00:00:00.000Z</x:v>
      </x:c>
      <x:c r="E1177" s="17" t="d">
        <x:v>2022-12-21T00:00:00.000Z</x:v>
      </x:c>
      <x:c r="F1177" s="4" t="str">
        <x:v>Destinos</x:v>
      </x:c>
      <x:c r="G1177" s="11" t="n">
        <x:v>1051</x:v>
      </x:c>
      <x:c r="H1177" s="11" t="n">
        <x:v>200</x:v>
      </x:c>
      <x:c r="I1177" s="11" t="n">
        <x:v>1</x:v>
      </x:c>
      <x:c r="J1177" s="4" t="str">
        <x:v>https://blog.skyairline.com/viaje-a-brasil/</x:v>
      </x:c>
      <x:c r="K1177" s="16" t="b">
        <x:v>0</x:v>
      </x:c>
      <x:c r="L1177" s="11" t="n">
        <x:v>0</x:v>
      </x:c>
      <x:c r="M1177" s="11" t="n">
        <x:v>3</x:v>
      </x:c>
      <x:c r="N1177" s="4"/>
      <x:c r="O1177" s="4"/>
      <x:c r="P1177" s="11" t="n">
        <x:v>0</x:v>
      </x:c>
      <x:c r="Q1177" s="11" t="n">
        <x:v>0</x:v>
      </x:c>
      <x:c r="R1177" s="11" t="str">
        <x:f>IF(OR(P1177="",Q1177=""),"",Q1177-P1177)</x:f>
      </x:c>
      <x:c r="S1177" s="13" t="str">
        <x:f>IF(OR(P1177="",Q1177="",P1177=0),"",((Q1177/30)/(P1177/31))-1)</x:f>
      </x:c>
      <x:c r="T1177" s="11" t="n">
        <x:v>12</x:v>
      </x:c>
      <x:c r="U1177" s="11" t="n">
        <x:v>6</x:v>
      </x:c>
      <x:c r="V1177" s="14" t="n">
        <x:v>0</x:v>
      </x:c>
      <x:c r="W1177" s="12" t="n">
        <x:v>11.166666666666666</x:v>
      </x:c>
      <x:c r="X1177" s="11"/>
      <x:c r="Y1177" s="11"/>
      <x:c r="Z1177" s="4" t="str">
        <x:v>https://blog.skyairline.com/viaje-a-brasil/</x:v>
      </x:c>
      <x:c r="AA1177" s="4" t="str">
        <x:v>https://blog.skyairline.com/viaje-a-brasil/</x:v>
      </x:c>
      <x:c r="AB1177" s="4" t="str">
        <x:v>Coincidencia URL</x:v>
      </x:c>
      <x:c r="AC1177" s="4" t="str">
        <x:v>Publicado hasta septiembre</x:v>
      </x:c>
      <x:c r="AD1177" s="4"/>
      <x:c r="AE1177" s="4"/>
      <x:c r="AF1177" s="16" t="b">
        <x:v>0</x:v>
      </x:c>
    </x:row>
    <x:row r="1178" ht="44" customHeight="1">
      <x:c r="A1178" s="4" t="n">
        <x:v>2599</x:v>
      </x:c>
      <x:c r="B1178" s="4" t="str">
        <x:v>https://blog.skyairline.com/viaje-estudio/</x:v>
      </x:c>
      <x:c r="C1178" s="9" t="str">
        <x:v>¿A dónde ir de viaje de estudio? ¡Hay que celebrarlo!</x:v>
      </x:c>
      <x:c r="D1178" s="17" t="d">
        <x:v>2024-07-22T00:00:00.000Z</x:v>
      </x:c>
      <x:c r="E1178" s="17" t="d">
        <x:v>2024-07-22T00:00:00.000Z</x:v>
      </x:c>
      <x:c r="F1178" s="4" t="str">
        <x:v>Planificación de Viaje</x:v>
      </x:c>
      <x:c r="G1178" s="11" t="n">
        <x:v>1106</x:v>
      </x:c>
      <x:c r="H1178" s="11" t="n">
        <x:v>200</x:v>
      </x:c>
      <x:c r="I1178" s="11" t="n">
        <x:v>1</x:v>
      </x:c>
      <x:c r="J1178" s="4" t="str">
        <x:v>https://blog.skyairline.com/viaje-estudio/</x:v>
      </x:c>
      <x:c r="K1178" s="16" t="b">
        <x:v>0</x:v>
      </x:c>
      <x:c r="L1178" s="11" t="n">
        <x:v>0</x:v>
      </x:c>
      <x:c r="M1178" s="11" t="n">
        <x:v>3</x:v>
      </x:c>
      <x:c r="N1178" s="4"/>
      <x:c r="O1178" s="4"/>
      <x:c r="P1178" s="11" t="n">
        <x:v>1</x:v>
      </x:c>
      <x:c r="Q1178" s="11" t="n">
        <x:v>0</x:v>
      </x:c>
      <x:c r="R1178" s="11" t="str">
        <x:f>IF(OR(P1178="",Q1178=""),"",Q1178-P1178)</x:f>
      </x:c>
      <x:c r="S1178" s="13" t="str">
        <x:f>IF(OR(P1178="",Q1178="",P1178=0),"",((Q1178/30)/(P1178/31))-1)</x:f>
      </x:c>
      <x:c r="T1178" s="11" t="n">
        <x:v>32</x:v>
      </x:c>
      <x:c r="U1178" s="11" t="n">
        <x:v>32</x:v>
      </x:c>
      <x:c r="V1178" s="14" t="n">
        <x:v>0</x:v>
      </x:c>
      <x:c r="W1178" s="12" t="n">
        <x:v>7.65625</x:v>
      </x:c>
      <x:c r="X1178" s="11"/>
      <x:c r="Y1178" s="11"/>
      <x:c r="Z1178" s="4" t="str">
        <x:v>https://blog.skyairline.com/viaje-estudio/</x:v>
      </x:c>
      <x:c r="AA1178" s="4" t="str">
        <x:v>https://blog.skyairline.com/viaje-estudio/</x:v>
      </x:c>
      <x:c r="AB1178" s="4" t="str">
        <x:v>Coincidencia URL</x:v>
      </x:c>
      <x:c r="AC1178" s="4" t="str">
        <x:v>Publicado hasta septiembre</x:v>
      </x:c>
      <x:c r="AD1178" s="4"/>
      <x:c r="AE1178" s="4"/>
      <x:c r="AF1178" s="16" t="b">
        <x:v>0</x:v>
      </x:c>
    </x:row>
    <x:row r="1179" ht="44" customHeight="1">
      <x:c r="A1179" s="4" t="n">
        <x:v>2620</x:v>
      </x:c>
      <x:c r="B1179" s="4" t="str">
        <x:v>https://blog.skyairline.com/glaciares-balmaceda-y-serrano/</x:v>
      </x:c>
      <x:c r="C1179" s="9" t="str">
        <x:v>Un recorrido por los Glaciares Balmaceda y Serrano</x:v>
      </x:c>
      <x:c r="D1179" s="17" t="d">
        <x:v>2023-01-02T00:00:00.000Z</x:v>
      </x:c>
      <x:c r="E1179" s="17" t="d">
        <x:v>2023-01-02T00:00:00.000Z</x:v>
      </x:c>
      <x:c r="F1179" s="4" t="str">
        <x:v>Destinos</x:v>
      </x:c>
      <x:c r="G1179" s="11" t="n">
        <x:v>994</x:v>
      </x:c>
      <x:c r="H1179" s="11" t="n">
        <x:v>200</x:v>
      </x:c>
      <x:c r="I1179" s="11" t="n">
        <x:v>1</x:v>
      </x:c>
      <x:c r="J1179" s="4" t="str">
        <x:v>https://blog.skyairline.com/glaciares-balmaceda-y-serrano/</x:v>
      </x:c>
      <x:c r="K1179" s="16" t="b">
        <x:v>0</x:v>
      </x:c>
      <x:c r="L1179" s="11" t="n">
        <x:v>0</x:v>
      </x:c>
      <x:c r="M1179" s="11" t="n">
        <x:v>4</x:v>
      </x:c>
      <x:c r="N1179" s="4"/>
      <x:c r="O1179" s="4"/>
      <x:c r="P1179" s="11" t="n">
        <x:v>1</x:v>
      </x:c>
      <x:c r="Q1179" s="11" t="n">
        <x:v>0</x:v>
      </x:c>
      <x:c r="R1179" s="11" t="str">
        <x:f>IF(OR(P1179="",Q1179=""),"",Q1179-P1179)</x:f>
      </x:c>
      <x:c r="S1179" s="13" t="str">
        <x:f>IF(OR(P1179="",Q1179="",P1179=0),"",((Q1179/30)/(P1179/31))-1)</x:f>
      </x:c>
      <x:c r="T1179" s="11" t="n">
        <x:v>54</x:v>
      </x:c>
      <x:c r="U1179" s="11" t="n">
        <x:v>62</x:v>
      </x:c>
      <x:c r="V1179" s="14" t="n">
        <x:v>0</x:v>
      </x:c>
      <x:c r="W1179" s="12" t="n">
        <x:v>19.725806451612904</x:v>
      </x:c>
      <x:c r="X1179" s="11"/>
      <x:c r="Y1179" s="11"/>
      <x:c r="Z1179" s="4" t="str">
        <x:v>https://blog.skyairline.com/glaciares-balmaceda-y-serrano/</x:v>
      </x:c>
      <x:c r="AA1179" s="4" t="str">
        <x:v>https://blog.skyairline.com/glaciares-balmaceda-y-serrano/</x:v>
      </x:c>
      <x:c r="AB1179" s="4" t="str">
        <x:v>Coincidencia URL</x:v>
      </x:c>
      <x:c r="AC1179" s="4" t="str">
        <x:v>Publicado hasta septiembre</x:v>
      </x:c>
      <x:c r="AD1179" s="4"/>
      <x:c r="AE1179" s="4"/>
      <x:c r="AF1179" s="16" t="b">
        <x:v>0</x:v>
      </x:c>
    </x:row>
    <x:row r="1180" ht="44" customHeight="1">
      <x:c r="A1180" s="4" t="n">
        <x:v>2626</x:v>
      </x:c>
      <x:c r="B1180" s="4" t="str">
        <x:v>https://blog.skyairline.com/wynwood-walls/</x:v>
      </x:c>
      <x:c r="C1180" s="9" t="str">
        <x:v>Viajar a Miami: ¿Qué hacer en Wynwood Walls?</x:v>
      </x:c>
      <x:c r="D1180" s="17" t="d">
        <x:v>2023-01-05T00:00:00.000Z</x:v>
      </x:c>
      <x:c r="E1180" s="17" t="d">
        <x:v>2023-01-05T00:00:00.000Z</x:v>
      </x:c>
      <x:c r="F1180" s="4" t="str">
        <x:v>Destinos</x:v>
      </x:c>
      <x:c r="G1180" s="11" t="n">
        <x:v>1081</x:v>
      </x:c>
      <x:c r="H1180" s="11" t="n">
        <x:v>200</x:v>
      </x:c>
      <x:c r="I1180" s="11" t="n">
        <x:v>1</x:v>
      </x:c>
      <x:c r="J1180" s="4" t="str">
        <x:v>https://blog.skyairline.com/wynwood-walls/</x:v>
      </x:c>
      <x:c r="K1180" s="16" t="b">
        <x:v>0</x:v>
      </x:c>
      <x:c r="L1180" s="11" t="n">
        <x:v>0</x:v>
      </x:c>
      <x:c r="M1180" s="11" t="n">
        <x:v>7</x:v>
      </x:c>
      <x:c r="N1180" s="4"/>
      <x:c r="O1180" s="4"/>
      <x:c r="P1180" s="11" t="n">
        <x:v>0</x:v>
      </x:c>
      <x:c r="Q1180" s="11" t="n">
        <x:v>0</x:v>
      </x:c>
      <x:c r="R1180" s="11" t="str">
        <x:f>IF(OR(P1180="",Q1180=""),"",Q1180-P1180)</x:f>
      </x:c>
      <x:c r="S1180" s="13" t="str">
        <x:f>IF(OR(P1180="",Q1180="",P1180=0),"",((Q1180/30)/(P1180/31))-1)</x:f>
      </x:c>
      <x:c r="T1180" s="11" t="n">
        <x:v>70</x:v>
      </x:c>
      <x:c r="U1180" s="11" t="n">
        <x:v>49</x:v>
      </x:c>
      <x:c r="V1180" s="14" t="n">
        <x:v>0</x:v>
      </x:c>
      <x:c r="W1180" s="12" t="n">
        <x:v>10.877551020408163</x:v>
      </x:c>
      <x:c r="X1180" s="11"/>
      <x:c r="Y1180" s="11"/>
      <x:c r="Z1180" s="4" t="str">
        <x:v>https://blog.skyairline.com/wynwood-walls/</x:v>
      </x:c>
      <x:c r="AA1180" s="4" t="str">
        <x:v>https://blog.skyairline.com/wynwood-walls/</x:v>
      </x:c>
      <x:c r="AB1180" s="4" t="str">
        <x:v>Coincidencia URL</x:v>
      </x:c>
      <x:c r="AC1180" s="4" t="str">
        <x:v>Publicado hasta septiembre</x:v>
      </x:c>
      <x:c r="AD1180" s="4"/>
      <x:c r="AE1180" s="4"/>
      <x:c r="AF1180" s="16" t="b">
        <x:v>0</x:v>
      </x:c>
    </x:row>
    <x:row r="1181" ht="44" customHeight="1">
      <x:c r="A1181" s="4" t="n">
        <x:v>2639</x:v>
      </x:c>
      <x:c r="B1181" s="4" t="str">
        <x:v>https://blog.skyairline.com/sky-se-posiciona-como-la-aerolinea-mas-puntual-de-america-por-cuarta-vez-en-el-ano/</x:v>
      </x:c>
      <x:c r="C1181" s="9" t="str">
        <x:v>SKY se posiciona como la aerolínea más puntual de América por cuarta vez en el año</x:v>
      </x:c>
      <x:c r="D1181" s="17" t="d">
        <x:v>2022-12-26T00:00:00.000Z</x:v>
      </x:c>
      <x:c r="E1181" s="17" t="d">
        <x:v>2022-12-26T00:00:00.000Z</x:v>
      </x:c>
      <x:c r="F1181" s="4" t="str">
        <x:v>Noticias</x:v>
      </x:c>
      <x:c r="G1181" s="11" t="n">
        <x:v>427</x:v>
      </x:c>
      <x:c r="H1181" s="11" t="n">
        <x:v>200</x:v>
      </x:c>
      <x:c r="I1181" s="11" t="n">
        <x:v>1</x:v>
      </x:c>
      <x:c r="J1181" s="4" t="str">
        <x:v>https://blog.skyairline.com/sky-se-posiciona-como-la-aerolinea-mas-puntual-de-america-por-cuarta-vez-en-el-ano/</x:v>
      </x:c>
      <x:c r="K1181" s="16" t="b">
        <x:v>0</x:v>
      </x:c>
      <x:c r="L1181" s="11" t="n">
        <x:v>0</x:v>
      </x:c>
      <x:c r="M1181" s="11" t="n">
        <x:v>0</x:v>
      </x:c>
      <x:c r="N1181" s="4"/>
      <x:c r="O1181" s="4"/>
      <x:c r="P1181" s="11" t="n">
        <x:v>0</x:v>
      </x:c>
      <x:c r="Q1181" s="11" t="n">
        <x:v>0</x:v>
      </x:c>
      <x:c r="R1181" s="11" t="str">
        <x:f>IF(OR(P1181="",Q1181=""),"",Q1181-P1181)</x:f>
      </x:c>
      <x:c r="S1181" s="13" t="str">
        <x:f>IF(OR(P1181="",Q1181="",P1181=0),"",((Q1181/30)/(P1181/31))-1)</x:f>
      </x:c>
      <x:c r="T1181" s="11" t="n">
        <x:v>16</x:v>
      </x:c>
      <x:c r="U1181" s="11" t="n">
        <x:v>19</x:v>
      </x:c>
      <x:c r="V1181" s="14" t="n">
        <x:v>0</x:v>
      </x:c>
      <x:c r="W1181" s="12" t="n">
        <x:v>8.421052631578949</x:v>
      </x:c>
      <x:c r="X1181" s="11"/>
      <x:c r="Y1181" s="11"/>
      <x:c r="Z1181" s="4" t="str">
        <x:v>https://blog.skyairline.com/sky-se-posiciona-como-la-aerolinea-mas-puntual-de-america-por-cuarta-vez-en-el-ano/</x:v>
      </x:c>
      <x:c r="AA1181" s="4" t="str">
        <x:v>https://blog.skyairline.com/sky-se-posiciona-como-la-aerolinea-mas-puntual-de-america-por-cuarta-vez-en-el-ano/</x:v>
      </x:c>
      <x:c r="AB1181" s="4" t="str">
        <x:v>Coincidencia URL</x:v>
      </x:c>
      <x:c r="AC1181" s="4" t="str">
        <x:v>Publicado hasta septiembre</x:v>
      </x:c>
      <x:c r="AD1181" s="4"/>
      <x:c r="AE1181" s="4"/>
      <x:c r="AF1181" s="16" t="b">
        <x:v>0</x:v>
      </x:c>
    </x:row>
    <x:row r="1182" ht="44" customHeight="1">
      <x:c r="A1182" s="4" t="n">
        <x:v>2646</x:v>
      </x:c>
      <x:c r="B1182" s="4" t="str">
        <x:v>https://blog.skyairline.com/planifica-tu-viaje/</x:v>
      </x:c>
      <x:c r="C1182" s="9" t="str">
        <x:v>Planifica tu viaje: ¿qué tener en cuenta para un viaje perfecto?</x:v>
      </x:c>
      <x:c r="D1182" s="17" t="d">
        <x:v>2025-09-07T00:00:00.000Z</x:v>
      </x:c>
      <x:c r="E1182" s="17" t="d">
        <x:v>2026-01-12T00:00:00.000Z</x:v>
      </x:c>
      <x:c r="F1182" s="4" t="str">
        <x:v>Planificación de Viaje</x:v>
      </x:c>
      <x:c r="G1182" s="11" t="n">
        <x:v>1062</x:v>
      </x:c>
      <x:c r="H1182" s="11" t="n">
        <x:v>200</x:v>
      </x:c>
      <x:c r="I1182" s="11" t="n">
        <x:v>1</x:v>
      </x:c>
      <x:c r="J1182" s="4" t="str">
        <x:v>https://blog.skyairline.com/planifica-tu-viaje/</x:v>
      </x:c>
      <x:c r="K1182" s="16" t="b">
        <x:v>0</x:v>
      </x:c>
      <x:c r="L1182" s="11" t="n">
        <x:v>0</x:v>
      </x:c>
      <x:c r="M1182" s="11" t="n">
        <x:v>4</x:v>
      </x:c>
      <x:c r="N1182" s="4"/>
      <x:c r="O1182" s="4"/>
      <x:c r="P1182" s="11" t="n">
        <x:v>0</x:v>
      </x:c>
      <x:c r="Q1182" s="11" t="n">
        <x:v>0</x:v>
      </x:c>
      <x:c r="R1182" s="11" t="str">
        <x:f>IF(OR(P1182="",Q1182=""),"",Q1182-P1182)</x:f>
      </x:c>
      <x:c r="S1182" s="13" t="str">
        <x:f>IF(OR(P1182="",Q1182="",P1182=0),"",((Q1182/30)/(P1182/31))-1)</x:f>
      </x:c>
      <x:c r="T1182" s="11" t="n">
        <x:v>131</x:v>
      </x:c>
      <x:c r="U1182" s="11" t="n">
        <x:v>26</x:v>
      </x:c>
      <x:c r="V1182" s="14" t="n">
        <x:v>0</x:v>
      </x:c>
      <x:c r="W1182" s="12" t="n">
        <x:v>11.23076923076923</x:v>
      </x:c>
      <x:c r="X1182" s="11"/>
      <x:c r="Y1182" s="11"/>
      <x:c r="Z1182" s="4" t="str">
        <x:v>https://blog.skyairline.com/planifica-tu-viaje/</x:v>
      </x:c>
      <x:c r="AA1182" s="4" t="str">
        <x:v>https://blog.skyairline.com/planifica-tu-viaje/</x:v>
      </x:c>
      <x:c r="AB1182" s="4" t="str">
        <x:v>Coincidencia URL</x:v>
      </x:c>
      <x:c r="AC1182" s="4" t="str">
        <x:v>Publicado hasta septiembre</x:v>
      </x:c>
      <x:c r="AD1182" s="4"/>
      <x:c r="AE1182" s="4"/>
      <x:c r="AF1182" s="16" t="b">
        <x:v>0</x:v>
      </x:c>
    </x:row>
    <x:row r="1183" ht="44" customHeight="1">
      <x:c r="A1183" s="4" t="n">
        <x:v>2653</x:v>
      </x:c>
      <x:c r="B1183" s="4" t="str">
        <x:v>https://blog.skyairline.com/lugares-turisticos-en-argentina/</x:v>
      </x:c>
      <x:c r="C1183" s="9" t="str">
        <x:v>Argentina, lugares turísticos que debes conocer en pareja</x:v>
      </x:c>
      <x:c r="D1183" s="17" t="d">
        <x:v>2026-04-29T00:00:00.000Z</x:v>
      </x:c>
      <x:c r="E1183" s="17" t="d">
        <x:v>2026-04-28T00:00:00.000Z</x:v>
      </x:c>
      <x:c r="F1183" s="4" t="str">
        <x:v>Destinos</x:v>
      </x:c>
      <x:c r="G1183" s="11" t="n">
        <x:v>1001</x:v>
      </x:c>
      <x:c r="H1183" s="11" t="n">
        <x:v>200</x:v>
      </x:c>
      <x:c r="I1183" s="11" t="n">
        <x:v>1</x:v>
      </x:c>
      <x:c r="J1183" s="4" t="str">
        <x:v>https://blog.skyairline.com/lugares-turisticos-en-argentina/</x:v>
      </x:c>
      <x:c r="K1183" s="16" t="b">
        <x:v>0</x:v>
      </x:c>
      <x:c r="L1183" s="11" t="n">
        <x:v>0</x:v>
      </x:c>
      <x:c r="M1183" s="11" t="n">
        <x:v>0</x:v>
      </x:c>
      <x:c r="N1183" s="4"/>
      <x:c r="O1183" s="4"/>
      <x:c r="P1183" s="11" t="n">
        <x:v>1</x:v>
      </x:c>
      <x:c r="Q1183" s="11" t="n">
        <x:v>0</x:v>
      </x:c>
      <x:c r="R1183" s="11" t="str">
        <x:f>IF(OR(P1183="",Q1183=""),"",Q1183-P1183)</x:f>
      </x:c>
      <x:c r="S1183" s="13" t="str">
        <x:f>IF(OR(P1183="",Q1183="",P1183=0),"",((Q1183/30)/(P1183/31))-1)</x:f>
      </x:c>
      <x:c r="T1183" s="11" t="n">
        <x:v>125</x:v>
      </x:c>
      <x:c r="U1183" s="11" t="n">
        <x:v>94</x:v>
      </x:c>
      <x:c r="V1183" s="14" t="n">
        <x:v>0</x:v>
      </x:c>
      <x:c r="W1183" s="12" t="n">
        <x:v>10.191489361702128</x:v>
      </x:c>
      <x:c r="X1183" s="11"/>
      <x:c r="Y1183" s="11"/>
      <x:c r="Z1183" s="4" t="str">
        <x:v>https://blog.skyairline.com/lugares-turisticos-en-argentina/</x:v>
      </x:c>
      <x:c r="AA1183" s="4" t="str">
        <x:v>https://blog.skyairline.com/lugares-turisticos-en-argentina/</x:v>
      </x:c>
      <x:c r="AB1183" s="4" t="str">
        <x:v>Coincidencia URL</x:v>
      </x:c>
      <x:c r="AC1183" s="4" t="str">
        <x:v>Publicado hasta septiembre</x:v>
      </x:c>
      <x:c r="AD1183" s="4"/>
      <x:c r="AE1183" s="4"/>
      <x:c r="AF1183" s="16" t="b">
        <x:v>0</x:v>
      </x:c>
    </x:row>
    <x:row r="1184" ht="44" customHeight="1">
      <x:c r="A1184" s="4" t="n">
        <x:v>2661</x:v>
      </x:c>
      <x:c r="B1184" s="4" t="str">
        <x:v>https://blog.skyairline.com/sky-es-reconocida-como-la-flota-mas-nueva-de-sudamerica-por-tercer-ano-consecutivo/</x:v>
      </x:c>
      <x:c r="C1184" s="9" t="str">
        <x:v>SKY es reconocida como la flota más nueva de Sudamérica por tercer año consecutivo</x:v>
      </x:c>
      <x:c r="D1184" s="17" t="d">
        <x:v>2023-01-27T00:00:00.000Z</x:v>
      </x:c>
      <x:c r="E1184" s="17" t="d">
        <x:v>2023-01-27T00:00:00.000Z</x:v>
      </x:c>
      <x:c r="F1184" s="4" t="str">
        <x:v>Noticias</x:v>
      </x:c>
      <x:c r="G1184" s="11" t="n">
        <x:v>468</x:v>
      </x:c>
      <x:c r="H1184" s="11" t="n">
        <x:v>200</x:v>
      </x:c>
      <x:c r="I1184" s="11" t="n">
        <x:v>1</x:v>
      </x:c>
      <x:c r="J1184" s="4" t="str">
        <x:v>https://blog.skyairline.com/sky-es-reconocida-como-la-flota-mas-nueva-de-sudamerica-por-tercer-ano-consecutivo/</x:v>
      </x:c>
      <x:c r="K1184" s="16" t="b">
        <x:v>0</x:v>
      </x:c>
      <x:c r="L1184" s="11" t="n">
        <x:v>0</x:v>
      </x:c>
      <x:c r="M1184" s="11" t="n">
        <x:v>0</x:v>
      </x:c>
      <x:c r="N1184" s="4" t="str">
        <x:v>T14</x:v>
      </x:c>
      <x:c r="O1184" s="4"/>
      <x:c r="P1184" s="11" t="n">
        <x:v>0</x:v>
      </x:c>
      <x:c r="Q1184" s="11" t="n">
        <x:v>0</x:v>
      </x:c>
      <x:c r="R1184" s="11" t="str">
        <x:f>IF(OR(P1184="",Q1184=""),"",Q1184-P1184)</x:f>
      </x:c>
      <x:c r="S1184" s="13" t="str">
        <x:f>IF(OR(P1184="",Q1184="",P1184=0),"",((Q1184/30)/(P1184/31))-1)</x:f>
      </x:c>
      <x:c r="T1184" s="11" t="n">
        <x:v>90</x:v>
      </x:c>
      <x:c r="U1184" s="11" t="n">
        <x:v>92</x:v>
      </x:c>
      <x:c r="V1184" s="14" t="n">
        <x:v>0</x:v>
      </x:c>
      <x:c r="W1184" s="12" t="n">
        <x:v>5.815217391304348</x:v>
      </x:c>
      <x:c r="X1184" s="11"/>
      <x:c r="Y1184" s="11"/>
      <x:c r="Z1184" s="4" t="str">
        <x:v>https://blog.skyairline.com/sky-es-reconocida-como-la-flota-mas-nueva-de-sudamerica-por-tercer-ano-consecutivo/</x:v>
      </x:c>
      <x:c r="AA1184" s="4" t="str">
        <x:v>https://blog.skyairline.com/sky-es-reconocida-como-la-flota-mas-nueva-de-sudamerica-por-tercer-ano-consecutivo/</x:v>
      </x:c>
      <x:c r="AB1184" s="4" t="str">
        <x:v>Coincidencia URL</x:v>
      </x:c>
      <x:c r="AC1184" s="4" t="str">
        <x:v>Publicado hasta septiembre</x:v>
      </x:c>
      <x:c r="AD1184" s="4"/>
      <x:c r="AE1184" s="4"/>
      <x:c r="AF1184" s="16" t="b">
        <x:v>1</x:v>
      </x:c>
    </x:row>
    <x:row r="1185" ht="44" customHeight="1">
      <x:c r="A1185" s="4" t="n">
        <x:v>2668</x:v>
      </x:c>
      <x:c r="B1185" s="4" t="str">
        <x:v>https://blog.skyairline.com/visitar-chile-en-2023/</x:v>
      </x:c>
      <x:c r="C1185" s="9" t="str">
        <x:v>6 razones para visitar Chile en este 2023</x:v>
      </x:c>
      <x:c r="D1185" s="17" t="d">
        <x:v>2023-01-30T00:00:00.000Z</x:v>
      </x:c>
      <x:c r="E1185" s="17" t="d">
        <x:v>2023-01-30T00:00:00.000Z</x:v>
      </x:c>
      <x:c r="F1185" s="4" t="str">
        <x:v>Destinos</x:v>
      </x:c>
      <x:c r="G1185" s="11" t="n">
        <x:v>984</x:v>
      </x:c>
      <x:c r="H1185" s="11" t="n">
        <x:v>200</x:v>
      </x:c>
      <x:c r="I1185" s="11" t="n">
        <x:v>1</x:v>
      </x:c>
      <x:c r="J1185" s="4" t="str">
        <x:v>https://blog.skyairline.com/visitar-chile-en-2023/</x:v>
      </x:c>
      <x:c r="K1185" s="16" t="b">
        <x:v>0</x:v>
      </x:c>
      <x:c r="L1185" s="11" t="n">
        <x:v>0</x:v>
      </x:c>
      <x:c r="M1185" s="11" t="n">
        <x:v>4</x:v>
      </x:c>
      <x:c r="N1185" s="4"/>
      <x:c r="O1185" s="4"/>
      <x:c r="P1185" s="11" t="n">
        <x:v>0</x:v>
      </x:c>
      <x:c r="Q1185" s="11" t="n">
        <x:v>0</x:v>
      </x:c>
      <x:c r="R1185" s="11" t="str">
        <x:f>IF(OR(P1185="",Q1185=""),"",Q1185-P1185)</x:f>
      </x:c>
      <x:c r="S1185" s="13" t="str">
        <x:f>IF(OR(P1185="",Q1185="",P1185=0),"",((Q1185/30)/(P1185/31))-1)</x:f>
      </x:c>
      <x:c r="T1185" s="11" t="n">
        <x:v>10</x:v>
      </x:c>
      <x:c r="U1185" s="11" t="n">
        <x:v>3</x:v>
      </x:c>
      <x:c r="V1185" s="14" t="n">
        <x:v>0</x:v>
      </x:c>
      <x:c r="W1185" s="12" t="n">
        <x:v>16.666666666666664</x:v>
      </x:c>
      <x:c r="X1185" s="11" t="n">
        <x:v>1</x:v>
      </x:c>
      <x:c r="Y1185" s="11" t="n">
        <x:v>1</x:v>
      </x:c>
      <x:c r="Z1185" s="4" t="str">
        <x:v>https://blog.skyairline.com/visitar-chile-en-2023/</x:v>
      </x:c>
      <x:c r="AA1185" s="4" t="str">
        <x:v>https://blog.skyairline.com/visitar-chile-en-2023/</x:v>
      </x:c>
      <x:c r="AB1185" s="4" t="str">
        <x:v>Coincidencia URL</x:v>
      </x:c>
      <x:c r="AC1185" s="4" t="str">
        <x:v>Publicado hasta septiembre</x:v>
      </x:c>
      <x:c r="AD1185" s="4" t="str">
        <x:v>/visitar-chile-en-2023/</x:v>
      </x:c>
      <x:c r="AE1185" s="4"/>
      <x:c r="AF1185" s="16" t="b">
        <x:v>0</x:v>
      </x:c>
    </x:row>
    <x:row r="1186" ht="44" customHeight="1">
      <x:c r="A1186" s="4" t="n">
        <x:v>2671</x:v>
      </x:c>
      <x:c r="B1186" s="4" t="str">
        <x:v>https://blog.skyairline.com/presupuesto-para-viajar-en-familia/</x:v>
      </x:c>
      <x:c r="C1186" s="9" t="str">
        <x:v>Viajar en familia: guía para planificar tu presupuesto</x:v>
      </x:c>
      <x:c r="D1186" s="17" t="d">
        <x:v>2024-10-28T00:00:00.000Z</x:v>
      </x:c>
      <x:c r="E1186" s="17" t="d">
        <x:v>2024-10-28T00:00:00.000Z</x:v>
      </x:c>
      <x:c r="F1186" s="4" t="str">
        <x:v>Planificación de Viaje</x:v>
      </x:c>
      <x:c r="G1186" s="11" t="n">
        <x:v>1162</x:v>
      </x:c>
      <x:c r="H1186" s="11" t="n">
        <x:v>200</x:v>
      </x:c>
      <x:c r="I1186" s="11" t="n">
        <x:v>1</x:v>
      </x:c>
      <x:c r="J1186" s="4" t="str">
        <x:v>https://blog.skyairline.com/presupuesto-para-viajar-en-familia/</x:v>
      </x:c>
      <x:c r="K1186" s="16" t="b">
        <x:v>0</x:v>
      </x:c>
      <x:c r="L1186" s="11" t="n">
        <x:v>0</x:v>
      </x:c>
      <x:c r="M1186" s="11" t="n">
        <x:v>4</x:v>
      </x:c>
      <x:c r="N1186" s="4"/>
      <x:c r="O1186" s="4"/>
      <x:c r="P1186" s="11" t="n">
        <x:v>0</x:v>
      </x:c>
      <x:c r="Q1186" s="11" t="n">
        <x:v>0</x:v>
      </x:c>
      <x:c r="R1186" s="11" t="str">
        <x:f>IF(OR(P1186="",Q1186=""),"",Q1186-P1186)</x:f>
      </x:c>
      <x:c r="S1186" s="13" t="str">
        <x:f>IF(OR(P1186="",Q1186="",P1186=0),"",((Q1186/30)/(P1186/31))-1)</x:f>
      </x:c>
      <x:c r="T1186" s="11" t="n">
        <x:v>184</x:v>
      </x:c>
      <x:c r="U1186" s="11" t="n">
        <x:v>93</x:v>
      </x:c>
      <x:c r="V1186" s="14" t="n">
        <x:v>0</x:v>
      </x:c>
      <x:c r="W1186" s="12" t="n">
        <x:v>15.365591397849462</x:v>
      </x:c>
      <x:c r="X1186" s="11" t="n">
        <x:v>1</x:v>
      </x:c>
      <x:c r="Y1186" s="11" t="n">
        <x:v>2</x:v>
      </x:c>
      <x:c r="Z1186" s="4" t="str">
        <x:v>https://blog.skyairline.com/presupuesto-para-viajar-en-familia/</x:v>
      </x:c>
      <x:c r="AA1186" s="4" t="str">
        <x:v>https://blog.skyairline.com/presupuesto-para-viajar-en-familia/</x:v>
      </x:c>
      <x:c r="AB1186" s="4" t="str">
        <x:v>Coincidencia URL</x:v>
      </x:c>
      <x:c r="AC1186" s="4" t="str">
        <x:v>Publicado hasta septiembre</x:v>
      </x:c>
      <x:c r="AD1186" s="4" t="str">
        <x:v>/presupuesto-para-viajar-en-familia/</x:v>
      </x:c>
      <x:c r="AE1186" s="4"/>
      <x:c r="AF1186" s="16" t="b">
        <x:v>0</x:v>
      </x:c>
    </x:row>
    <x:row r="1187" ht="44" customHeight="1">
      <x:c r="A1187" s="4" t="n">
        <x:v>2680</x:v>
      </x:c>
      <x:c r="B1187" s="4" t="str">
        <x:v>https://blog.skyairline.com/arriendo-de-auto-consejos/</x:v>
      </x:c>
      <x:c r="C1187" s="9" t="str">
        <x:v>Arriendo de auto: 7 consejos para tomar buenas decisiones</x:v>
      </x:c>
      <x:c r="D1187" s="17" t="d">
        <x:v>2023-02-01T00:00:00.000Z</x:v>
      </x:c>
      <x:c r="E1187" s="17" t="d">
        <x:v>2023-02-01T00:00:00.000Z</x:v>
      </x:c>
      <x:c r="F1187" s="4" t="str">
        <x:v>Planificación de Viaje</x:v>
      </x:c>
      <x:c r="G1187" s="11" t="n">
        <x:v>1055</x:v>
      </x:c>
      <x:c r="H1187" s="11" t="n">
        <x:v>200</x:v>
      </x:c>
      <x:c r="I1187" s="11" t="n">
        <x:v>1</x:v>
      </x:c>
      <x:c r="J1187" s="4" t="str">
        <x:v>https://blog.skyairline.com/arriendo-de-auto-consejos/</x:v>
      </x:c>
      <x:c r="K1187" s="16" t="b">
        <x:v>0</x:v>
      </x:c>
      <x:c r="L1187" s="11" t="n">
        <x:v>0</x:v>
      </x:c>
      <x:c r="M1187" s="11" t="n">
        <x:v>3</x:v>
      </x:c>
      <x:c r="N1187" s="4"/>
      <x:c r="O1187" s="4"/>
      <x:c r="P1187" s="11" t="n">
        <x:v>0</x:v>
      </x:c>
      <x:c r="Q1187" s="11" t="n">
        <x:v>0</x:v>
      </x:c>
      <x:c r="R1187" s="11" t="str">
        <x:f>IF(OR(P1187="",Q1187=""),"",Q1187-P1187)</x:f>
      </x:c>
      <x:c r="S1187" s="13" t="str">
        <x:f>IF(OR(P1187="",Q1187="",P1187=0),"",((Q1187/30)/(P1187/31))-1)</x:f>
      </x:c>
      <x:c r="T1187" s="11" t="n">
        <x:v>25</x:v>
      </x:c>
      <x:c r="U1187" s="11" t="n">
        <x:v>17</x:v>
      </x:c>
      <x:c r="V1187" s="14" t="n">
        <x:v>0</x:v>
      </x:c>
      <x:c r="W1187" s="12" t="n">
        <x:v>9.941176470588236</x:v>
      </x:c>
      <x:c r="X1187" s="11" t="n">
        <x:v>1</x:v>
      </x:c>
      <x:c r="Y1187" s="11" t="n">
        <x:v>3</x:v>
      </x:c>
      <x:c r="Z1187" s="4" t="str">
        <x:v>https://blog.skyairline.com/arriendo-de-auto-consejos/</x:v>
      </x:c>
      <x:c r="AA1187" s="4" t="str">
        <x:v>https://blog.skyairline.com/arriendo-de-auto-consejos/</x:v>
      </x:c>
      <x:c r="AB1187" s="4" t="str">
        <x:v>Coincidencia URL</x:v>
      </x:c>
      <x:c r="AC1187" s="4" t="str">
        <x:v>Publicado hasta septiembre</x:v>
      </x:c>
      <x:c r="AD1187" s="4" t="str">
        <x:v>/arriendo-de-auto-consejos/</x:v>
      </x:c>
      <x:c r="AE1187" s="4"/>
      <x:c r="AF1187" s="16" t="b">
        <x:v>0</x:v>
      </x:c>
    </x:row>
    <x:row r="1188" ht="44" customHeight="1">
      <x:c r="A1188" s="4" t="n">
        <x:v>2682</x:v>
      </x:c>
      <x:c r="B1188" s="4" t="str">
        <x:v>https://blog.skyairline.com/temporada-alta-para-viajar/</x:v>
      </x:c>
      <x:c r="C1188" s="9" t="str">
        <x:v>Temporada alta para viajar en 2026: qué es y cómo planificar sin estrés</x:v>
      </x:c>
      <x:c r="D1188" s="17" t="d">
        <x:v>2026-04-16T00:00:00.000Z</x:v>
      </x:c>
      <x:c r="E1188" s="17" t="d">
        <x:v>2026-04-13T00:00:00.000Z</x:v>
      </x:c>
      <x:c r="F1188" s="4" t="str">
        <x:v>Planificación de Viaje</x:v>
      </x:c>
      <x:c r="G1188" s="11" t="n">
        <x:v>1017</x:v>
      </x:c>
      <x:c r="H1188" s="11" t="n">
        <x:v>200</x:v>
      </x:c>
      <x:c r="I1188" s="11" t="n">
        <x:v>1</x:v>
      </x:c>
      <x:c r="J1188" s="4" t="str">
        <x:v>https://blog.skyairline.com/temporada-alta-para-viajar/</x:v>
      </x:c>
      <x:c r="K1188" s="16" t="b">
        <x:v>0</x:v>
      </x:c>
      <x:c r="L1188" s="11" t="n">
        <x:v>0</x:v>
      </x:c>
      <x:c r="M1188" s="11" t="n">
        <x:v>0</x:v>
      </x:c>
      <x:c r="N1188" s="4"/>
      <x:c r="O1188" s="4"/>
      <x:c r="P1188" s="11" t="n">
        <x:v>1</x:v>
      </x:c>
      <x:c r="Q1188" s="11" t="n">
        <x:v>0</x:v>
      </x:c>
      <x:c r="R1188" s="11" t="str">
        <x:f>IF(OR(P1188="",Q1188=""),"",Q1188-P1188)</x:f>
      </x:c>
      <x:c r="S1188" s="13" t="str">
        <x:f>IF(OR(P1188="",Q1188="",P1188=0),"",((Q1188/30)/(P1188/31))-1)</x:f>
      </x:c>
      <x:c r="T1188" s="11" t="n">
        <x:v>487</x:v>
      </x:c>
      <x:c r="U1188" s="11" t="n">
        <x:v>464</x:v>
      </x:c>
      <x:c r="V1188" s="14" t="n">
        <x:v>0</x:v>
      </x:c>
      <x:c r="W1188" s="12" t="n">
        <x:v>9.29094827586207</x:v>
      </x:c>
      <x:c r="X1188" s="11"/>
      <x:c r="Y1188" s="11"/>
      <x:c r="Z1188" s="4" t="str">
        <x:v>https://blog.skyairline.com/temporada-alta-para-viajar/</x:v>
      </x:c>
      <x:c r="AA1188" s="4" t="str">
        <x:v>https://blog.skyairline.com/temporada-alta-para-viajar/</x:v>
      </x:c>
      <x:c r="AB1188" s="4" t="str">
        <x:v>Coincidencia URL</x:v>
      </x:c>
      <x:c r="AC1188" s="4" t="str">
        <x:v>Publicado hasta septiembre</x:v>
      </x:c>
      <x:c r="AD1188" s="4"/>
      <x:c r="AE1188" s="4"/>
      <x:c r="AF1188" s="16" t="b">
        <x:v>0</x:v>
      </x:c>
    </x:row>
    <x:row r="1189" ht="44" customHeight="1">
      <x:c r="A1189" s="4" t="n">
        <x:v>2684</x:v>
      </x:c>
      <x:c r="B1189" s="4" t="str">
        <x:v>https://blog.skyairline.com/restaurantes-en-santiago/</x:v>
      </x:c>
      <x:c r="C1189" s="9" t="str">
        <x:v>7 famosos restaurantes en Santiago para deleitarte</x:v>
      </x:c>
      <x:c r="D1189" s="17" t="d">
        <x:v>2023-02-03T00:00:00.000Z</x:v>
      </x:c>
      <x:c r="E1189" s="17" t="d">
        <x:v>2023-02-03T00:00:00.000Z</x:v>
      </x:c>
      <x:c r="F1189" s="4" t="str">
        <x:v>Cultura</x:v>
      </x:c>
      <x:c r="G1189" s="11" t="n">
        <x:v>1098</x:v>
      </x:c>
      <x:c r="H1189" s="11" t="n">
        <x:v>200</x:v>
      </x:c>
      <x:c r="I1189" s="11" t="n">
        <x:v>1</x:v>
      </x:c>
      <x:c r="J1189" s="4" t="str">
        <x:v>https://blog.skyairline.com/restaurantes-en-santiago/</x:v>
      </x:c>
      <x:c r="K1189" s="16" t="b">
        <x:v>0</x:v>
      </x:c>
      <x:c r="L1189" s="11" t="n">
        <x:v>0</x:v>
      </x:c>
      <x:c r="M1189" s="11" t="n">
        <x:v>5</x:v>
      </x:c>
      <x:c r="N1189" s="4"/>
      <x:c r="O1189" s="4"/>
      <x:c r="P1189" s="11" t="n">
        <x:v>0</x:v>
      </x:c>
      <x:c r="Q1189" s="11" t="n">
        <x:v>0</x:v>
      </x:c>
      <x:c r="R1189" s="11" t="str">
        <x:f>IF(OR(P1189="",Q1189=""),"",Q1189-P1189)</x:f>
      </x:c>
      <x:c r="S1189" s="13" t="str">
        <x:f>IF(OR(P1189="",Q1189="",P1189=0),"",((Q1189/30)/(P1189/31))-1)</x:f>
      </x:c>
      <x:c r="T1189" s="11" t="n">
        <x:v>189</x:v>
      </x:c>
      <x:c r="U1189" s="11" t="n">
        <x:v>111</x:v>
      </x:c>
      <x:c r="V1189" s="14" t="n">
        <x:v>0</x:v>
      </x:c>
      <x:c r="W1189" s="12" t="n">
        <x:v>13.108108108108109</x:v>
      </x:c>
      <x:c r="X1189" s="11"/>
      <x:c r="Y1189" s="11"/>
      <x:c r="Z1189" s="4" t="str">
        <x:v>https://blog.skyairline.com/restaurantes-en-santiago/</x:v>
      </x:c>
      <x:c r="AA1189" s="4" t="str">
        <x:v>https://blog.skyairline.com/restaurantes-en-santiago/</x:v>
      </x:c>
      <x:c r="AB1189" s="4" t="str">
        <x:v>Coincidencia URL</x:v>
      </x:c>
      <x:c r="AC1189" s="4" t="str">
        <x:v>Publicado hasta septiembre</x:v>
      </x:c>
      <x:c r="AD1189" s="4"/>
      <x:c r="AE1189" s="4"/>
      <x:c r="AF1189" s="16" t="b">
        <x:v>0</x:v>
      </x:c>
    </x:row>
    <x:row r="1190" ht="44" customHeight="1">
      <x:c r="A1190" s="4" t="n">
        <x:v>2691</x:v>
      </x:c>
      <x:c r="B1190" s="4" t="str">
        <x:v>https://blog.skyairline.com/ciudad-de-castro/</x:v>
      </x:c>
      <x:c r="C1190" s="9" t="str">
        <x:v>Atractivos imperdibles en Ciudad de Castro</x:v>
      </x:c>
      <x:c r="D1190" s="17" t="d">
        <x:v>2023-02-09T00:00:00.000Z</x:v>
      </x:c>
      <x:c r="E1190" s="17" t="d">
        <x:v>2023-02-09T00:00:00.000Z</x:v>
      </x:c>
      <x:c r="F1190" s="4" t="str">
        <x:v>Destinos</x:v>
      </x:c>
      <x:c r="G1190" s="11" t="n">
        <x:v>979</x:v>
      </x:c>
      <x:c r="H1190" s="11" t="n">
        <x:v>200</x:v>
      </x:c>
      <x:c r="I1190" s="11" t="n">
        <x:v>1</x:v>
      </x:c>
      <x:c r="J1190" s="4" t="str">
        <x:v>https://blog.skyairline.com/ciudad-de-castro/</x:v>
      </x:c>
      <x:c r="K1190" s="16" t="b">
        <x:v>0</x:v>
      </x:c>
      <x:c r="L1190" s="11" t="n">
        <x:v>0</x:v>
      </x:c>
      <x:c r="M1190" s="11" t="n">
        <x:v>3</x:v>
      </x:c>
      <x:c r="N1190" s="4"/>
      <x:c r="O1190" s="4"/>
      <x:c r="P1190" s="11" t="n">
        <x:v>0</x:v>
      </x:c>
      <x:c r="Q1190" s="11" t="n">
        <x:v>0</x:v>
      </x:c>
      <x:c r="R1190" s="11" t="str">
        <x:f>IF(OR(P1190="",Q1190=""),"",Q1190-P1190)</x:f>
      </x:c>
      <x:c r="S1190" s="13" t="str">
        <x:f>IF(OR(P1190="",Q1190="",P1190=0),"",((Q1190/30)/(P1190/31))-1)</x:f>
      </x:c>
      <x:c r="T1190" s="11" t="n">
        <x:v>74</x:v>
      </x:c>
      <x:c r="U1190" s="11" t="n">
        <x:v>56</x:v>
      </x:c>
      <x:c r="V1190" s="14" t="n">
        <x:v>0</x:v>
      </x:c>
      <x:c r="W1190" s="12" t="n">
        <x:v>19.392857142857142</x:v>
      </x:c>
      <x:c r="X1190" s="11"/>
      <x:c r="Y1190" s="11"/>
      <x:c r="Z1190" s="4" t="str">
        <x:v>https://blog.skyairline.com/ciudad-de-castro/</x:v>
      </x:c>
      <x:c r="AA1190" s="4" t="str">
        <x:v>https://blog.skyairline.com/ciudad-de-castro/</x:v>
      </x:c>
      <x:c r="AB1190" s="4" t="str">
        <x:v>Coincidencia URL</x:v>
      </x:c>
      <x:c r="AC1190" s="4" t="str">
        <x:v>Publicado hasta septiembre</x:v>
      </x:c>
      <x:c r="AD1190" s="4"/>
      <x:c r="AE1190" s="4"/>
      <x:c r="AF1190" s="16" t="b">
        <x:v>0</x:v>
      </x:c>
    </x:row>
    <x:row r="1191" ht="44" customHeight="1">
      <x:c r="A1191" s="4" t="n">
        <x:v>2697</x:v>
      </x:c>
      <x:c r="B1191" s="4" t="str">
        <x:v>https://blog.skyairline.com/que-hacer-en-peru-con-10-dias-de-vacaciones-o-mas/</x:v>
      </x:c>
      <x:c r="C1191" s="9" t="str">
        <x:v>¿Qué hacer en Perú con 10 días de vacaciones o más?</x:v>
      </x:c>
      <x:c r="D1191" s="17" t="d">
        <x:v>2023-02-14T00:00:00.000Z</x:v>
      </x:c>
      <x:c r="E1191" s="17" t="d">
        <x:v>2023-02-14T00:00:00.000Z</x:v>
      </x:c>
      <x:c r="F1191" s="4" t="str">
        <x:v>Destinos</x:v>
      </x:c>
      <x:c r="G1191" s="11" t="n">
        <x:v>1050</x:v>
      </x:c>
      <x:c r="H1191" s="11" t="n">
        <x:v>200</x:v>
      </x:c>
      <x:c r="I1191" s="11" t="n">
        <x:v>1</x:v>
      </x:c>
      <x:c r="J1191" s="4" t="str">
        <x:v>https://blog.skyairline.com/que-hacer-en-peru-con-10-dias-de-vacaciones-o-mas/</x:v>
      </x:c>
      <x:c r="K1191" s="16" t="b">
        <x:v>0</x:v>
      </x:c>
      <x:c r="L1191" s="11" t="n">
        <x:v>0</x:v>
      </x:c>
      <x:c r="M1191" s="11" t="n">
        <x:v>3</x:v>
      </x:c>
      <x:c r="N1191" s="4"/>
      <x:c r="O1191" s="4"/>
      <x:c r="P1191" s="11" t="n">
        <x:v>0</x:v>
      </x:c>
      <x:c r="Q1191" s="11" t="n">
        <x:v>0</x:v>
      </x:c>
      <x:c r="R1191" s="11" t="str">
        <x:f>IF(OR(P1191="",Q1191=""),"",Q1191-P1191)</x:f>
      </x:c>
      <x:c r="S1191" s="13" t="str">
        <x:f>IF(OR(P1191="",Q1191="",P1191=0),"",((Q1191/30)/(P1191/31))-1)</x:f>
      </x:c>
      <x:c r="T1191" s="11" t="n">
        <x:v>20</x:v>
      </x:c>
      <x:c r="U1191" s="11" t="n">
        <x:v>8</x:v>
      </x:c>
      <x:c r="V1191" s="14" t="n">
        <x:v>0</x:v>
      </x:c>
      <x:c r="W1191" s="12" t="n">
        <x:v>10.875</x:v>
      </x:c>
      <x:c r="X1191" s="11"/>
      <x:c r="Y1191" s="11"/>
      <x:c r="Z1191" s="4" t="str">
        <x:v>https://blog.skyairline.com/que-hacer-en-peru-con-10-dias-de-vacaciones-o-mas/</x:v>
      </x:c>
      <x:c r="AA1191" s="4" t="str">
        <x:v>https://blog.skyairline.com/que-hacer-en-peru-con-10-dias-de-vacaciones-o-mas/</x:v>
      </x:c>
      <x:c r="AB1191" s="4" t="str">
        <x:v>Coincidencia URL</x:v>
      </x:c>
      <x:c r="AC1191" s="4" t="str">
        <x:v>Publicado hasta septiembre</x:v>
      </x:c>
      <x:c r="AD1191" s="4"/>
      <x:c r="AE1191" s="4"/>
      <x:c r="AF1191" s="16" t="b">
        <x:v>0</x:v>
      </x:c>
    </x:row>
    <x:row r="1192" ht="44" customHeight="1">
      <x:c r="A1192" s="4" t="n">
        <x:v>2704</x:v>
      </x:c>
      <x:c r="B1192" s="4" t="str">
        <x:v>https://blog.skyairline.com/record-guinness-viajes/</x:v>
      </x:c>
      <x:c r="C1192" s="9" t="str">
        <x:v>Récords Guinness asociados a los viajes que te sorprenderán</x:v>
      </x:c>
      <x:c r="D1192" s="17" t="d">
        <x:v>2023-02-27T00:00:00.000Z</x:v>
      </x:c>
      <x:c r="E1192" s="17" t="d">
        <x:v>2023-02-27T00:00:00.000Z</x:v>
      </x:c>
      <x:c r="F1192" s="4" t="str">
        <x:v>Cultura</x:v>
      </x:c>
      <x:c r="G1192" s="11" t="n">
        <x:v>1011</x:v>
      </x:c>
      <x:c r="H1192" s="11" t="n">
        <x:v>200</x:v>
      </x:c>
      <x:c r="I1192" s="11" t="n">
        <x:v>1</x:v>
      </x:c>
      <x:c r="J1192" s="4" t="str">
        <x:v>https://blog.skyairline.com/record-guinness-viajes/</x:v>
      </x:c>
      <x:c r="K1192" s="16" t="b">
        <x:v>0</x:v>
      </x:c>
      <x:c r="L1192" s="11" t="n">
        <x:v>0</x:v>
      </x:c>
      <x:c r="M1192" s="11" t="n">
        <x:v>9</x:v>
      </x:c>
      <x:c r="N1192" s="4"/>
      <x:c r="O1192" s="4"/>
      <x:c r="P1192" s="11" t="n">
        <x:v>1</x:v>
      </x:c>
      <x:c r="Q1192" s="11" t="n">
        <x:v>0</x:v>
      </x:c>
      <x:c r="R1192" s="11" t="str">
        <x:f>IF(OR(P1192="",Q1192=""),"",Q1192-P1192)</x:f>
      </x:c>
      <x:c r="S1192" s="13" t="str">
        <x:f>IF(OR(P1192="",Q1192="",P1192=0),"",((Q1192/30)/(P1192/31))-1)</x:f>
      </x:c>
      <x:c r="T1192" s="11" t="n">
        <x:v>249</x:v>
      </x:c>
      <x:c r="U1192" s="11" t="n">
        <x:v>199</x:v>
      </x:c>
      <x:c r="V1192" s="14" t="n">
        <x:v>0</x:v>
      </x:c>
      <x:c r="W1192" s="12" t="n">
        <x:v>8.170854271356784</x:v>
      </x:c>
      <x:c r="X1192" s="11"/>
      <x:c r="Y1192" s="11"/>
      <x:c r="Z1192" s="4" t="str">
        <x:v>https://blog.skyairline.com/record-guinness-viajes/</x:v>
      </x:c>
      <x:c r="AA1192" s="4" t="str">
        <x:v>https://blog.skyairline.com/record-guinness-viajes/</x:v>
      </x:c>
      <x:c r="AB1192" s="4" t="str">
        <x:v>Coincidencia URL</x:v>
      </x:c>
      <x:c r="AC1192" s="4" t="str">
        <x:v>Publicado hasta septiembre</x:v>
      </x:c>
      <x:c r="AD1192" s="4"/>
      <x:c r="AE1192" s="4"/>
      <x:c r="AF1192" s="16" t="b">
        <x:v>0</x:v>
      </x:c>
    </x:row>
    <x:row r="1193" ht="44" customHeight="1">
      <x:c r="A1193" s="4" t="n">
        <x:v>2707</x:v>
      </x:c>
      <x:c r="B1193" s="4" t="str">
        <x:v>https://blog.skyairline.com/tips-para-encontrar-vuelos-baratos/</x:v>
      </x:c>
      <x:c r="C1193" s="9" t="str">
        <x:v>Tips para encontrar vuelos baratos en 2023</x:v>
      </x:c>
      <x:c r="D1193" s="17" t="d">
        <x:v>2023-02-28T00:00:00.000Z</x:v>
      </x:c>
      <x:c r="E1193" s="17" t="d">
        <x:v>2023-02-28T00:00:00.000Z</x:v>
      </x:c>
      <x:c r="F1193" s="4" t="str">
        <x:v>Planificación de Viaje</x:v>
      </x:c>
      <x:c r="G1193" s="11" t="n">
        <x:v>1019</x:v>
      </x:c>
      <x:c r="H1193" s="11" t="n">
        <x:v>200</x:v>
      </x:c>
      <x:c r="I1193" s="11" t="n">
        <x:v>1</x:v>
      </x:c>
      <x:c r="J1193" s="4" t="str">
        <x:v>https://blog.skyairline.com/tips-para-encontrar-vuelos-baratos/</x:v>
      </x:c>
      <x:c r="K1193" s="16" t="b">
        <x:v>0</x:v>
      </x:c>
      <x:c r="L1193" s="11" t="n">
        <x:v>0</x:v>
      </x:c>
      <x:c r="M1193" s="11" t="n">
        <x:v>0</x:v>
      </x:c>
      <x:c r="N1193" s="4"/>
      <x:c r="O1193" s="4"/>
      <x:c r="P1193" s="11" t="n">
        <x:v>0</x:v>
      </x:c>
      <x:c r="Q1193" s="11" t="n">
        <x:v>0</x:v>
      </x:c>
      <x:c r="R1193" s="11" t="str">
        <x:f>IF(OR(P1193="",Q1193=""),"",Q1193-P1193)</x:f>
      </x:c>
      <x:c r="S1193" s="13" t="str">
        <x:f>IF(OR(P1193="",Q1193="",P1193=0),"",((Q1193/30)/(P1193/31))-1)</x:f>
      </x:c>
      <x:c r="T1193" s="11" t="n">
        <x:v>52</x:v>
      </x:c>
      <x:c r="U1193" s="11" t="n">
        <x:v>100</x:v>
      </x:c>
      <x:c r="V1193" s="14" t="n">
        <x:v>0</x:v>
      </x:c>
      <x:c r="W1193" s="12" t="n">
        <x:v>9.98</x:v>
      </x:c>
      <x:c r="X1193" s="11"/>
      <x:c r="Y1193" s="11"/>
      <x:c r="Z1193" s="4" t="str">
        <x:v>https://blog.skyairline.com/tips-para-encontrar-vuelos-baratos/</x:v>
      </x:c>
      <x:c r="AA1193" s="4" t="str">
        <x:v>https://blog.skyairline.com/tips-para-encontrar-vuelos-baratos/</x:v>
      </x:c>
      <x:c r="AB1193" s="4" t="str">
        <x:v>Coincidencia URL</x:v>
      </x:c>
      <x:c r="AC1193" s="4" t="str">
        <x:v>Publicado hasta septiembre</x:v>
      </x:c>
      <x:c r="AD1193" s="4"/>
      <x:c r="AE1193" s="4"/>
      <x:c r="AF1193" s="16" t="b">
        <x:v>0</x:v>
      </x:c>
    </x:row>
    <x:row r="1194" ht="44" customHeight="1">
      <x:c r="A1194" s="4" t="n">
        <x:v>2719</x:v>
      </x:c>
      <x:c r="B1194" s="4" t="str">
        <x:v>https://blog.skyairline.com/curiosidades-de-peru/</x:v>
      </x:c>
      <x:c r="C1194" s="9" t="str">
        <x:v>10 curiosidades de Perú: ¡A ver cuántas te sabes!</x:v>
      </x:c>
      <x:c r="D1194" s="17" t="d">
        <x:v>2023-03-04T00:00:00.000Z</x:v>
      </x:c>
      <x:c r="E1194" s="17" t="d">
        <x:v>2023-03-04T00:00:00.000Z</x:v>
      </x:c>
      <x:c r="F1194" s="4" t="str">
        <x:v>Cultura</x:v>
      </x:c>
      <x:c r="G1194" s="11" t="n">
        <x:v>1394</x:v>
      </x:c>
      <x:c r="H1194" s="11" t="n">
        <x:v>200</x:v>
      </x:c>
      <x:c r="I1194" s="11" t="n">
        <x:v>1</x:v>
      </x:c>
      <x:c r="J1194" s="4" t="str">
        <x:v>https://blog.skyairline.com/curiosidades-de-peru/</x:v>
      </x:c>
      <x:c r="K1194" s="16" t="b">
        <x:v>0</x:v>
      </x:c>
      <x:c r="L1194" s="11" t="n">
        <x:v>0</x:v>
      </x:c>
      <x:c r="M1194" s="11" t="n">
        <x:v>3</x:v>
      </x:c>
      <x:c r="N1194" s="4"/>
      <x:c r="O1194" s="4"/>
      <x:c r="P1194" s="11" t="n">
        <x:v>2</x:v>
      </x:c>
      <x:c r="Q1194" s="11" t="n">
        <x:v>0</x:v>
      </x:c>
      <x:c r="R1194" s="11" t="str">
        <x:f>IF(OR(P1194="",Q1194=""),"",Q1194-P1194)</x:f>
      </x:c>
      <x:c r="S1194" s="13" t="str">
        <x:f>IF(OR(P1194="",Q1194="",P1194=0),"",((Q1194/30)/(P1194/31))-1)</x:f>
      </x:c>
      <x:c r="T1194" s="11" t="n">
        <x:v>212</x:v>
      </x:c>
      <x:c r="U1194" s="11" t="n">
        <x:v>103</x:v>
      </x:c>
      <x:c r="V1194" s="14" t="n">
        <x:v>0</x:v>
      </x:c>
      <x:c r="W1194" s="12" t="n">
        <x:v>30.533980582524272</x:v>
      </x:c>
      <x:c r="X1194" s="11" t="n">
        <x:v>1</x:v>
      </x:c>
      <x:c r="Y1194" s="11" t="n">
        <x:v>1</x:v>
      </x:c>
      <x:c r="Z1194" s="4" t="str">
        <x:v>https://blog.skyairline.com/curiosidades-de-peru/</x:v>
      </x:c>
      <x:c r="AA1194" s="4" t="str">
        <x:v>https://blog.skyairline.com/curiosidades-de-peru/</x:v>
      </x:c>
      <x:c r="AB1194" s="4" t="str">
        <x:v>Coincidencia URL</x:v>
      </x:c>
      <x:c r="AC1194" s="4" t="str">
        <x:v>Publicado hasta septiembre</x:v>
      </x:c>
      <x:c r="AD1194" s="4" t="str">
        <x:v>/curiosidades-de-peru/</x:v>
      </x:c>
      <x:c r="AE1194" s="4"/>
      <x:c r="AF1194" s="16" t="b">
        <x:v>0</x:v>
      </x:c>
    </x:row>
    <x:row r="1195" ht="44" customHeight="1">
      <x:c r="A1195" s="4" t="n">
        <x:v>2725</x:v>
      </x:c>
      <x:c r="B1195" s="4" t="str">
        <x:v>https://blog.skyairline.com/restaurantes-en-cusco/</x:v>
      </x:c>
      <x:c r="C1195" s="9" t="str">
        <x:v>7 restaurantes en Cusco para deleitarte con la comida peruana</x:v>
      </x:c>
      <x:c r="D1195" s="17" t="d">
        <x:v>2023-03-08T00:00:00.000Z</x:v>
      </x:c>
      <x:c r="E1195" s="17" t="d">
        <x:v>2023-03-08T00:00:00.000Z</x:v>
      </x:c>
      <x:c r="F1195" s="4" t="str">
        <x:v>Destinos</x:v>
      </x:c>
      <x:c r="G1195" s="11" t="n">
        <x:v>1083</x:v>
      </x:c>
      <x:c r="H1195" s="11" t="n">
        <x:v>200</x:v>
      </x:c>
      <x:c r="I1195" s="11" t="n">
        <x:v>1</x:v>
      </x:c>
      <x:c r="J1195" s="4" t="str">
        <x:v>https://blog.skyairline.com/restaurantes-en-cusco/</x:v>
      </x:c>
      <x:c r="K1195" s="16" t="b">
        <x:v>0</x:v>
      </x:c>
      <x:c r="L1195" s="11" t="n">
        <x:v>0</x:v>
      </x:c>
      <x:c r="M1195" s="11" t="n">
        <x:v>5</x:v>
      </x:c>
      <x:c r="N1195" s="4"/>
      <x:c r="O1195" s="4"/>
      <x:c r="P1195" s="11" t="n">
        <x:v>2</x:v>
      </x:c>
      <x:c r="Q1195" s="11" t="n">
        <x:v>0</x:v>
      </x:c>
      <x:c r="R1195" s="11" t="str">
        <x:f>IF(OR(P1195="",Q1195=""),"",Q1195-P1195)</x:f>
      </x:c>
      <x:c r="S1195" s="13" t="str">
        <x:f>IF(OR(P1195="",Q1195="",P1195=0),"",((Q1195/30)/(P1195/31))-1)</x:f>
      </x:c>
      <x:c r="T1195" s="11" t="n">
        <x:v>190</x:v>
      </x:c>
      <x:c r="U1195" s="11" t="n">
        <x:v>184</x:v>
      </x:c>
      <x:c r="V1195" s="14" t="n">
        <x:v>0</x:v>
      </x:c>
      <x:c r="W1195" s="12" t="n">
        <x:v>42.28260869565217</x:v>
      </x:c>
      <x:c r="X1195" s="11" t="n">
        <x:v>2</x:v>
      </x:c>
      <x:c r="Y1195" s="11" t="n">
        <x:v>1</x:v>
      </x:c>
      <x:c r="Z1195" s="4" t="str">
        <x:v>https://blog.skyairline.com/restaurantes-en-cusco/</x:v>
      </x:c>
      <x:c r="AA1195" s="4" t="str">
        <x:v>https://blog.skyairline.com/restaurantes-en-cusco/</x:v>
      </x:c>
      <x:c r="AB1195" s="4" t="str">
        <x:v>Coincidencia URL</x:v>
      </x:c>
      <x:c r="AC1195" s="4" t="str">
        <x:v>Publicado hasta septiembre</x:v>
      </x:c>
      <x:c r="AD1195" s="4" t="str">
        <x:v>/restaurantes-en-cusco/</x:v>
      </x:c>
      <x:c r="AE1195" s="4"/>
      <x:c r="AF1195" s="16" t="b">
        <x:v>0</x:v>
      </x:c>
    </x:row>
    <x:row r="1196" ht="44" customHeight="1">
      <x:c r="A1196" s="4" t="n">
        <x:v>2731</x:v>
      </x:c>
      <x:c r="B1196" s="4" t="str">
        <x:v>https://blog.skyairline.com/costos-al-viajar/</x:v>
      </x:c>
      <x:c r="C1196" s="9" t="str">
        <x:v>Costos al viajar: ¿Cuáles debes contemplar además de vuelo y alojamiento?</x:v>
      </x:c>
      <x:c r="D1196" s="17" t="d">
        <x:v>2023-03-10T00:00:00.000Z</x:v>
      </x:c>
      <x:c r="E1196" s="17" t="d">
        <x:v>2023-03-10T00:00:00.000Z</x:v>
      </x:c>
      <x:c r="F1196" s="4" t="str">
        <x:v>Planificación de Viaje</x:v>
      </x:c>
      <x:c r="G1196" s="11" t="n">
        <x:v>1007</x:v>
      </x:c>
      <x:c r="H1196" s="11" t="n">
        <x:v>200</x:v>
      </x:c>
      <x:c r="I1196" s="11" t="n">
        <x:v>1</x:v>
      </x:c>
      <x:c r="J1196" s="4" t="str">
        <x:v>https://blog.skyairline.com/costos-al-viajar/</x:v>
      </x:c>
      <x:c r="K1196" s="16" t="b">
        <x:v>0</x:v>
      </x:c>
      <x:c r="L1196" s="11" t="n">
        <x:v>0</x:v>
      </x:c>
      <x:c r="M1196" s="11" t="n">
        <x:v>4</x:v>
      </x:c>
      <x:c r="N1196" s="4"/>
      <x:c r="O1196" s="4"/>
      <x:c r="P1196" s="11" t="n">
        <x:v>0</x:v>
      </x:c>
      <x:c r="Q1196" s="11" t="n">
        <x:v>0</x:v>
      </x:c>
      <x:c r="R1196" s="11" t="str">
        <x:f>IF(OR(P1196="",Q1196=""),"",Q1196-P1196)</x:f>
      </x:c>
      <x:c r="S1196" s="13" t="str">
        <x:f>IF(OR(P1196="",Q1196="",P1196=0),"",((Q1196/30)/(P1196/31))-1)</x:f>
      </x:c>
      <x:c r="T1196" s="11" t="n">
        <x:v>164</x:v>
      </x:c>
      <x:c r="U1196" s="11" t="n">
        <x:v>90</x:v>
      </x:c>
      <x:c r="V1196" s="14" t="n">
        <x:v>0</x:v>
      </x:c>
      <x:c r="W1196" s="12" t="n">
        <x:v>19.322222222222223</x:v>
      </x:c>
      <x:c r="X1196" s="11" t="n">
        <x:v>1</x:v>
      </x:c>
      <x:c r="Y1196" s="11" t="n">
        <x:v>1</x:v>
      </x:c>
      <x:c r="Z1196" s="4" t="str">
        <x:v>https://blog.skyairline.com/costos-al-viajar/</x:v>
      </x:c>
      <x:c r="AA1196" s="4" t="str">
        <x:v>https://blog.skyairline.com/costos-al-viajar/</x:v>
      </x:c>
      <x:c r="AB1196" s="4" t="str">
        <x:v>Coincidencia URL</x:v>
      </x:c>
      <x:c r="AC1196" s="4" t="str">
        <x:v>Publicado hasta septiembre</x:v>
      </x:c>
      <x:c r="AD1196" s="4" t="str">
        <x:v>/costos-al-viajar/</x:v>
      </x:c>
      <x:c r="AE1196" s="4"/>
      <x:c r="AF1196" s="16" t="b">
        <x:v>1</x:v>
      </x:c>
    </x:row>
    <x:row r="1197" ht="44" customHeight="1">
      <x:c r="A1197" s="4" t="n">
        <x:v>2734</x:v>
      </x:c>
      <x:c r="B1197" s="4" t="str">
        <x:v>https://blog.skyairline.com/restaurantes-en-miami/</x:v>
      </x:c>
      <x:c r="C1197" s="9" t="str">
        <x:v>¡Los 7 mejores restaurantes en Miami que te dejarán encantado!</x:v>
      </x:c>
      <x:c r="D1197" s="17" t="d">
        <x:v>2023-03-11T00:00:00.000Z</x:v>
      </x:c>
      <x:c r="E1197" s="17" t="d">
        <x:v>2023-03-11T00:00:00.000Z</x:v>
      </x:c>
      <x:c r="F1197" s="4" t="str">
        <x:v>Destinos</x:v>
      </x:c>
      <x:c r="G1197" s="11" t="n">
        <x:v>988</x:v>
      </x:c>
      <x:c r="H1197" s="11" t="n">
        <x:v>200</x:v>
      </x:c>
      <x:c r="I1197" s="11" t="n">
        <x:v>1</x:v>
      </x:c>
      <x:c r="J1197" s="4" t="str">
        <x:v>https://blog.skyairline.com/restaurantes-en-miami/</x:v>
      </x:c>
      <x:c r="K1197" s="16" t="b">
        <x:v>0</x:v>
      </x:c>
      <x:c r="L1197" s="11" t="n">
        <x:v>0</x:v>
      </x:c>
      <x:c r="M1197" s="11" t="n">
        <x:v>3</x:v>
      </x:c>
      <x:c r="N1197" s="4"/>
      <x:c r="O1197" s="4"/>
      <x:c r="P1197" s="11" t="n">
        <x:v>0</x:v>
      </x:c>
      <x:c r="Q1197" s="11" t="n">
        <x:v>0</x:v>
      </x:c>
      <x:c r="R1197" s="11" t="str">
        <x:f>IF(OR(P1197="",Q1197=""),"",Q1197-P1197)</x:f>
      </x:c>
      <x:c r="S1197" s="13" t="str">
        <x:f>IF(OR(P1197="",Q1197="",P1197=0),"",((Q1197/30)/(P1197/31))-1)</x:f>
      </x:c>
      <x:c r="T1197" s="11" t="n">
        <x:v>4</x:v>
      </x:c>
      <x:c r="U1197" s="11" t="n">
        <x:v>88</x:v>
      </x:c>
      <x:c r="V1197" s="14" t="n">
        <x:v>0</x:v>
      </x:c>
      <x:c r="W1197" s="12" t="n">
        <x:v>8.78409090909091</x:v>
      </x:c>
      <x:c r="X1197" s="11"/>
      <x:c r="Y1197" s="11"/>
      <x:c r="Z1197" s="4" t="str">
        <x:v>https://blog.skyairline.com/restaurantes-en-miami/</x:v>
      </x:c>
      <x:c r="AA1197" s="4" t="str">
        <x:v>https://blog.skyairline.com/restaurantes-en-miami/</x:v>
      </x:c>
      <x:c r="AB1197" s="4" t="str">
        <x:v>Coincidencia URL</x:v>
      </x:c>
      <x:c r="AC1197" s="4" t="str">
        <x:v>Publicado hasta septiembre</x:v>
      </x:c>
      <x:c r="AD1197" s="4"/>
      <x:c r="AE1197" s="4"/>
      <x:c r="AF1197" s="16" t="b">
        <x:v>0</x:v>
      </x:c>
    </x:row>
    <x:row r="1198" ht="44" customHeight="1">
      <x:c r="A1198" s="4" t="n">
        <x:v>2740</x:v>
      </x:c>
      <x:c r="B1198" s="4" t="str">
        <x:v>https://blog.skyairline.com/turistas-gastronomicos/</x:v>
      </x:c>
      <x:c r="C1198" s="9" t="str">
        <x:v>Los mejores destinos para turistas gastronómicos en América Latina</x:v>
      </x:c>
      <x:c r="D1198" s="17" t="d">
        <x:v>2025-10-15T00:00:00.000Z</x:v>
      </x:c>
      <x:c r="E1198" s="17" t="d">
        <x:v>2026-01-12T00:00:00.000Z</x:v>
      </x:c>
      <x:c r="F1198" s="4" t="str">
        <x:v>Destinos</x:v>
      </x:c>
      <x:c r="G1198" s="11" t="n">
        <x:v>1120</x:v>
      </x:c>
      <x:c r="H1198" s="11" t="n">
        <x:v>200</x:v>
      </x:c>
      <x:c r="I1198" s="11" t="n">
        <x:v>1</x:v>
      </x:c>
      <x:c r="J1198" s="4" t="str">
        <x:v>https://blog.skyairline.com/turistas-gastronomicos/</x:v>
      </x:c>
      <x:c r="K1198" s="16" t="b">
        <x:v>0</x:v>
      </x:c>
      <x:c r="L1198" s="11" t="n">
        <x:v>0</x:v>
      </x:c>
      <x:c r="M1198" s="11" t="n">
        <x:v>6</x:v>
      </x:c>
      <x:c r="N1198" s="4"/>
      <x:c r="O1198" s="4"/>
      <x:c r="P1198" s="11" t="n">
        <x:v>0</x:v>
      </x:c>
      <x:c r="Q1198" s="11" t="n">
        <x:v>0</x:v>
      </x:c>
      <x:c r="R1198" s="11" t="str">
        <x:f>IF(OR(P1198="",Q1198=""),"",Q1198-P1198)</x:f>
      </x:c>
      <x:c r="S1198" s="13" t="str">
        <x:f>IF(OR(P1198="",Q1198="",P1198=0),"",((Q1198/30)/(P1198/31))-1)</x:f>
      </x:c>
      <x:c r="T1198" s="11" t="n">
        <x:v>99</x:v>
      </x:c>
      <x:c r="U1198" s="11" t="n">
        <x:v>17</x:v>
      </x:c>
      <x:c r="V1198" s="14" t="n">
        <x:v>0</x:v>
      </x:c>
      <x:c r="W1198" s="12" t="n">
        <x:v>8.823529411764707</x:v>
      </x:c>
      <x:c r="X1198" s="11"/>
      <x:c r="Y1198" s="11"/>
      <x:c r="Z1198" s="4" t="str">
        <x:v>https://blog.skyairline.com/turistas-gastronomicos/</x:v>
      </x:c>
      <x:c r="AA1198" s="4" t="str">
        <x:v>https://blog.skyairline.com/turistas-gastronomicos/</x:v>
      </x:c>
      <x:c r="AB1198" s="4" t="str">
        <x:v>Coincidencia URL</x:v>
      </x:c>
      <x:c r="AC1198" s="4" t="str">
        <x:v>Publicado hasta septiembre</x:v>
      </x:c>
      <x:c r="AD1198" s="4"/>
      <x:c r="AE1198" s="4"/>
      <x:c r="AF1198" s="16" t="b">
        <x:v>0</x:v>
      </x:c>
    </x:row>
    <x:row r="1199" ht="44" customHeight="1">
      <x:c r="A1199" s="4" t="n">
        <x:v>2745</x:v>
      </x:c>
      <x:c r="B1199" s="4" t="str">
        <x:v>https://blog.skyairline.com/vacaciones-en-miami/</x:v>
      </x:c>
      <x:c r="C1199" s="9" t="str">
        <x:v>6 ideas para empezar a organizar tus vacaciones en Miami</x:v>
      </x:c>
      <x:c r="D1199" s="17" t="d">
        <x:v>2023-03-16T00:00:00.000Z</x:v>
      </x:c>
      <x:c r="E1199" s="17" t="d">
        <x:v>2023-03-16T00:00:00.000Z</x:v>
      </x:c>
      <x:c r="F1199" s="4" t="str">
        <x:v>Planificación de Viaje</x:v>
      </x:c>
      <x:c r="G1199" s="11" t="n">
        <x:v>1053</x:v>
      </x:c>
      <x:c r="H1199" s="11" t="n">
        <x:v>200</x:v>
      </x:c>
      <x:c r="I1199" s="11" t="n">
        <x:v>1</x:v>
      </x:c>
      <x:c r="J1199" s="4" t="str">
        <x:v>https://blog.skyairline.com/vacaciones-en-miami/</x:v>
      </x:c>
      <x:c r="K1199" s="16" t="b">
        <x:v>0</x:v>
      </x:c>
      <x:c r="L1199" s="11" t="n">
        <x:v>0</x:v>
      </x:c>
      <x:c r="M1199" s="11" t="n">
        <x:v>4</x:v>
      </x:c>
      <x:c r="N1199" s="4"/>
      <x:c r="O1199" s="4"/>
      <x:c r="P1199" s="11" t="n">
        <x:v>0</x:v>
      </x:c>
      <x:c r="Q1199" s="11" t="n">
        <x:v>0</x:v>
      </x:c>
      <x:c r="R1199" s="11" t="str">
        <x:f>IF(OR(P1199="",Q1199=""),"",Q1199-P1199)</x:f>
      </x:c>
      <x:c r="S1199" s="13" t="str">
        <x:f>IF(OR(P1199="",Q1199="",P1199=0),"",((Q1199/30)/(P1199/31))-1)</x:f>
      </x:c>
      <x:c r="T1199" s="11" t="n">
        <x:v>16</x:v>
      </x:c>
      <x:c r="U1199" s="11" t="n">
        <x:v>15</x:v>
      </x:c>
      <x:c r="V1199" s="14" t="n">
        <x:v>0</x:v>
      </x:c>
      <x:c r="W1199" s="12" t="n">
        <x:v>14.066666666666666</x:v>
      </x:c>
      <x:c r="X1199" s="11"/>
      <x:c r="Y1199" s="11"/>
      <x:c r="Z1199" s="4" t="str">
        <x:v>https://blog.skyairline.com/vacaciones-en-miami/</x:v>
      </x:c>
      <x:c r="AA1199" s="4" t="str">
        <x:v>https://blog.skyairline.com/vacaciones-en-miami/</x:v>
      </x:c>
      <x:c r="AB1199" s="4" t="str">
        <x:v>Coincidencia URL</x:v>
      </x:c>
      <x:c r="AC1199" s="4" t="str">
        <x:v>Publicado hasta septiembre</x:v>
      </x:c>
      <x:c r="AD1199" s="4"/>
      <x:c r="AE1199" s="4"/>
      <x:c r="AF1199" s="16" t="b">
        <x:v>0</x:v>
      </x:c>
    </x:row>
    <x:row r="1200" ht="44" customHeight="1">
      <x:c r="A1200" s="4" t="n">
        <x:v>2755</x:v>
      </x:c>
      <x:c r="B1200" s="4" t="str">
        <x:v>https://blog.skyairline.com/playa-en-miami/</x:v>
      </x:c>
      <x:c r="C1200" s="9" t="str">
        <x:v>¿Cuáles son las mejores playas de Miami?</x:v>
      </x:c>
      <x:c r="D1200" s="17" t="d">
        <x:v>2026-06-19T00:00:00.000Z</x:v>
      </x:c>
      <x:c r="E1200" s="17" t="d">
        <x:v>2026-06-17T00:00:00.000Z</x:v>
      </x:c>
      <x:c r="F1200" s="4" t="str">
        <x:v>Destinos</x:v>
      </x:c>
      <x:c r="G1200" s="11" t="n">
        <x:v>2003</x:v>
      </x:c>
      <x:c r="H1200" s="11" t="n">
        <x:v>200</x:v>
      </x:c>
      <x:c r="I1200" s="11" t="n">
        <x:v>1</x:v>
      </x:c>
      <x:c r="J1200" s="4" t="str">
        <x:v>https://blog.skyairline.com/playa-en-miami/</x:v>
      </x:c>
      <x:c r="K1200" s="16" t="b">
        <x:v>0</x:v>
      </x:c>
      <x:c r="L1200" s="11" t="n">
        <x:v>0</x:v>
      </x:c>
      <x:c r="M1200" s="11" t="n">
        <x:v>0</x:v>
      </x:c>
      <x:c r="N1200" s="4"/>
      <x:c r="O1200" s="4"/>
      <x:c r="P1200" s="11" t="n">
        <x:v>1</x:v>
      </x:c>
      <x:c r="Q1200" s="11" t="n">
        <x:v>0</x:v>
      </x:c>
      <x:c r="R1200" s="11" t="str">
        <x:f>IF(OR(P1200="",Q1200=""),"",Q1200-P1200)</x:f>
      </x:c>
      <x:c r="S1200" s="13" t="str">
        <x:f>IF(OR(P1200="",Q1200="",P1200=0),"",((Q1200/30)/(P1200/31))-1)</x:f>
      </x:c>
      <x:c r="T1200" s="11" t="n">
        <x:v>530</x:v>
      </x:c>
      <x:c r="U1200" s="11" t="n">
        <x:v>156</x:v>
      </x:c>
      <x:c r="V1200" s="14" t="n">
        <x:v>0</x:v>
      </x:c>
      <x:c r="W1200" s="12" t="n">
        <x:v>17.76923076923077</x:v>
      </x:c>
      <x:c r="X1200" s="11"/>
      <x:c r="Y1200" s="11"/>
      <x:c r="Z1200" s="4" t="str">
        <x:v>https://blog.skyairline.com/playa-en-miami/</x:v>
      </x:c>
      <x:c r="AA1200" s="4" t="str">
        <x:v>https://blog.skyairline.com/playa-en-miami/</x:v>
      </x:c>
      <x:c r="AB1200" s="4" t="str">
        <x:v>Coincidencia URL</x:v>
      </x:c>
      <x:c r="AC1200" s="4" t="str">
        <x:v>Publicado hasta septiembre</x:v>
      </x:c>
      <x:c r="AD1200" s="4"/>
      <x:c r="AE1200" s="4"/>
      <x:c r="AF1200" s="16" t="b">
        <x:v>0</x:v>
      </x:c>
    </x:row>
    <x:row r="1201" ht="44" customHeight="1">
      <x:c r="A1201" s="4" t="n">
        <x:v>2757</x:v>
      </x:c>
      <x:c r="B1201" s="4" t="str">
        <x:v>https://blog.skyairline.com/ecoturismo-en-punta-cana/</x:v>
      </x:c>
      <x:c r="C1201" s="9" t="str">
        <x:v>¿Dónde hacer ecoturismo en Punta Cana?</x:v>
      </x:c>
      <x:c r="D1201" s="17" t="d">
        <x:v>2023-03-21T00:00:00.000Z</x:v>
      </x:c>
      <x:c r="E1201" s="17" t="d">
        <x:v>2023-03-21T00:00:00.000Z</x:v>
      </x:c>
      <x:c r="F1201" s="4" t="str">
        <x:v>Destinos</x:v>
      </x:c>
      <x:c r="G1201" s="11" t="n">
        <x:v>1017</x:v>
      </x:c>
      <x:c r="H1201" s="11" t="n">
        <x:v>200</x:v>
      </x:c>
      <x:c r="I1201" s="11" t="n">
        <x:v>1</x:v>
      </x:c>
      <x:c r="J1201" s="4" t="str">
        <x:v>https://blog.skyairline.com/ecoturismo-en-punta-cana/</x:v>
      </x:c>
      <x:c r="K1201" s="16" t="b">
        <x:v>0</x:v>
      </x:c>
      <x:c r="L1201" s="11" t="n">
        <x:v>0</x:v>
      </x:c>
      <x:c r="M1201" s="11" t="n">
        <x:v>3</x:v>
      </x:c>
      <x:c r="N1201" s="4"/>
      <x:c r="O1201" s="4"/>
      <x:c r="P1201" s="11" t="n">
        <x:v>0</x:v>
      </x:c>
      <x:c r="Q1201" s="11" t="n">
        <x:v>0</x:v>
      </x:c>
      <x:c r="R1201" s="11" t="str">
        <x:f>IF(OR(P1201="",Q1201=""),"",Q1201-P1201)</x:f>
      </x:c>
      <x:c r="S1201" s="13" t="str">
        <x:f>IF(OR(P1201="",Q1201="",P1201=0),"",((Q1201/30)/(P1201/31))-1)</x:f>
      </x:c>
      <x:c r="T1201" s="11" t="n">
        <x:v>28</x:v>
      </x:c>
      <x:c r="U1201" s="11" t="n">
        <x:v>62</x:v>
      </x:c>
      <x:c r="V1201" s="14" t="n">
        <x:v>0</x:v>
      </x:c>
      <x:c r="W1201" s="12" t="n">
        <x:v>14.03225806451613</x:v>
      </x:c>
      <x:c r="X1201" s="11"/>
      <x:c r="Y1201" s="11"/>
      <x:c r="Z1201" s="4" t="str">
        <x:v>https://blog.skyairline.com/ecoturismo-en-punta-cana/</x:v>
      </x:c>
      <x:c r="AA1201" s="4" t="str">
        <x:v>https://blog.skyairline.com/ecoturismo-en-punta-cana/</x:v>
      </x:c>
      <x:c r="AB1201" s="4" t="str">
        <x:v>Coincidencia URL</x:v>
      </x:c>
      <x:c r="AC1201" s="4" t="str">
        <x:v>Publicado hasta septiembre</x:v>
      </x:c>
      <x:c r="AD1201" s="4"/>
      <x:c r="AE1201" s="4"/>
      <x:c r="AF1201" s="16" t="b">
        <x:v>0</x:v>
      </x:c>
    </x:row>
    <x:row r="1202" ht="44" customHeight="1">
      <x:c r="A1202" s="4" t="n">
        <x:v>2761</x:v>
      </x:c>
      <x:c r="B1202" s="4" t="str">
        <x:v>https://blog.skyairline.com/cascadas-en-tarapoto/</x:v>
      </x:c>
      <x:c r="C1202" s="9" t="str">
        <x:v>Cascadas en Tarapoto y otras bellezas naturales en esta ciudad peruana</x:v>
      </x:c>
      <x:c r="D1202" s="17" t="d">
        <x:v>2023-03-23T00:00:00.000Z</x:v>
      </x:c>
      <x:c r="E1202" s="17" t="d">
        <x:v>2023-03-23T00:00:00.000Z</x:v>
      </x:c>
      <x:c r="F1202" s="4" t="str">
        <x:v>Destinos</x:v>
      </x:c>
      <x:c r="G1202" s="11" t="n">
        <x:v>1019</x:v>
      </x:c>
      <x:c r="H1202" s="11" t="n">
        <x:v>200</x:v>
      </x:c>
      <x:c r="I1202" s="11" t="n">
        <x:v>1</x:v>
      </x:c>
      <x:c r="J1202" s="4" t="str">
        <x:v>https://blog.skyairline.com/cascadas-en-tarapoto/</x:v>
      </x:c>
      <x:c r="K1202" s="16" t="b">
        <x:v>0</x:v>
      </x:c>
      <x:c r="L1202" s="11" t="n">
        <x:v>0</x:v>
      </x:c>
      <x:c r="M1202" s="11" t="n">
        <x:v>3</x:v>
      </x:c>
      <x:c r="N1202" s="4"/>
      <x:c r="O1202" s="4"/>
      <x:c r="P1202" s="11" t="n">
        <x:v>0</x:v>
      </x:c>
      <x:c r="Q1202" s="11" t="n">
        <x:v>0</x:v>
      </x:c>
      <x:c r="R1202" s="11" t="str">
        <x:f>IF(OR(P1202="",Q1202=""),"",Q1202-P1202)</x:f>
      </x:c>
      <x:c r="S1202" s="13" t="str">
        <x:f>IF(OR(P1202="",Q1202="",P1202=0),"",((Q1202/30)/(P1202/31))-1)</x:f>
      </x:c>
      <x:c r="T1202" s="11" t="n">
        <x:v>232</x:v>
      </x:c>
      <x:c r="U1202" s="11" t="n">
        <x:v>157</x:v>
      </x:c>
      <x:c r="V1202" s="14" t="n">
        <x:v>0</x:v>
      </x:c>
      <x:c r="W1202" s="12" t="n">
        <x:v>19.573248407643312</x:v>
      </x:c>
      <x:c r="X1202" s="11"/>
      <x:c r="Y1202" s="11"/>
      <x:c r="Z1202" s="4" t="str">
        <x:v>https://blog.skyairline.com/cascadas-en-tarapoto/</x:v>
      </x:c>
      <x:c r="AA1202" s="4" t="str">
        <x:v>https://blog.skyairline.com/cascadas-en-tarapoto/</x:v>
      </x:c>
      <x:c r="AB1202" s="4" t="str">
        <x:v>Coincidencia URL</x:v>
      </x:c>
      <x:c r="AC1202" s="4" t="str">
        <x:v>Publicado hasta septiembre</x:v>
      </x:c>
      <x:c r="AD1202" s="4"/>
      <x:c r="AE1202" s="4"/>
      <x:c r="AF1202" s="16" t="b">
        <x:v>0</x:v>
      </x:c>
    </x:row>
    <x:row r="1203" ht="44" customHeight="1">
      <x:c r="A1203" s="4" t="n">
        <x:v>2767</x:v>
      </x:c>
      <x:c r="B1203" s="4" t="str">
        <x:v>https://blog.skyairline.com/viajes-en-temporada-baja/</x:v>
      </x:c>
      <x:c r="C1203" s="9" t="str">
        <x:v>Viajes en temporada baja: ¿son una buena opción?</x:v>
      </x:c>
      <x:c r="D1203" s="17" t="d">
        <x:v>2023-03-26T00:00:00.000Z</x:v>
      </x:c>
      <x:c r="E1203" s="17" t="d">
        <x:v>2023-03-26T00:00:00.000Z</x:v>
      </x:c>
      <x:c r="F1203" s="4" t="str">
        <x:v>Planificación de Viaje</x:v>
      </x:c>
      <x:c r="G1203" s="11" t="n">
        <x:v>1010</x:v>
      </x:c>
      <x:c r="H1203" s="11" t="n">
        <x:v>200</x:v>
      </x:c>
      <x:c r="I1203" s="11" t="n">
        <x:v>1</x:v>
      </x:c>
      <x:c r="J1203" s="4" t="str">
        <x:v>https://blog.skyairline.com/viajes-en-temporada-baja/</x:v>
      </x:c>
      <x:c r="K1203" s="16" t="b">
        <x:v>0</x:v>
      </x:c>
      <x:c r="L1203" s="11" t="n">
        <x:v>0</x:v>
      </x:c>
      <x:c r="M1203" s="11" t="n">
        <x:v>0</x:v>
      </x:c>
      <x:c r="N1203" s="4"/>
      <x:c r="O1203" s="4"/>
      <x:c r="P1203" s="11" t="n">
        <x:v>0</x:v>
      </x:c>
      <x:c r="Q1203" s="11" t="n">
        <x:v>0</x:v>
      </x:c>
      <x:c r="R1203" s="11" t="str">
        <x:f>IF(OR(P1203="",Q1203=""),"",Q1203-P1203)</x:f>
      </x:c>
      <x:c r="S1203" s="13" t="str">
        <x:f>IF(OR(P1203="",Q1203="",P1203=0),"",((Q1203/30)/(P1203/31))-1)</x:f>
      </x:c>
      <x:c r="T1203" s="11" t="n">
        <x:v>308</x:v>
      </x:c>
      <x:c r="U1203" s="11" t="n">
        <x:v>138</x:v>
      </x:c>
      <x:c r="V1203" s="14" t="n">
        <x:v>0</x:v>
      </x:c>
      <x:c r="W1203" s="12" t="n">
        <x:v>38.56521739130435</x:v>
      </x:c>
      <x:c r="X1203" s="11"/>
      <x:c r="Y1203" s="11"/>
      <x:c r="Z1203" s="4" t="str">
        <x:v>https://blog.skyairline.com/viajes-en-temporada-baja/</x:v>
      </x:c>
      <x:c r="AA1203" s="4" t="str">
        <x:v>https://blog.skyairline.com/viajes-en-temporada-baja/</x:v>
      </x:c>
      <x:c r="AB1203" s="4" t="str">
        <x:v>Coincidencia URL</x:v>
      </x:c>
      <x:c r="AC1203" s="4" t="str">
        <x:v>Publicado hasta septiembre</x:v>
      </x:c>
      <x:c r="AD1203" s="4"/>
      <x:c r="AE1203" s="4"/>
      <x:c r="AF1203" s="16" t="b">
        <x:v>1</x:v>
      </x:c>
    </x:row>
    <x:row r="1204" ht="44" customHeight="1">
      <x:c r="A1204" s="4" t="n">
        <x:v>2769</x:v>
      </x:c>
      <x:c r="B1204" s="4" t="str">
        <x:v>https://blog.skyairline.com/lugares-instagrameables/</x:v>
      </x:c>
      <x:c r="C1204" s="9" t="str">
        <x:v>Dónde tomar fotos inolvidables: lugares instagrameables en Latam</x:v>
      </x:c>
      <x:c r="D1204" s="17" t="d">
        <x:v>2024-11-12T00:00:00.000Z</x:v>
      </x:c>
      <x:c r="E1204" s="17" t="d">
        <x:v>2024-11-12T00:00:00.000Z</x:v>
      </x:c>
      <x:c r="F1204" s="4" t="str">
        <x:v>Destinos</x:v>
      </x:c>
      <x:c r="G1204" s="11" t="n">
        <x:v>1068</x:v>
      </x:c>
      <x:c r="H1204" s="11" t="n">
        <x:v>200</x:v>
      </x:c>
      <x:c r="I1204" s="11" t="n">
        <x:v>1</x:v>
      </x:c>
      <x:c r="J1204" s="4" t="str">
        <x:v>https://blog.skyairline.com/lugares-instagrameables/</x:v>
      </x:c>
      <x:c r="K1204" s="16" t="b">
        <x:v>0</x:v>
      </x:c>
      <x:c r="L1204" s="11" t="n">
        <x:v>0</x:v>
      </x:c>
      <x:c r="M1204" s="11" t="n">
        <x:v>13</x:v>
      </x:c>
      <x:c r="N1204" s="4"/>
      <x:c r="O1204" s="4"/>
      <x:c r="P1204" s="11" t="n">
        <x:v>0</x:v>
      </x:c>
      <x:c r="Q1204" s="11" t="n">
        <x:v>0</x:v>
      </x:c>
      <x:c r="R1204" s="11" t="str">
        <x:f>IF(OR(P1204="",Q1204=""),"",Q1204-P1204)</x:f>
      </x:c>
      <x:c r="S1204" s="13" t="str">
        <x:f>IF(OR(P1204="",Q1204="",P1204=0),"",((Q1204/30)/(P1204/31))-1)</x:f>
      </x:c>
      <x:c r="T1204" s="11" t="n">
        <x:v>14</x:v>
      </x:c>
      <x:c r="U1204" s="11" t="n">
        <x:v>16</x:v>
      </x:c>
      <x:c r="V1204" s="14" t="n">
        <x:v>0</x:v>
      </x:c>
      <x:c r="W1204" s="12" t="n">
        <x:v>10</x:v>
      </x:c>
      <x:c r="X1204" s="11"/>
      <x:c r="Y1204" s="11"/>
      <x:c r="Z1204" s="4" t="str">
        <x:v>https://blog.skyairline.com/lugares-instagrameables/</x:v>
      </x:c>
      <x:c r="AA1204" s="4" t="str">
        <x:v>https://blog.skyairline.com/lugares-instagrameables/</x:v>
      </x:c>
      <x:c r="AB1204" s="4" t="str">
        <x:v>Coincidencia URL</x:v>
      </x:c>
      <x:c r="AC1204" s="4" t="str">
        <x:v>Publicado hasta septiembre</x:v>
      </x:c>
      <x:c r="AD1204" s="4"/>
      <x:c r="AE1204" s="4"/>
      <x:c r="AF1204" s="16" t="b">
        <x:v>1</x:v>
      </x:c>
    </x:row>
    <x:row r="1205" ht="44" customHeight="1">
      <x:c r="A1205" s="4" t="n">
        <x:v>2775</x:v>
      </x:c>
      <x:c r="B1205" s="4" t="str">
        <x:v>https://blog.skyairline.com/conciertos-en-lima/</x:v>
      </x:c>
      <x:c r="C1205" s="9" t="str">
        <x:v>10 conciertos en Lima que harán vibrar la capital peruana en 2023</x:v>
      </x:c>
      <x:c r="D1205" s="17" t="d">
        <x:v>2023-03-30T00:00:00.000Z</x:v>
      </x:c>
      <x:c r="E1205" s="17" t="d">
        <x:v>2023-03-30T00:00:00.000Z</x:v>
      </x:c>
      <x:c r="F1205" s="4" t="str">
        <x:v>Noticias</x:v>
      </x:c>
      <x:c r="G1205" s="11" t="n">
        <x:v>1020</x:v>
      </x:c>
      <x:c r="H1205" s="11" t="n">
        <x:v>200</x:v>
      </x:c>
      <x:c r="I1205" s="11" t="n">
        <x:v>1</x:v>
      </x:c>
      <x:c r="J1205" s="4" t="str">
        <x:v>https://blog.skyairline.com/conciertos-en-lima/</x:v>
      </x:c>
      <x:c r="K1205" s="16" t="b">
        <x:v>0</x:v>
      </x:c>
      <x:c r="L1205" s="11" t="n">
        <x:v>0</x:v>
      </x:c>
      <x:c r="M1205" s="11" t="n">
        <x:v>0</x:v>
      </x:c>
      <x:c r="N1205" s="4"/>
      <x:c r="O1205" s="4"/>
      <x:c r="P1205" s="11" t="n">
        <x:v>0</x:v>
      </x:c>
      <x:c r="Q1205" s="11" t="n">
        <x:v>0</x:v>
      </x:c>
      <x:c r="R1205" s="11" t="str">
        <x:f>IF(OR(P1205="",Q1205=""),"",Q1205-P1205)</x:f>
      </x:c>
      <x:c r="S1205" s="13" t="str">
        <x:f>IF(OR(P1205="",Q1205="",P1205=0),"",((Q1205/30)/(P1205/31))-1)</x:f>
      </x:c>
      <x:c r="T1205" s="11" t="n">
        <x:v>67</x:v>
      </x:c>
      <x:c r="U1205" s="11" t="n">
        <x:v>49</x:v>
      </x:c>
      <x:c r="V1205" s="14" t="n">
        <x:v>0</x:v>
      </x:c>
      <x:c r="W1205" s="12" t="n">
        <x:v>10.816326530612244</x:v>
      </x:c>
      <x:c r="X1205" s="11"/>
      <x:c r="Y1205" s="11"/>
      <x:c r="Z1205" s="4" t="str">
        <x:v>https://blog.skyairline.com/conciertos-en-lima/</x:v>
      </x:c>
      <x:c r="AA1205" s="4" t="str">
        <x:v>https://blog.skyairline.com/conciertos-en-lima/</x:v>
      </x:c>
      <x:c r="AB1205" s="4" t="str">
        <x:v>Coincidencia URL</x:v>
      </x:c>
      <x:c r="AC1205" s="4" t="str">
        <x:v>Publicado hasta septiembre</x:v>
      </x:c>
      <x:c r="AD1205" s="4"/>
      <x:c r="AE1205" s="4"/>
      <x:c r="AF1205" s="16" t="b">
        <x:v>0</x:v>
      </x:c>
    </x:row>
    <x:row r="1206" ht="44" customHeight="1">
      <x:c r="A1206" s="4" t="n">
        <x:v>2777</x:v>
      </x:c>
      <x:c r="B1206" s="4" t="str">
        <x:v>https://blog.skyairline.com/nervios-al-viajar/</x:v>
      </x:c>
      <x:c r="C1206" s="9" t="str">
        <x:v>¿Nervios al viajar? Consejos básicos para que no te ganen</x:v>
      </x:c>
      <x:c r="D1206" s="17" t="d">
        <x:v>2023-03-31T00:00:00.000Z</x:v>
      </x:c>
      <x:c r="E1206" s="17" t="d">
        <x:v>2023-03-31T00:00:00.000Z</x:v>
      </x:c>
      <x:c r="F1206" s="4" t="str">
        <x:v>Planificación de Viaje</x:v>
      </x:c>
      <x:c r="G1206" s="11" t="n">
        <x:v>1007</x:v>
      </x:c>
      <x:c r="H1206" s="11" t="n">
        <x:v>200</x:v>
      </x:c>
      <x:c r="I1206" s="11" t="n">
        <x:v>1</x:v>
      </x:c>
      <x:c r="J1206" s="4" t="str">
        <x:v>https://blog.skyairline.com/nervios-al-viajar/</x:v>
      </x:c>
      <x:c r="K1206" s="16" t="b">
        <x:v>0</x:v>
      </x:c>
      <x:c r="L1206" s="11" t="n">
        <x:v>0</x:v>
      </x:c>
      <x:c r="M1206" s="11" t="n">
        <x:v>5</x:v>
      </x:c>
      <x:c r="N1206" s="4"/>
      <x:c r="O1206" s="4"/>
      <x:c r="P1206" s="11" t="n">
        <x:v>4</x:v>
      </x:c>
      <x:c r="Q1206" s="11" t="n">
        <x:v>0</x:v>
      </x:c>
      <x:c r="R1206" s="11" t="str">
        <x:f>IF(OR(P1206="",Q1206=""),"",Q1206-P1206)</x:f>
      </x:c>
      <x:c r="S1206" s="13" t="str">
        <x:f>IF(OR(P1206="",Q1206="",P1206=0),"",((Q1206/30)/(P1206/31))-1)</x:f>
      </x:c>
      <x:c r="T1206" s="11" t="n">
        <x:v>191</x:v>
      </x:c>
      <x:c r="U1206" s="11" t="n">
        <x:v>83</x:v>
      </x:c>
      <x:c r="V1206" s="14" t="n">
        <x:v>0</x:v>
      </x:c>
      <x:c r="W1206" s="12" t="n">
        <x:v>14.19277108433735</x:v>
      </x:c>
      <x:c r="X1206" s="11" t="n">
        <x:v>1</x:v>
      </x:c>
      <x:c r="Y1206" s="11" t="n">
        <x:v>1</x:v>
      </x:c>
      <x:c r="Z1206" s="4" t="str">
        <x:v>https://blog.skyairline.com/nervios-al-viajar/</x:v>
      </x:c>
      <x:c r="AA1206" s="4" t="str">
        <x:v>https://blog.skyairline.com/nervios-al-viajar/</x:v>
      </x:c>
      <x:c r="AB1206" s="4" t="str">
        <x:v>Coincidencia URL</x:v>
      </x:c>
      <x:c r="AC1206" s="4" t="str">
        <x:v>Publicado hasta septiembre</x:v>
      </x:c>
      <x:c r="AD1206" s="4" t="str">
        <x:v>/nervios-al-viajar/</x:v>
      </x:c>
      <x:c r="AE1206" s="4"/>
      <x:c r="AF1206" s="16" t="b">
        <x:v>0</x:v>
      </x:c>
    </x:row>
    <x:row r="1207" ht="44" customHeight="1">
      <x:c r="A1207" s="4" t="n">
        <x:v>2795</x:v>
      </x:c>
      <x:c r="B1207" s="4" t="str">
        <x:v>https://blog.skyairline.com/externalizando-servicios-de-aeropuertos-en-chile/</x:v>
      </x:c>
      <x:c r="C1207" s="9" t="str">
        <x:v>SKY optimizará sus operaciones externalizando servicios de aeropuertos en Chile</x:v>
      </x:c>
      <x:c r="D1207" s="17" t="d">
        <x:v>2023-03-23T00:00:00.000Z</x:v>
      </x:c>
      <x:c r="E1207" s="17" t="d">
        <x:v>2023-03-23T00:00:00.000Z</x:v>
      </x:c>
      <x:c r="F1207" s="4" t="str">
        <x:v>Noticias</x:v>
      </x:c>
      <x:c r="G1207" s="11" t="n">
        <x:v>404</x:v>
      </x:c>
      <x:c r="H1207" s="11" t="n">
        <x:v>200</x:v>
      </x:c>
      <x:c r="I1207" s="11" t="n">
        <x:v>1</x:v>
      </x:c>
      <x:c r="J1207" s="4" t="str">
        <x:v>https://blog.skyairline.com/externalizando-servicios-de-aeropuertos-en-chile/</x:v>
      </x:c>
      <x:c r="K1207" s="16" t="b">
        <x:v>0</x:v>
      </x:c>
      <x:c r="L1207" s="11" t="n">
        <x:v>0</x:v>
      </x:c>
      <x:c r="M1207" s="11" t="n">
        <x:v>0</x:v>
      </x:c>
      <x:c r="N1207" s="4"/>
      <x:c r="O1207" s="4"/>
      <x:c r="P1207" s="11" t="n">
        <x:v>0</x:v>
      </x:c>
      <x:c r="Q1207" s="11" t="n">
        <x:v>0</x:v>
      </x:c>
      <x:c r="R1207" s="11" t="str">
        <x:f>IF(OR(P1207="",Q1207=""),"",Q1207-P1207)</x:f>
      </x:c>
      <x:c r="S1207" s="13" t="str">
        <x:f>IF(OR(P1207="",Q1207="",P1207=0),"",((Q1207/30)/(P1207/31))-1)</x:f>
      </x:c>
      <x:c r="T1207" s="11" t="n">
        <x:v>136</x:v>
      </x:c>
      <x:c r="U1207" s="11" t="n">
        <x:v>97</x:v>
      </x:c>
      <x:c r="V1207" s="14" t="n">
        <x:v>0</x:v>
      </x:c>
      <x:c r="W1207" s="12" t="n">
        <x:v>22.04123711340206</x:v>
      </x:c>
      <x:c r="X1207" s="11"/>
      <x:c r="Y1207" s="11"/>
      <x:c r="Z1207" s="4" t="str">
        <x:v>https://blog.skyairline.com/externalizando-servicios-de-aeropuertos-en-chile/</x:v>
      </x:c>
      <x:c r="AA1207" s="4" t="str">
        <x:v>https://blog.skyairline.com/externalizando-servicios-de-aeropuertos-en-chile/</x:v>
      </x:c>
      <x:c r="AB1207" s="4" t="str">
        <x:v>Coincidencia URL</x:v>
      </x:c>
      <x:c r="AC1207" s="4" t="str">
        <x:v>Publicado hasta septiembre</x:v>
      </x:c>
      <x:c r="AD1207" s="4"/>
      <x:c r="AE1207" s="4"/>
      <x:c r="AF1207" s="16" t="b">
        <x:v>0</x:v>
      </x:c>
    </x:row>
    <x:row r="1208" ht="44" customHeight="1">
      <x:c r="A1208" s="4" t="n">
        <x:v>2801</x:v>
      </x:c>
      <x:c r="B1208" s="4" t="str">
        <x:v>https://blog.skyairline.com/semana-santa-en-punta-cana/</x:v>
      </x:c>
      <x:c r="C1208" s="9" t="str">
        <x:v>Mejores playas para pasar la Semana Santa en Punta Cana</x:v>
      </x:c>
      <x:c r="D1208" s="17" t="d">
        <x:v>2023-03-30T00:00:00.000Z</x:v>
      </x:c>
      <x:c r="E1208" s="17" t="d">
        <x:v>2023-03-30T00:00:00.000Z</x:v>
      </x:c>
      <x:c r="F1208" s="4" t="str">
        <x:v>Destinos</x:v>
      </x:c>
      <x:c r="G1208" s="11" t="n">
        <x:v>986</x:v>
      </x:c>
      <x:c r="H1208" s="11" t="n">
        <x:v>200</x:v>
      </x:c>
      <x:c r="I1208" s="11" t="n">
        <x:v>1</x:v>
      </x:c>
      <x:c r="J1208" s="4" t="str">
        <x:v>https://blog.skyairline.com/semana-santa-en-punta-cana/</x:v>
      </x:c>
      <x:c r="K1208" s="16" t="b">
        <x:v>0</x:v>
      </x:c>
      <x:c r="L1208" s="11" t="n">
        <x:v>0</x:v>
      </x:c>
      <x:c r="M1208" s="11" t="n">
        <x:v>3</x:v>
      </x:c>
      <x:c r="N1208" s="4"/>
      <x:c r="O1208" s="4"/>
      <x:c r="P1208" s="11" t="n">
        <x:v>0</x:v>
      </x:c>
      <x:c r="Q1208" s="11" t="n">
        <x:v>0</x:v>
      </x:c>
      <x:c r="R1208" s="11" t="str">
        <x:f>IF(OR(P1208="",Q1208=""),"",Q1208-P1208)</x:f>
      </x:c>
      <x:c r="S1208" s="13" t="str">
        <x:f>IF(OR(P1208="",Q1208="",P1208=0),"",((Q1208/30)/(P1208/31))-1)</x:f>
      </x:c>
      <x:c r="T1208" s="11" t="n">
        <x:v>28</x:v>
      </x:c>
      <x:c r="U1208" s="11" t="n">
        <x:v>59</x:v>
      </x:c>
      <x:c r="V1208" s="14" t="n">
        <x:v>0</x:v>
      </x:c>
      <x:c r="W1208" s="12" t="n">
        <x:v>10.542372881355933</x:v>
      </x:c>
      <x:c r="X1208" s="11"/>
      <x:c r="Y1208" s="11"/>
      <x:c r="Z1208" s="4" t="str">
        <x:v>https://blog.skyairline.com/semana-santa-en-punta-cana/</x:v>
      </x:c>
      <x:c r="AA1208" s="4" t="str">
        <x:v>https://blog.skyairline.com/semana-santa-en-punta-cana/</x:v>
      </x:c>
      <x:c r="AB1208" s="4" t="str">
        <x:v>Coincidencia URL</x:v>
      </x:c>
      <x:c r="AC1208" s="4" t="str">
        <x:v>Publicado hasta septiembre</x:v>
      </x:c>
      <x:c r="AD1208" s="4"/>
      <x:c r="AE1208" s="4"/>
      <x:c r="AF1208" s="16" t="b">
        <x:v>0</x:v>
      </x:c>
    </x:row>
    <x:row r="1209" ht="44" customHeight="1">
      <x:c r="A1209" s="4" t="n">
        <x:v>2804</x:v>
      </x:c>
      <x:c r="B1209" s="4" t="str">
        <x:v>https://blog.skyairline.com/semana-santa-en-cancun/</x:v>
      </x:c>
      <x:c r="C1209" s="9" t="str">
        <x:v>Semana Santa en Cancún: ¿a dónde ir y qué esperar?</x:v>
      </x:c>
      <x:c r="D1209" s="17" t="d">
        <x:v>2023-03-30T00:00:00.000Z</x:v>
      </x:c>
      <x:c r="E1209" s="17" t="d">
        <x:v>2023-03-30T00:00:00.000Z</x:v>
      </x:c>
      <x:c r="F1209" s="4" t="str">
        <x:v>Planificación de Viaje</x:v>
      </x:c>
      <x:c r="G1209" s="11" t="n">
        <x:v>1011</x:v>
      </x:c>
      <x:c r="H1209" s="11" t="n">
        <x:v>200</x:v>
      </x:c>
      <x:c r="I1209" s="11" t="n">
        <x:v>1</x:v>
      </x:c>
      <x:c r="J1209" s="4" t="str">
        <x:v>https://blog.skyairline.com/semana-santa-en-cancun/</x:v>
      </x:c>
      <x:c r="K1209" s="16" t="b">
        <x:v>0</x:v>
      </x:c>
      <x:c r="L1209" s="11" t="n">
        <x:v>0</x:v>
      </x:c>
      <x:c r="M1209" s="11" t="n">
        <x:v>3</x:v>
      </x:c>
      <x:c r="N1209" s="4"/>
      <x:c r="O1209" s="4"/>
      <x:c r="P1209" s="11" t="n">
        <x:v>0</x:v>
      </x:c>
      <x:c r="Q1209" s="11" t="n">
        <x:v>0</x:v>
      </x:c>
      <x:c r="R1209" s="11" t="str">
        <x:f>IF(OR(P1209="",Q1209=""),"",Q1209-P1209)</x:f>
      </x:c>
      <x:c r="S1209" s="13" t="str">
        <x:f>IF(OR(P1209="",Q1209="",P1209=0),"",((Q1209/30)/(P1209/31))-1)</x:f>
      </x:c>
      <x:c r="T1209" s="11" t="n">
        <x:v>9</x:v>
      </x:c>
      <x:c r="U1209" s="11" t="n">
        <x:v>13</x:v>
      </x:c>
      <x:c r="V1209" s="14" t="n">
        <x:v>0</x:v>
      </x:c>
      <x:c r="W1209" s="12" t="n">
        <x:v>13.923076923076923</x:v>
      </x:c>
      <x:c r="X1209" s="11"/>
      <x:c r="Y1209" s="11"/>
      <x:c r="Z1209" s="4" t="str">
        <x:v>https://blog.skyairline.com/semana-santa-en-cancun/</x:v>
      </x:c>
      <x:c r="AA1209" s="4" t="str">
        <x:v>https://blog.skyairline.com/semana-santa-en-cancun/</x:v>
      </x:c>
      <x:c r="AB1209" s="4" t="str">
        <x:v>Coincidencia URL</x:v>
      </x:c>
      <x:c r="AC1209" s="4" t="str">
        <x:v>Publicado hasta septiembre</x:v>
      </x:c>
      <x:c r="AD1209" s="4"/>
      <x:c r="AE1209" s="4"/>
      <x:c r="AF1209" s="16" t="b">
        <x:v>1</x:v>
      </x:c>
    </x:row>
    <x:row r="1210" ht="44" customHeight="1">
      <x:c r="A1210" s="4" t="n">
        <x:v>2807</x:v>
      </x:c>
      <x:c r="B1210" s="4" t="str">
        <x:v>https://blog.skyairline.com/miami-durante-semana-santa/</x:v>
      </x:c>
      <x:c r="C1210" s="9" t="str">
        <x:v>¿Qué se hace en Miami durante Semana Santa?</x:v>
      </x:c>
      <x:c r="D1210" s="17" t="d">
        <x:v>2023-03-30T00:00:00.000Z</x:v>
      </x:c>
      <x:c r="E1210" s="17" t="d">
        <x:v>2023-03-30T00:00:00.000Z</x:v>
      </x:c>
      <x:c r="F1210" s="4" t="str">
        <x:v>Destinos</x:v>
      </x:c>
      <x:c r="G1210" s="11" t="n">
        <x:v>971</x:v>
      </x:c>
      <x:c r="H1210" s="11" t="n">
        <x:v>200</x:v>
      </x:c>
      <x:c r="I1210" s="11" t="n">
        <x:v>1</x:v>
      </x:c>
      <x:c r="J1210" s="4" t="str">
        <x:v>https://blog.skyairline.com/miami-durante-semana-santa/</x:v>
      </x:c>
      <x:c r="K1210" s="16" t="b">
        <x:v>0</x:v>
      </x:c>
      <x:c r="L1210" s="11" t="n">
        <x:v>0</x:v>
      </x:c>
      <x:c r="M1210" s="11" t="n">
        <x:v>3</x:v>
      </x:c>
      <x:c r="N1210" s="4"/>
      <x:c r="O1210" s="4"/>
      <x:c r="P1210" s="11" t="n">
        <x:v>0</x:v>
      </x:c>
      <x:c r="Q1210" s="11" t="n">
        <x:v>0</x:v>
      </x:c>
      <x:c r="R1210" s="11" t="str">
        <x:f>IF(OR(P1210="",Q1210=""),"",Q1210-P1210)</x:f>
      </x:c>
      <x:c r="S1210" s="13" t="str">
        <x:f>IF(OR(P1210="",Q1210="",P1210=0),"",((Q1210/30)/(P1210/31))-1)</x:f>
      </x:c>
      <x:c r="T1210" s="11" t="n">
        <x:v>46</x:v>
      </x:c>
      <x:c r="U1210" s="11" t="n">
        <x:v>55</x:v>
      </x:c>
      <x:c r="V1210" s="14" t="n">
        <x:v>0</x:v>
      </x:c>
      <x:c r="W1210" s="12" t="n">
        <x:v>5.818181818181818</x:v>
      </x:c>
      <x:c r="X1210" s="11"/>
      <x:c r="Y1210" s="11"/>
      <x:c r="Z1210" s="4" t="str">
        <x:v>https://blog.skyairline.com/miami-durante-semana-santa/</x:v>
      </x:c>
      <x:c r="AA1210" s="4" t="str">
        <x:v>https://blog.skyairline.com/miami-durante-semana-santa/</x:v>
      </x:c>
      <x:c r="AB1210" s="4" t="str">
        <x:v>Coincidencia URL</x:v>
      </x:c>
      <x:c r="AC1210" s="4" t="str">
        <x:v>Publicado hasta septiembre</x:v>
      </x:c>
      <x:c r="AD1210" s="4"/>
      <x:c r="AE1210" s="4"/>
      <x:c r="AF1210" s="16" t="b">
        <x:v>0</x:v>
      </x:c>
    </x:row>
    <x:row r="1211" ht="44" customHeight="1">
      <x:c r="A1211" s="4" t="n">
        <x:v>2810</x:v>
      </x:c>
      <x:c r="B1211" s="4" t="str">
        <x:v>https://blog.skyairline.com/a-donde-ir-en-semana-santa/</x:v>
      </x:c>
      <x:c r="C1211" s="9" t="str">
        <x:v>Dónde viajar en Semana Santa: ideas de destinos SKY para desconectar</x:v>
      </x:c>
      <x:c r="D1211" s="17" t="d">
        <x:v>2026-03-03T00:00:00.000Z</x:v>
      </x:c>
      <x:c r="E1211" s="17" t="d">
        <x:v>2026-03-02T00:00:00.000Z</x:v>
      </x:c>
      <x:c r="F1211" s="4" t="str">
        <x:v>Destinos</x:v>
      </x:c>
      <x:c r="G1211" s="11" t="n">
        <x:v>1038</x:v>
      </x:c>
      <x:c r="H1211" s="11" t="n">
        <x:v>200</x:v>
      </x:c>
      <x:c r="I1211" s="11" t="n">
        <x:v>1</x:v>
      </x:c>
      <x:c r="J1211" s="4" t="str">
        <x:v>https://blog.skyairline.com/a-donde-ir-en-semana-santa/</x:v>
      </x:c>
      <x:c r="K1211" s="16" t="b">
        <x:v>0</x:v>
      </x:c>
      <x:c r="L1211" s="11" t="n">
        <x:v>0</x:v>
      </x:c>
      <x:c r="M1211" s="11" t="n">
        <x:v>0</x:v>
      </x:c>
      <x:c r="N1211" s="4"/>
      <x:c r="O1211" s="4"/>
      <x:c r="P1211" s="11" t="n">
        <x:v>0</x:v>
      </x:c>
      <x:c r="Q1211" s="11" t="n">
        <x:v>0</x:v>
      </x:c>
      <x:c r="R1211" s="11" t="str">
        <x:f>IF(OR(P1211="",Q1211=""),"",Q1211-P1211)</x:f>
      </x:c>
      <x:c r="S1211" s="13" t="str">
        <x:f>IF(OR(P1211="",Q1211="",P1211=0),"",((Q1211/30)/(P1211/31))-1)</x:f>
      </x:c>
      <x:c r="T1211" s="11" t="n">
        <x:v>22</x:v>
      </x:c>
      <x:c r="U1211" s="11" t="n">
        <x:v>23</x:v>
      </x:c>
      <x:c r="V1211" s="14" t="n">
        <x:v>0</x:v>
      </x:c>
      <x:c r="W1211" s="12" t="n">
        <x:v>11.521739130434783</x:v>
      </x:c>
      <x:c r="X1211" s="11"/>
      <x:c r="Y1211" s="11"/>
      <x:c r="Z1211" s="4" t="str">
        <x:v>https://blog.skyairline.com/a-donde-ir-en-semana-santa/</x:v>
      </x:c>
      <x:c r="AA1211" s="4" t="str">
        <x:v>https://blog.skyairline.com/a-donde-ir-en-semana-santa/</x:v>
      </x:c>
      <x:c r="AB1211" s="4" t="str">
        <x:v>Coincidencia URL</x:v>
      </x:c>
      <x:c r="AC1211" s="4" t="str">
        <x:v>Publicado hasta septiembre</x:v>
      </x:c>
      <x:c r="AD1211" s="4"/>
      <x:c r="AE1211" s="4"/>
      <x:c r="AF1211" s="16" t="b">
        <x:v>0</x:v>
      </x:c>
    </x:row>
    <x:row r="1212" ht="44" customHeight="1">
      <x:c r="A1212" s="4" t="n">
        <x:v>2821</x:v>
      </x:c>
      <x:c r="B1212" s="4" t="str">
        <x:v>https://blog.skyairline.com/hoteles-en-porto-alegre/</x:v>
      </x:c>
      <x:c r="C1212" s="9" t="str">
        <x:v>Hoteles en Porto Alegre: 5 excelentes opciones para ti</x:v>
      </x:c>
      <x:c r="D1212" s="17" t="d">
        <x:v>2023-04-11T00:00:00.000Z</x:v>
      </x:c>
      <x:c r="E1212" s="17" t="d">
        <x:v>2023-04-11T00:00:00.000Z</x:v>
      </x:c>
      <x:c r="F1212" s="4" t="str">
        <x:v>Destinos</x:v>
      </x:c>
      <x:c r="G1212" s="11" t="n">
        <x:v>1029</x:v>
      </x:c>
      <x:c r="H1212" s="11" t="n">
        <x:v>200</x:v>
      </x:c>
      <x:c r="I1212" s="11" t="n">
        <x:v>1</x:v>
      </x:c>
      <x:c r="J1212" s="4" t="str">
        <x:v>https://blog.skyairline.com/hoteles-en-porto-alegre/</x:v>
      </x:c>
      <x:c r="K1212" s="16" t="b">
        <x:v>0</x:v>
      </x:c>
      <x:c r="L1212" s="11" t="n">
        <x:v>0</x:v>
      </x:c>
      <x:c r="M1212" s="11" t="n">
        <x:v>3</x:v>
      </x:c>
      <x:c r="N1212" s="4"/>
      <x:c r="O1212" s="4"/>
      <x:c r="P1212" s="11" t="n">
        <x:v>0</x:v>
      </x:c>
      <x:c r="Q1212" s="11" t="n">
        <x:v>0</x:v>
      </x:c>
      <x:c r="R1212" s="11" t="str">
        <x:f>IF(OR(P1212="",Q1212=""),"",Q1212-P1212)</x:f>
      </x:c>
      <x:c r="S1212" s="13" t="str">
        <x:f>IF(OR(P1212="",Q1212="",P1212=0),"",((Q1212/30)/(P1212/31))-1)</x:f>
      </x:c>
      <x:c r="T1212" s="11" t="n">
        <x:v>12</x:v>
      </x:c>
      <x:c r="U1212" s="11" t="n">
        <x:v>34</x:v>
      </x:c>
      <x:c r="V1212" s="14" t="n">
        <x:v>0</x:v>
      </x:c>
      <x:c r="W1212" s="12" t="n">
        <x:v>17.764705882352942</x:v>
      </x:c>
      <x:c r="X1212" s="11"/>
      <x:c r="Y1212" s="11"/>
      <x:c r="Z1212" s="4" t="str">
        <x:v>https://blog.skyairline.com/hoteles-en-porto-alegre/</x:v>
      </x:c>
      <x:c r="AA1212" s="4" t="str">
        <x:v>https://blog.skyairline.com/hoteles-en-porto-alegre/</x:v>
      </x:c>
      <x:c r="AB1212" s="4" t="str">
        <x:v>Coincidencia URL</x:v>
      </x:c>
      <x:c r="AC1212" s="4" t="str">
        <x:v>Publicado hasta septiembre</x:v>
      </x:c>
      <x:c r="AD1212" s="4"/>
      <x:c r="AE1212" s="4"/>
      <x:c r="AF1212" s="16" t="b">
        <x:v>0</x:v>
      </x:c>
    </x:row>
    <x:row r="1213" ht="44" customHeight="1">
      <x:c r="A1213" s="4" t="n">
        <x:v>2823</x:v>
      </x:c>
      <x:c r="B1213" s="4" t="str">
        <x:v>https://blog.skyairline.com/paquete-turistico/</x:v>
      </x:c>
      <x:c r="C1213" s="9" t="str">
        <x:v>Cómo elegir el mejor paquete turístico según tu estilo</x:v>
      </x:c>
      <x:c r="D1213" s="17" t="d">
        <x:v>2025-10-11T00:00:00.000Z</x:v>
      </x:c>
      <x:c r="E1213" s="17" t="d">
        <x:v>2026-01-12T00:00:00.000Z</x:v>
      </x:c>
      <x:c r="F1213" s="4" t="str">
        <x:v>Destinos</x:v>
      </x:c>
      <x:c r="G1213" s="11" t="n">
        <x:v>1053</x:v>
      </x:c>
      <x:c r="H1213" s="11" t="n">
        <x:v>200</x:v>
      </x:c>
      <x:c r="I1213" s="11" t="n">
        <x:v>1</x:v>
      </x:c>
      <x:c r="J1213" s="4" t="str">
        <x:v>https://blog.skyairline.com/paquete-turistico/</x:v>
      </x:c>
      <x:c r="K1213" s="16" t="b">
        <x:v>0</x:v>
      </x:c>
      <x:c r="L1213" s="11" t="n">
        <x:v>0</x:v>
      </x:c>
      <x:c r="M1213" s="11" t="n">
        <x:v>7</x:v>
      </x:c>
      <x:c r="N1213" s="4"/>
      <x:c r="O1213" s="4"/>
      <x:c r="P1213" s="11" t="n">
        <x:v>0</x:v>
      </x:c>
      <x:c r="Q1213" s="11" t="n">
        <x:v>0</x:v>
      </x:c>
      <x:c r="R1213" s="11" t="str">
        <x:f>IF(OR(P1213="",Q1213=""),"",Q1213-P1213)</x:f>
      </x:c>
      <x:c r="S1213" s="13" t="str">
        <x:f>IF(OR(P1213="",Q1213="",P1213=0),"",((Q1213/30)/(P1213/31))-1)</x:f>
      </x:c>
      <x:c r="T1213" s="11" t="n">
        <x:v>133</x:v>
      </x:c>
      <x:c r="U1213" s="11" t="n">
        <x:v>81</x:v>
      </x:c>
      <x:c r="V1213" s="14" t="n">
        <x:v>0</x:v>
      </x:c>
      <x:c r="W1213" s="12" t="n">
        <x:v>8.703703703703702</x:v>
      </x:c>
      <x:c r="X1213" s="11" t="n">
        <x:v>2</x:v>
      </x:c>
      <x:c r="Y1213" s="11" t="n">
        <x:v>1</x:v>
      </x:c>
      <x:c r="Z1213" s="4" t="str">
        <x:v>https://blog.skyairline.com/paquete-turistico/</x:v>
      </x:c>
      <x:c r="AA1213" s="4" t="str">
        <x:v>https://blog.skyairline.com/paquete-turistico/</x:v>
      </x:c>
      <x:c r="AB1213" s="4" t="str">
        <x:v>Coincidencia URL</x:v>
      </x:c>
      <x:c r="AC1213" s="4" t="str">
        <x:v>Publicado hasta septiembre</x:v>
      </x:c>
      <x:c r="AD1213" s="4" t="str">
        <x:v>/paquete-turistico/</x:v>
      </x:c>
      <x:c r="AE1213" s="4"/>
      <x:c r="AF1213" s="16" t="b">
        <x:v>0</x:v>
      </x:c>
    </x:row>
    <x:row r="1214" ht="44" customHeight="1">
      <x:c r="A1214" s="4" t="n">
        <x:v>2839</x:v>
      </x:c>
      <x:c r="B1214" s="4" t="str">
        <x:v>https://blog.skyairline.com/parque-de-los-molinos-de-viento/</x:v>
      </x:c>
      <x:c r="C1214" s="9" t="str">
        <x:v>Parque de los Molinos de Viento, un lugar que te dejará fascinado si visitas Porto Alegre</x:v>
      </x:c>
      <x:c r="D1214" s="17" t="d">
        <x:v>2023-04-20T00:00:00.000Z</x:v>
      </x:c>
      <x:c r="E1214" s="17" t="d">
        <x:v>2023-04-20T00:00:00.000Z</x:v>
      </x:c>
      <x:c r="F1214" s="4" t="str">
        <x:v>Destinos</x:v>
      </x:c>
      <x:c r="G1214" s="11" t="n">
        <x:v>1097</x:v>
      </x:c>
      <x:c r="H1214" s="11" t="n">
        <x:v>200</x:v>
      </x:c>
      <x:c r="I1214" s="11" t="n">
        <x:v>1</x:v>
      </x:c>
      <x:c r="J1214" s="4" t="str">
        <x:v>https://blog.skyairline.com/parque-de-los-molinos-de-viento/</x:v>
      </x:c>
      <x:c r="K1214" s="16" t="b">
        <x:v>0</x:v>
      </x:c>
      <x:c r="L1214" s="11" t="n">
        <x:v>0</x:v>
      </x:c>
      <x:c r="M1214" s="11" t="n">
        <x:v>3</x:v>
      </x:c>
      <x:c r="N1214" s="4"/>
      <x:c r="O1214" s="4"/>
      <x:c r="P1214" s="11" t="n">
        <x:v>0</x:v>
      </x:c>
      <x:c r="Q1214" s="11" t="n">
        <x:v>0</x:v>
      </x:c>
      <x:c r="R1214" s="11" t="str">
        <x:f>IF(OR(P1214="",Q1214=""),"",Q1214-P1214)</x:f>
      </x:c>
      <x:c r="S1214" s="13" t="str">
        <x:f>IF(OR(P1214="",Q1214="",P1214=0),"",((Q1214/30)/(P1214/31))-1)</x:f>
      </x:c>
      <x:c r="T1214" s="11" t="n">
        <x:v>83</x:v>
      </x:c>
      <x:c r="U1214" s="11" t="n">
        <x:v>78</x:v>
      </x:c>
      <x:c r="V1214" s="14" t="n">
        <x:v>0</x:v>
      </x:c>
      <x:c r="W1214" s="12" t="n">
        <x:v>8.179487179487179</x:v>
      </x:c>
      <x:c r="X1214" s="11" t="n">
        <x:v>2</x:v>
      </x:c>
      <x:c r="Y1214" s="11" t="n">
        <x:v>2</x:v>
      </x:c>
      <x:c r="Z1214" s="4" t="str">
        <x:v>https://blog.skyairline.com/parque-de-los-molinos-de-viento/</x:v>
      </x:c>
      <x:c r="AA1214" s="4" t="str">
        <x:v>https://blog.skyairline.com/parque-de-los-molinos-de-viento/</x:v>
      </x:c>
      <x:c r="AB1214" s="4" t="str">
        <x:v>Coincidencia URL</x:v>
      </x:c>
      <x:c r="AC1214" s="4" t="str">
        <x:v>Publicado hasta septiembre</x:v>
      </x:c>
      <x:c r="AD1214" s="4" t="str">
        <x:v>/parque-de-los-molinos-de-viento/</x:v>
      </x:c>
      <x:c r="AE1214" s="4"/>
      <x:c r="AF1214" s="16" t="b">
        <x:v>0</x:v>
      </x:c>
    </x:row>
    <x:row r="1215" ht="44" customHeight="1">
      <x:c r="A1215" s="4" t="n">
        <x:v>2844</x:v>
      </x:c>
      <x:c r="B1215" s="4" t="str">
        <x:v>https://blog.skyairline.com/holger-paulmann-reconocido/</x:v>
      </x:c>
      <x:c r="C1215" s="9" t="str">
        <x:v>Holger Paulmann, reconocido como Empresario del año</x:v>
      </x:c>
      <x:c r="D1215" s="17" t="d">
        <x:v>2023-04-19T00:00:00.000Z</x:v>
      </x:c>
      <x:c r="E1215" s="17" t="d">
        <x:v>2023-04-19T00:00:00.000Z</x:v>
      </x:c>
      <x:c r="F1215" s="4" t="str">
        <x:v>Noticias</x:v>
      </x:c>
      <x:c r="G1215" s="11" t="n">
        <x:v>117</x:v>
      </x:c>
      <x:c r="H1215" s="11" t="n">
        <x:v>200</x:v>
      </x:c>
      <x:c r="I1215" s="11" t="n">
        <x:v>1</x:v>
      </x:c>
      <x:c r="J1215" s="4" t="str">
        <x:v>https://blog.skyairline.com/holger-paulmann-reconocido/</x:v>
      </x:c>
      <x:c r="K1215" s="16" t="b">
        <x:v>0</x:v>
      </x:c>
      <x:c r="L1215" s="11" t="n">
        <x:v>0</x:v>
      </x:c>
      <x:c r="M1215" s="11" t="n">
        <x:v>0</x:v>
      </x:c>
      <x:c r="N1215" s="4"/>
      <x:c r="O1215" s="4"/>
      <x:c r="P1215" s="11" t="n">
        <x:v>2</x:v>
      </x:c>
      <x:c r="Q1215" s="11" t="n">
        <x:v>0</x:v>
      </x:c>
      <x:c r="R1215" s="11" t="str">
        <x:f>IF(OR(P1215="",Q1215=""),"",Q1215-P1215)</x:f>
      </x:c>
      <x:c r="S1215" s="13" t="str">
        <x:f>IF(OR(P1215="",Q1215="",P1215=0),"",((Q1215/30)/(P1215/31))-1)</x:f>
      </x:c>
      <x:c r="T1215" s="11" t="n">
        <x:v>355</x:v>
      </x:c>
      <x:c r="U1215" s="11" t="n">
        <x:v>210</x:v>
      </x:c>
      <x:c r="V1215" s="14" t="n">
        <x:v>0</x:v>
      </x:c>
      <x:c r="W1215" s="12" t="n">
        <x:v>8.89047619047619</x:v>
      </x:c>
      <x:c r="X1215" s="11"/>
      <x:c r="Y1215" s="11"/>
      <x:c r="Z1215" s="4" t="str">
        <x:v>https://blog.skyairline.com/holger-paulmann-reconocido/</x:v>
      </x:c>
      <x:c r="AA1215" s="4" t="str">
        <x:v>https://blog.skyairline.com/holger-paulmann-reconocido/</x:v>
      </x:c>
      <x:c r="AB1215" s="4" t="str">
        <x:v>Coincidencia URL</x:v>
      </x:c>
      <x:c r="AC1215" s="4" t="str">
        <x:v>Publicado hasta septiembre</x:v>
      </x:c>
      <x:c r="AD1215" s="4"/>
      <x:c r="AE1215" s="4"/>
      <x:c r="AF1215" s="16" t="b">
        <x:v>0</x:v>
      </x:c>
    </x:row>
    <x:row r="1216" ht="44" customHeight="1">
      <x:c r="A1216" s="4" t="n">
        <x:v>2847</x:v>
      </x:c>
      <x:c r="B1216" s="4" t="str">
        <x:v>https://blog.skyairline.com/sky-operara-en-puerto-natales/</x:v>
      </x:c>
      <x:c r="C1216" s="9" t="str">
        <x:v>SKY operará en Puerto Natales por primera vez durante esta temporada de invierno</x:v>
      </x:c>
      <x:c r="D1216" s="17" t="d">
        <x:v>2023-04-19T00:00:00.000Z</x:v>
      </x:c>
      <x:c r="E1216" s="17" t="d">
        <x:v>2023-04-19T00:00:00.000Z</x:v>
      </x:c>
      <x:c r="F1216" s="4" t="str">
        <x:v>Noticias</x:v>
      </x:c>
      <x:c r="G1216" s="11" t="n">
        <x:v>707</x:v>
      </x:c>
      <x:c r="H1216" s="11" t="n">
        <x:v>200</x:v>
      </x:c>
      <x:c r="I1216" s="11" t="n">
        <x:v>1</x:v>
      </x:c>
      <x:c r="J1216" s="4" t="str">
        <x:v>https://blog.skyairline.com/sky-operara-en-puerto-natales/</x:v>
      </x:c>
      <x:c r="K1216" s="16" t="b">
        <x:v>0</x:v>
      </x:c>
      <x:c r="L1216" s="11" t="n">
        <x:v>0</x:v>
      </x:c>
      <x:c r="M1216" s="11" t="n">
        <x:v>0</x:v>
      </x:c>
      <x:c r="N1216" s="4"/>
      <x:c r="O1216" s="4"/>
      <x:c r="P1216" s="11" t="n">
        <x:v>1</x:v>
      </x:c>
      <x:c r="Q1216" s="11" t="n">
        <x:v>0</x:v>
      </x:c>
      <x:c r="R1216" s="11" t="str">
        <x:f>IF(OR(P1216="",Q1216=""),"",Q1216-P1216)</x:f>
      </x:c>
      <x:c r="S1216" s="13" t="str">
        <x:f>IF(OR(P1216="",Q1216="",P1216=0),"",((Q1216/30)/(P1216/31))-1)</x:f>
      </x:c>
      <x:c r="T1216" s="11" t="n">
        <x:v>161</x:v>
      </x:c>
      <x:c r="U1216" s="11" t="n">
        <x:v>90</x:v>
      </x:c>
      <x:c r="V1216" s="14" t="n">
        <x:v>0</x:v>
      </x:c>
      <x:c r="W1216" s="12" t="n">
        <x:v>8.31111111111111</x:v>
      </x:c>
      <x:c r="X1216" s="11"/>
      <x:c r="Y1216" s="11"/>
      <x:c r="Z1216" s="4" t="str">
        <x:v>https://blog.skyairline.com/sky-operara-en-puerto-natales/</x:v>
      </x:c>
      <x:c r="AA1216" s="4" t="str">
        <x:v>https://blog.skyairline.com/sky-operara-en-puerto-natales/</x:v>
      </x:c>
      <x:c r="AB1216" s="4" t="str">
        <x:v>Coincidencia URL</x:v>
      </x:c>
      <x:c r="AC1216" s="4" t="str">
        <x:v>Publicado hasta septiembre</x:v>
      </x:c>
      <x:c r="AD1216" s="4"/>
      <x:c r="AE1216" s="4"/>
      <x:c r="AF1216" s="16" t="b">
        <x:v>0</x:v>
      </x:c>
    </x:row>
    <x:row r="1217" ht="44" customHeight="1">
      <x:c r="A1217" s="4" t="n">
        <x:v>2860</x:v>
      </x:c>
      <x:c r="B1217" s="4" t="str">
        <x:v>https://blog.skyairline.com/viaje-a-bariloche/</x:v>
      </x:c>
      <x:c r="C1217" s="9" t="str">
        <x:v>Viaje a Bariloche: 4 consejos para preparar tu viaje</x:v>
      </x:c>
      <x:c r="D1217" s="17" t="d">
        <x:v>2026-04-27T00:00:00.000Z</x:v>
      </x:c>
      <x:c r="E1217" s="17" t="d">
        <x:v>2026-04-16T00:00:00.000Z</x:v>
      </x:c>
      <x:c r="F1217" s="4" t="str">
        <x:v>Bariloche</x:v>
      </x:c>
      <x:c r="G1217" s="11" t="n">
        <x:v>1085</x:v>
      </x:c>
      <x:c r="H1217" s="11" t="n">
        <x:v>200</x:v>
      </x:c>
      <x:c r="I1217" s="11" t="n">
        <x:v>1</x:v>
      </x:c>
      <x:c r="J1217" s="4" t="str">
        <x:v>https://blog.skyairline.com/viaje-a-bariloche/</x:v>
      </x:c>
      <x:c r="K1217" s="16" t="b">
        <x:v>0</x:v>
      </x:c>
      <x:c r="L1217" s="11" t="n">
        <x:v>0</x:v>
      </x:c>
      <x:c r="M1217" s="11" t="n">
        <x:v>0</x:v>
      </x:c>
      <x:c r="N1217" s="4"/>
      <x:c r="O1217" s="4"/>
      <x:c r="P1217" s="11" t="n">
        <x:v>1</x:v>
      </x:c>
      <x:c r="Q1217" s="11" t="n">
        <x:v>0</x:v>
      </x:c>
      <x:c r="R1217" s="11" t="str">
        <x:f>IF(OR(P1217="",Q1217=""),"",Q1217-P1217)</x:f>
      </x:c>
      <x:c r="S1217" s="13" t="str">
        <x:f>IF(OR(P1217="",Q1217="",P1217=0),"",((Q1217/30)/(P1217/31))-1)</x:f>
      </x:c>
      <x:c r="T1217" s="11" t="n">
        <x:v>528</x:v>
      </x:c>
      <x:c r="U1217" s="11" t="n">
        <x:v>225</x:v>
      </x:c>
      <x:c r="V1217" s="14" t="n">
        <x:v>0</x:v>
      </x:c>
      <x:c r="W1217" s="12" t="n">
        <x:v>8.697777777777777</x:v>
      </x:c>
      <x:c r="X1217" s="11"/>
      <x:c r="Y1217" s="11"/>
      <x:c r="Z1217" s="4" t="str">
        <x:v>https://blog.skyairline.com/viaje-a-bariloche/</x:v>
      </x:c>
      <x:c r="AA1217" s="4" t="str">
        <x:v>https://blog.skyairline.com/viaje-a-bariloche/</x:v>
      </x:c>
      <x:c r="AB1217" s="4" t="str">
        <x:v>Coincidencia URL</x:v>
      </x:c>
      <x:c r="AC1217" s="4" t="str">
        <x:v>Publicado hasta septiembre</x:v>
      </x:c>
      <x:c r="AD1217" s="4"/>
      <x:c r="AE1217" s="4"/>
      <x:c r="AF1217" s="16" t="b">
        <x:v>0</x:v>
      </x:c>
    </x:row>
    <x:row r="1218" ht="44" customHeight="1">
      <x:c r="A1218" s="4" t="n">
        <x:v>2891</x:v>
      </x:c>
      <x:c r="B1218" s="4" t="str">
        <x:v>https://blog.skyairline.com/vuelos-a-argentina/</x:v>
      </x:c>
      <x:c r="C1218" s="9" t="str">
        <x:v>Vuelos a Argentina con SKY, destinos en el país trasandino</x:v>
      </x:c>
      <x:c r="D1218" s="17" t="d">
        <x:v>2025-12-05T00:00:00.000Z</x:v>
      </x:c>
      <x:c r="E1218" s="17" t="d">
        <x:v>2025-12-10T00:00:00.000Z</x:v>
      </x:c>
      <x:c r="F1218" s="4" t="str">
        <x:v>Destinos</x:v>
      </x:c>
      <x:c r="G1218" s="11" t="n">
        <x:v>1058</x:v>
      </x:c>
      <x:c r="H1218" s="11" t="n">
        <x:v>200</x:v>
      </x:c>
      <x:c r="I1218" s="11" t="n">
        <x:v>1</x:v>
      </x:c>
      <x:c r="J1218" s="4" t="str">
        <x:v>https://blog.skyairline.com/vuelos-a-argentina/</x:v>
      </x:c>
      <x:c r="K1218" s="16" t="b">
        <x:v>0</x:v>
      </x:c>
      <x:c r="L1218" s="11" t="n">
        <x:v>0</x:v>
      </x:c>
      <x:c r="M1218" s="11" t="n">
        <x:v>14</x:v>
      </x:c>
      <x:c r="N1218" s="4"/>
      <x:c r="O1218" s="4"/>
      <x:c r="P1218" s="11" t="n">
        <x:v>0</x:v>
      </x:c>
      <x:c r="Q1218" s="11" t="n">
        <x:v>0</x:v>
      </x:c>
      <x:c r="R1218" s="11" t="str">
        <x:f>IF(OR(P1218="",Q1218=""),"",Q1218-P1218)</x:f>
      </x:c>
      <x:c r="S1218" s="13" t="str">
        <x:f>IF(OR(P1218="",Q1218="",P1218=0),"",((Q1218/30)/(P1218/31))-1)</x:f>
      </x:c>
      <x:c r="T1218" s="11" t="n">
        <x:v>17</x:v>
      </x:c>
      <x:c r="U1218" s="11" t="n">
        <x:v>12</x:v>
      </x:c>
      <x:c r="V1218" s="14" t="n">
        <x:v>0</x:v>
      </x:c>
      <x:c r="W1218" s="12" t="n">
        <x:v>18.166666666666668</x:v>
      </x:c>
      <x:c r="X1218" s="11"/>
      <x:c r="Y1218" s="11"/>
      <x:c r="Z1218" s="4" t="str">
        <x:v>https://blog.skyairline.com/vuelos-a-argentina/</x:v>
      </x:c>
      <x:c r="AA1218" s="4" t="str">
        <x:v>https://blog.skyairline.com/vuelos-a-argentina/</x:v>
      </x:c>
      <x:c r="AB1218" s="4" t="str">
        <x:v>Coincidencia URL</x:v>
      </x:c>
      <x:c r="AC1218" s="4" t="str">
        <x:v>Publicado hasta septiembre</x:v>
      </x:c>
      <x:c r="AD1218" s="4"/>
      <x:c r="AE1218" s="4"/>
      <x:c r="AF1218" s="16" t="b">
        <x:v>0</x:v>
      </x:c>
    </x:row>
    <x:row r="1219" ht="44" customHeight="1">
      <x:c r="A1219" s="4" t="n">
        <x:v>2910</x:v>
      </x:c>
      <x:c r="B1219" s="4" t="str">
        <x:v>https://blog.skyairline.com/lugares-gratutios-en-porto-alegre/</x:v>
      </x:c>
      <x:c r="C1219" s="9" t="str">
        <x:v>6 lugares gratuitos para conocer en Porto Alegre</x:v>
      </x:c>
      <x:c r="D1219" s="17" t="d">
        <x:v>2023-04-28T00:00:00.000Z</x:v>
      </x:c>
      <x:c r="E1219" s="17" t="d">
        <x:v>2023-04-28T00:00:00.000Z</x:v>
      </x:c>
      <x:c r="F1219" s="4" t="str">
        <x:v>Destinos</x:v>
      </x:c>
      <x:c r="G1219" s="11" t="n">
        <x:v>1135</x:v>
      </x:c>
      <x:c r="H1219" s="11" t="n">
        <x:v>200</x:v>
      </x:c>
      <x:c r="I1219" s="11" t="n">
        <x:v>1</x:v>
      </x:c>
      <x:c r="J1219" s="4" t="str">
        <x:v>https://blog.skyairline.com/lugares-gratutios-en-porto-alegre/</x:v>
      </x:c>
      <x:c r="K1219" s="16" t="b">
        <x:v>0</x:v>
      </x:c>
      <x:c r="L1219" s="11" t="n">
        <x:v>0</x:v>
      </x:c>
      <x:c r="M1219" s="11" t="n">
        <x:v>5</x:v>
      </x:c>
      <x:c r="N1219" s="4"/>
      <x:c r="O1219" s="4"/>
      <x:c r="P1219" s="11" t="n">
        <x:v>4</x:v>
      </x:c>
      <x:c r="Q1219" s="11" t="n">
        <x:v>0</x:v>
      </x:c>
      <x:c r="R1219" s="11" t="str">
        <x:f>IF(OR(P1219="",Q1219=""),"",Q1219-P1219)</x:f>
      </x:c>
      <x:c r="S1219" s="13" t="str">
        <x:f>IF(OR(P1219="",Q1219="",P1219=0),"",((Q1219/30)/(P1219/31))-1)</x:f>
      </x:c>
      <x:c r="T1219" s="11" t="n">
        <x:v>1216</x:v>
      </x:c>
      <x:c r="U1219" s="11" t="n">
        <x:v>164</x:v>
      </x:c>
      <x:c r="V1219" s="14" t="n">
        <x:v>0</x:v>
      </x:c>
      <x:c r="W1219" s="12" t="n">
        <x:v>16.896341463414636</x:v>
      </x:c>
      <x:c r="X1219" s="11" t="n">
        <x:v>3</x:v>
      </x:c>
      <x:c r="Y1219" s="11" t="n">
        <x:v>4</x:v>
      </x:c>
      <x:c r="Z1219" s="4" t="str">
        <x:v>https://blog.skyairline.com/lugares-gratutios-en-porto-alegre/</x:v>
      </x:c>
      <x:c r="AA1219" s="4" t="str">
        <x:v>https://blog.skyairline.com/lugares-gratutios-en-porto-alegre/</x:v>
      </x:c>
      <x:c r="AB1219" s="4" t="str">
        <x:v>Coincidencia URL</x:v>
      </x:c>
      <x:c r="AC1219" s="4" t="str">
        <x:v>Publicado hasta septiembre</x:v>
      </x:c>
      <x:c r="AD1219" s="4" t="str">
        <x:v>/lugares-gratutios-en-porto-alegre/</x:v>
      </x:c>
      <x:c r="AE1219" s="4"/>
      <x:c r="AF1219" s="16" t="b">
        <x:v>0</x:v>
      </x:c>
    </x:row>
    <x:row r="1220" ht="44" customHeight="1">
      <x:c r="A1220" s="4" t="n">
        <x:v>2919</x:v>
      </x:c>
      <x:c r="B1220" s="4" t="str">
        <x:v>https://blog.skyairline.com/edifio-santa-cruz/</x:v>
      </x:c>
      <x:c r="C1220" s="9" t="str">
        <x:v>Edificio Santa Cruz: ¡las mejores vistas panorámicas de Porto Alegre!</x:v>
      </x:c>
      <x:c r="D1220" s="17" t="d">
        <x:v>2023-05-09T00:00:00.000Z</x:v>
      </x:c>
      <x:c r="E1220" s="17" t="d">
        <x:v>2023-05-09T00:00:00.000Z</x:v>
      </x:c>
      <x:c r="F1220" s="4" t="str">
        <x:v>Destinos</x:v>
      </x:c>
      <x:c r="G1220" s="11" t="n">
        <x:v>1009</x:v>
      </x:c>
      <x:c r="H1220" s="11" t="n">
        <x:v>200</x:v>
      </x:c>
      <x:c r="I1220" s="11" t="n">
        <x:v>1</x:v>
      </x:c>
      <x:c r="J1220" s="4" t="str">
        <x:v>https://blog.skyairline.com/edifio-santa-cruz/</x:v>
      </x:c>
      <x:c r="K1220" s="16" t="b">
        <x:v>0</x:v>
      </x:c>
      <x:c r="L1220" s="11" t="n">
        <x:v>0</x:v>
      </x:c>
      <x:c r="M1220" s="11" t="n">
        <x:v>3</x:v>
      </x:c>
      <x:c r="N1220" s="4"/>
      <x:c r="O1220" s="4"/>
      <x:c r="P1220" s="11" t="n">
        <x:v>0</x:v>
      </x:c>
      <x:c r="Q1220" s="11" t="n">
        <x:v>0</x:v>
      </x:c>
      <x:c r="R1220" s="11" t="str">
        <x:f>IF(OR(P1220="",Q1220=""),"",Q1220-P1220)</x:f>
      </x:c>
      <x:c r="S1220" s="13" t="str">
        <x:f>IF(OR(P1220="",Q1220="",P1220=0),"",((Q1220/30)/(P1220/31))-1)</x:f>
      </x:c>
      <x:c r="T1220" s="11" t="n">
        <x:v>23</x:v>
      </x:c>
      <x:c r="U1220" s="11" t="n">
        <x:v>26</x:v>
      </x:c>
      <x:c r="V1220" s="14" t="n">
        <x:v>0</x:v>
      </x:c>
      <x:c r="W1220" s="12" t="n">
        <x:v>8.76923076923077</x:v>
      </x:c>
      <x:c r="X1220" s="11"/>
      <x:c r="Y1220" s="11"/>
      <x:c r="Z1220" s="4" t="str">
        <x:v>https://blog.skyairline.com/edifio-santa-cruz/</x:v>
      </x:c>
      <x:c r="AA1220" s="4" t="str">
        <x:v>https://blog.skyairline.com/edifio-santa-cruz/</x:v>
      </x:c>
      <x:c r="AB1220" s="4" t="str">
        <x:v>Coincidencia URL</x:v>
      </x:c>
      <x:c r="AC1220" s="4" t="str">
        <x:v>Publicado hasta septiembre</x:v>
      </x:c>
      <x:c r="AD1220" s="4"/>
      <x:c r="AE1220" s="4"/>
      <x:c r="AF1220" s="16" t="b">
        <x:v>0</x:v>
      </x:c>
    </x:row>
    <x:row r="1221" ht="44" customHeight="1">
      <x:c r="A1221" s="4" t="n">
        <x:v>2925</x:v>
      </x:c>
      <x:c r="B1221" s="4" t="str">
        <x:v>https://blog.skyairline.com/parque-farroupilha/</x:v>
      </x:c>
      <x:c r="C1221" s="9" t="str">
        <x:v>Parque Farroupilha, un ícono del centro de Porto Alegre</x:v>
      </x:c>
      <x:c r="D1221" s="17" t="d">
        <x:v>2023-05-11T00:00:00.000Z</x:v>
      </x:c>
      <x:c r="E1221" s="17" t="d">
        <x:v>2023-05-11T00:00:00.000Z</x:v>
      </x:c>
      <x:c r="F1221" s="4" t="str">
        <x:v>Destinos</x:v>
      </x:c>
      <x:c r="G1221" s="11" t="n">
        <x:v>1065</x:v>
      </x:c>
      <x:c r="H1221" s="11" t="n">
        <x:v>200</x:v>
      </x:c>
      <x:c r="I1221" s="11" t="n">
        <x:v>1</x:v>
      </x:c>
      <x:c r="J1221" s="4" t="str">
        <x:v>https://blog.skyairline.com/parque-farroupilha/</x:v>
      </x:c>
      <x:c r="K1221" s="16" t="b">
        <x:v>0</x:v>
      </x:c>
      <x:c r="L1221" s="11" t="n">
        <x:v>0</x:v>
      </x:c>
      <x:c r="M1221" s="11" t="n">
        <x:v>3</x:v>
      </x:c>
      <x:c r="N1221" s="4"/>
      <x:c r="O1221" s="4"/>
      <x:c r="P1221" s="11" t="n">
        <x:v>0</x:v>
      </x:c>
      <x:c r="Q1221" s="11" t="n">
        <x:v>0</x:v>
      </x:c>
      <x:c r="R1221" s="11" t="str">
        <x:f>IF(OR(P1221="",Q1221=""),"",Q1221-P1221)</x:f>
      </x:c>
      <x:c r="S1221" s="13" t="str">
        <x:f>IF(OR(P1221="",Q1221="",P1221=0),"",((Q1221/30)/(P1221/31))-1)</x:f>
      </x:c>
      <x:c r="T1221" s="11" t="n">
        <x:v>119</x:v>
      </x:c>
      <x:c r="U1221" s="11" t="n">
        <x:v>87</x:v>
      </x:c>
      <x:c r="V1221" s="14" t="n">
        <x:v>0</x:v>
      </x:c>
      <x:c r="W1221" s="12" t="n">
        <x:v>9.275862068965518</x:v>
      </x:c>
      <x:c r="X1221" s="11" t="n">
        <x:v>1</x:v>
      </x:c>
      <x:c r="Y1221" s="11" t="n">
        <x:v>1</x:v>
      </x:c>
      <x:c r="Z1221" s="4" t="str">
        <x:v>https://blog.skyairline.com/parque-farroupilha/</x:v>
      </x:c>
      <x:c r="AA1221" s="4" t="str">
        <x:v>https://blog.skyairline.com/parque-farroupilha/</x:v>
      </x:c>
      <x:c r="AB1221" s="4" t="str">
        <x:v>Coincidencia URL</x:v>
      </x:c>
      <x:c r="AC1221" s="4" t="str">
        <x:v>Publicado hasta septiembre</x:v>
      </x:c>
      <x:c r="AD1221" s="4" t="str">
        <x:v>/parque-farroupilha/</x:v>
      </x:c>
      <x:c r="AE1221" s="4"/>
      <x:c r="AF1221" s="16" t="b">
        <x:v>0</x:v>
      </x:c>
    </x:row>
    <x:row r="1222" ht="44" customHeight="1">
      <x:c r="A1222" s="4" t="n">
        <x:v>2940</x:v>
      </x:c>
      <x:c r="B1222" s="4" t="str">
        <x:v>https://blog.skyairline.com/lugares-turisticos-del-peru/</x:v>
      </x:c>
      <x:c r="C1222" s="9" t="str">
        <x:v>6 Lugares turísticos del Perú que debes conocer</x:v>
      </x:c>
      <x:c r="D1222" s="17" t="d">
        <x:v>2025-12-15T00:00:00.000Z</x:v>
      </x:c>
      <x:c r="E1222" s="17" t="d">
        <x:v>2025-12-15T00:00:00.000Z</x:v>
      </x:c>
      <x:c r="F1222" s="4" t="str">
        <x:v>Destinos</x:v>
      </x:c>
      <x:c r="G1222" s="11" t="n">
        <x:v>1209</x:v>
      </x:c>
      <x:c r="H1222" s="11" t="n">
        <x:v>200</x:v>
      </x:c>
      <x:c r="I1222" s="11" t="n">
        <x:v>1</x:v>
      </x:c>
      <x:c r="J1222" s="4" t="str">
        <x:v>https://blog.skyairline.com/lugares-turisticos-del-peru/</x:v>
      </x:c>
      <x:c r="K1222" s="16" t="b">
        <x:v>0</x:v>
      </x:c>
      <x:c r="L1222" s="11" t="n">
        <x:v>0</x:v>
      </x:c>
      <x:c r="M1222" s="11" t="n">
        <x:v>0</x:v>
      </x:c>
      <x:c r="N1222" s="4"/>
      <x:c r="O1222" s="4"/>
      <x:c r="P1222" s="11" t="n">
        <x:v>0</x:v>
      </x:c>
      <x:c r="Q1222" s="11" t="n">
        <x:v>0</x:v>
      </x:c>
      <x:c r="R1222" s="11" t="str">
        <x:f>IF(OR(P1222="",Q1222=""),"",Q1222-P1222)</x:f>
      </x:c>
      <x:c r="S1222" s="13" t="str">
        <x:f>IF(OR(P1222="",Q1222="",P1222=0),"",((Q1222/30)/(P1222/31))-1)</x:f>
      </x:c>
      <x:c r="T1222" s="11" t="n">
        <x:v>96</x:v>
      </x:c>
      <x:c r="U1222" s="11" t="n">
        <x:v>17</x:v>
      </x:c>
      <x:c r="V1222" s="14" t="n">
        <x:v>0</x:v>
      </x:c>
      <x:c r="W1222" s="12" t="n">
        <x:v>18.529411764705884</x:v>
      </x:c>
      <x:c r="X1222" s="11"/>
      <x:c r="Y1222" s="11"/>
      <x:c r="Z1222" s="4" t="str">
        <x:v>https://blog.skyairline.com/lugares-turisticos-del-peru/</x:v>
      </x:c>
      <x:c r="AA1222" s="4" t="str">
        <x:v>https://blog.skyairline.com/lugares-turisticos-del-peru/</x:v>
      </x:c>
      <x:c r="AB1222" s="4" t="str">
        <x:v>Coincidencia URL</x:v>
      </x:c>
      <x:c r="AC1222" s="4" t="str">
        <x:v>Publicado hasta septiembre</x:v>
      </x:c>
      <x:c r="AD1222" s="4"/>
      <x:c r="AE1222" s="4"/>
      <x:c r="AF1222" s="16" t="b">
        <x:v>0</x:v>
      </x:c>
    </x:row>
    <x:row r="1223" ht="44" customHeight="1">
      <x:c r="A1223" s="4" t="n">
        <x:v>2943</x:v>
      </x:c>
      <x:c r="B1223" s="4" t="str">
        <x:v>https://blog.skyairline.com/puente-de-los-suspiros/</x:v>
      </x:c>
      <x:c r="C1223" s="9" t="str">
        <x:v>Puente de los Suspiros: las mejores fotos y vistas en Lima</x:v>
      </x:c>
      <x:c r="D1223" s="17" t="d">
        <x:v>2023-05-19T00:00:00.000Z</x:v>
      </x:c>
      <x:c r="E1223" s="17" t="d">
        <x:v>2023-05-19T00:00:00.000Z</x:v>
      </x:c>
      <x:c r="F1223" s="4" t="str">
        <x:v>Destinos</x:v>
      </x:c>
      <x:c r="G1223" s="11" t="n">
        <x:v>993</x:v>
      </x:c>
      <x:c r="H1223" s="11" t="n">
        <x:v>200</x:v>
      </x:c>
      <x:c r="I1223" s="11" t="n">
        <x:v>1</x:v>
      </x:c>
      <x:c r="J1223" s="4" t="str">
        <x:v>https://blog.skyairline.com/puente-de-los-suspiros/</x:v>
      </x:c>
      <x:c r="K1223" s="16" t="b">
        <x:v>0</x:v>
      </x:c>
      <x:c r="L1223" s="11" t="n">
        <x:v>0</x:v>
      </x:c>
      <x:c r="M1223" s="11" t="n">
        <x:v>3</x:v>
      </x:c>
      <x:c r="N1223" s="4"/>
      <x:c r="O1223" s="4"/>
      <x:c r="P1223" s="11" t="n">
        <x:v>1</x:v>
      </x:c>
      <x:c r="Q1223" s="11" t="n">
        <x:v>0</x:v>
      </x:c>
      <x:c r="R1223" s="11" t="str">
        <x:f>IF(OR(P1223="",Q1223=""),"",Q1223-P1223)</x:f>
      </x:c>
      <x:c r="S1223" s="13" t="str">
        <x:f>IF(OR(P1223="",Q1223="",P1223=0),"",((Q1223/30)/(P1223/31))-1)</x:f>
      </x:c>
      <x:c r="T1223" s="11" t="n">
        <x:v>487</x:v>
      </x:c>
      <x:c r="U1223" s="11" t="n">
        <x:v>407</x:v>
      </x:c>
      <x:c r="V1223" s="14" t="n">
        <x:v>0</x:v>
      </x:c>
      <x:c r="W1223" s="12" t="n">
        <x:v>12.513513513513514</x:v>
      </x:c>
      <x:c r="X1223" s="11" t="n">
        <x:v>2</x:v>
      </x:c>
      <x:c r="Y1223" s="11" t="n">
        <x:v>2</x:v>
      </x:c>
      <x:c r="Z1223" s="4" t="str">
        <x:v>https://blog.skyairline.com/puente-de-los-suspiros/</x:v>
      </x:c>
      <x:c r="AA1223" s="4" t="str">
        <x:v>https://blog.skyairline.com/puente-de-los-suspiros/</x:v>
      </x:c>
      <x:c r="AB1223" s="4" t="str">
        <x:v>Coincidencia URL</x:v>
      </x:c>
      <x:c r="AC1223" s="4" t="str">
        <x:v>Publicado hasta septiembre</x:v>
      </x:c>
      <x:c r="AD1223" s="4" t="str">
        <x:v>/puente-de-los-suspiros/</x:v>
      </x:c>
      <x:c r="AE1223" s="4"/>
      <x:c r="AF1223" s="16" t="b">
        <x:v>0</x:v>
      </x:c>
    </x:row>
    <x:row r="1224" ht="44" customHeight="1">
      <x:c r="A1224" s="4" t="n">
        <x:v>2949</x:v>
      </x:c>
      <x:c r="B1224" s="4" t="str">
        <x:v>https://blog.skyairline.com/trekking-en-peru/</x:v>
      </x:c>
      <x:c r="C1224" s="9" t="str">
        <x:v>Trekking en Perú: rutas, preparación y consejos para una aventura responsable</x:v>
      </x:c>
      <x:c r="D1224" s="17" t="d">
        <x:v>2026-03-04T00:00:00.000Z</x:v>
      </x:c>
      <x:c r="E1224" s="17" t="d">
        <x:v>2026-03-02T00:00:00.000Z</x:v>
      </x:c>
      <x:c r="F1224" s="4" t="str">
        <x:v>Destinos</x:v>
      </x:c>
      <x:c r="G1224" s="11" t="n">
        <x:v>1031</x:v>
      </x:c>
      <x:c r="H1224" s="11" t="n">
        <x:v>200</x:v>
      </x:c>
      <x:c r="I1224" s="11" t="n">
        <x:v>1</x:v>
      </x:c>
      <x:c r="J1224" s="4" t="str">
        <x:v>https://blog.skyairline.com/trekking-en-peru/</x:v>
      </x:c>
      <x:c r="K1224" s="16" t="b">
        <x:v>0</x:v>
      </x:c>
      <x:c r="L1224" s="11" t="n">
        <x:v>0</x:v>
      </x:c>
      <x:c r="M1224" s="11" t="n">
        <x:v>0</x:v>
      </x:c>
      <x:c r="N1224" s="4"/>
      <x:c r="O1224" s="4"/>
      <x:c r="P1224" s="11" t="n">
        <x:v>0</x:v>
      </x:c>
      <x:c r="Q1224" s="11" t="n">
        <x:v>0</x:v>
      </x:c>
      <x:c r="R1224" s="11" t="str">
        <x:f>IF(OR(P1224="",Q1224=""),"",Q1224-P1224)</x:f>
      </x:c>
      <x:c r="S1224" s="13" t="str">
        <x:f>IF(OR(P1224="",Q1224="",P1224=0),"",((Q1224/30)/(P1224/31))-1)</x:f>
      </x:c>
      <x:c r="T1224" s="11" t="n">
        <x:v>261</x:v>
      </x:c>
      <x:c r="U1224" s="11" t="n">
        <x:v>180</x:v>
      </x:c>
      <x:c r="V1224" s="14" t="n">
        <x:v>0</x:v>
      </x:c>
      <x:c r="W1224" s="12" t="n">
        <x:v>38.71111111111111</x:v>
      </x:c>
      <x:c r="X1224" s="11"/>
      <x:c r="Y1224" s="11"/>
      <x:c r="Z1224" s="4" t="str">
        <x:v>https://blog.skyairline.com/trekking-en-peru/</x:v>
      </x:c>
      <x:c r="AA1224" s="4" t="str">
        <x:v>https://blog.skyairline.com/trekking-en-peru/</x:v>
      </x:c>
      <x:c r="AB1224" s="4" t="str">
        <x:v>Coincidencia URL</x:v>
      </x:c>
      <x:c r="AC1224" s="4" t="str">
        <x:v>Publicado hasta septiembre</x:v>
      </x:c>
      <x:c r="AD1224" s="4"/>
      <x:c r="AE1224" s="4"/>
      <x:c r="AF1224" s="16" t="b">
        <x:v>0</x:v>
      </x:c>
    </x:row>
    <x:row r="1225" ht="44" customHeight="1">
      <x:c r="A1225" s="4" t="n">
        <x:v>2961</x:v>
      </x:c>
      <x:c r="B1225" s="4" t="str">
        <x:v>https://blog.skyairline.com/vuelos-a-brasil-2/</x:v>
      </x:c>
      <x:c r="C1225" s="9" t="str">
        <x:v>Vuelos a Brasil: 6 destinos para conocer</x:v>
      </x:c>
      <x:c r="D1225" s="17" t="d">
        <x:v>2025-12-05T00:00:00.000Z</x:v>
      </x:c>
      <x:c r="E1225" s="17" t="d">
        <x:v>2025-12-10T00:00:00.000Z</x:v>
      </x:c>
      <x:c r="F1225" s="4" t="str">
        <x:v>Destinos</x:v>
      </x:c>
      <x:c r="G1225" s="11" t="n">
        <x:v>1140</x:v>
      </x:c>
      <x:c r="H1225" s="11" t="n">
        <x:v>200</x:v>
      </x:c>
      <x:c r="I1225" s="11" t="n">
        <x:v>1</x:v>
      </x:c>
      <x:c r="J1225" s="4" t="str">
        <x:v>https://blog.skyairline.com/vuelos-a-brasil-2/</x:v>
      </x:c>
      <x:c r="K1225" s="16" t="b">
        <x:v>0</x:v>
      </x:c>
      <x:c r="L1225" s="11" t="n">
        <x:v>0</x:v>
      </x:c>
      <x:c r="M1225" s="11" t="n">
        <x:v>5</x:v>
      </x:c>
      <x:c r="N1225" s="4"/>
      <x:c r="O1225" s="4"/>
      <x:c r="P1225" s="11" t="n">
        <x:v>0</x:v>
      </x:c>
      <x:c r="Q1225" s="11" t="n">
        <x:v>0</x:v>
      </x:c>
      <x:c r="R1225" s="11" t="str">
        <x:f>IF(OR(P1225="",Q1225=""),"",Q1225-P1225)</x:f>
      </x:c>
      <x:c r="S1225" s="13" t="str">
        <x:f>IF(OR(P1225="",Q1225="",P1225=0),"",((Q1225/30)/(P1225/31))-1)</x:f>
      </x:c>
      <x:c r="T1225" s="11" t="n">
        <x:v>31</x:v>
      </x:c>
      <x:c r="U1225" s="11" t="n">
        <x:v>21</x:v>
      </x:c>
      <x:c r="V1225" s="14" t="n">
        <x:v>0</x:v>
      </x:c>
      <x:c r="W1225" s="12" t="n">
        <x:v>10.19047619047619</x:v>
      </x:c>
      <x:c r="X1225" s="11"/>
      <x:c r="Y1225" s="11"/>
      <x:c r="Z1225" s="4" t="str">
        <x:v>https://blog.skyairline.com/vuelos-a-brasil-2/</x:v>
      </x:c>
      <x:c r="AA1225" s="4" t="str">
        <x:v>https://blog.skyairline.com/vuelos-a-brasil-2/</x:v>
      </x:c>
      <x:c r="AB1225" s="4" t="str">
        <x:v>Coincidencia URL</x:v>
      </x:c>
      <x:c r="AC1225" s="4" t="str">
        <x:v>Publicado hasta septiembre</x:v>
      </x:c>
      <x:c r="AD1225" s="4"/>
      <x:c r="AE1225" s="4"/>
      <x:c r="AF1225" s="16" t="b">
        <x:v>0</x:v>
      </x:c>
    </x:row>
    <x:row r="1226" ht="44" customHeight="1">
      <x:c r="A1226" s="4" t="n">
        <x:v>2976</x:v>
      </x:c>
      <x:c r="B1226" s="4" t="str">
        <x:v>https://blog.skyairline.com/que-hacer-en-tacna/</x:v>
      </x:c>
      <x:c r="C1226" s="9" t="str">
        <x:v>¿Qué hacer en Tacna? Explora este destino mágico</x:v>
      </x:c>
      <x:c r="D1226" s="17" t="d">
        <x:v>2023-06-02T00:00:00.000Z</x:v>
      </x:c>
      <x:c r="E1226" s="17" t="d">
        <x:v>2023-06-02T00:00:00.000Z</x:v>
      </x:c>
      <x:c r="F1226" s="4" t="str">
        <x:v>Destinos</x:v>
      </x:c>
      <x:c r="G1226" s="11" t="n">
        <x:v>1129</x:v>
      </x:c>
      <x:c r="H1226" s="11" t="n">
        <x:v>200</x:v>
      </x:c>
      <x:c r="I1226" s="11" t="n">
        <x:v>1</x:v>
      </x:c>
      <x:c r="J1226" s="4" t="str">
        <x:v>https://blog.skyairline.com/que-hacer-en-tacna/</x:v>
      </x:c>
      <x:c r="K1226" s="16" t="b">
        <x:v>0</x:v>
      </x:c>
      <x:c r="L1226" s="11" t="n">
        <x:v>0</x:v>
      </x:c>
      <x:c r="M1226" s="11" t="n">
        <x:v>3</x:v>
      </x:c>
      <x:c r="N1226" s="4"/>
      <x:c r="O1226" s="4"/>
      <x:c r="P1226" s="11" t="n">
        <x:v>0</x:v>
      </x:c>
      <x:c r="Q1226" s="11" t="n">
        <x:v>0</x:v>
      </x:c>
      <x:c r="R1226" s="11" t="str">
        <x:f>IF(OR(P1226="",Q1226=""),"",Q1226-P1226)</x:f>
      </x:c>
      <x:c r="S1226" s="13" t="str">
        <x:f>IF(OR(P1226="",Q1226="",P1226=0),"",((Q1226/30)/(P1226/31))-1)</x:f>
      </x:c>
      <x:c r="T1226" s="11" t="n">
        <x:v>145</x:v>
      </x:c>
      <x:c r="U1226" s="11" t="n">
        <x:v>47</x:v>
      </x:c>
      <x:c r="V1226" s="14" t="n">
        <x:v>0</x:v>
      </x:c>
      <x:c r="W1226" s="12" t="n">
        <x:v>28.914893617021278</x:v>
      </x:c>
      <x:c r="X1226" s="11"/>
      <x:c r="Y1226" s="11"/>
      <x:c r="Z1226" s="4" t="str">
        <x:v>https://blog.skyairline.com/que-hacer-en-tacna/</x:v>
      </x:c>
      <x:c r="AA1226" s="4" t="str">
        <x:v>https://blog.skyairline.com/que-hacer-en-tacna/</x:v>
      </x:c>
      <x:c r="AB1226" s="4" t="str">
        <x:v>Coincidencia URL</x:v>
      </x:c>
      <x:c r="AC1226" s="4" t="str">
        <x:v>Publicado hasta septiembre</x:v>
      </x:c>
      <x:c r="AD1226" s="4"/>
      <x:c r="AE1226" s="4"/>
      <x:c r="AF1226" s="16" t="b">
        <x:v>0</x:v>
      </x:c>
    </x:row>
    <x:row r="1227" ht="44" customHeight="1">
      <x:c r="A1227" s="4" t="n">
        <x:v>2979</x:v>
      </x:c>
      <x:c r="B1227" s="4" t="str">
        <x:v>https://blog.skyairline.com/circuito-de-playas-de-la-costa-verde/</x:v>
      </x:c>
      <x:c r="C1227" s="9" t="str">
        <x:v>¿Qué hacer y ver en el Circuito de Playas de la Costa Verde?</x:v>
      </x:c>
      <x:c r="D1227" s="17" t="d">
        <x:v>2023-06-05T00:00:00.000Z</x:v>
      </x:c>
      <x:c r="E1227" s="17" t="d">
        <x:v>2023-06-05T00:00:00.000Z</x:v>
      </x:c>
      <x:c r="F1227" s="4" t="str">
        <x:v>Destinos</x:v>
      </x:c>
      <x:c r="G1227" s="11" t="n">
        <x:v>1020</x:v>
      </x:c>
      <x:c r="H1227" s="11" t="n">
        <x:v>200</x:v>
      </x:c>
      <x:c r="I1227" s="11" t="n">
        <x:v>1</x:v>
      </x:c>
      <x:c r="J1227" s="4" t="str">
        <x:v>https://blog.skyairline.com/circuito-de-playas-de-la-costa-verde/</x:v>
      </x:c>
      <x:c r="K1227" s="16" t="b">
        <x:v>0</x:v>
      </x:c>
      <x:c r="L1227" s="11" t="n">
        <x:v>0</x:v>
      </x:c>
      <x:c r="M1227" s="11" t="n">
        <x:v>3</x:v>
      </x:c>
      <x:c r="N1227" s="4"/>
      <x:c r="O1227" s="4"/>
      <x:c r="P1227" s="11" t="n">
        <x:v>3</x:v>
      </x:c>
      <x:c r="Q1227" s="11" t="n">
        <x:v>0</x:v>
      </x:c>
      <x:c r="R1227" s="11" t="str">
        <x:f>IF(OR(P1227="",Q1227=""),"",Q1227-P1227)</x:f>
      </x:c>
      <x:c r="S1227" s="13" t="str">
        <x:f>IF(OR(P1227="",Q1227="",P1227=0),"",((Q1227/30)/(P1227/31))-1)</x:f>
      </x:c>
      <x:c r="T1227" s="11" t="n">
        <x:v>563</x:v>
      </x:c>
      <x:c r="U1227" s="11" t="n">
        <x:v>573</x:v>
      </x:c>
      <x:c r="V1227" s="14" t="n">
        <x:v>0</x:v>
      </x:c>
      <x:c r="W1227" s="12" t="n">
        <x:v>12.534031413612565</x:v>
      </x:c>
      <x:c r="X1227" s="11"/>
      <x:c r="Y1227" s="11"/>
      <x:c r="Z1227" s="4" t="str">
        <x:v>https://blog.skyairline.com/circuito-de-playas-de-la-costa-verde/</x:v>
      </x:c>
      <x:c r="AA1227" s="4" t="str">
        <x:v>https://blog.skyairline.com/circuito-de-playas-de-la-costa-verde/</x:v>
      </x:c>
      <x:c r="AB1227" s="4" t="str">
        <x:v>Coincidencia URL</x:v>
      </x:c>
      <x:c r="AC1227" s="4" t="str">
        <x:v>Publicado hasta septiembre</x:v>
      </x:c>
      <x:c r="AD1227" s="4"/>
      <x:c r="AE1227" s="4"/>
      <x:c r="AF1227" s="16" t="b">
        <x:v>0</x:v>
      </x:c>
    </x:row>
    <x:row r="1228" ht="44" customHeight="1">
      <x:c r="A1228" s="4" t="n">
        <x:v>2982</x:v>
      </x:c>
      <x:c r="B1228" s="4" t="str">
        <x:v>https://blog.skyairline.com/ballenas/</x:v>
      </x:c>
      <x:c r="C1228" s="9" t="str">
        <x:v>Avistamiento de ballenas en Perú: todo lo que debes saber avistamiento de ballenas</x:v>
      </x:c>
      <x:c r="D1228" s="17" t="d">
        <x:v>2025-10-16T00:00:00.000Z</x:v>
      </x:c>
      <x:c r="E1228" s="17" t="d">
        <x:v>2026-01-12T00:00:00.000Z</x:v>
      </x:c>
      <x:c r="F1228" s="4" t="str">
        <x:v>Destinos</x:v>
      </x:c>
      <x:c r="G1228" s="11" t="n">
        <x:v>1169</x:v>
      </x:c>
      <x:c r="H1228" s="11" t="n">
        <x:v>200</x:v>
      </x:c>
      <x:c r="I1228" s="11" t="n">
        <x:v>1</x:v>
      </x:c>
      <x:c r="J1228" s="4" t="str">
        <x:v>https://blog.skyairline.com/ballenas/</x:v>
      </x:c>
      <x:c r="K1228" s="16" t="b">
        <x:v>0</x:v>
      </x:c>
      <x:c r="L1228" s="11" t="n">
        <x:v>0</x:v>
      </x:c>
      <x:c r="M1228" s="11" t="n">
        <x:v>1</x:v>
      </x:c>
      <x:c r="N1228" s="4"/>
      <x:c r="O1228" s="4"/>
      <x:c r="P1228" s="11" t="n">
        <x:v>0</x:v>
      </x:c>
      <x:c r="Q1228" s="11" t="n">
        <x:v>0</x:v>
      </x:c>
      <x:c r="R1228" s="11" t="str">
        <x:f>IF(OR(P1228="",Q1228=""),"",Q1228-P1228)</x:f>
      </x:c>
      <x:c r="S1228" s="13" t="str">
        <x:f>IF(OR(P1228="",Q1228="",P1228=0),"",((Q1228/30)/(P1228/31))-1)</x:f>
      </x:c>
      <x:c r="T1228" s="11" t="n">
        <x:v>145</x:v>
      </x:c>
      <x:c r="U1228" s="11" t="n">
        <x:v>67</x:v>
      </x:c>
      <x:c r="V1228" s="14" t="n">
        <x:v>0</x:v>
      </x:c>
      <x:c r="W1228" s="12" t="n">
        <x:v>8.776119402985074</x:v>
      </x:c>
      <x:c r="X1228" s="11"/>
      <x:c r="Y1228" s="11"/>
      <x:c r="Z1228" s="4" t="str">
        <x:v>https://blog.skyairline.com/ballenas/</x:v>
      </x:c>
      <x:c r="AA1228" s="4" t="str">
        <x:v>https://blog.skyairline.com/ballenas/</x:v>
      </x:c>
      <x:c r="AB1228" s="4" t="str">
        <x:v>Coincidencia URL</x:v>
      </x:c>
      <x:c r="AC1228" s="4" t="str">
        <x:v>Publicado hasta septiembre</x:v>
      </x:c>
      <x:c r="AD1228" s="4"/>
      <x:c r="AE1228" s="4"/>
      <x:c r="AF1228" s="16" t="b">
        <x:v>0</x:v>
      </x:c>
    </x:row>
    <x:row r="1229" ht="44" customHeight="1">
      <x:c r="A1229" s="4" t="n">
        <x:v>3003</x:v>
      </x:c>
      <x:c r="B1229" s="4" t="str">
        <x:v>https://blog.skyairline.com/aerolinea-sky-nuevos-destinos-peru/</x:v>
      </x:c>
      <x:c r="C1229" s="9" t="str">
        <x:v>Aerolínea SKY anuncia nuevos destinos en Perú: Chiclayo y Cajamarca</x:v>
      </x:c>
      <x:c r="D1229" s="17" t="d">
        <x:v>2023-05-18T00:00:00.000Z</x:v>
      </x:c>
      <x:c r="E1229" s="17" t="d">
        <x:v>2023-05-18T00:00:00.000Z</x:v>
      </x:c>
      <x:c r="F1229" s="4" t="str">
        <x:v>Noticias</x:v>
      </x:c>
      <x:c r="G1229" s="11" t="n">
        <x:v>429</x:v>
      </x:c>
      <x:c r="H1229" s="11" t="n">
        <x:v>200</x:v>
      </x:c>
      <x:c r="I1229" s="11" t="n">
        <x:v>1</x:v>
      </x:c>
      <x:c r="J1229" s="4" t="str">
        <x:v>https://blog.skyairline.com/aerolinea-sky-nuevos-destinos-peru/</x:v>
      </x:c>
      <x:c r="K1229" s="16" t="b">
        <x:v>0</x:v>
      </x:c>
      <x:c r="L1229" s="11" t="n">
        <x:v>0</x:v>
      </x:c>
      <x:c r="M1229" s="11" t="n">
        <x:v>0</x:v>
      </x:c>
      <x:c r="N1229" s="4"/>
      <x:c r="O1229" s="4"/>
      <x:c r="P1229" s="11" t="n">
        <x:v>1</x:v>
      </x:c>
      <x:c r="Q1229" s="11" t="n">
        <x:v>0</x:v>
      </x:c>
      <x:c r="R1229" s="11" t="str">
        <x:f>IF(OR(P1229="",Q1229=""),"",Q1229-P1229)</x:f>
      </x:c>
      <x:c r="S1229" s="13" t="str">
        <x:f>IF(OR(P1229="",Q1229="",P1229=0),"",((Q1229/30)/(P1229/31))-1)</x:f>
      </x:c>
      <x:c r="T1229" s="11" t="n">
        <x:v>242</x:v>
      </x:c>
      <x:c r="U1229" s="11" t="n">
        <x:v>915</x:v>
      </x:c>
      <x:c r="V1229" s="14" t="n">
        <x:v>0</x:v>
      </x:c>
      <x:c r="W1229" s="12" t="n">
        <x:v>7.19672131147541</x:v>
      </x:c>
      <x:c r="X1229" s="11"/>
      <x:c r="Y1229" s="11"/>
      <x:c r="Z1229" s="4" t="str">
        <x:v>https://blog.skyairline.com/aerolinea-sky-nuevos-destinos-peru/</x:v>
      </x:c>
      <x:c r="AA1229" s="4" t="str">
        <x:v>https://blog.skyairline.com/aerolinea-sky-nuevos-destinos-peru/</x:v>
      </x:c>
      <x:c r="AB1229" s="4" t="str">
        <x:v>Coincidencia URL</x:v>
      </x:c>
      <x:c r="AC1229" s="4" t="str">
        <x:v>Publicado hasta septiembre</x:v>
      </x:c>
      <x:c r="AD1229" s="4"/>
      <x:c r="AE1229" s="4"/>
      <x:c r="AF1229" s="16" t="b">
        <x:v>0</x:v>
      </x:c>
    </x:row>
    <x:row r="1230" ht="44" customHeight="1">
      <x:c r="A1230" s="4" t="n">
        <x:v>3011</x:v>
      </x:c>
      <x:c r="B1230" s="4" t="str">
        <x:v>https://blog.skyairline.com/operacion-en-rutas-estacionales/</x:v>
      </x:c>
      <x:c r="C1230" s="9" t="str">
        <x:v>SKY Airline extiende la operación de 3 rutas estacionales</x:v>
      </x:c>
      <x:c r="D1230" s="17" t="d">
        <x:v>2023-05-22T00:00:00.000Z</x:v>
      </x:c>
      <x:c r="E1230" s="17" t="d">
        <x:v>2023-05-22T00:00:00.000Z</x:v>
      </x:c>
      <x:c r="F1230" s="4" t="str">
        <x:v>Noticias</x:v>
      </x:c>
      <x:c r="G1230" s="11" t="n">
        <x:v>209</x:v>
      </x:c>
      <x:c r="H1230" s="11" t="n">
        <x:v>200</x:v>
      </x:c>
      <x:c r="I1230" s="11" t="n">
        <x:v>1</x:v>
      </x:c>
      <x:c r="J1230" s="4" t="str">
        <x:v>https://blog.skyairline.com/operacion-en-rutas-estacionales/</x:v>
      </x:c>
      <x:c r="K1230" s="16" t="b">
        <x:v>0</x:v>
      </x:c>
      <x:c r="L1230" s="11" t="n">
        <x:v>0</x:v>
      </x:c>
      <x:c r="M1230" s="11" t="n">
        <x:v>1</x:v>
      </x:c>
      <x:c r="N1230" s="4"/>
      <x:c r="O1230" s="4"/>
      <x:c r="P1230" s="11"/>
      <x:c r="Q1230" s="11" t="n">
        <x:v>0</x:v>
      </x:c>
      <x:c r="R1230" s="11" t="str">
        <x:f>IF(OR(P1230="",Q1230=""),"",Q1230-P1230)</x:f>
      </x:c>
      <x:c r="S1230" s="13" t="str">
        <x:f>IF(OR(P1230="",Q1230="",P1230=0),"",((Q1230/30)/(P1230/31))-1)</x:f>
      </x:c>
      <x:c r="T1230" s="11"/>
      <x:c r="U1230" s="11" t="n">
        <x:v>4</x:v>
      </x:c>
      <x:c r="V1230" s="14" t="n">
        <x:v>0</x:v>
      </x:c>
      <x:c r="W1230" s="12" t="n">
        <x:v>8.5</x:v>
      </x:c>
      <x:c r="X1230" s="11"/>
      <x:c r="Y1230" s="11"/>
      <x:c r="Z1230" s="4"/>
      <x:c r="AA1230" s="4" t="str">
        <x:v>https://blog.skyairline.com/operacion-en-rutas-estacionales/</x:v>
      </x:c>
      <x:c r="AB1230" s="4" t="str">
        <x:v>Coincidencia URL</x:v>
      </x:c>
      <x:c r="AC1230" s="4" t="str">
        <x:v>Publicado hasta septiembre</x:v>
      </x:c>
      <x:c r="AD1230" s="4"/>
      <x:c r="AE1230" s="4"/>
      <x:c r="AF1230" s="16" t="b">
        <x:v>0</x:v>
      </x:c>
    </x:row>
    <x:row r="1231" ht="44" customHeight="1">
      <x:c r="A1231" s="4" t="n">
        <x:v>3051</x:v>
      </x:c>
      <x:c r="B1231" s="4" t="str">
        <x:v>https://blog.skyairline.com/nieve-en-suramerica/</x:v>
      </x:c>
      <x:c r="C1231" s="9" t="str">
        <x:v>¿Nieve en Sudamérica? Conoce estos destinos de invierno a los que te lleva SKY</x:v>
      </x:c>
      <x:c r="D1231" s="17" t="d">
        <x:v>2023-06-19T00:00:00.000Z</x:v>
      </x:c>
      <x:c r="E1231" s="17" t="d">
        <x:v>2023-06-19T00:00:00.000Z</x:v>
      </x:c>
      <x:c r="F1231" s="4" t="str">
        <x:v>Destinos</x:v>
      </x:c>
      <x:c r="G1231" s="11" t="n">
        <x:v>817</x:v>
      </x:c>
      <x:c r="H1231" s="11" t="n">
        <x:v>200</x:v>
      </x:c>
      <x:c r="I1231" s="11" t="n">
        <x:v>1</x:v>
      </x:c>
      <x:c r="J1231" s="4" t="str">
        <x:v>https://blog.skyairline.com/nieve-en-suramerica/</x:v>
      </x:c>
      <x:c r="K1231" s="16" t="b">
        <x:v>0</x:v>
      </x:c>
      <x:c r="L1231" s="11" t="n">
        <x:v>0</x:v>
      </x:c>
      <x:c r="M1231" s="11" t="n">
        <x:v>3</x:v>
      </x:c>
      <x:c r="N1231" s="4"/>
      <x:c r="O1231" s="4"/>
      <x:c r="P1231" s="11" t="n">
        <x:v>2</x:v>
      </x:c>
      <x:c r="Q1231" s="11" t="n">
        <x:v>0</x:v>
      </x:c>
      <x:c r="R1231" s="11" t="str">
        <x:f>IF(OR(P1231="",Q1231=""),"",Q1231-P1231)</x:f>
      </x:c>
      <x:c r="S1231" s="13" t="str">
        <x:f>IF(OR(P1231="",Q1231="",P1231=0),"",((Q1231/30)/(P1231/31))-1)</x:f>
      </x:c>
      <x:c r="T1231" s="11" t="n">
        <x:v>489</x:v>
      </x:c>
      <x:c r="U1231" s="11" t="n">
        <x:v>146</x:v>
      </x:c>
      <x:c r="V1231" s="14" t="n">
        <x:v>0</x:v>
      </x:c>
      <x:c r="W1231" s="12" t="n">
        <x:v>15.767123287671232</x:v>
      </x:c>
      <x:c r="X1231" s="11"/>
      <x:c r="Y1231" s="11"/>
      <x:c r="Z1231" s="4" t="str">
        <x:v>https://blog.skyairline.com/nieve-en-suramerica/</x:v>
      </x:c>
      <x:c r="AA1231" s="4" t="str">
        <x:v>https://blog.skyairline.com/nieve-en-suramerica/</x:v>
      </x:c>
      <x:c r="AB1231" s="4" t="str">
        <x:v>Coincidencia URL</x:v>
      </x:c>
      <x:c r="AC1231" s="4" t="str">
        <x:v>Publicado hasta septiembre</x:v>
      </x:c>
      <x:c r="AD1231" s="4"/>
      <x:c r="AE1231" s="4"/>
      <x:c r="AF1231" s="16" t="b">
        <x:v>1</x:v>
      </x:c>
    </x:row>
    <x:row r="1232" ht="44" customHeight="1">
      <x:c r="A1232" s="4" t="n">
        <x:v>3061</x:v>
      </x:c>
      <x:c r="B1232" s="4" t="str">
        <x:v>https://blog.skyairline.com/aerolinea-lowcost-para-volar/</x:v>
      </x:c>
      <x:c r="C1232" s="9" t="str">
        <x:v>¿Cómo elegir a la mejor aerolínea lowcost para volar?</x:v>
      </x:c>
      <x:c r="D1232" s="17" t="d">
        <x:v>2023-06-22T00:00:00.000Z</x:v>
      </x:c>
      <x:c r="E1232" s="17" t="d">
        <x:v>2023-06-22T00:00:00.000Z</x:v>
      </x:c>
      <x:c r="F1232" s="4" t="str">
        <x:v>Planificación de Viaje</x:v>
      </x:c>
      <x:c r="G1232" s="11" t="n">
        <x:v>1006</x:v>
      </x:c>
      <x:c r="H1232" s="11" t="n">
        <x:v>200</x:v>
      </x:c>
      <x:c r="I1232" s="11" t="n">
        <x:v>1</x:v>
      </x:c>
      <x:c r="J1232" s="4" t="str">
        <x:v>https://blog.skyairline.com/aerolinea-lowcost-para-volar/</x:v>
      </x:c>
      <x:c r="K1232" s="16" t="b">
        <x:v>0</x:v>
      </x:c>
      <x:c r="L1232" s="11" t="n">
        <x:v>0</x:v>
      </x:c>
      <x:c r="M1232" s="11" t="n">
        <x:v>3</x:v>
      </x:c>
      <x:c r="N1232" s="4"/>
      <x:c r="O1232" s="4"/>
      <x:c r="P1232" s="11" t="n">
        <x:v>0</x:v>
      </x:c>
      <x:c r="Q1232" s="11" t="n">
        <x:v>0</x:v>
      </x:c>
      <x:c r="R1232" s="11" t="str">
        <x:f>IF(OR(P1232="",Q1232=""),"",Q1232-P1232)</x:f>
      </x:c>
      <x:c r="S1232" s="13" t="str">
        <x:f>IF(OR(P1232="",Q1232="",P1232=0),"",((Q1232/30)/(P1232/31))-1)</x:f>
      </x:c>
      <x:c r="T1232" s="11" t="n">
        <x:v>136</x:v>
      </x:c>
      <x:c r="U1232" s="11" t="n">
        <x:v>209</x:v>
      </x:c>
      <x:c r="V1232" s="14" t="n">
        <x:v>0</x:v>
      </x:c>
      <x:c r="W1232" s="12" t="n">
        <x:v>7.569377990430622</x:v>
      </x:c>
      <x:c r="X1232" s="11" t="n">
        <x:v>27</x:v>
      </x:c>
      <x:c r="Y1232" s="11" t="n">
        <x:v>33</x:v>
      </x:c>
      <x:c r="Z1232" s="4" t="str">
        <x:v>https://blog.skyairline.com/aerolinea-lowcost-para-volar/</x:v>
      </x:c>
      <x:c r="AA1232" s="4" t="str">
        <x:v>https://blog.skyairline.com/aerolinea-lowcost-para-volar/</x:v>
      </x:c>
      <x:c r="AB1232" s="4" t="str">
        <x:v>Coincidencia URL</x:v>
      </x:c>
      <x:c r="AC1232" s="4" t="str">
        <x:v>Publicado hasta septiembre</x:v>
      </x:c>
      <x:c r="AD1232" s="4" t="str">
        <x:v>/aerolinea-lowcost-para-volar/</x:v>
      </x:c>
      <x:c r="AE1232" s="4"/>
      <x:c r="AF1232" s="16" t="b">
        <x:v>0</x:v>
      </x:c>
    </x:row>
    <x:row r="1233" ht="44" customHeight="1">
      <x:c r="A1233" s="4" t="n">
        <x:v>3067</x:v>
      </x:c>
      <x:c r="B1233" s="4" t="str">
        <x:v>https://blog.skyairline.com/que-hacer-en-cancun/</x:v>
      </x:c>
      <x:c r="C1233" s="9" t="str">
        <x:v>¿Qué hacer cerca de Cancún? Tulum, Playa del Carmen y otras opciones</x:v>
      </x:c>
      <x:c r="D1233" s="17" t="d">
        <x:v>2023-06-26T00:00:00.000Z</x:v>
      </x:c>
      <x:c r="E1233" s="17" t="d">
        <x:v>2023-06-26T00:00:00.000Z</x:v>
      </x:c>
      <x:c r="F1233" s="4" t="str">
        <x:v>Destinos</x:v>
      </x:c>
      <x:c r="G1233" s="11" t="n">
        <x:v>1044</x:v>
      </x:c>
      <x:c r="H1233" s="11" t="n">
        <x:v>200</x:v>
      </x:c>
      <x:c r="I1233" s="11" t="n">
        <x:v>1</x:v>
      </x:c>
      <x:c r="J1233" s="4" t="str">
        <x:v>https://blog.skyairline.com/que-hacer-en-cancun/</x:v>
      </x:c>
      <x:c r="K1233" s="16" t="b">
        <x:v>0</x:v>
      </x:c>
      <x:c r="L1233" s="11" t="n">
        <x:v>0</x:v>
      </x:c>
      <x:c r="M1233" s="11" t="n">
        <x:v>4</x:v>
      </x:c>
      <x:c r="N1233" s="4"/>
      <x:c r="O1233" s="4"/>
      <x:c r="P1233" s="11" t="n">
        <x:v>1</x:v>
      </x:c>
      <x:c r="Q1233" s="11" t="n">
        <x:v>0</x:v>
      </x:c>
      <x:c r="R1233" s="11" t="str">
        <x:f>IF(OR(P1233="",Q1233=""),"",Q1233-P1233)</x:f>
      </x:c>
      <x:c r="S1233" s="13" t="str">
        <x:f>IF(OR(P1233="",Q1233="",P1233=0),"",((Q1233/30)/(P1233/31))-1)</x:f>
      </x:c>
      <x:c r="T1233" s="11" t="n">
        <x:v>91</x:v>
      </x:c>
      <x:c r="U1233" s="11" t="n">
        <x:v>38</x:v>
      </x:c>
      <x:c r="V1233" s="14" t="n">
        <x:v>0</x:v>
      </x:c>
      <x:c r="W1233" s="12" t="n">
        <x:v>15.263157894736842</x:v>
      </x:c>
      <x:c r="X1233" s="11" t="n">
        <x:v>1</x:v>
      </x:c>
      <x:c r="Y1233" s="11" t="n">
        <x:v>1</x:v>
      </x:c>
      <x:c r="Z1233" s="4" t="str">
        <x:v>https://blog.skyairline.com/que-hacer-en-cancun/</x:v>
      </x:c>
      <x:c r="AA1233" s="4" t="str">
        <x:v>https://blog.skyairline.com/que-hacer-en-cancun/</x:v>
      </x:c>
      <x:c r="AB1233" s="4" t="str">
        <x:v>Coincidencia URL</x:v>
      </x:c>
      <x:c r="AC1233" s="4" t="str">
        <x:v>Publicado hasta septiembre</x:v>
      </x:c>
      <x:c r="AD1233" s="4" t="str">
        <x:v>/que-hacer-en-cancun/</x:v>
      </x:c>
      <x:c r="AE1233" s="4"/>
      <x:c r="AF1233" s="16" t="b">
        <x:v>1</x:v>
      </x:c>
    </x:row>
    <x:row r="1234" ht="44" customHeight="1">
      <x:c r="A1234" s="4" t="n">
        <x:v>3073</x:v>
      </x:c>
      <x:c r="B1234" s="4" t="str">
        <x:v>https://blog.skyairline.com/dia-del-padre/</x:v>
      </x:c>
      <x:c r="C1234" s="9" t="str">
        <x:v>Regala recuerdos y experiencias: los mejores destinos en Chile para el Día del Padre</x:v>
      </x:c>
      <x:c r="D1234" s="17" t="d">
        <x:v>2023-06-28T00:00:00.000Z</x:v>
      </x:c>
      <x:c r="E1234" s="17" t="d">
        <x:v>2023-06-28T00:00:00.000Z</x:v>
      </x:c>
      <x:c r="F1234" s="4" t="str">
        <x:v>Destinos</x:v>
      </x:c>
      <x:c r="G1234" s="11" t="n">
        <x:v>1105</x:v>
      </x:c>
      <x:c r="H1234" s="11" t="n">
        <x:v>200</x:v>
      </x:c>
      <x:c r="I1234" s="11" t="n">
        <x:v>1</x:v>
      </x:c>
      <x:c r="J1234" s="4" t="str">
        <x:v>https://blog.skyairline.com/dia-del-padre/</x:v>
      </x:c>
      <x:c r="K1234" s="16" t="b">
        <x:v>0</x:v>
      </x:c>
      <x:c r="L1234" s="11" t="n">
        <x:v>0</x:v>
      </x:c>
      <x:c r="M1234" s="11" t="n">
        <x:v>3</x:v>
      </x:c>
      <x:c r="N1234" s="4"/>
      <x:c r="O1234" s="4"/>
      <x:c r="P1234" s="11" t="n">
        <x:v>0</x:v>
      </x:c>
      <x:c r="Q1234" s="11" t="n">
        <x:v>0</x:v>
      </x:c>
      <x:c r="R1234" s="11" t="str">
        <x:f>IF(OR(P1234="",Q1234=""),"",Q1234-P1234)</x:f>
      </x:c>
      <x:c r="S1234" s="13" t="str">
        <x:f>IF(OR(P1234="",Q1234="",P1234=0),"",((Q1234/30)/(P1234/31))-1)</x:f>
      </x:c>
      <x:c r="T1234" s="11" t="n">
        <x:v>4</x:v>
      </x:c>
      <x:c r="U1234" s="11" t="n">
        <x:v>12</x:v>
      </x:c>
      <x:c r="V1234" s="14" t="n">
        <x:v>0</x:v>
      </x:c>
      <x:c r="W1234" s="12" t="n">
        <x:v>7.916666666666667</x:v>
      </x:c>
      <x:c r="X1234" s="11"/>
      <x:c r="Y1234" s="11"/>
      <x:c r="Z1234" s="4" t="str">
        <x:v>https://blog.skyairline.com/dia-del-padre/</x:v>
      </x:c>
      <x:c r="AA1234" s="4" t="str">
        <x:v>https://blog.skyairline.com/dia-del-padre/</x:v>
      </x:c>
      <x:c r="AB1234" s="4" t="str">
        <x:v>Coincidencia URL</x:v>
      </x:c>
      <x:c r="AC1234" s="4" t="str">
        <x:v>Publicado hasta septiembre</x:v>
      </x:c>
      <x:c r="AD1234" s="4"/>
      <x:c r="AE1234" s="4"/>
      <x:c r="AF1234" s="16" t="b">
        <x:v>0</x:v>
      </x:c>
    </x:row>
    <x:row r="1235" ht="44" customHeight="1">
      <x:c r="A1235" s="4" t="n">
        <x:v>3075</x:v>
      </x:c>
      <x:c r="B1235" s="4" t="str">
        <x:v>https://blog.skyairline.com/que-hacer-en-pucon/</x:v>
      </x:c>
      <x:c r="C1235" s="9" t="str">
        <x:v>Qué hacer en Pucón durante el invierno: aguas termales, senderos y más</x:v>
      </x:c>
      <x:c r="D1235" s="17" t="d">
        <x:v>2023-06-29T00:00:00.000Z</x:v>
      </x:c>
      <x:c r="E1235" s="17" t="d">
        <x:v>2023-06-29T00:00:00.000Z</x:v>
      </x:c>
      <x:c r="F1235" s="4" t="str">
        <x:v>Destinos</x:v>
      </x:c>
      <x:c r="G1235" s="11" t="n">
        <x:v>992</x:v>
      </x:c>
      <x:c r="H1235" s="11" t="n">
        <x:v>200</x:v>
      </x:c>
      <x:c r="I1235" s="11" t="n">
        <x:v>1</x:v>
      </x:c>
      <x:c r="J1235" s="4" t="str">
        <x:v>https://blog.skyairline.com/que-hacer-en-pucon/</x:v>
      </x:c>
      <x:c r="K1235" s="16" t="b">
        <x:v>0</x:v>
      </x:c>
      <x:c r="L1235" s="11" t="n">
        <x:v>0</x:v>
      </x:c>
      <x:c r="M1235" s="11" t="n">
        <x:v>3</x:v>
      </x:c>
      <x:c r="N1235" s="4"/>
      <x:c r="O1235" s="4"/>
      <x:c r="P1235" s="11" t="n">
        <x:v>1</x:v>
      </x:c>
      <x:c r="Q1235" s="11" t="n">
        <x:v>0</x:v>
      </x:c>
      <x:c r="R1235" s="11" t="str">
        <x:f>IF(OR(P1235="",Q1235=""),"",Q1235-P1235)</x:f>
      </x:c>
      <x:c r="S1235" s="13" t="str">
        <x:f>IF(OR(P1235="",Q1235="",P1235=0),"",((Q1235/30)/(P1235/31))-1)</x:f>
      </x:c>
      <x:c r="T1235" s="11" t="n">
        <x:v>165</x:v>
      </x:c>
      <x:c r="U1235" s="11" t="n">
        <x:v>43</x:v>
      </x:c>
      <x:c r="V1235" s="14" t="n">
        <x:v>0</x:v>
      </x:c>
      <x:c r="W1235" s="12" t="n">
        <x:v>41.06976744186046</x:v>
      </x:c>
      <x:c r="X1235" s="11"/>
      <x:c r="Y1235" s="11"/>
      <x:c r="Z1235" s="4" t="str">
        <x:v>https://blog.skyairline.com/que-hacer-en-pucon/</x:v>
      </x:c>
      <x:c r="AA1235" s="4" t="str">
        <x:v>https://blog.skyairline.com/que-hacer-en-pucon/</x:v>
      </x:c>
      <x:c r="AB1235" s="4" t="str">
        <x:v>Coincidencia URL</x:v>
      </x:c>
      <x:c r="AC1235" s="4" t="str">
        <x:v>Publicado hasta septiembre</x:v>
      </x:c>
      <x:c r="AD1235" s="4"/>
      <x:c r="AE1235" s="4"/>
      <x:c r="AF1235" s="16" t="b">
        <x:v>1</x:v>
      </x:c>
    </x:row>
    <x:row r="1236" ht="44" customHeight="1">
      <x:c r="A1236" s="4" t="n">
        <x:v>3096</x:v>
      </x:c>
      <x:c r="B1236" s="4" t="str">
        <x:v>https://blog.skyairline.com/volar-con-sky/</x:v>
      </x:c>
      <x:c r="C1236" s="9" t="str">
        <x:v>Vuela con SKY: ¡Conoce nuestros impresionantes destinos en el Sur de Chile!</x:v>
      </x:c>
      <x:c r="D1236" s="17" t="d">
        <x:v>2023-07-04T00:00:00.000Z</x:v>
      </x:c>
      <x:c r="E1236" s="17" t="d">
        <x:v>2023-07-04T00:00:00.000Z</x:v>
      </x:c>
      <x:c r="F1236" s="4" t="str">
        <x:v>Destinos</x:v>
      </x:c>
      <x:c r="G1236" s="11" t="n">
        <x:v>1139</x:v>
      </x:c>
      <x:c r="H1236" s="11" t="n">
        <x:v>200</x:v>
      </x:c>
      <x:c r="I1236" s="11" t="n">
        <x:v>1</x:v>
      </x:c>
      <x:c r="J1236" s="4" t="str">
        <x:v>https://blog.skyairline.com/volar-con-sky/</x:v>
      </x:c>
      <x:c r="K1236" s="16" t="b">
        <x:v>0</x:v>
      </x:c>
      <x:c r="L1236" s="11" t="n">
        <x:v>0</x:v>
      </x:c>
      <x:c r="M1236" s="11" t="n">
        <x:v>5</x:v>
      </x:c>
      <x:c r="N1236" s="4"/>
      <x:c r="O1236" s="4"/>
      <x:c r="P1236" s="11" t="n">
        <x:v>0</x:v>
      </x:c>
      <x:c r="Q1236" s="11" t="n">
        <x:v>0</x:v>
      </x:c>
      <x:c r="R1236" s="11" t="str">
        <x:f>IF(OR(P1236="",Q1236=""),"",Q1236-P1236)</x:f>
      </x:c>
      <x:c r="S1236" s="13" t="str">
        <x:f>IF(OR(P1236="",Q1236="",P1236=0),"",((Q1236/30)/(P1236/31))-1)</x:f>
      </x:c>
      <x:c r="T1236" s="11" t="n">
        <x:v>86</x:v>
      </x:c>
      <x:c r="U1236" s="11" t="n">
        <x:v>83</x:v>
      </x:c>
      <x:c r="V1236" s="14" t="n">
        <x:v>0</x:v>
      </x:c>
      <x:c r="W1236" s="12" t="n">
        <x:v>8.180722891566266</x:v>
      </x:c>
      <x:c r="X1236" s="11"/>
      <x:c r="Y1236" s="11"/>
      <x:c r="Z1236" s="4" t="str">
        <x:v>https://blog.skyairline.com/volar-con-sky/</x:v>
      </x:c>
      <x:c r="AA1236" s="4" t="str">
        <x:v>https://blog.skyairline.com/volar-con-sky/</x:v>
      </x:c>
      <x:c r="AB1236" s="4" t="str">
        <x:v>Coincidencia URL</x:v>
      </x:c>
      <x:c r="AC1236" s="4" t="str">
        <x:v>Publicado hasta septiembre</x:v>
      </x:c>
      <x:c r="AD1236" s="4"/>
      <x:c r="AE1236" s="4"/>
      <x:c r="AF1236" s="16" t="b">
        <x:v>0</x:v>
      </x:c>
    </x:row>
    <x:row r="1237" ht="44" customHeight="1">
      <x:c r="A1237" s="4" t="n">
        <x:v>3101</x:v>
      </x:c>
      <x:c r="B1237" s="4" t="str">
        <x:v>https://blog.skyairline.com/norte-de-chile-3/</x:v>
      </x:c>
      <x:c r="C1237" s="9" t="str">
        <x:v>SKY Airline en el Norte de Chile</x:v>
      </x:c>
      <x:c r="D1237" s="17" t="d">
        <x:v>2025-12-05T00:00:00.000Z</x:v>
      </x:c>
      <x:c r="E1237" s="17" t="d">
        <x:v>2025-12-10T00:00:00.000Z</x:v>
      </x:c>
      <x:c r="F1237" s="4" t="str">
        <x:v>Destinos</x:v>
      </x:c>
      <x:c r="G1237" s="11" t="n">
        <x:v>1195</x:v>
      </x:c>
      <x:c r="H1237" s="11" t="n">
        <x:v>200</x:v>
      </x:c>
      <x:c r="I1237" s="11" t="n">
        <x:v>1</x:v>
      </x:c>
      <x:c r="J1237" s="4" t="str">
        <x:v>https://blog.skyairline.com/norte-de-chile-3/</x:v>
      </x:c>
      <x:c r="K1237" s="16" t="b">
        <x:v>0</x:v>
      </x:c>
      <x:c r="L1237" s="11" t="n">
        <x:v>0</x:v>
      </x:c>
      <x:c r="M1237" s="11" t="n">
        <x:v>5</x:v>
      </x:c>
      <x:c r="N1237" s="4"/>
      <x:c r="O1237" s="4"/>
      <x:c r="P1237" s="11" t="n">
        <x:v>0</x:v>
      </x:c>
      <x:c r="Q1237" s="11" t="n">
        <x:v>0</x:v>
      </x:c>
      <x:c r="R1237" s="11" t="str">
        <x:f>IF(OR(P1237="",Q1237=""),"",Q1237-P1237)</x:f>
      </x:c>
      <x:c r="S1237" s="13" t="str">
        <x:f>IF(OR(P1237="",Q1237="",P1237=0),"",((Q1237/30)/(P1237/31))-1)</x:f>
      </x:c>
      <x:c r="T1237" s="11" t="n">
        <x:v>30</x:v>
      </x:c>
      <x:c r="U1237" s="11" t="n">
        <x:v>105</x:v>
      </x:c>
      <x:c r="V1237" s="14" t="n">
        <x:v>0</x:v>
      </x:c>
      <x:c r="W1237" s="12" t="n">
        <x:v>7.8</x:v>
      </x:c>
      <x:c r="X1237" s="11" t="n">
        <x:v>1</x:v>
      </x:c>
      <x:c r="Y1237" s="11" t="n">
        <x:v>1</x:v>
      </x:c>
      <x:c r="Z1237" s="4" t="str">
        <x:v>https://blog.skyairline.com/norte-de-chile-3/</x:v>
      </x:c>
      <x:c r="AA1237" s="4" t="str">
        <x:v>https://blog.skyairline.com/norte-de-chile-3/</x:v>
      </x:c>
      <x:c r="AB1237" s="4" t="str">
        <x:v>Coincidencia URL</x:v>
      </x:c>
      <x:c r="AC1237" s="4" t="str">
        <x:v>Publicado hasta septiembre</x:v>
      </x:c>
      <x:c r="AD1237" s="4" t="str">
        <x:v>/norte-de-chile-3/</x:v>
      </x:c>
      <x:c r="AE1237" s="4"/>
      <x:c r="AF1237" s="16" t="b">
        <x:v>0</x:v>
      </x:c>
    </x:row>
    <x:row r="1238" ht="44" customHeight="1">
      <x:c r="A1238" s="4" t="n">
        <x:v>3104</x:v>
      </x:c>
      <x:c r="B1238" s="4" t="str">
        <x:v>https://blog.skyairline.com/museo-regional-de-la-araucania/</x:v>
      </x:c>
      <x:c r="C1238" s="9" t="str">
        <x:v>Museo Regional de La Araucanía: ¿qué ver en este atractivo de Temuco?</x:v>
      </x:c>
      <x:c r="D1238" s="17" t="d">
        <x:v>2023-07-06T00:00:00.000Z</x:v>
      </x:c>
      <x:c r="E1238" s="17" t="d">
        <x:v>2023-07-06T00:00:00.000Z</x:v>
      </x:c>
      <x:c r="F1238" s="4" t="str">
        <x:v>Cultura</x:v>
      </x:c>
      <x:c r="G1238" s="11" t="n">
        <x:v>1002</x:v>
      </x:c>
      <x:c r="H1238" s="11" t="n">
        <x:v>200</x:v>
      </x:c>
      <x:c r="I1238" s="11" t="n">
        <x:v>1</x:v>
      </x:c>
      <x:c r="J1238" s="4" t="str">
        <x:v>https://blog.skyairline.com/museo-regional-de-la-araucania/</x:v>
      </x:c>
      <x:c r="K1238" s="16" t="b">
        <x:v>0</x:v>
      </x:c>
      <x:c r="L1238" s="11" t="n">
        <x:v>0</x:v>
      </x:c>
      <x:c r="M1238" s="11" t="n">
        <x:v>3</x:v>
      </x:c>
      <x:c r="N1238" s="4"/>
      <x:c r="O1238" s="4"/>
      <x:c r="P1238" s="11" t="n">
        <x:v>2</x:v>
      </x:c>
      <x:c r="Q1238" s="11" t="n">
        <x:v>0</x:v>
      </x:c>
      <x:c r="R1238" s="11" t="str">
        <x:f>IF(OR(P1238="",Q1238=""),"",Q1238-P1238)</x:f>
      </x:c>
      <x:c r="S1238" s="13" t="str">
        <x:f>IF(OR(P1238="",Q1238="",P1238=0),"",((Q1238/30)/(P1238/31))-1)</x:f>
      </x:c>
      <x:c r="T1238" s="11" t="n">
        <x:v>163</x:v>
      </x:c>
      <x:c r="U1238" s="11" t="n">
        <x:v>135</x:v>
      </x:c>
      <x:c r="V1238" s="14" t="n">
        <x:v>0</x:v>
      </x:c>
      <x:c r="W1238" s="12" t="n">
        <x:v>11.762962962962963</x:v>
      </x:c>
      <x:c r="X1238" s="11"/>
      <x:c r="Y1238" s="11"/>
      <x:c r="Z1238" s="4" t="str">
        <x:v>https://blog.skyairline.com/museo-regional-de-la-araucania/</x:v>
      </x:c>
      <x:c r="AA1238" s="4" t="str">
        <x:v>https://blog.skyairline.com/museo-regional-de-la-araucania/</x:v>
      </x:c>
      <x:c r="AB1238" s="4" t="str">
        <x:v>Coincidencia URL</x:v>
      </x:c>
      <x:c r="AC1238" s="4" t="str">
        <x:v>Publicado hasta septiembre</x:v>
      </x:c>
      <x:c r="AD1238" s="4"/>
      <x:c r="AE1238" s="4"/>
      <x:c r="AF1238" s="16" t="b">
        <x:v>0</x:v>
      </x:c>
    </x:row>
    <x:row r="1239" ht="44" customHeight="1">
      <x:c r="A1239" s="4" t="n">
        <x:v>3107</x:v>
      </x:c>
      <x:c r="B1239" s="4" t="str">
        <x:v>https://blog.skyairline.com/isla-mujeres/</x:v>
      </x:c>
      <x:c r="C1239" s="9" t="str">
        <x:v> ¿Por qué visitar Isla Mujeres cuando vayas a Cancún?</x:v>
      </x:c>
      <x:c r="D1239" s="17" t="d">
        <x:v>2025-07-10T00:00:00.000Z</x:v>
      </x:c>
      <x:c r="E1239" s="17" t="d">
        <x:v>2025-12-19T00:00:00.000Z</x:v>
      </x:c>
      <x:c r="F1239" s="4" t="str">
        <x:v>Destinos</x:v>
      </x:c>
      <x:c r="G1239" s="11" t="n">
        <x:v>1246</x:v>
      </x:c>
      <x:c r="H1239" s="11" t="n">
        <x:v>200</x:v>
      </x:c>
      <x:c r="I1239" s="11" t="n">
        <x:v>1</x:v>
      </x:c>
      <x:c r="J1239" s="4" t="str">
        <x:v>https://blog.skyairline.com/isla-mujeres/</x:v>
      </x:c>
      <x:c r="K1239" s="16" t="b">
        <x:v>0</x:v>
      </x:c>
      <x:c r="L1239" s="11" t="n">
        <x:v>0</x:v>
      </x:c>
      <x:c r="M1239" s="11" t="n">
        <x:v>3</x:v>
      </x:c>
      <x:c r="N1239" s="4"/>
      <x:c r="O1239" s="4"/>
      <x:c r="P1239" s="11" t="n">
        <x:v>2</x:v>
      </x:c>
      <x:c r="Q1239" s="11" t="n">
        <x:v>0</x:v>
      </x:c>
      <x:c r="R1239" s="11" t="str">
        <x:f>IF(OR(P1239="",Q1239=""),"",Q1239-P1239)</x:f>
      </x:c>
      <x:c r="S1239" s="13" t="str">
        <x:f>IF(OR(P1239="",Q1239="",P1239=0),"",((Q1239/30)/(P1239/31))-1)</x:f>
      </x:c>
      <x:c r="T1239" s="11" t="n">
        <x:v>1113</x:v>
      </x:c>
      <x:c r="U1239" s="11" t="n">
        <x:v>362</x:v>
      </x:c>
      <x:c r="V1239" s="14" t="n">
        <x:v>0</x:v>
      </x:c>
      <x:c r="W1239" s="12" t="n">
        <x:v>12.160220994475138</x:v>
      </x:c>
      <x:c r="X1239" s="11"/>
      <x:c r="Y1239" s="11"/>
      <x:c r="Z1239" s="4" t="str">
        <x:v>https://blog.skyairline.com/isla-mujeres/</x:v>
      </x:c>
      <x:c r="AA1239" s="4" t="str">
        <x:v>https://blog.skyairline.com/isla-mujeres/</x:v>
      </x:c>
      <x:c r="AB1239" s="4" t="str">
        <x:v>Coincidencia URL</x:v>
      </x:c>
      <x:c r="AC1239" s="4" t="str">
        <x:v>Publicado hasta septiembre</x:v>
      </x:c>
      <x:c r="AD1239" s="4"/>
      <x:c r="AE1239" s="4"/>
      <x:c r="AF1239" s="16" t="b">
        <x:v>0</x:v>
      </x:c>
    </x:row>
    <x:row r="1240" ht="44" customHeight="1">
      <x:c r="A1240" s="4" t="n">
        <x:v>3128</x:v>
      </x:c>
      <x:c r="B1240" s="4" t="str">
        <x:v>https://blog.skyairline.com/isla-foca/</x:v>
      </x:c>
      <x:c r="C1240" s="9" t="str">
        <x:v>Isla Foca en Piura, Perú : Todo lo que debes saber antes de ir</x:v>
      </x:c>
      <x:c r="D1240" s="17" t="d">
        <x:v>2024-10-14T00:00:00.000Z</x:v>
      </x:c>
      <x:c r="E1240" s="17" t="d">
        <x:v>2024-10-14T00:00:00.000Z</x:v>
      </x:c>
      <x:c r="F1240" s="4" t="str">
        <x:v>Destinos</x:v>
      </x:c>
      <x:c r="G1240" s="11" t="n">
        <x:v>978</x:v>
      </x:c>
      <x:c r="H1240" s="11" t="n">
        <x:v>200</x:v>
      </x:c>
      <x:c r="I1240" s="11" t="n">
        <x:v>1</x:v>
      </x:c>
      <x:c r="J1240" s="4" t="str">
        <x:v>https://blog.skyairline.com/isla-foca/</x:v>
      </x:c>
      <x:c r="K1240" s="16" t="b">
        <x:v>0</x:v>
      </x:c>
      <x:c r="L1240" s="11" t="n">
        <x:v>0</x:v>
      </x:c>
      <x:c r="M1240" s="11" t="n">
        <x:v>3</x:v>
      </x:c>
      <x:c r="N1240" s="4"/>
      <x:c r="O1240" s="4"/>
      <x:c r="P1240" s="11" t="n">
        <x:v>0</x:v>
      </x:c>
      <x:c r="Q1240" s="11" t="n">
        <x:v>0</x:v>
      </x:c>
      <x:c r="R1240" s="11" t="str">
        <x:f>IF(OR(P1240="",Q1240=""),"",Q1240-P1240)</x:f>
      </x:c>
      <x:c r="S1240" s="13" t="str">
        <x:f>IF(OR(P1240="",Q1240="",P1240=0),"",((Q1240/30)/(P1240/31))-1)</x:f>
      </x:c>
      <x:c r="T1240" s="11" t="n">
        <x:v>369</x:v>
      </x:c>
      <x:c r="U1240" s="11" t="n">
        <x:v>393</x:v>
      </x:c>
      <x:c r="V1240" s="14" t="n">
        <x:v>0</x:v>
      </x:c>
      <x:c r="W1240" s="12" t="n">
        <x:v>7.379134860050891</x:v>
      </x:c>
      <x:c r="X1240" s="11"/>
      <x:c r="Y1240" s="11"/>
      <x:c r="Z1240" s="4" t="str">
        <x:v>https://blog.skyairline.com/isla-foca/</x:v>
      </x:c>
      <x:c r="AA1240" s="4" t="str">
        <x:v>https://blog.skyairline.com/isla-foca/</x:v>
      </x:c>
      <x:c r="AB1240" s="4" t="str">
        <x:v>Coincidencia URL</x:v>
      </x:c>
      <x:c r="AC1240" s="4" t="str">
        <x:v>Publicado hasta septiembre</x:v>
      </x:c>
      <x:c r="AD1240" s="4"/>
      <x:c r="AE1240" s="4"/>
      <x:c r="AF1240" s="16" t="b">
        <x:v>0</x:v>
      </x:c>
    </x:row>
    <x:row r="1241" ht="44" customHeight="1">
      <x:c r="A1241" s="4" t="n">
        <x:v>3131</x:v>
      </x:c>
      <x:c r="B1241" s="4" t="str">
        <x:v>https://blog.skyairline.com/porto-alegre-desde-santiago/</x:v>
      </x:c>
      <x:c r="C1241" s="9" t="str">
        <x:v>SKY inicia operaciones desde Santiago de Chile a su cuarto destino en Brasil: Porto Alegre</x:v>
      </x:c>
      <x:c r="D1241" s="17" t="d">
        <x:v>2023-06-23T00:00:00.000Z</x:v>
      </x:c>
      <x:c r="E1241" s="17" t="d">
        <x:v>2023-06-23T00:00:00.000Z</x:v>
      </x:c>
      <x:c r="F1241" s="4" t="str">
        <x:v>Noticias</x:v>
      </x:c>
      <x:c r="G1241" s="11" t="n">
        <x:v>394</x:v>
      </x:c>
      <x:c r="H1241" s="11" t="n">
        <x:v>200</x:v>
      </x:c>
      <x:c r="I1241" s="11" t="n">
        <x:v>1</x:v>
      </x:c>
      <x:c r="J1241" s="4" t="str">
        <x:v>https://blog.skyairline.com/porto-alegre-desde-santiago/</x:v>
      </x:c>
      <x:c r="K1241" s="16" t="b">
        <x:v>0</x:v>
      </x:c>
      <x:c r="L1241" s="11" t="n">
        <x:v>0</x:v>
      </x:c>
      <x:c r="M1241" s="11" t="n">
        <x:v>0</x:v>
      </x:c>
      <x:c r="N1241" s="4"/>
      <x:c r="O1241" s="4"/>
      <x:c r="P1241" s="11" t="n">
        <x:v>0</x:v>
      </x:c>
      <x:c r="Q1241" s="11" t="n">
        <x:v>0</x:v>
      </x:c>
      <x:c r="R1241" s="11" t="str">
        <x:f>IF(OR(P1241="",Q1241=""),"",Q1241-P1241)</x:f>
      </x:c>
      <x:c r="S1241" s="13" t="str">
        <x:f>IF(OR(P1241="",Q1241="",P1241=0),"",((Q1241/30)/(P1241/31))-1)</x:f>
      </x:c>
      <x:c r="T1241" s="11" t="n">
        <x:v>50</x:v>
      </x:c>
      <x:c r="U1241" s="11" t="n">
        <x:v>65</x:v>
      </x:c>
      <x:c r="V1241" s="14" t="n">
        <x:v>0</x:v>
      </x:c>
      <x:c r="W1241" s="12" t="n">
        <x:v>7.7384615384615385</x:v>
      </x:c>
      <x:c r="X1241" s="11" t="n">
        <x:v>1</x:v>
      </x:c>
      <x:c r="Y1241" s="11" t="n">
        <x:v>1</x:v>
      </x:c>
      <x:c r="Z1241" s="4" t="str">
        <x:v>https://blog.skyairline.com/porto-alegre-desde-santiago/</x:v>
      </x:c>
      <x:c r="AA1241" s="4" t="str">
        <x:v>https://blog.skyairline.com/porto-alegre-desde-santiago/</x:v>
      </x:c>
      <x:c r="AB1241" s="4" t="str">
        <x:v>Coincidencia URL</x:v>
      </x:c>
      <x:c r="AC1241" s="4" t="str">
        <x:v>Publicado hasta septiembre</x:v>
      </x:c>
      <x:c r="AD1241" s="4" t="str">
        <x:v>/porto-alegre-desde-santiago/</x:v>
      </x:c>
      <x:c r="AE1241" s="4"/>
      <x:c r="AF1241" s="16" t="b">
        <x:v>0</x:v>
      </x:c>
    </x:row>
    <x:row r="1242" ht="44" customHeight="1">
      <x:c r="A1242" s="4" t="n">
        <x:v>3133</x:v>
      </x:c>
      <x:c r="B1242" s="4" t="str">
        <x:v>https://blog.skyairline.com/levantemos-chile-sky/</x:v>
      </x:c>
      <x:c r="C1242" s="9" t="str">
        <x:v>SKY y Desafío Levantemos Chile llevan su alianza hasta el cielo:  un avión de la aerolínea se viste con logo de la fundación para llevar mensaje de solidaridad</x:v>
      </x:c>
      <x:c r="D1242" s="17" t="d">
        <x:v>2023-06-23T00:00:00.000Z</x:v>
      </x:c>
      <x:c r="E1242" s="17" t="d">
        <x:v>2023-06-23T00:00:00.000Z</x:v>
      </x:c>
      <x:c r="F1242" s="4" t="str">
        <x:v>Compromiso SKY</x:v>
      </x:c>
      <x:c r="G1242" s="11" t="n">
        <x:v>273</x:v>
      </x:c>
      <x:c r="H1242" s="11" t="n">
        <x:v>200</x:v>
      </x:c>
      <x:c r="I1242" s="11" t="n">
        <x:v>1</x:v>
      </x:c>
      <x:c r="J1242" s="4" t="str">
        <x:v>https://blog.skyairline.com/levantemos-chile-sky/</x:v>
      </x:c>
      <x:c r="K1242" s="16" t="b">
        <x:v>0</x:v>
      </x:c>
      <x:c r="L1242" s="11" t="n">
        <x:v>0</x:v>
      </x:c>
      <x:c r="M1242" s="11" t="n">
        <x:v>0</x:v>
      </x:c>
      <x:c r="N1242" s="4"/>
      <x:c r="O1242" s="4"/>
      <x:c r="P1242" s="11" t="n">
        <x:v>0</x:v>
      </x:c>
      <x:c r="Q1242" s="11" t="n">
        <x:v>0</x:v>
      </x:c>
      <x:c r="R1242" s="11" t="str">
        <x:f>IF(OR(P1242="",Q1242=""),"",Q1242-P1242)</x:f>
      </x:c>
      <x:c r="S1242" s="13" t="str">
        <x:f>IF(OR(P1242="",Q1242="",P1242=0),"",((Q1242/30)/(P1242/31))-1)</x:f>
      </x:c>
      <x:c r="T1242" s="11" t="n">
        <x:v>16</x:v>
      </x:c>
      <x:c r="U1242" s="11" t="n">
        <x:v>14</x:v>
      </x:c>
      <x:c r="V1242" s="14" t="n">
        <x:v>0</x:v>
      </x:c>
      <x:c r="W1242" s="12" t="n">
        <x:v>7.714285714285714</x:v>
      </x:c>
      <x:c r="X1242" s="11" t="n">
        <x:v>1</x:v>
      </x:c>
      <x:c r="Y1242" s="11" t="n">
        <x:v>1</x:v>
      </x:c>
      <x:c r="Z1242" s="4" t="str">
        <x:v>https://blog.skyairline.com/levantemos-chile-sky/</x:v>
      </x:c>
      <x:c r="AA1242" s="4" t="str">
        <x:v>https://blog.skyairline.com/levantemos-chile-sky/</x:v>
      </x:c>
      <x:c r="AB1242" s="4" t="str">
        <x:v>Coincidencia URL</x:v>
      </x:c>
      <x:c r="AC1242" s="4" t="str">
        <x:v>Publicado hasta septiembre</x:v>
      </x:c>
      <x:c r="AD1242" s="4" t="str">
        <x:v>/levantemos-chile-sky/</x:v>
      </x:c>
      <x:c r="AE1242" s="4"/>
      <x:c r="AF1242" s="16" t="b">
        <x:v>0</x:v>
      </x:c>
    </x:row>
    <x:row r="1243" ht="44" customHeight="1">
      <x:c r="A1243" s="4" t="n">
        <x:v>3160</x:v>
      </x:c>
      <x:c r="B1243" s="4" t="str">
        <x:v>https://blog.skyairline.com/tacna-2/</x:v>
      </x:c>
      <x:c r="C1243" s="9" t="str">
        <x:v>Museos en Tacna</x:v>
      </x:c>
      <x:c r="D1243" s="17" t="d">
        <x:v>2025-12-05T00:00:00.000Z</x:v>
      </x:c>
      <x:c r="E1243" s="17" t="d">
        <x:v>2025-12-10T00:00:00.000Z</x:v>
      </x:c>
      <x:c r="F1243" s="4" t="str">
        <x:v>Planificación de Viaje</x:v>
      </x:c>
      <x:c r="G1243" s="11" t="n">
        <x:v>1002</x:v>
      </x:c>
      <x:c r="H1243" s="11" t="n">
        <x:v>200</x:v>
      </x:c>
      <x:c r="I1243" s="11" t="n">
        <x:v>1</x:v>
      </x:c>
      <x:c r="J1243" s="4" t="str">
        <x:v>https://blog.skyairline.com/tacna-2/</x:v>
      </x:c>
      <x:c r="K1243" s="16" t="b">
        <x:v>0</x:v>
      </x:c>
      <x:c r="L1243" s="11" t="n">
        <x:v>0</x:v>
      </x:c>
      <x:c r="M1243" s="11" t="n">
        <x:v>4</x:v>
      </x:c>
      <x:c r="N1243" s="4"/>
      <x:c r="O1243" s="4"/>
      <x:c r="P1243" s="11" t="n">
        <x:v>3</x:v>
      </x:c>
      <x:c r="Q1243" s="11" t="n">
        <x:v>0</x:v>
      </x:c>
      <x:c r="R1243" s="11" t="str">
        <x:f>IF(OR(P1243="",Q1243=""),"",Q1243-P1243)</x:f>
      </x:c>
      <x:c r="S1243" s="13" t="str">
        <x:f>IF(OR(P1243="",Q1243="",P1243=0),"",((Q1243/30)/(P1243/31))-1)</x:f>
      </x:c>
      <x:c r="T1243" s="11" t="n">
        <x:v>607</x:v>
      </x:c>
      <x:c r="U1243" s="11" t="n">
        <x:v>293</x:v>
      </x:c>
      <x:c r="V1243" s="14" t="n">
        <x:v>0</x:v>
      </x:c>
      <x:c r="W1243" s="12" t="n">
        <x:v>9.204778156996587</x:v>
      </x:c>
      <x:c r="X1243" s="11"/>
      <x:c r="Y1243" s="11"/>
      <x:c r="Z1243" s="4" t="str">
        <x:v>https://blog.skyairline.com/tacna-2/</x:v>
      </x:c>
      <x:c r="AA1243" s="4" t="str">
        <x:v>https://blog.skyairline.com/tacna-2/</x:v>
      </x:c>
      <x:c r="AB1243" s="4" t="str">
        <x:v>Coincidencia URL</x:v>
      </x:c>
      <x:c r="AC1243" s="4" t="str">
        <x:v>Publicado hasta septiembre</x:v>
      </x:c>
      <x:c r="AD1243" s="4"/>
      <x:c r="AE1243" s="4"/>
      <x:c r="AF1243" s="16" t="b">
        <x:v>0</x:v>
      </x:c>
    </x:row>
    <x:row r="1244" ht="44" customHeight="1">
      <x:c r="A1244" s="4" t="n">
        <x:v>3170</x:v>
      </x:c>
      <x:c r="B1244" s="4" t="str">
        <x:v>https://blog.skyairline.com/donde-comer-en-talara/</x:v>
      </x:c>
      <x:c r="C1244" s="9" t="str">
        <x:v>¿Dónde comer en Talara para disfrutar de la gastromía peruana?</x:v>
      </x:c>
      <x:c r="D1244" s="17" t="d">
        <x:v>2023-07-24T00:00:00.000Z</x:v>
      </x:c>
      <x:c r="E1244" s="17" t="d">
        <x:v>2023-07-24T00:00:00.000Z</x:v>
      </x:c>
      <x:c r="F1244" s="4" t="str">
        <x:v>Planificación de Viaje</x:v>
      </x:c>
      <x:c r="G1244" s="11" t="n">
        <x:v>1155</x:v>
      </x:c>
      <x:c r="H1244" s="11" t="n">
        <x:v>200</x:v>
      </x:c>
      <x:c r="I1244" s="11" t="n">
        <x:v>1</x:v>
      </x:c>
      <x:c r="J1244" s="4" t="str">
        <x:v>https://blog.skyairline.com/donde-comer-en-talara/</x:v>
      </x:c>
      <x:c r="K1244" s="16" t="b">
        <x:v>0</x:v>
      </x:c>
      <x:c r="L1244" s="11" t="n">
        <x:v>0</x:v>
      </x:c>
      <x:c r="M1244" s="11" t="n">
        <x:v>3</x:v>
      </x:c>
      <x:c r="N1244" s="4"/>
      <x:c r="O1244" s="4"/>
      <x:c r="P1244" s="11" t="n">
        <x:v>6</x:v>
      </x:c>
      <x:c r="Q1244" s="11" t="n">
        <x:v>0</x:v>
      </x:c>
      <x:c r="R1244" s="11" t="str">
        <x:f>IF(OR(P1244="",Q1244=""),"",Q1244-P1244)</x:f>
      </x:c>
      <x:c r="S1244" s="13" t="str">
        <x:f>IF(OR(P1244="",Q1244="",P1244=0),"",((Q1244/30)/(P1244/31))-1)</x:f>
      </x:c>
      <x:c r="T1244" s="11" t="n">
        <x:v>747</x:v>
      </x:c>
      <x:c r="U1244" s="11" t="n">
        <x:v>579</x:v>
      </x:c>
      <x:c r="V1244" s="14" t="n">
        <x:v>0</x:v>
      </x:c>
      <x:c r="W1244" s="12" t="n">
        <x:v>9.72538860103627</x:v>
      </x:c>
      <x:c r="X1244" s="11" t="n">
        <x:v>1</x:v>
      </x:c>
      <x:c r="Y1244" s="11" t="n">
        <x:v>1</x:v>
      </x:c>
      <x:c r="Z1244" s="4" t="str">
        <x:v>https://blog.skyairline.com/donde-comer-en-talara/</x:v>
      </x:c>
      <x:c r="AA1244" s="4" t="str">
        <x:v>https://blog.skyairline.com/donde-comer-en-talara/</x:v>
      </x:c>
      <x:c r="AB1244" s="4" t="str">
        <x:v>Coincidencia URL</x:v>
      </x:c>
      <x:c r="AC1244" s="4" t="str">
        <x:v>Publicado hasta septiembre</x:v>
      </x:c>
      <x:c r="AD1244" s="4" t="str">
        <x:v>/donde-comer-en-talara/</x:v>
      </x:c>
      <x:c r="AE1244" s="4"/>
      <x:c r="AF1244" s="16" t="b">
        <x:v>0</x:v>
      </x:c>
    </x:row>
    <x:row r="1245" ht="44" customHeight="1">
      <x:c r="A1245" s="4" t="n">
        <x:v>3174</x:v>
      </x:c>
      <x:c r="B1245" s="4" t="str">
        <x:v>https://blog.skyairline.com/donde-alojarse-en-concepcion/</x:v>
      </x:c>
      <x:c r="C1245" s="9" t="str">
        <x:v>Alojamiento en Concepción: 8 hoteles y zonas para que tu viaje sea redondo</x:v>
      </x:c>
      <x:c r="D1245" s="17" t="d">
        <x:v>2026-01-05T00:00:00.000Z</x:v>
      </x:c>
      <x:c r="E1245" s="17" t="d">
        <x:v>2026-01-05T00:00:00.000Z</x:v>
      </x:c>
      <x:c r="F1245" s="4" t="str">
        <x:v>Planificación de Viaje</x:v>
      </x:c>
      <x:c r="G1245" s="11" t="n">
        <x:v>1013</x:v>
      </x:c>
      <x:c r="H1245" s="11" t="n">
        <x:v>200</x:v>
      </x:c>
      <x:c r="I1245" s="11" t="n">
        <x:v>1</x:v>
      </x:c>
      <x:c r="J1245" s="4" t="str">
        <x:v>https://blog.skyairline.com/donde-alojarse-en-concepcion/</x:v>
      </x:c>
      <x:c r="K1245" s="16" t="b">
        <x:v>0</x:v>
      </x:c>
      <x:c r="L1245" s="11" t="n">
        <x:v>0</x:v>
      </x:c>
      <x:c r="M1245" s="11" t="n">
        <x:v>0</x:v>
      </x:c>
      <x:c r="N1245" s="4"/>
      <x:c r="O1245" s="4"/>
      <x:c r="P1245" s="11" t="n">
        <x:v>0</x:v>
      </x:c>
      <x:c r="Q1245" s="11" t="n">
        <x:v>0</x:v>
      </x:c>
      <x:c r="R1245" s="11" t="str">
        <x:f>IF(OR(P1245="",Q1245=""),"",Q1245-P1245)</x:f>
      </x:c>
      <x:c r="S1245" s="13" t="str">
        <x:f>IF(OR(P1245="",Q1245="",P1245=0),"",((Q1245/30)/(P1245/31))-1)</x:f>
      </x:c>
      <x:c r="T1245" s="11" t="n">
        <x:v>81</x:v>
      </x:c>
      <x:c r="U1245" s="11" t="n">
        <x:v>77</x:v>
      </x:c>
      <x:c r="V1245" s="14" t="n">
        <x:v>0</x:v>
      </x:c>
      <x:c r="W1245" s="12" t="n">
        <x:v>7.857142857142857</x:v>
      </x:c>
      <x:c r="X1245" s="11"/>
      <x:c r="Y1245" s="11"/>
      <x:c r="Z1245" s="4" t="str">
        <x:v>https://blog.skyairline.com/donde-alojarse-en-concepcion/</x:v>
      </x:c>
      <x:c r="AA1245" s="4" t="str">
        <x:v>https://blog.skyairline.com/donde-alojarse-en-concepcion/</x:v>
      </x:c>
      <x:c r="AB1245" s="4" t="str">
        <x:v>Coincidencia URL</x:v>
      </x:c>
      <x:c r="AC1245" s="4" t="str">
        <x:v>Publicado hasta septiembre</x:v>
      </x:c>
      <x:c r="AD1245" s="4"/>
      <x:c r="AE1245" s="4"/>
      <x:c r="AF1245" s="16" t="b">
        <x:v>0</x:v>
      </x:c>
    </x:row>
    <x:row r="1246" ht="44" customHeight="1">
      <x:c r="A1246" s="4" t="n">
        <x:v>3177</x:v>
      </x:c>
      <x:c r="B1246" s="4" t="str">
        <x:v>https://blog.skyairline.com/museos-en-porto-alegre/</x:v>
      </x:c>
      <x:c r="C1246" s="9" t="str">
        <x:v>Museos en Porto Alegre: ¿cuáles son los más importantes?</x:v>
      </x:c>
      <x:c r="D1246" s="17" t="d">
        <x:v>2023-07-26T00:00:00.000Z</x:v>
      </x:c>
      <x:c r="E1246" s="17" t="d">
        <x:v>2023-07-26T00:00:00.000Z</x:v>
      </x:c>
      <x:c r="F1246" s="4" t="str">
        <x:v>Planificación de Viaje</x:v>
      </x:c>
      <x:c r="G1246" s="11" t="n">
        <x:v>1207</x:v>
      </x:c>
      <x:c r="H1246" s="11" t="n">
        <x:v>200</x:v>
      </x:c>
      <x:c r="I1246" s="11" t="n">
        <x:v>1</x:v>
      </x:c>
      <x:c r="J1246" s="4" t="str">
        <x:v>https://blog.skyairline.com/museos-en-porto-alegre/</x:v>
      </x:c>
      <x:c r="K1246" s="16" t="b">
        <x:v>0</x:v>
      </x:c>
      <x:c r="L1246" s="11" t="n">
        <x:v>0</x:v>
      </x:c>
      <x:c r="M1246" s="11" t="n">
        <x:v>3</x:v>
      </x:c>
      <x:c r="N1246" s="4"/>
      <x:c r="O1246" s="4"/>
      <x:c r="P1246" s="11" t="n">
        <x:v>1</x:v>
      </x:c>
      <x:c r="Q1246" s="11" t="n">
        <x:v>0</x:v>
      </x:c>
      <x:c r="R1246" s="11" t="str">
        <x:f>IF(OR(P1246="",Q1246=""),"",Q1246-P1246)</x:f>
      </x:c>
      <x:c r="S1246" s="13" t="str">
        <x:f>IF(OR(P1246="",Q1246="",P1246=0),"",((Q1246/30)/(P1246/31))-1)</x:f>
      </x:c>
      <x:c r="T1246" s="11" t="n">
        <x:v>57</x:v>
      </x:c>
      <x:c r="U1246" s="11" t="n">
        <x:v>33</x:v>
      </x:c>
      <x:c r="V1246" s="14" t="n">
        <x:v>0</x:v>
      </x:c>
      <x:c r="W1246" s="12" t="n">
        <x:v>7.9393939393939394</x:v>
      </x:c>
      <x:c r="X1246" s="11"/>
      <x:c r="Y1246" s="11"/>
      <x:c r="Z1246" s="4" t="str">
        <x:v>https://blog.skyairline.com/museos-en-porto-alegre/</x:v>
      </x:c>
      <x:c r="AA1246" s="4" t="str">
        <x:v>https://blog.skyairline.com/museos-en-porto-alegre/</x:v>
      </x:c>
      <x:c r="AB1246" s="4" t="str">
        <x:v>Coincidencia URL</x:v>
      </x:c>
      <x:c r="AC1246" s="4" t="str">
        <x:v>Publicado hasta septiembre</x:v>
      </x:c>
      <x:c r="AD1246" s="4"/>
      <x:c r="AE1246" s="4"/>
      <x:c r="AF1246" s="16" t="b">
        <x:v>1</x:v>
      </x:c>
    </x:row>
    <x:row r="1247" ht="44" customHeight="1">
      <x:c r="A1247" s="4" t="n">
        <x:v>3187</x:v>
      </x:c>
      <x:c r="B1247" s="4" t="str">
        <x:v>https://blog.skyairline.com/sky-inaugura-su-nueva-ruta-entre-lima-y-sao-paulo/</x:v>
      </x:c>
      <x:c r="C1247" s="9" t="str">
        <x:v>SKY INAUGURA SU NUEVA RUTA ENTRE LIMA Y SAO PAULO</x:v>
      </x:c>
      <x:c r="D1247" s="17" t="d">
        <x:v>2023-07-19T00:00:00.000Z</x:v>
      </x:c>
      <x:c r="E1247" s="17" t="d">
        <x:v>2023-07-19T00:00:00.000Z</x:v>
      </x:c>
      <x:c r="F1247" s="4" t="str">
        <x:v>Noticias</x:v>
      </x:c>
      <x:c r="G1247" s="11" t="n">
        <x:v>772</x:v>
      </x:c>
      <x:c r="H1247" s="11" t="n">
        <x:v>200</x:v>
      </x:c>
      <x:c r="I1247" s="11" t="n">
        <x:v>1</x:v>
      </x:c>
      <x:c r="J1247" s="4" t="str">
        <x:v>https://blog.skyairline.com/sky-inaugura-su-nueva-ruta-entre-lima-y-sao-paulo/</x:v>
      </x:c>
      <x:c r="K1247" s="16" t="b">
        <x:v>0</x:v>
      </x:c>
      <x:c r="L1247" s="11" t="n">
        <x:v>0</x:v>
      </x:c>
      <x:c r="M1247" s="11" t="n">
        <x:v>0</x:v>
      </x:c>
      <x:c r="N1247" s="4"/>
      <x:c r="O1247" s="4"/>
      <x:c r="P1247" s="11" t="n">
        <x:v>0</x:v>
      </x:c>
      <x:c r="Q1247" s="11" t="n">
        <x:v>0</x:v>
      </x:c>
      <x:c r="R1247" s="11" t="str">
        <x:f>IF(OR(P1247="",Q1247=""),"",Q1247-P1247)</x:f>
      </x:c>
      <x:c r="S1247" s="13" t="str">
        <x:f>IF(OR(P1247="",Q1247="",P1247=0),"",((Q1247/30)/(P1247/31))-1)</x:f>
      </x:c>
      <x:c r="T1247" s="11" t="n">
        <x:v>118</x:v>
      </x:c>
      <x:c r="U1247" s="11" t="n">
        <x:v>201</x:v>
      </x:c>
      <x:c r="V1247" s="14" t="n">
        <x:v>0</x:v>
      </x:c>
      <x:c r="W1247" s="12" t="n">
        <x:v>7.263681592039801</x:v>
      </x:c>
      <x:c r="X1247" s="11"/>
      <x:c r="Y1247" s="11"/>
      <x:c r="Z1247" s="4" t="str">
        <x:v>https://blog.skyairline.com/sky-inaugura-su-nueva-ruta-entre-lima-y-sao-paulo/</x:v>
      </x:c>
      <x:c r="AA1247" s="4" t="str">
        <x:v>https://blog.skyairline.com/sky-inaugura-su-nueva-ruta-entre-lima-y-sao-paulo/</x:v>
      </x:c>
      <x:c r="AB1247" s="4" t="str">
        <x:v>Coincidencia URL</x:v>
      </x:c>
      <x:c r="AC1247" s="4" t="str">
        <x:v>Publicado hasta septiembre</x:v>
      </x:c>
      <x:c r="AD1247" s="4"/>
      <x:c r="AE1247" s="4"/>
      <x:c r="AF1247" s="16" t="b">
        <x:v>0</x:v>
      </x:c>
    </x:row>
    <x:row r="1248" ht="44" customHeight="1">
      <x:c r="A1248" s="4" t="n">
        <x:v>3201</x:v>
      </x:c>
      <x:c r="B1248" s="4" t="str">
        <x:v>https://blog.skyairline.com/mendoza-en-invierno/</x:v>
      </x:c>
      <x:c r="C1248" s="9" t="str">
        <x:v>Mendoza en invierno: ¿cuáles son sus principales atractivos?</x:v>
      </x:c>
      <x:c r="D1248" s="17" t="d">
        <x:v>2023-07-31T00:00:00.000Z</x:v>
      </x:c>
      <x:c r="E1248" s="17" t="d">
        <x:v>2023-07-31T00:00:00.000Z</x:v>
      </x:c>
      <x:c r="F1248" s="4" t="str">
        <x:v>Destinos</x:v>
      </x:c>
      <x:c r="G1248" s="11" t="n">
        <x:v>995</x:v>
      </x:c>
      <x:c r="H1248" s="11" t="n">
        <x:v>200</x:v>
      </x:c>
      <x:c r="I1248" s="11" t="n">
        <x:v>1</x:v>
      </x:c>
      <x:c r="J1248" s="4" t="str">
        <x:v>https://blog.skyairline.com/mendoza-en-invierno/</x:v>
      </x:c>
      <x:c r="K1248" s="16" t="b">
        <x:v>0</x:v>
      </x:c>
      <x:c r="L1248" s="11" t="n">
        <x:v>0</x:v>
      </x:c>
      <x:c r="M1248" s="11" t="n">
        <x:v>6</x:v>
      </x:c>
      <x:c r="N1248" s="4"/>
      <x:c r="O1248" s="4"/>
      <x:c r="P1248" s="11" t="n">
        <x:v>0</x:v>
      </x:c>
      <x:c r="Q1248" s="11" t="n">
        <x:v>0</x:v>
      </x:c>
      <x:c r="R1248" s="11" t="str">
        <x:f>IF(OR(P1248="",Q1248=""),"",Q1248-P1248)</x:f>
      </x:c>
      <x:c r="S1248" s="13" t="str">
        <x:f>IF(OR(P1248="",Q1248="",P1248=0),"",((Q1248/30)/(P1248/31))-1)</x:f>
      </x:c>
      <x:c r="T1248" s="11" t="n">
        <x:v>57</x:v>
      </x:c>
      <x:c r="U1248" s="11" t="n">
        <x:v>62</x:v>
      </x:c>
      <x:c r="V1248" s="14" t="n">
        <x:v>0</x:v>
      </x:c>
      <x:c r="W1248" s="12" t="n">
        <x:v>32.12903225806451</x:v>
      </x:c>
      <x:c r="X1248" s="11" t="n">
        <x:v>1</x:v>
      </x:c>
      <x:c r="Y1248" s="11" t="n">
        <x:v>1</x:v>
      </x:c>
      <x:c r="Z1248" s="4" t="str">
        <x:v>https://blog.skyairline.com/mendoza-en-invierno/</x:v>
      </x:c>
      <x:c r="AA1248" s="4" t="str">
        <x:v>https://blog.skyairline.com/mendoza-en-invierno/</x:v>
      </x:c>
      <x:c r="AB1248" s="4" t="str">
        <x:v>Coincidencia URL</x:v>
      </x:c>
      <x:c r="AC1248" s="4" t="str">
        <x:v>Publicado hasta septiembre</x:v>
      </x:c>
      <x:c r="AD1248" s="4" t="str">
        <x:v>/mendoza-en-invierno/</x:v>
      </x:c>
      <x:c r="AE1248" s="4"/>
      <x:c r="AF1248" s="16" t="b">
        <x:v>0</x:v>
      </x:c>
    </x:row>
    <x:row r="1249" ht="44" customHeight="1">
      <x:c r="A1249" s="4" t="n">
        <x:v>3211</x:v>
      </x:c>
      <x:c r="B1249" s="4" t="str">
        <x:v>https://blog.skyairline.com/parque-nacional-cerro-castillo/</x:v>
      </x:c>
      <x:c r="C1249" s="9" t="str">
        <x:v>Parque Nacional Cerro Castillo: un imperdible durante el invierno en Balmaceda</x:v>
      </x:c>
      <x:c r="D1249" s="17" t="d">
        <x:v>2024-09-05T00:00:00.000Z</x:v>
      </x:c>
      <x:c r="E1249" s="17" t="d">
        <x:v>2024-09-05T00:00:00.000Z</x:v>
      </x:c>
      <x:c r="F1249" s="4" t="str">
        <x:v>Destinos</x:v>
      </x:c>
      <x:c r="G1249" s="11" t="n">
        <x:v>1176</x:v>
      </x:c>
      <x:c r="H1249" s="11" t="n">
        <x:v>200</x:v>
      </x:c>
      <x:c r="I1249" s="11" t="n">
        <x:v>1</x:v>
      </x:c>
      <x:c r="J1249" s="4" t="str">
        <x:v>https://blog.skyairline.com/parque-nacional-cerro-castillo/</x:v>
      </x:c>
      <x:c r="K1249" s="16" t="b">
        <x:v>0</x:v>
      </x:c>
      <x:c r="L1249" s="11" t="n">
        <x:v>0</x:v>
      </x:c>
      <x:c r="M1249" s="11" t="n">
        <x:v>3</x:v>
      </x:c>
      <x:c r="N1249" s="4"/>
      <x:c r="O1249" s="4"/>
      <x:c r="P1249" s="11" t="n">
        <x:v>1</x:v>
      </x:c>
      <x:c r="Q1249" s="11" t="n">
        <x:v>0</x:v>
      </x:c>
      <x:c r="R1249" s="11" t="str">
        <x:f>IF(OR(P1249="",Q1249=""),"",Q1249-P1249)</x:f>
      </x:c>
      <x:c r="S1249" s="13" t="str">
        <x:f>IF(OR(P1249="",Q1249="",P1249=0),"",((Q1249/30)/(P1249/31))-1)</x:f>
      </x:c>
      <x:c r="T1249" s="11" t="n">
        <x:v>100</x:v>
      </x:c>
      <x:c r="U1249" s="11" t="n">
        <x:v>39</x:v>
      </x:c>
      <x:c r="V1249" s="14" t="n">
        <x:v>0</x:v>
      </x:c>
      <x:c r="W1249" s="12" t="n">
        <x:v>9.58974358974359</x:v>
      </x:c>
      <x:c r="X1249" s="11"/>
      <x:c r="Y1249" s="11"/>
      <x:c r="Z1249" s="4" t="str">
        <x:v>https://blog.skyairline.com/parque-nacional-cerro-castillo/</x:v>
      </x:c>
      <x:c r="AA1249" s="4" t="str">
        <x:v>https://blog.skyairline.com/parque-nacional-cerro-castillo/</x:v>
      </x:c>
      <x:c r="AB1249" s="4" t="str">
        <x:v>Coincidencia URL</x:v>
      </x:c>
      <x:c r="AC1249" s="4" t="str">
        <x:v>Publicado hasta septiembre</x:v>
      </x:c>
      <x:c r="AD1249" s="4"/>
      <x:c r="AE1249" s="4"/>
      <x:c r="AF1249" s="16" t="b">
        <x:v>0</x:v>
      </x:c>
    </x:row>
    <x:row r="1250" ht="44" customHeight="1">
      <x:c r="A1250" s="4" t="n">
        <x:v>3215</x:v>
      </x:c>
      <x:c r="B1250" s="4" t="str">
        <x:v>https://blog.skyairline.com/playas-del-caribe/</x:v>
      </x:c>
      <x:c r="C1250" s="9" t="str">
        <x:v>6 playas del Caribe a las que te acerca SKY</x:v>
      </x:c>
      <x:c r="D1250" s="17" t="d">
        <x:v>2023-08-03T00:00:00.000Z</x:v>
      </x:c>
      <x:c r="E1250" s="17" t="d">
        <x:v>2023-08-03T00:00:00.000Z</x:v>
      </x:c>
      <x:c r="F1250" s="4" t="str">
        <x:v>Destinos</x:v>
      </x:c>
      <x:c r="G1250" s="11" t="n">
        <x:v>1045</x:v>
      </x:c>
      <x:c r="H1250" s="11" t="n">
        <x:v>200</x:v>
      </x:c>
      <x:c r="I1250" s="11" t="n">
        <x:v>1</x:v>
      </x:c>
      <x:c r="J1250" s="4" t="str">
        <x:v>https://blog.skyairline.com/playas-del-caribe/</x:v>
      </x:c>
      <x:c r="K1250" s="16" t="b">
        <x:v>0</x:v>
      </x:c>
      <x:c r="L1250" s="11" t="n">
        <x:v>0</x:v>
      </x:c>
      <x:c r="M1250" s="11" t="n">
        <x:v>7</x:v>
      </x:c>
      <x:c r="N1250" s="4"/>
      <x:c r="O1250" s="4"/>
      <x:c r="P1250" s="11" t="n">
        <x:v>0</x:v>
      </x:c>
      <x:c r="Q1250" s="11" t="n">
        <x:v>0</x:v>
      </x:c>
      <x:c r="R1250" s="11" t="str">
        <x:f>IF(OR(P1250="",Q1250=""),"",Q1250-P1250)</x:f>
      </x:c>
      <x:c r="S1250" s="13" t="str">
        <x:f>IF(OR(P1250="",Q1250="",P1250=0),"",((Q1250/30)/(P1250/31))-1)</x:f>
      </x:c>
      <x:c r="T1250" s="11" t="n">
        <x:v>64</x:v>
      </x:c>
      <x:c r="U1250" s="11" t="n">
        <x:v>20</x:v>
      </x:c>
      <x:c r="V1250" s="14" t="n">
        <x:v>0</x:v>
      </x:c>
      <x:c r="W1250" s="12" t="n">
        <x:v>34.9</x:v>
      </x:c>
      <x:c r="X1250" s="11"/>
      <x:c r="Y1250" s="11"/>
      <x:c r="Z1250" s="4" t="str">
        <x:v>https://blog.skyairline.com/playas-del-caribe/</x:v>
      </x:c>
      <x:c r="AA1250" s="4" t="str">
        <x:v>https://blog.skyairline.com/playas-del-caribe/</x:v>
      </x:c>
      <x:c r="AB1250" s="4" t="str">
        <x:v>Coincidencia URL</x:v>
      </x:c>
      <x:c r="AC1250" s="4" t="str">
        <x:v>Publicado hasta septiembre</x:v>
      </x:c>
      <x:c r="AD1250" s="4"/>
      <x:c r="AE1250" s="4"/>
      <x:c r="AF1250" s="16" t="b">
        <x:v>0</x:v>
      </x:c>
    </x:row>
    <x:row r="1251" ht="44" customHeight="1">
      <x:c r="A1251" s="4" t="n">
        <x:v>3220</x:v>
      </x:c>
      <x:c r="B1251" s="4" t="str">
        <x:v>https://blog.skyairline.com/invierno-en-concepcion/</x:v>
      </x:c>
      <x:c r="C1251" s="9" t="str">
        <x:v>Invierno en Concepción: Vuela con Sky y disfruta de sus atractivos</x:v>
      </x:c>
      <x:c r="D1251" s="17" t="d">
        <x:v>2023-08-04T00:00:00.000Z</x:v>
      </x:c>
      <x:c r="E1251" s="17" t="d">
        <x:v>2023-08-04T00:00:00.000Z</x:v>
      </x:c>
      <x:c r="F1251" s="4" t="str">
        <x:v>Destinos</x:v>
      </x:c>
      <x:c r="G1251" s="11" t="n">
        <x:v>982</x:v>
      </x:c>
      <x:c r="H1251" s="11" t="n">
        <x:v>200</x:v>
      </x:c>
      <x:c r="I1251" s="11" t="n">
        <x:v>1</x:v>
      </x:c>
      <x:c r="J1251" s="4" t="str">
        <x:v>https://blog.skyairline.com/invierno-en-concepcion/</x:v>
      </x:c>
      <x:c r="K1251" s="16" t="b">
        <x:v>0</x:v>
      </x:c>
      <x:c r="L1251" s="11" t="n">
        <x:v>0</x:v>
      </x:c>
      <x:c r="M1251" s="11" t="n">
        <x:v>4</x:v>
      </x:c>
      <x:c r="N1251" s="4"/>
      <x:c r="O1251" s="4"/>
      <x:c r="P1251" s="11" t="n">
        <x:v>0</x:v>
      </x:c>
      <x:c r="Q1251" s="11" t="n">
        <x:v>0</x:v>
      </x:c>
      <x:c r="R1251" s="11" t="str">
        <x:f>IF(OR(P1251="",Q1251=""),"",Q1251-P1251)</x:f>
      </x:c>
      <x:c r="S1251" s="13" t="str">
        <x:f>IF(OR(P1251="",Q1251="",P1251=0),"",((Q1251/30)/(P1251/31))-1)</x:f>
      </x:c>
      <x:c r="T1251" s="11" t="n">
        <x:v>145</x:v>
      </x:c>
      <x:c r="U1251" s="11" t="n">
        <x:v>112</x:v>
      </x:c>
      <x:c r="V1251" s="14" t="n">
        <x:v>0</x:v>
      </x:c>
      <x:c r="W1251" s="12" t="n">
        <x:v>9.375</x:v>
      </x:c>
      <x:c r="X1251" s="11"/>
      <x:c r="Y1251" s="11"/>
      <x:c r="Z1251" s="4" t="str">
        <x:v>https://blog.skyairline.com/invierno-en-concepcion/</x:v>
      </x:c>
      <x:c r="AA1251" s="4" t="str">
        <x:v>https://blog.skyairline.com/invierno-en-concepcion/</x:v>
      </x:c>
      <x:c r="AB1251" s="4" t="str">
        <x:v>Coincidencia URL</x:v>
      </x:c>
      <x:c r="AC1251" s="4" t="str">
        <x:v>Publicado hasta septiembre</x:v>
      </x:c>
      <x:c r="AD1251" s="4"/>
      <x:c r="AE1251" s="4"/>
      <x:c r="AF1251" s="16" t="b">
        <x:v>0</x:v>
      </x:c>
    </x:row>
    <x:row r="1252" ht="44" customHeight="1">
      <x:c r="A1252" s="4" t="n">
        <x:v>3235</x:v>
      </x:c>
      <x:c r="B1252" s="4" t="str">
        <x:v>https://blog.skyairline.com/puerto-natales-en-invierno/</x:v>
      </x:c>
      <x:c r="C1252" s="9" t="str">
        <x:v>¿Qué hacer en Puerto Natales durante el invierno?</x:v>
      </x:c>
      <x:c r="D1252" s="17" t="d">
        <x:v>2023-08-10T00:00:00.000Z</x:v>
      </x:c>
      <x:c r="E1252" s="17" t="d">
        <x:v>2023-08-10T00:00:00.000Z</x:v>
      </x:c>
      <x:c r="F1252" s="4" t="str">
        <x:v>Destinos</x:v>
      </x:c>
      <x:c r="G1252" s="11" t="n">
        <x:v>1145</x:v>
      </x:c>
      <x:c r="H1252" s="11" t="n">
        <x:v>200</x:v>
      </x:c>
      <x:c r="I1252" s="11" t="n">
        <x:v>1</x:v>
      </x:c>
      <x:c r="J1252" s="4" t="str">
        <x:v>https://blog.skyairline.com/puerto-natales-en-invierno/</x:v>
      </x:c>
      <x:c r="K1252" s="16" t="b">
        <x:v>0</x:v>
      </x:c>
      <x:c r="L1252" s="11" t="n">
        <x:v>0</x:v>
      </x:c>
      <x:c r="M1252" s="11" t="n">
        <x:v>7</x:v>
      </x:c>
      <x:c r="N1252" s="4"/>
      <x:c r="O1252" s="4"/>
      <x:c r="P1252" s="11" t="n">
        <x:v>0</x:v>
      </x:c>
      <x:c r="Q1252" s="11" t="n">
        <x:v>0</x:v>
      </x:c>
      <x:c r="R1252" s="11" t="str">
        <x:f>IF(OR(P1252="",Q1252=""),"",Q1252-P1252)</x:f>
      </x:c>
      <x:c r="S1252" s="13" t="str">
        <x:f>IF(OR(P1252="",Q1252="",P1252=0),"",((Q1252/30)/(P1252/31))-1)</x:f>
      </x:c>
      <x:c r="T1252" s="11" t="n">
        <x:v>15</x:v>
      </x:c>
      <x:c r="U1252" s="11" t="n">
        <x:v>10</x:v>
      </x:c>
      <x:c r="V1252" s="14" t="n">
        <x:v>0</x:v>
      </x:c>
      <x:c r="W1252" s="12" t="n">
        <x:v>22</x:v>
      </x:c>
      <x:c r="X1252" s="11"/>
      <x:c r="Y1252" s="11"/>
      <x:c r="Z1252" s="4" t="str">
        <x:v>https://blog.skyairline.com/puerto-natales-en-invierno/</x:v>
      </x:c>
      <x:c r="AA1252" s="4" t="str">
        <x:v>https://blog.skyairline.com/puerto-natales-en-invierno/</x:v>
      </x:c>
      <x:c r="AB1252" s="4" t="str">
        <x:v>Coincidencia URL</x:v>
      </x:c>
      <x:c r="AC1252" s="4" t="str">
        <x:v>Publicado hasta septiembre</x:v>
      </x:c>
      <x:c r="AD1252" s="4"/>
      <x:c r="AE1252" s="4"/>
      <x:c r="AF1252" s="16" t="b">
        <x:v>0</x:v>
      </x:c>
    </x:row>
    <x:row r="1253" ht="44" customHeight="1">
      <x:c r="A1253" s="4" t="n">
        <x:v>3239</x:v>
      </x:c>
      <x:c r="B1253" s="4" t="str">
        <x:v>https://blog.skyairline.com/volar-a-calama/</x:v>
      </x:c>
      <x:c r="C1253" s="9" t="str">
        <x:v>Volar a Calama con Sky: ¿por qué vale la pena conocer esta ciudad?</x:v>
      </x:c>
      <x:c r="D1253" s="17" t="d">
        <x:v>2023-08-11T00:00:00.000Z</x:v>
      </x:c>
      <x:c r="E1253" s="17" t="d">
        <x:v>2023-08-11T00:00:00.000Z</x:v>
      </x:c>
      <x:c r="F1253" s="4" t="str">
        <x:v>Destinos</x:v>
      </x:c>
      <x:c r="G1253" s="11" t="n">
        <x:v>1166</x:v>
      </x:c>
      <x:c r="H1253" s="11" t="n">
        <x:v>200</x:v>
      </x:c>
      <x:c r="I1253" s="11" t="n">
        <x:v>1</x:v>
      </x:c>
      <x:c r="J1253" s="4" t="str">
        <x:v>https://blog.skyairline.com/volar-a-calama/</x:v>
      </x:c>
      <x:c r="K1253" s="16" t="b">
        <x:v>0</x:v>
      </x:c>
      <x:c r="L1253" s="11" t="n">
        <x:v>0</x:v>
      </x:c>
      <x:c r="M1253" s="11" t="n">
        <x:v>5</x:v>
      </x:c>
      <x:c r="N1253" s="4"/>
      <x:c r="O1253" s="4"/>
      <x:c r="P1253" s="11" t="n">
        <x:v>0</x:v>
      </x:c>
      <x:c r="Q1253" s="11" t="n">
        <x:v>0</x:v>
      </x:c>
      <x:c r="R1253" s="11" t="str">
        <x:f>IF(OR(P1253="",Q1253=""),"",Q1253-P1253)</x:f>
      </x:c>
      <x:c r="S1253" s="13" t="str">
        <x:f>IF(OR(P1253="",Q1253="",P1253=0),"",((Q1253/30)/(P1253/31))-1)</x:f>
      </x:c>
      <x:c r="T1253" s="11" t="n">
        <x:v>23</x:v>
      </x:c>
      <x:c r="U1253" s="11" t="n">
        <x:v>28</x:v>
      </x:c>
      <x:c r="V1253" s="14" t="n">
        <x:v>0</x:v>
      </x:c>
      <x:c r="W1253" s="12" t="n">
        <x:v>9.821428571428571</x:v>
      </x:c>
      <x:c r="X1253" s="11"/>
      <x:c r="Y1253" s="11"/>
      <x:c r="Z1253" s="4" t="str">
        <x:v>https://blog.skyairline.com/volar-a-calama/</x:v>
      </x:c>
      <x:c r="AA1253" s="4" t="str">
        <x:v>https://blog.skyairline.com/volar-a-calama/</x:v>
      </x:c>
      <x:c r="AB1253" s="4" t="str">
        <x:v>Coincidencia URL</x:v>
      </x:c>
      <x:c r="AC1253" s="4" t="str">
        <x:v>Publicado hasta septiembre</x:v>
      </x:c>
      <x:c r="AD1253" s="4"/>
      <x:c r="AE1253" s="4"/>
      <x:c r="AF1253" s="16" t="b">
        <x:v>0</x:v>
      </x:c>
    </x:row>
    <x:row r="1254" ht="44" customHeight="1">
      <x:c r="A1254" s="4" t="n">
        <x:v>3243</x:v>
      </x:c>
      <x:c r="B1254" s="4" t="str">
        <x:v>https://blog.skyairline.com/volcan-osorno/</x:v>
      </x:c>
      <x:c r="C1254" s="9" t="str">
        <x:v>Volcán Osorno: paisajes inigualables en Puerto Montt</x:v>
      </x:c>
      <x:c r="D1254" s="17" t="d">
        <x:v>2023-08-14T00:00:00.000Z</x:v>
      </x:c>
      <x:c r="E1254" s="17" t="d">
        <x:v>2023-08-14T00:00:00.000Z</x:v>
      </x:c>
      <x:c r="F1254" s="4" t="str">
        <x:v>Destinos</x:v>
      </x:c>
      <x:c r="G1254" s="11" t="n">
        <x:v>1137</x:v>
      </x:c>
      <x:c r="H1254" s="11" t="n">
        <x:v>200</x:v>
      </x:c>
      <x:c r="I1254" s="11" t="n">
        <x:v>1</x:v>
      </x:c>
      <x:c r="J1254" s="4" t="str">
        <x:v>https://blog.skyairline.com/volcan-osorno/</x:v>
      </x:c>
      <x:c r="K1254" s="16" t="b">
        <x:v>0</x:v>
      </x:c>
      <x:c r="L1254" s="11" t="n">
        <x:v>0</x:v>
      </x:c>
      <x:c r="M1254" s="11" t="n">
        <x:v>0</x:v>
      </x:c>
      <x:c r="N1254" s="4"/>
      <x:c r="O1254" s="4"/>
      <x:c r="P1254" s="11" t="n">
        <x:v>1</x:v>
      </x:c>
      <x:c r="Q1254" s="11" t="n">
        <x:v>0</x:v>
      </x:c>
      <x:c r="R1254" s="11" t="str">
        <x:f>IF(OR(P1254="",Q1254=""),"",Q1254-P1254)</x:f>
      </x:c>
      <x:c r="S1254" s="13" t="str">
        <x:f>IF(OR(P1254="",Q1254="",P1254=0),"",((Q1254/30)/(P1254/31))-1)</x:f>
      </x:c>
      <x:c r="T1254" s="11" t="n">
        <x:v>302</x:v>
      </x:c>
      <x:c r="U1254" s="11" t="n">
        <x:v>223</x:v>
      </x:c>
      <x:c r="V1254" s="14" t="n">
        <x:v>0</x:v>
      </x:c>
      <x:c r="W1254" s="12" t="n">
        <x:v>20.278026905829595</x:v>
      </x:c>
      <x:c r="X1254" s="11"/>
      <x:c r="Y1254" s="11"/>
      <x:c r="Z1254" s="4" t="str">
        <x:v>https://blog.skyairline.com/volcan-osorno/</x:v>
      </x:c>
      <x:c r="AA1254" s="4" t="str">
        <x:v>https://blog.skyairline.com/volcan-osorno/</x:v>
      </x:c>
      <x:c r="AB1254" s="4" t="str">
        <x:v>Coincidencia URL</x:v>
      </x:c>
      <x:c r="AC1254" s="4" t="str">
        <x:v>Publicado hasta septiembre</x:v>
      </x:c>
      <x:c r="AD1254" s="4"/>
      <x:c r="AE1254" s="4"/>
      <x:c r="AF1254" s="16" t="b">
        <x:v>0</x:v>
      </x:c>
    </x:row>
    <x:row r="1255" ht="44" customHeight="1">
      <x:c r="A1255" s="4" t="n">
        <x:v>3247</x:v>
      </x:c>
      <x:c r="B1255" s="4" t="str">
        <x:v>https://blog.skyairline.com/bahia-vizcaina/</x:v>
      </x:c>
      <x:c r="C1255" s="9" t="str">
        <x:v>Bahía Vizcaína: qué ver y hacer en este atractivo de Miami</x:v>
      </x:c>
      <x:c r="D1255" s="17" t="d">
        <x:v>2023-08-15T00:00:00.000Z</x:v>
      </x:c>
      <x:c r="E1255" s="17" t="d">
        <x:v>2023-08-15T00:00:00.000Z</x:v>
      </x:c>
      <x:c r="F1255" s="4" t="str">
        <x:v>Destinos</x:v>
      </x:c>
      <x:c r="G1255" s="11" t="n">
        <x:v>1094</x:v>
      </x:c>
      <x:c r="H1255" s="11" t="n">
        <x:v>200</x:v>
      </x:c>
      <x:c r="I1255" s="11" t="n">
        <x:v>1</x:v>
      </x:c>
      <x:c r="J1255" s="4" t="str">
        <x:v>https://blog.skyairline.com/bahia-vizcaina/</x:v>
      </x:c>
      <x:c r="K1255" s="16" t="b">
        <x:v>0</x:v>
      </x:c>
      <x:c r="L1255" s="11" t="n">
        <x:v>0</x:v>
      </x:c>
      <x:c r="M1255" s="11" t="n">
        <x:v>6</x:v>
      </x:c>
      <x:c r="N1255" s="4"/>
      <x:c r="O1255" s="4"/>
      <x:c r="P1255" s="11" t="n">
        <x:v>1</x:v>
      </x:c>
      <x:c r="Q1255" s="11" t="n">
        <x:v>0</x:v>
      </x:c>
      <x:c r="R1255" s="11" t="str">
        <x:f>IF(OR(P1255="",Q1255=""),"",Q1255-P1255)</x:f>
      </x:c>
      <x:c r="S1255" s="13" t="str">
        <x:f>IF(OR(P1255="",Q1255="",P1255=0),"",((Q1255/30)/(P1255/31))-1)</x:f>
      </x:c>
      <x:c r="T1255" s="11" t="n">
        <x:v>282</x:v>
      </x:c>
      <x:c r="U1255" s="11" t="n">
        <x:v>203</x:v>
      </x:c>
      <x:c r="V1255" s="14" t="n">
        <x:v>0</x:v>
      </x:c>
      <x:c r="W1255" s="12" t="n">
        <x:v>12.320197044334975</x:v>
      </x:c>
      <x:c r="X1255" s="11"/>
      <x:c r="Y1255" s="11"/>
      <x:c r="Z1255" s="4" t="str">
        <x:v>https://blog.skyairline.com/bahia-vizcaina/</x:v>
      </x:c>
      <x:c r="AA1255" s="4" t="str">
        <x:v>https://blog.skyairline.com/bahia-vizcaina/</x:v>
      </x:c>
      <x:c r="AB1255" s="4" t="str">
        <x:v>Coincidencia URL</x:v>
      </x:c>
      <x:c r="AC1255" s="4" t="str">
        <x:v>Publicado hasta septiembre</x:v>
      </x:c>
      <x:c r="AD1255" s="4"/>
      <x:c r="AE1255" s="4"/>
      <x:c r="AF1255" s="16" t="b">
        <x:v>0</x:v>
      </x:c>
    </x:row>
    <x:row r="1256" ht="44" customHeight="1">
      <x:c r="A1256" s="4" t="n">
        <x:v>3253</x:v>
      </x:c>
      <x:c r="B1256" s="4" t="str">
        <x:v>https://blog.skyairline.com/invierno-en-temuco/</x:v>
      </x:c>
      <x:c r="C1256" s="9" t="str">
        <x:v>La magia del invierno en Temuco y sus cercanías: todo lo que debes saber</x:v>
      </x:c>
      <x:c r="D1256" s="17" t="d">
        <x:v>2023-08-17T00:00:00.000Z</x:v>
      </x:c>
      <x:c r="E1256" s="17" t="d">
        <x:v>2023-08-17T00:00:00.000Z</x:v>
      </x:c>
      <x:c r="F1256" s="4" t="str">
        <x:v>Destinos</x:v>
      </x:c>
      <x:c r="G1256" s="11" t="n">
        <x:v>1072</x:v>
      </x:c>
      <x:c r="H1256" s="11" t="n">
        <x:v>200</x:v>
      </x:c>
      <x:c r="I1256" s="11" t="n">
        <x:v>1</x:v>
      </x:c>
      <x:c r="J1256" s="4" t="str">
        <x:v>https://blog.skyairline.com/invierno-en-temuco/</x:v>
      </x:c>
      <x:c r="K1256" s="16" t="b">
        <x:v>0</x:v>
      </x:c>
      <x:c r="L1256" s="11" t="n">
        <x:v>0</x:v>
      </x:c>
      <x:c r="M1256" s="11" t="n">
        <x:v>5</x:v>
      </x:c>
      <x:c r="N1256" s="4"/>
      <x:c r="O1256" s="4"/>
      <x:c r="P1256" s="11" t="n">
        <x:v>0</x:v>
      </x:c>
      <x:c r="Q1256" s="11" t="n">
        <x:v>0</x:v>
      </x:c>
      <x:c r="R1256" s="11" t="str">
        <x:f>IF(OR(P1256="",Q1256=""),"",Q1256-P1256)</x:f>
      </x:c>
      <x:c r="S1256" s="13" t="str">
        <x:f>IF(OR(P1256="",Q1256="",P1256=0),"",((Q1256/30)/(P1256/31))-1)</x:f>
      </x:c>
      <x:c r="T1256" s="11" t="n">
        <x:v>299</x:v>
      </x:c>
      <x:c r="U1256" s="11" t="n">
        <x:v>80</x:v>
      </x:c>
      <x:c r="V1256" s="14" t="n">
        <x:v>0</x:v>
      </x:c>
      <x:c r="W1256" s="12" t="n">
        <x:v>7.2125</x:v>
      </x:c>
      <x:c r="X1256" s="11"/>
      <x:c r="Y1256" s="11"/>
      <x:c r="Z1256" s="4" t="str">
        <x:v>https://blog.skyairline.com/invierno-en-temuco/</x:v>
      </x:c>
      <x:c r="AA1256" s="4" t="str">
        <x:v>https://blog.skyairline.com/invierno-en-temuco/</x:v>
      </x:c>
      <x:c r="AB1256" s="4" t="str">
        <x:v>Coincidencia URL</x:v>
      </x:c>
      <x:c r="AC1256" s="4" t="str">
        <x:v>Publicado hasta septiembre</x:v>
      </x:c>
      <x:c r="AD1256" s="4"/>
      <x:c r="AE1256" s="4"/>
      <x:c r="AF1256" s="16" t="b">
        <x:v>0</x:v>
      </x:c>
    </x:row>
    <x:row r="1257" ht="44" customHeight="1">
      <x:c r="A1257" s="4" t="n">
        <x:v>3257</x:v>
      </x:c>
      <x:c r="B1257" s="4" t="str">
        <x:v>https://blog.skyairline.com/florianopolis/</x:v>
      </x:c>
      <x:c r="C1257" s="9" t="str">
        <x:v>Florianópolis, un lugar perfecto para practicar ecoturismo</x:v>
      </x:c>
      <x:c r="D1257" s="17" t="d">
        <x:v>2025-10-18T00:00:00.000Z</x:v>
      </x:c>
      <x:c r="E1257" s="17" t="d">
        <x:v>2026-01-12T00:00:00.000Z</x:v>
      </x:c>
      <x:c r="F1257" s="4" t="str">
        <x:v>Destinos</x:v>
      </x:c>
      <x:c r="G1257" s="11" t="n">
        <x:v>1205</x:v>
      </x:c>
      <x:c r="H1257" s="11" t="n">
        <x:v>200</x:v>
      </x:c>
      <x:c r="I1257" s="11" t="n">
        <x:v>1</x:v>
      </x:c>
      <x:c r="J1257" s="4" t="str">
        <x:v>https://blog.skyairline.com/florianopolis/</x:v>
      </x:c>
      <x:c r="K1257" s="16" t="b">
        <x:v>0</x:v>
      </x:c>
      <x:c r="L1257" s="11" t="n">
        <x:v>0</x:v>
      </x:c>
      <x:c r="M1257" s="11" t="n">
        <x:v>0</x:v>
      </x:c>
      <x:c r="N1257" s="4"/>
      <x:c r="O1257" s="4"/>
      <x:c r="P1257" s="11" t="n">
        <x:v>2</x:v>
      </x:c>
      <x:c r="Q1257" s="11" t="n">
        <x:v>0</x:v>
      </x:c>
      <x:c r="R1257" s="11" t="str">
        <x:f>IF(OR(P1257="",Q1257=""),"",Q1257-P1257)</x:f>
      </x:c>
      <x:c r="S1257" s="13" t="str">
        <x:f>IF(OR(P1257="",Q1257="",P1257=0),"",((Q1257/30)/(P1257/31))-1)</x:f>
      </x:c>
      <x:c r="T1257" s="11" t="n">
        <x:v>340</x:v>
      </x:c>
      <x:c r="U1257" s="11" t="n">
        <x:v>280</x:v>
      </x:c>
      <x:c r="V1257" s="14" t="n">
        <x:v>0</x:v>
      </x:c>
      <x:c r="W1257" s="12" t="n">
        <x:v>7.725</x:v>
      </x:c>
      <x:c r="X1257" s="11" t="n">
        <x:v>1</x:v>
      </x:c>
      <x:c r="Y1257" s="11" t="n">
        <x:v>1</x:v>
      </x:c>
      <x:c r="Z1257" s="4" t="str">
        <x:v>https://blog.skyairline.com/florianopolis/</x:v>
      </x:c>
      <x:c r="AA1257" s="4" t="str">
        <x:v>https://blog.skyairline.com/florianopolis/</x:v>
      </x:c>
      <x:c r="AB1257" s="4" t="str">
        <x:v>Coincidencia URL</x:v>
      </x:c>
      <x:c r="AC1257" s="4" t="str">
        <x:v>Publicado hasta septiembre</x:v>
      </x:c>
      <x:c r="AD1257" s="4" t="str">
        <x:v>/florianopolis/</x:v>
      </x:c>
      <x:c r="AE1257" s="4"/>
      <x:c r="AF1257" s="16" t="b">
        <x:v>0</x:v>
      </x:c>
    </x:row>
    <x:row r="1258" ht="44" customHeight="1">
      <x:c r="A1258" s="4" t="n">
        <x:v>3261</x:v>
      </x:c>
      <x:c r="B1258" s="4" t="str">
        <x:v>https://blog.skyairline.com/como-llegar-a-holbox/</x:v>
      </x:c>
      <x:c r="C1258" s="9" t="str">
        <x:v>¿Cómo llegar de Cancún a Holbox y por qué vale la pena esta aventura?</x:v>
      </x:c>
      <x:c r="D1258" s="17" t="d">
        <x:v>2023-08-21T00:00:00.000Z</x:v>
      </x:c>
      <x:c r="E1258" s="17" t="d">
        <x:v>2023-08-21T00:00:00.000Z</x:v>
      </x:c>
      <x:c r="F1258" s="4" t="str">
        <x:v>Destinos</x:v>
      </x:c>
      <x:c r="G1258" s="11" t="n">
        <x:v>1066</x:v>
      </x:c>
      <x:c r="H1258" s="11" t="n">
        <x:v>200</x:v>
      </x:c>
      <x:c r="I1258" s="11" t="n">
        <x:v>1</x:v>
      </x:c>
      <x:c r="J1258" s="4" t="str">
        <x:v>https://blog.skyairline.com/como-llegar-a-holbox/</x:v>
      </x:c>
      <x:c r="K1258" s="16" t="b">
        <x:v>0</x:v>
      </x:c>
      <x:c r="L1258" s="11" t="n">
        <x:v>0</x:v>
      </x:c>
      <x:c r="M1258" s="11" t="n">
        <x:v>3</x:v>
      </x:c>
      <x:c r="N1258" s="4"/>
      <x:c r="O1258" s="4"/>
      <x:c r="P1258" s="11" t="n">
        <x:v>0</x:v>
      </x:c>
      <x:c r="Q1258" s="11" t="n">
        <x:v>0</x:v>
      </x:c>
      <x:c r="R1258" s="11" t="str">
        <x:f>IF(OR(P1258="",Q1258=""),"",Q1258-P1258)</x:f>
      </x:c>
      <x:c r="S1258" s="13" t="str">
        <x:f>IF(OR(P1258="",Q1258="",P1258=0),"",((Q1258/30)/(P1258/31))-1)</x:f>
      </x:c>
      <x:c r="T1258" s="11" t="n">
        <x:v>311</x:v>
      </x:c>
      <x:c r="U1258" s="11" t="n">
        <x:v>190</x:v>
      </x:c>
      <x:c r="V1258" s="14" t="n">
        <x:v>0</x:v>
      </x:c>
      <x:c r="W1258" s="12" t="n">
        <x:v>18.42105263157895</x:v>
      </x:c>
      <x:c r="X1258" s="11"/>
      <x:c r="Y1258" s="11"/>
      <x:c r="Z1258" s="4" t="str">
        <x:v>https://blog.skyairline.com/como-llegar-a-holbox/</x:v>
      </x:c>
      <x:c r="AA1258" s="4" t="str">
        <x:v>https://blog.skyairline.com/como-llegar-a-holbox/</x:v>
      </x:c>
      <x:c r="AB1258" s="4" t="str">
        <x:v>Coincidencia URL</x:v>
      </x:c>
      <x:c r="AC1258" s="4" t="str">
        <x:v>Publicado hasta septiembre</x:v>
      </x:c>
      <x:c r="AD1258" s="4"/>
      <x:c r="AE1258" s="4"/>
      <x:c r="AF1258" s="16" t="b">
        <x:v>0</x:v>
      </x:c>
    </x:row>
    <x:row r="1259" ht="44" customHeight="1">
      <x:c r="A1259" s="4" t="n">
        <x:v>3270</x:v>
      </x:c>
      <x:c r="B1259" s="4" t="str">
        <x:v>https://blog.skyairline.com/restaurantes-en-cancun/</x:v>
      </x:c>
      <x:c r="C1259" s="9" t="str">
        <x:v>Restaurantes en Cancún: guía completa para disfrutar la mejor gastronomía</x:v>
      </x:c>
      <x:c r="D1259" s="17" t="d">
        <x:v>2024-11-24T00:00:00.000Z</x:v>
      </x:c>
      <x:c r="E1259" s="17" t="d">
        <x:v>2024-11-24T00:00:00.000Z</x:v>
      </x:c>
      <x:c r="F1259" s="4" t="str">
        <x:v>Cancún, Destinos</x:v>
      </x:c>
      <x:c r="G1259" s="11" t="n">
        <x:v>1980</x:v>
      </x:c>
      <x:c r="H1259" s="11" t="n">
        <x:v>200</x:v>
      </x:c>
      <x:c r="I1259" s="11" t="n">
        <x:v>1</x:v>
      </x:c>
      <x:c r="J1259" s="4" t="str">
        <x:v>https://blog.skyairline.com/restaurantes-en-cancun/</x:v>
      </x:c>
      <x:c r="K1259" s="16" t="b">
        <x:v>0</x:v>
      </x:c>
      <x:c r="L1259" s="11" t="n">
        <x:v>0</x:v>
      </x:c>
      <x:c r="M1259" s="11" t="n">
        <x:v>3</x:v>
      </x:c>
      <x:c r="N1259" s="4"/>
      <x:c r="O1259" s="4"/>
      <x:c r="P1259" s="11" t="n">
        <x:v>0</x:v>
      </x:c>
      <x:c r="Q1259" s="11" t="n">
        <x:v>0</x:v>
      </x:c>
      <x:c r="R1259" s="11" t="str">
        <x:f>IF(OR(P1259="",Q1259=""),"",Q1259-P1259)</x:f>
      </x:c>
      <x:c r="S1259" s="13" t="str">
        <x:f>IF(OR(P1259="",Q1259="",P1259=0),"",((Q1259/30)/(P1259/31))-1)</x:f>
      </x:c>
      <x:c r="T1259" s="11" t="n">
        <x:v>509</x:v>
      </x:c>
      <x:c r="U1259" s="11" t="n">
        <x:v>264</x:v>
      </x:c>
      <x:c r="V1259" s="14" t="n">
        <x:v>0</x:v>
      </x:c>
      <x:c r="W1259" s="12" t="n">
        <x:v>27.53409090909091</x:v>
      </x:c>
      <x:c r="X1259" s="11"/>
      <x:c r="Y1259" s="11"/>
      <x:c r="Z1259" s="4" t="str">
        <x:v>https://blog.skyairline.com/restaurantes-en-cancun/</x:v>
      </x:c>
      <x:c r="AA1259" s="4" t="str">
        <x:v>https://blog.skyairline.com/restaurantes-en-cancun/</x:v>
      </x:c>
      <x:c r="AB1259" s="4" t="str">
        <x:v>Coincidencia URL</x:v>
      </x:c>
      <x:c r="AC1259" s="4" t="str">
        <x:v>Publicado hasta septiembre</x:v>
      </x:c>
      <x:c r="AD1259" s="4"/>
      <x:c r="AE1259" s="4"/>
      <x:c r="AF1259" s="16" t="b">
        <x:v>0</x:v>
      </x:c>
    </x:row>
    <x:row r="1260" ht="44" customHeight="1">
      <x:c r="A1260" s="4" t="n">
        <x:v>3278</x:v>
      </x:c>
      <x:c r="B1260" s="4" t="str">
        <x:v>https://blog.skyairline.com/museos-en-sao-paulo/</x:v>
      </x:c>
      <x:c r="C1260" s="9" t="str">
        <x:v>Museos en São Paulo que no puedes perderte</x:v>
      </x:c>
      <x:c r="D1260" s="17" t="d">
        <x:v>2024-09-02T00:00:00.000Z</x:v>
      </x:c>
      <x:c r="E1260" s="17" t="d">
        <x:v>2024-09-02T00:00:00.000Z</x:v>
      </x:c>
      <x:c r="F1260" s="4" t="str">
        <x:v>Destinos</x:v>
      </x:c>
      <x:c r="G1260" s="11" t="n">
        <x:v>944</x:v>
      </x:c>
      <x:c r="H1260" s="11" t="n">
        <x:v>200</x:v>
      </x:c>
      <x:c r="I1260" s="11" t="n">
        <x:v>1</x:v>
      </x:c>
      <x:c r="J1260" s="4" t="str">
        <x:v>https://blog.skyairline.com/museos-en-sao-paulo/</x:v>
      </x:c>
      <x:c r="K1260" s="16" t="b">
        <x:v>0</x:v>
      </x:c>
      <x:c r="L1260" s="11" t="n">
        <x:v>0</x:v>
      </x:c>
      <x:c r="M1260" s="11" t="n">
        <x:v>3</x:v>
      </x:c>
      <x:c r="N1260" s="4"/>
      <x:c r="O1260" s="4"/>
      <x:c r="P1260" s="11" t="n">
        <x:v>0</x:v>
      </x:c>
      <x:c r="Q1260" s="11" t="n">
        <x:v>0</x:v>
      </x:c>
      <x:c r="R1260" s="11" t="str">
        <x:f>IF(OR(P1260="",Q1260=""),"",Q1260-P1260)</x:f>
      </x:c>
      <x:c r="S1260" s="13" t="str">
        <x:f>IF(OR(P1260="",Q1260="",P1260=0),"",((Q1260/30)/(P1260/31))-1)</x:f>
      </x:c>
      <x:c r="T1260" s="11" t="n">
        <x:v>44</x:v>
      </x:c>
      <x:c r="U1260" s="11" t="n">
        <x:v>20</x:v>
      </x:c>
      <x:c r="V1260" s="14" t="n">
        <x:v>0</x:v>
      </x:c>
      <x:c r="W1260" s="12" t="n">
        <x:v>12.35</x:v>
      </x:c>
      <x:c r="X1260" s="11"/>
      <x:c r="Y1260" s="11"/>
      <x:c r="Z1260" s="4" t="str">
        <x:v>https://blog.skyairline.com/museos-en-sao-paulo/</x:v>
      </x:c>
      <x:c r="AA1260" s="4" t="str">
        <x:v>https://blog.skyairline.com/museos-en-sao-paulo/</x:v>
      </x:c>
      <x:c r="AB1260" s="4" t="str">
        <x:v>Coincidencia URL</x:v>
      </x:c>
      <x:c r="AC1260" s="4" t="str">
        <x:v>Publicado hasta septiembre</x:v>
      </x:c>
      <x:c r="AD1260" s="4"/>
      <x:c r="AE1260" s="4"/>
      <x:c r="AF1260" s="16" t="b">
        <x:v>0</x:v>
      </x:c>
    </x:row>
    <x:row r="1261" ht="44" customHeight="1">
      <x:c r="A1261" s="4" t="n">
        <x:v>3286</x:v>
      </x:c>
      <x:c r="B1261" s="4" t="str">
        <x:v>https://blog.skyairline.com/viajar-en-fiestas-patrias/</x:v>
      </x:c>
      <x:c r="C1261" s="9" t="str">
        <x:v>Viajar en Fiestas Patrias: 4 consejos para aprovechar al máximo</x:v>
      </x:c>
      <x:c r="D1261" s="17" t="d">
        <x:v>2023-08-29T00:00:00.000Z</x:v>
      </x:c>
      <x:c r="E1261" s="17" t="d">
        <x:v>2023-08-29T00:00:00.000Z</x:v>
      </x:c>
      <x:c r="F1261" s="4" t="str">
        <x:v>Destinos</x:v>
      </x:c>
      <x:c r="G1261" s="11" t="n">
        <x:v>1035</x:v>
      </x:c>
      <x:c r="H1261" s="11" t="n">
        <x:v>200</x:v>
      </x:c>
      <x:c r="I1261" s="11" t="n">
        <x:v>1</x:v>
      </x:c>
      <x:c r="J1261" s="4" t="str">
        <x:v>https://blog.skyairline.com/viajar-en-fiestas-patrias/</x:v>
      </x:c>
      <x:c r="K1261" s="16" t="b">
        <x:v>0</x:v>
      </x:c>
      <x:c r="L1261" s="11" t="n">
        <x:v>0</x:v>
      </x:c>
      <x:c r="M1261" s="11" t="n">
        <x:v>5</x:v>
      </x:c>
      <x:c r="N1261" s="4"/>
      <x:c r="O1261" s="4"/>
      <x:c r="P1261" s="11" t="n">
        <x:v>0</x:v>
      </x:c>
      <x:c r="Q1261" s="11" t="n">
        <x:v>0</x:v>
      </x:c>
      <x:c r="R1261" s="11" t="str">
        <x:f>IF(OR(P1261="",Q1261=""),"",Q1261-P1261)</x:f>
      </x:c>
      <x:c r="S1261" s="13" t="str">
        <x:f>IF(OR(P1261="",Q1261="",P1261=0),"",((Q1261/30)/(P1261/31))-1)</x:f>
      </x:c>
      <x:c r="T1261" s="11" t="n">
        <x:v>7</x:v>
      </x:c>
      <x:c r="U1261" s="11" t="n">
        <x:v>19</x:v>
      </x:c>
      <x:c r="V1261" s="14" t="n">
        <x:v>0</x:v>
      </x:c>
      <x:c r="W1261" s="12" t="n">
        <x:v>8.105263157894736</x:v>
      </x:c>
      <x:c r="X1261" s="11"/>
      <x:c r="Y1261" s="11"/>
      <x:c r="Z1261" s="4" t="str">
        <x:v>https://blog.skyairline.com/viajar-en-fiestas-patrias/</x:v>
      </x:c>
      <x:c r="AA1261" s="4" t="str">
        <x:v>https://blog.skyairline.com/viajar-en-fiestas-patrias/</x:v>
      </x:c>
      <x:c r="AB1261" s="4" t="str">
        <x:v>Coincidencia URL</x:v>
      </x:c>
      <x:c r="AC1261" s="4" t="str">
        <x:v>Publicado hasta septiembre</x:v>
      </x:c>
      <x:c r="AD1261" s="4"/>
      <x:c r="AE1261" s="4"/>
      <x:c r="AF1261" s="16" t="b">
        <x:v>0</x:v>
      </x:c>
    </x:row>
    <x:row r="1262" ht="44" customHeight="1">
      <x:c r="A1262" s="4" t="n">
        <x:v>3303</x:v>
      </x:c>
      <x:c r="B1262" s="4" t="str">
        <x:v>https://blog.skyairline.com/viajar-en-epoca-de-invierno/</x:v>
      </x:c>
      <x:c r="C1262" s="9" t="str">
        <x:v>Ropa para el frío: cómo prepararte para viajar en época de invierno</x:v>
      </x:c>
      <x:c r="D1262" s="17" t="d">
        <x:v>2026-10-06T00:00:00.000Z</x:v>
      </x:c>
      <x:c r="E1262" s="17" t="d">
        <x:v>2026-09-22T00:00:00.000Z</x:v>
      </x:c>
      <x:c r="F1262" s="4" t="str">
        <x:v>Destinos</x:v>
      </x:c>
      <x:c r="G1262" s="11" t="n">
        <x:v>1157</x:v>
      </x:c>
      <x:c r="H1262" s="11" t="n">
        <x:v>200</x:v>
      </x:c>
      <x:c r="I1262" s="11" t="n">
        <x:v>1</x:v>
      </x:c>
      <x:c r="J1262" s="4" t="str">
        <x:v>https://blog.skyairline.com/viajar-en-epoca-de-invierno/</x:v>
      </x:c>
      <x:c r="K1262" s="16" t="b">
        <x:v>0</x:v>
      </x:c>
      <x:c r="L1262" s="11" t="n">
        <x:v>0</x:v>
      </x:c>
      <x:c r="M1262" s="11" t="n">
        <x:v>0</x:v>
      </x:c>
      <x:c r="N1262" s="4"/>
      <x:c r="O1262" s="4"/>
      <x:c r="P1262" s="11" t="n">
        <x:v>0</x:v>
      </x:c>
      <x:c r="Q1262" s="11" t="n">
        <x:v>0</x:v>
      </x:c>
      <x:c r="R1262" s="11" t="str">
        <x:f>IF(OR(P1262="",Q1262=""),"",Q1262-P1262)</x:f>
      </x:c>
      <x:c r="S1262" s="13" t="str">
        <x:f>IF(OR(P1262="",Q1262="",P1262=0),"",((Q1262/30)/(P1262/31))-1)</x:f>
      </x:c>
      <x:c r="T1262" s="11" t="n">
        <x:v>72</x:v>
      </x:c>
      <x:c r="U1262" s="11" t="n">
        <x:v>70</x:v>
      </x:c>
      <x:c r="V1262" s="14" t="n">
        <x:v>0</x:v>
      </x:c>
      <x:c r="W1262" s="12" t="n">
        <x:v>23</x:v>
      </x:c>
      <x:c r="X1262" s="11" t="n">
        <x:v>1</x:v>
      </x:c>
      <x:c r="Y1262" s="11" t="n">
        <x:v>1</x:v>
      </x:c>
      <x:c r="Z1262" s="4" t="str">
        <x:v>https://blog.skyairline.com/viajar-en-epoca-de-invierno/</x:v>
      </x:c>
      <x:c r="AA1262" s="4" t="str">
        <x:v>https://blog.skyairline.com/viajar-en-epoca-de-invierno/</x:v>
      </x:c>
      <x:c r="AB1262" s="4" t="str">
        <x:v>Coincidencia URL</x:v>
      </x:c>
      <x:c r="AC1262" s="4" t="str">
        <x:v>Publicado después del mes</x:v>
      </x:c>
      <x:c r="AD1262" s="4" t="str">
        <x:v>/viajar-en-epoca-de-invierno/</x:v>
      </x:c>
      <x:c r="AE1262" s="4"/>
      <x:c r="AF1262" s="16" t="b">
        <x:v>0</x:v>
      </x:c>
    </x:row>
    <x:row r="1263" ht="44" customHeight="1">
      <x:c r="A1263" s="4" t="n">
        <x:v>3318</x:v>
      </x:c>
      <x:c r="B1263" s="4" t="str">
        <x:v>https://blog.skyairline.com/parque-nahuelito-en-bariloche/</x:v>
      </x:c>
      <x:c r="C1263" s="9" t="str">
        <x:v>Parque Nahuelito en Bariloche: si te encantan los dinosaurios, ¡no te lo pierdas!</x:v>
      </x:c>
      <x:c r="D1263" s="17" t="d">
        <x:v>2024-04-11T00:00:00.000Z</x:v>
      </x:c>
      <x:c r="E1263" s="17" t="d">
        <x:v>2024-04-11T00:00:00.000Z</x:v>
      </x:c>
      <x:c r="F1263" s="4" t="str">
        <x:v>Bariloche, Destinos</x:v>
      </x:c>
      <x:c r="G1263" s="11" t="n">
        <x:v>1035</x:v>
      </x:c>
      <x:c r="H1263" s="11" t="n">
        <x:v>200</x:v>
      </x:c>
      <x:c r="I1263" s="11" t="n">
        <x:v>1</x:v>
      </x:c>
      <x:c r="J1263" s="4" t="str">
        <x:v>https://blog.skyairline.com/parque-nahuelito-en-bariloche/</x:v>
      </x:c>
      <x:c r="K1263" s="16" t="b">
        <x:v>0</x:v>
      </x:c>
      <x:c r="L1263" s="11" t="n">
        <x:v>0</x:v>
      </x:c>
      <x:c r="M1263" s="11" t="n">
        <x:v>5</x:v>
      </x:c>
      <x:c r="N1263" s="4"/>
      <x:c r="O1263" s="4" t="str">
        <x:v>C07</x:v>
      </x:c>
      <x:c r="P1263" s="11" t="n">
        <x:v>0</x:v>
      </x:c>
      <x:c r="Q1263" s="11" t="n">
        <x:v>0</x:v>
      </x:c>
      <x:c r="R1263" s="11" t="str">
        <x:f>IF(OR(P1263="",Q1263=""),"",Q1263-P1263)</x:f>
      </x:c>
      <x:c r="S1263" s="13" t="str">
        <x:f>IF(OR(P1263="",Q1263="",P1263=0),"",((Q1263/30)/(P1263/31))-1)</x:f>
      </x:c>
      <x:c r="T1263" s="11" t="n">
        <x:v>200</x:v>
      </x:c>
      <x:c r="U1263" s="11" t="n">
        <x:v>213</x:v>
      </x:c>
      <x:c r="V1263" s="14" t="n">
        <x:v>0</x:v>
      </x:c>
      <x:c r="W1263" s="12" t="n">
        <x:v>11.032863849765258</x:v>
      </x:c>
      <x:c r="X1263" s="11"/>
      <x:c r="Y1263" s="11"/>
      <x:c r="Z1263" s="4" t="str">
        <x:v>https://blog.skyairline.com/parque-nahuelito-en-bariloche/</x:v>
      </x:c>
      <x:c r="AA1263" s="4" t="str">
        <x:v>https://blog.skyairline.com/parque-nahuelito-en-bariloche/</x:v>
      </x:c>
      <x:c r="AB1263" s="4" t="str">
        <x:v>Coincidencia URL</x:v>
      </x:c>
      <x:c r="AC1263" s="4" t="str">
        <x:v>Publicado hasta septiembre</x:v>
      </x:c>
      <x:c r="AD1263" s="4"/>
      <x:c r="AE1263" s="4"/>
      <x:c r="AF1263" s="16" t="b">
        <x:v>1</x:v>
      </x:c>
    </x:row>
    <x:row r="1264" ht="44" customHeight="1">
      <x:c r="A1264" s="4" t="n">
        <x:v>3328</x:v>
      </x:c>
      <x:c r="B1264" s="4" t="str">
        <x:v>https://blog.skyairline.com/museu-do-futebol/</x:v>
      </x:c>
      <x:c r="C1264" s="9" t="str">
        <x:v>Museu do Futebol, un lugar icónico en Sao Paulo</x:v>
      </x:c>
      <x:c r="D1264" s="17" t="d">
        <x:v>2023-09-11T00:00:00.000Z</x:v>
      </x:c>
      <x:c r="E1264" s="17" t="d">
        <x:v>2023-09-11T00:00:00.000Z</x:v>
      </x:c>
      <x:c r="F1264" s="4" t="str">
        <x:v>Destinos</x:v>
      </x:c>
      <x:c r="G1264" s="11" t="n">
        <x:v>1102</x:v>
      </x:c>
      <x:c r="H1264" s="11" t="n">
        <x:v>200</x:v>
      </x:c>
      <x:c r="I1264" s="11" t="n">
        <x:v>1</x:v>
      </x:c>
      <x:c r="J1264" s="4" t="str">
        <x:v>https://blog.skyairline.com/museu-do-futebol/</x:v>
      </x:c>
      <x:c r="K1264" s="16" t="b">
        <x:v>0</x:v>
      </x:c>
      <x:c r="L1264" s="11" t="n">
        <x:v>0</x:v>
      </x:c>
      <x:c r="M1264" s="11" t="n">
        <x:v>4</x:v>
      </x:c>
      <x:c r="N1264" s="4"/>
      <x:c r="O1264" s="4"/>
      <x:c r="P1264" s="11" t="n">
        <x:v>1</x:v>
      </x:c>
      <x:c r="Q1264" s="11" t="n">
        <x:v>0</x:v>
      </x:c>
      <x:c r="R1264" s="11" t="str">
        <x:f>IF(OR(P1264="",Q1264=""),"",Q1264-P1264)</x:f>
      </x:c>
      <x:c r="S1264" s="13" t="str">
        <x:f>IF(OR(P1264="",Q1264="",P1264=0),"",((Q1264/30)/(P1264/31))-1)</x:f>
      </x:c>
      <x:c r="T1264" s="11" t="n">
        <x:v>96</x:v>
      </x:c>
      <x:c r="U1264" s="11" t="n">
        <x:v>52</x:v>
      </x:c>
      <x:c r="V1264" s="14" t="n">
        <x:v>0</x:v>
      </x:c>
      <x:c r="W1264" s="12" t="n">
        <x:v>9.961538461538462</x:v>
      </x:c>
      <x:c r="X1264" s="11"/>
      <x:c r="Y1264" s="11"/>
      <x:c r="Z1264" s="4" t="str">
        <x:v>https://blog.skyairline.com/museu-do-futebol/</x:v>
      </x:c>
      <x:c r="AA1264" s="4" t="str">
        <x:v>https://blog.skyairline.com/museu-do-futebol/</x:v>
      </x:c>
      <x:c r="AB1264" s="4" t="str">
        <x:v>Coincidencia URL</x:v>
      </x:c>
      <x:c r="AC1264" s="4" t="str">
        <x:v>Publicado hasta septiembre</x:v>
      </x:c>
      <x:c r="AD1264" s="4"/>
      <x:c r="AE1264" s="4"/>
      <x:c r="AF1264" s="16" t="b">
        <x:v>0</x:v>
      </x:c>
    </x:row>
    <x:row r="1265" ht="44" customHeight="1">
      <x:c r="A1265" s="4" t="n">
        <x:v>3332</x:v>
      </x:c>
      <x:c r="B1265" s="4" t="str">
        <x:v>https://blog.skyairline.com/concepcion/</x:v>
      </x:c>
      <x:c r="C1265" s="9" t="str">
        <x:v>Región del Biobío: Conoce las bellezas de Concepción</x:v>
      </x:c>
      <x:c r="D1265" s="17" t="d">
        <x:v>2025-12-05T00:00:00.000Z</x:v>
      </x:c>
      <x:c r="E1265" s="17" t="d">
        <x:v>2025-12-10T00:00:00.000Z</x:v>
      </x:c>
      <x:c r="F1265" s="4" t="str">
        <x:v>Destinos</x:v>
      </x:c>
      <x:c r="G1265" s="11" t="n">
        <x:v>1070</x:v>
      </x:c>
      <x:c r="H1265" s="11" t="n">
        <x:v>200</x:v>
      </x:c>
      <x:c r="I1265" s="11" t="n">
        <x:v>1</x:v>
      </x:c>
      <x:c r="J1265" s="4" t="str">
        <x:v>https://blog.skyairline.com/concepcion/</x:v>
      </x:c>
      <x:c r="K1265" s="16" t="b">
        <x:v>0</x:v>
      </x:c>
      <x:c r="L1265" s="11" t="n">
        <x:v>0</x:v>
      </x:c>
      <x:c r="M1265" s="11" t="n">
        <x:v>1</x:v>
      </x:c>
      <x:c r="N1265" s="4"/>
      <x:c r="O1265" s="4"/>
      <x:c r="P1265" s="11" t="n">
        <x:v>0</x:v>
      </x:c>
      <x:c r="Q1265" s="11" t="n">
        <x:v>0</x:v>
      </x:c>
      <x:c r="R1265" s="11" t="str">
        <x:f>IF(OR(P1265="",Q1265=""),"",Q1265-P1265)</x:f>
      </x:c>
      <x:c r="S1265" s="13" t="str">
        <x:f>IF(OR(P1265="",Q1265="",P1265=0),"",((Q1265/30)/(P1265/31))-1)</x:f>
      </x:c>
      <x:c r="T1265" s="11" t="n">
        <x:v>20</x:v>
      </x:c>
      <x:c r="U1265" s="11" t="n">
        <x:v>20</x:v>
      </x:c>
      <x:c r="V1265" s="14" t="n">
        <x:v>0</x:v>
      </x:c>
      <x:c r="W1265" s="12" t="n">
        <x:v>8.25</x:v>
      </x:c>
      <x:c r="X1265" s="11"/>
      <x:c r="Y1265" s="11"/>
      <x:c r="Z1265" s="4" t="str">
        <x:v>https://blog.skyairline.com/concepcion/</x:v>
      </x:c>
      <x:c r="AA1265" s="4" t="str">
        <x:v>https://blog.skyairline.com/concepcion/</x:v>
      </x:c>
      <x:c r="AB1265" s="4" t="str">
        <x:v>Coincidencia URL</x:v>
      </x:c>
      <x:c r="AC1265" s="4" t="str">
        <x:v>Publicado hasta septiembre</x:v>
      </x:c>
      <x:c r="AD1265" s="4"/>
      <x:c r="AE1265" s="4"/>
      <x:c r="AF1265" s="16" t="b">
        <x:v>0</x:v>
      </x:c>
    </x:row>
    <x:row r="1266" ht="44" customHeight="1">
      <x:c r="A1266" s="4" t="n">
        <x:v>3341</x:v>
      </x:c>
      <x:c r="B1266" s="4" t="str">
        <x:v>https://blog.skyairline.com/primer-lugar-en-del-premio-nacional-de-satisfaccion-de-clientes-procalidad-2023/</x:v>
      </x:c>
      <x:c r="C1266" s="9" t="str">
        <x:v>Obtuvimos el primer lugar en el sector Líneas Aéreas del Premio Nacional de Satisfacción de Clientes PROCALIDAD 2023</x:v>
      </x:c>
      <x:c r="D1266" s="17" t="d">
        <x:v>2023-08-10T00:00:00.000Z</x:v>
      </x:c>
      <x:c r="E1266" s="17" t="d">
        <x:v>2023-08-10T00:00:00.000Z</x:v>
      </x:c>
      <x:c r="F1266" s="4" t="str">
        <x:v>Noticias</x:v>
      </x:c>
      <x:c r="G1266" s="11" t="n">
        <x:v>410</x:v>
      </x:c>
      <x:c r="H1266" s="11" t="n">
        <x:v>200</x:v>
      </x:c>
      <x:c r="I1266" s="11" t="n">
        <x:v>1</x:v>
      </x:c>
      <x:c r="J1266" s="4" t="str">
        <x:v>https://blog.skyairline.com/primer-lugar-en-del-premio-nacional-de-satisfaccion-de-clientes-procalidad-2023/</x:v>
      </x:c>
      <x:c r="K1266" s="16" t="b">
        <x:v>0</x:v>
      </x:c>
      <x:c r="L1266" s="11" t="n">
        <x:v>0</x:v>
      </x:c>
      <x:c r="M1266" s="11" t="n">
        <x:v>0</x:v>
      </x:c>
      <x:c r="N1266" s="4"/>
      <x:c r="O1266" s="4"/>
      <x:c r="P1266" s="11" t="n">
        <x:v>0</x:v>
      </x:c>
      <x:c r="Q1266" s="11" t="n">
        <x:v>0</x:v>
      </x:c>
      <x:c r="R1266" s="11" t="str">
        <x:f>IF(OR(P1266="",Q1266=""),"",Q1266-P1266)</x:f>
      </x:c>
      <x:c r="S1266" s="13" t="str">
        <x:f>IF(OR(P1266="",Q1266="",P1266=0),"",((Q1266/30)/(P1266/31))-1)</x:f>
      </x:c>
      <x:c r="T1266" s="11" t="n">
        <x:v>21</x:v>
      </x:c>
      <x:c r="U1266" s="11" t="n">
        <x:v>13</x:v>
      </x:c>
      <x:c r="V1266" s="14" t="n">
        <x:v>0</x:v>
      </x:c>
      <x:c r="W1266" s="12" t="n">
        <x:v>6.538461538461538</x:v>
      </x:c>
      <x:c r="X1266" s="11"/>
      <x:c r="Y1266" s="11"/>
      <x:c r="Z1266" s="4" t="str">
        <x:v>https://blog.skyairline.com/primer-lugar-en-del-premio-nacional-de-satisfaccion-de-clientes-procalidad-2023/</x:v>
      </x:c>
      <x:c r="AA1266" s="4" t="str">
        <x:v>https://blog.skyairline.com/primer-lugar-en-del-premio-nacional-de-satisfaccion-de-clientes-procalidad-2023/</x:v>
      </x:c>
      <x:c r="AB1266" s="4" t="str">
        <x:v>Coincidencia URL</x:v>
      </x:c>
      <x:c r="AC1266" s="4" t="str">
        <x:v>Publicado hasta septiembre</x:v>
      </x:c>
      <x:c r="AD1266" s="4"/>
      <x:c r="AE1266" s="4"/>
      <x:c r="AF1266" s="16" t="b">
        <x:v>0</x:v>
      </x:c>
    </x:row>
    <x:row r="1267" ht="44" customHeight="1">
      <x:c r="A1267" s="4" t="n">
        <x:v>3350</x:v>
      </x:c>
      <x:c r="B1267" s="4" t="str">
        <x:v>https://blog.skyairline.com/cena-navidena-chilena/</x:v>
      </x:c>
      <x:c r="C1267" s="9" t="str">
        <x:v>Aspectos importantes de la cena navideña chilena que debes conocer</x:v>
      </x:c>
      <x:c r="D1267" s="17" t="d">
        <x:v>2023-09-13T00:00:00.000Z</x:v>
      </x:c>
      <x:c r="E1267" s="17" t="d">
        <x:v>2023-09-13T00:00:00.000Z</x:v>
      </x:c>
      <x:c r="F1267" s="4" t="str">
        <x:v>Destinos</x:v>
      </x:c>
      <x:c r="G1267" s="11" t="n">
        <x:v>1765</x:v>
      </x:c>
      <x:c r="H1267" s="11" t="n">
        <x:v>200</x:v>
      </x:c>
      <x:c r="I1267" s="11" t="n">
        <x:v>1</x:v>
      </x:c>
      <x:c r="J1267" s="4" t="str">
        <x:v>https://blog.skyairline.com/cena-navidena-chilena/</x:v>
      </x:c>
      <x:c r="K1267" s="16" t="b">
        <x:v>0</x:v>
      </x:c>
      <x:c r="L1267" s="11" t="n">
        <x:v>0</x:v>
      </x:c>
      <x:c r="M1267" s="11" t="n">
        <x:v>5</x:v>
      </x:c>
      <x:c r="N1267" s="4"/>
      <x:c r="O1267" s="4"/>
      <x:c r="P1267" s="11" t="n">
        <x:v>1</x:v>
      </x:c>
      <x:c r="Q1267" s="11" t="n">
        <x:v>0</x:v>
      </x:c>
      <x:c r="R1267" s="11" t="str">
        <x:f>IF(OR(P1267="",Q1267=""),"",Q1267-P1267)</x:f>
      </x:c>
      <x:c r="S1267" s="13" t="str">
        <x:f>IF(OR(P1267="",Q1267="",P1267=0),"",((Q1267/30)/(P1267/31))-1)</x:f>
      </x:c>
      <x:c r="T1267" s="11" t="n">
        <x:v>71</x:v>
      </x:c>
      <x:c r="U1267" s="11" t="n">
        <x:v>65</x:v>
      </x:c>
      <x:c r="V1267" s="14" t="n">
        <x:v>0</x:v>
      </x:c>
      <x:c r="W1267" s="12" t="n">
        <x:v>12.553846153846154</x:v>
      </x:c>
      <x:c r="X1267" s="11"/>
      <x:c r="Y1267" s="11"/>
      <x:c r="Z1267" s="4" t="str">
        <x:v>https://blog.skyairline.com/cena-navidena-chilena/</x:v>
      </x:c>
      <x:c r="AA1267" s="4" t="str">
        <x:v>https://blog.skyairline.com/cena-navidena-chilena/</x:v>
      </x:c>
      <x:c r="AB1267" s="4" t="str">
        <x:v>Coincidencia URL</x:v>
      </x:c>
      <x:c r="AC1267" s="4" t="str">
        <x:v>Publicado hasta septiembre</x:v>
      </x:c>
      <x:c r="AD1267" s="4"/>
      <x:c r="AE1267" s="4"/>
      <x:c r="AF1267" s="16" t="b">
        <x:v>0</x:v>
      </x:c>
    </x:row>
    <x:row r="1268" ht="44" customHeight="1">
      <x:c r="A1268" s="4" t="n">
        <x:v>3357</x:v>
      </x:c>
      <x:c r="B1268" s="4" t="str">
        <x:v>https://blog.skyairline.com/festivos-por-fiestas-patrias/</x:v>
      </x:c>
      <x:c r="C1268" s="9" t="str">
        <x:v>Festivos por Fiestas Patrias 2023: ¿qué días son y a dónde volar con nosotros?</x:v>
      </x:c>
      <x:c r="D1268" s="17" t="d">
        <x:v>2023-09-15T00:00:00.000Z</x:v>
      </x:c>
      <x:c r="E1268" s="17" t="d">
        <x:v>2023-09-15T00:00:00.000Z</x:v>
      </x:c>
      <x:c r="F1268" s="4" t="str">
        <x:v>Destinos</x:v>
      </x:c>
      <x:c r="G1268" s="11" t="n">
        <x:v>1075</x:v>
      </x:c>
      <x:c r="H1268" s="11" t="n">
        <x:v>200</x:v>
      </x:c>
      <x:c r="I1268" s="11" t="n">
        <x:v>1</x:v>
      </x:c>
      <x:c r="J1268" s="4" t="str">
        <x:v>https://blog.skyairline.com/festivos-por-fiestas-patrias/</x:v>
      </x:c>
      <x:c r="K1268" s="16" t="b">
        <x:v>0</x:v>
      </x:c>
      <x:c r="L1268" s="11" t="n">
        <x:v>0</x:v>
      </x:c>
      <x:c r="M1268" s="11" t="n">
        <x:v>6</x:v>
      </x:c>
      <x:c r="N1268" s="4"/>
      <x:c r="O1268" s="4"/>
      <x:c r="P1268" s="11" t="n">
        <x:v>0</x:v>
      </x:c>
      <x:c r="Q1268" s="11" t="n">
        <x:v>0</x:v>
      </x:c>
      <x:c r="R1268" s="11" t="str">
        <x:f>IF(OR(P1268="",Q1268=""),"",Q1268-P1268)</x:f>
      </x:c>
      <x:c r="S1268" s="13" t="str">
        <x:f>IF(OR(P1268="",Q1268="",P1268=0),"",((Q1268/30)/(P1268/31))-1)</x:f>
      </x:c>
      <x:c r="T1268" s="11" t="n">
        <x:v>5</x:v>
      </x:c>
      <x:c r="U1268" s="11" t="n">
        <x:v>2</x:v>
      </x:c>
      <x:c r="V1268" s="14" t="n">
        <x:v>0</x:v>
      </x:c>
      <x:c r="W1268" s="12" t="n">
        <x:v>14</x:v>
      </x:c>
      <x:c r="X1268" s="11"/>
      <x:c r="Y1268" s="11"/>
      <x:c r="Z1268" s="4" t="str">
        <x:v>https://blog.skyairline.com/festivos-por-fiestas-patrias/</x:v>
      </x:c>
      <x:c r="AA1268" s="4" t="str">
        <x:v>https://blog.skyairline.com/festivos-por-fiestas-patrias/</x:v>
      </x:c>
      <x:c r="AB1268" s="4" t="str">
        <x:v>Coincidencia URL</x:v>
      </x:c>
      <x:c r="AC1268" s="4" t="str">
        <x:v>Publicado hasta septiembre</x:v>
      </x:c>
      <x:c r="AD1268" s="4"/>
      <x:c r="AE1268" s="4"/>
      <x:c r="AF1268" s="16" t="b">
        <x:v>0</x:v>
      </x:c>
    </x:row>
    <x:row r="1269" ht="44" customHeight="1">
      <x:c r="A1269" s="4" t="n">
        <x:v>3361</x:v>
      </x:c>
      <x:c r="B1269" s="4" t="str">
        <x:v>https://blog.skyairline.com/ruta-del-vino-en-invierno/</x:v>
      </x:c>
      <x:c r="C1269" s="9" t="str">
        <x:v>Ruta del vino en Mendoza: ¿se puede ir en invierno?</x:v>
      </x:c>
      <x:c r="D1269" s="17" t="d">
        <x:v>2023-09-18T00:00:00.000Z</x:v>
      </x:c>
      <x:c r="E1269" s="17" t="d">
        <x:v>2023-09-18T00:00:00.000Z</x:v>
      </x:c>
      <x:c r="F1269" s="4" t="str">
        <x:v>Destinos</x:v>
      </x:c>
      <x:c r="G1269" s="11" t="n">
        <x:v>1192</x:v>
      </x:c>
      <x:c r="H1269" s="11" t="n">
        <x:v>200</x:v>
      </x:c>
      <x:c r="I1269" s="11" t="n">
        <x:v>1</x:v>
      </x:c>
      <x:c r="J1269" s="4" t="str">
        <x:v>https://blog.skyairline.com/ruta-del-vino-en-invierno/</x:v>
      </x:c>
      <x:c r="K1269" s="16" t="b">
        <x:v>0</x:v>
      </x:c>
      <x:c r="L1269" s="11" t="n">
        <x:v>0</x:v>
      </x:c>
      <x:c r="M1269" s="11" t="n">
        <x:v>4</x:v>
      </x:c>
      <x:c r="N1269" s="4"/>
      <x:c r="O1269" s="4"/>
      <x:c r="P1269" s="11" t="n">
        <x:v>0</x:v>
      </x:c>
      <x:c r="Q1269" s="11" t="n">
        <x:v>0</x:v>
      </x:c>
      <x:c r="R1269" s="11" t="str">
        <x:f>IF(OR(P1269="",Q1269=""),"",Q1269-P1269)</x:f>
      </x:c>
      <x:c r="S1269" s="13" t="str">
        <x:f>IF(OR(P1269="",Q1269="",P1269=0),"",((Q1269/30)/(P1269/31))-1)</x:f>
      </x:c>
      <x:c r="T1269" s="11" t="n">
        <x:v>53</x:v>
      </x:c>
      <x:c r="U1269" s="11" t="n">
        <x:v>22</x:v>
      </x:c>
      <x:c r="V1269" s="14" t="n">
        <x:v>0</x:v>
      </x:c>
      <x:c r="W1269" s="12" t="n">
        <x:v>17.40909090909091</x:v>
      </x:c>
      <x:c r="X1269" s="11"/>
      <x:c r="Y1269" s="11"/>
      <x:c r="Z1269" s="4" t="str">
        <x:v>https://blog.skyairline.com/ruta-del-vino-en-invierno/</x:v>
      </x:c>
      <x:c r="AA1269" s="4" t="str">
        <x:v>https://blog.skyairline.com/ruta-del-vino-en-invierno/</x:v>
      </x:c>
      <x:c r="AB1269" s="4" t="str">
        <x:v>Coincidencia URL</x:v>
      </x:c>
      <x:c r="AC1269" s="4" t="str">
        <x:v>Publicado hasta septiembre</x:v>
      </x:c>
      <x:c r="AD1269" s="4"/>
      <x:c r="AE1269" s="4"/>
      <x:c r="AF1269" s="16" t="b">
        <x:v>0</x:v>
      </x:c>
    </x:row>
    <x:row r="1270" ht="44" customHeight="1">
      <x:c r="A1270" s="4" t="n">
        <x:v>3369</x:v>
      </x:c>
      <x:c r="B1270" s="4" t="str">
        <x:v>https://blog.skyairline.com/coco-bongo-punta-cana/</x:v>
      </x:c>
      <x:c r="C1270" s="9" t="str">
        <x:v>Coco Bongo Punta Cana y otros lugares nocturnos en la perla del Caribe dominicano</x:v>
      </x:c>
      <x:c r="D1270" s="17" t="d">
        <x:v>2023-09-20T00:00:00.000Z</x:v>
      </x:c>
      <x:c r="E1270" s="17" t="d">
        <x:v>2023-09-20T00:00:00.000Z</x:v>
      </x:c>
      <x:c r="F1270" s="4" t="str">
        <x:v>Destinos</x:v>
      </x:c>
      <x:c r="G1270" s="11" t="n">
        <x:v>1008</x:v>
      </x:c>
      <x:c r="H1270" s="11" t="n">
        <x:v>200</x:v>
      </x:c>
      <x:c r="I1270" s="11" t="n">
        <x:v>1</x:v>
      </x:c>
      <x:c r="J1270" s="4" t="str">
        <x:v>https://blog.skyairline.com/coco-bongo-punta-cana/</x:v>
      </x:c>
      <x:c r="K1270" s="16" t="b">
        <x:v>0</x:v>
      </x:c>
      <x:c r="L1270" s="11" t="n">
        <x:v>0</x:v>
      </x:c>
      <x:c r="M1270" s="11" t="n">
        <x:v>4</x:v>
      </x:c>
      <x:c r="N1270" s="4"/>
      <x:c r="O1270" s="4"/>
      <x:c r="P1270" s="11" t="n">
        <x:v>0</x:v>
      </x:c>
      <x:c r="Q1270" s="11" t="n">
        <x:v>0</x:v>
      </x:c>
      <x:c r="R1270" s="11" t="str">
        <x:f>IF(OR(P1270="",Q1270=""),"",Q1270-P1270)</x:f>
      </x:c>
      <x:c r="S1270" s="13" t="str">
        <x:f>IF(OR(P1270="",Q1270="",P1270=0),"",((Q1270/30)/(P1270/31))-1)</x:f>
      </x:c>
      <x:c r="T1270" s="11" t="n">
        <x:v>377</x:v>
      </x:c>
      <x:c r="U1270" s="11" t="n">
        <x:v>207</x:v>
      </x:c>
      <x:c r="V1270" s="14" t="n">
        <x:v>0</x:v>
      </x:c>
      <x:c r="W1270" s="12" t="n">
        <x:v>10.193236714975846</x:v>
      </x:c>
      <x:c r="X1270" s="11"/>
      <x:c r="Y1270" s="11"/>
      <x:c r="Z1270" s="4" t="str">
        <x:v>https://blog.skyairline.com/coco-bongo-punta-cana/</x:v>
      </x:c>
      <x:c r="AA1270" s="4" t="str">
        <x:v>https://blog.skyairline.com/coco-bongo-punta-cana/</x:v>
      </x:c>
      <x:c r="AB1270" s="4" t="str">
        <x:v>Coincidencia URL</x:v>
      </x:c>
      <x:c r="AC1270" s="4" t="str">
        <x:v>Publicado hasta septiembre</x:v>
      </x:c>
      <x:c r="AD1270" s="4"/>
      <x:c r="AE1270" s="4"/>
      <x:c r="AF1270" s="16" t="b">
        <x:v>0</x:v>
      </x:c>
    </x:row>
    <x:row r="1271" ht="44" customHeight="1">
      <x:c r="A1271" s="4" t="n">
        <x:v>3373</x:v>
      </x:c>
      <x:c r="B1271" s="4" t="str">
        <x:v>https://blog.skyairline.com/que-comer-en-punta-cana/</x:v>
      </x:c>
      <x:c r="C1271" s="9" t="str">
        <x:v>Qué comer en Punta Cana: checklist de platos y restaurantes imperdibles</x:v>
      </x:c>
      <x:c r="D1271" s="17" t="d">
        <x:v>2023-09-21T00:00:00.000Z</x:v>
      </x:c>
      <x:c r="E1271" s="17" t="d">
        <x:v>2023-09-21T00:00:00.000Z</x:v>
      </x:c>
      <x:c r="F1271" s="4" t="str">
        <x:v>Destinos</x:v>
      </x:c>
      <x:c r="G1271" s="11" t="n">
        <x:v>1084</x:v>
      </x:c>
      <x:c r="H1271" s="11" t="n">
        <x:v>200</x:v>
      </x:c>
      <x:c r="I1271" s="11" t="n">
        <x:v>1</x:v>
      </x:c>
      <x:c r="J1271" s="4" t="str">
        <x:v>https://blog.skyairline.com/que-comer-en-punta-cana/</x:v>
      </x:c>
      <x:c r="K1271" s="16" t="b">
        <x:v>0</x:v>
      </x:c>
      <x:c r="L1271" s="11" t="n">
        <x:v>0</x:v>
      </x:c>
      <x:c r="M1271" s="11" t="n">
        <x:v>5</x:v>
      </x:c>
      <x:c r="N1271" s="4"/>
      <x:c r="O1271" s="4"/>
      <x:c r="P1271" s="11" t="n">
        <x:v>0</x:v>
      </x:c>
      <x:c r="Q1271" s="11" t="n">
        <x:v>0</x:v>
      </x:c>
      <x:c r="R1271" s="11" t="str">
        <x:f>IF(OR(P1271="",Q1271=""),"",Q1271-P1271)</x:f>
      </x:c>
      <x:c r="S1271" s="13" t="str">
        <x:f>IF(OR(P1271="",Q1271="",P1271=0),"",((Q1271/30)/(P1271/31))-1)</x:f>
      </x:c>
      <x:c r="T1271" s="11" t="n">
        <x:v>187</x:v>
      </x:c>
      <x:c r="U1271" s="11" t="n">
        <x:v>121</x:v>
      </x:c>
      <x:c r="V1271" s="14" t="n">
        <x:v>0</x:v>
      </x:c>
      <x:c r="W1271" s="12" t="n">
        <x:v>14.636363636363637</x:v>
      </x:c>
      <x:c r="X1271" s="11"/>
      <x:c r="Y1271" s="11"/>
      <x:c r="Z1271" s="4" t="str">
        <x:v>https://blog.skyairline.com/que-comer-en-punta-cana/</x:v>
      </x:c>
      <x:c r="AA1271" s="4" t="str">
        <x:v>https://blog.skyairline.com/que-comer-en-punta-cana/</x:v>
      </x:c>
      <x:c r="AB1271" s="4" t="str">
        <x:v>Coincidencia URL</x:v>
      </x:c>
      <x:c r="AC1271" s="4" t="str">
        <x:v>Publicado hasta septiembre</x:v>
      </x:c>
      <x:c r="AD1271" s="4"/>
      <x:c r="AE1271" s="4"/>
      <x:c r="AF1271" s="16" t="b">
        <x:v>0</x:v>
      </x:c>
    </x:row>
    <x:row r="1272" ht="44" customHeight="1">
      <x:c r="A1272" s="4" t="n">
        <x:v>3404</x:v>
      </x:c>
      <x:c r="B1272" s="4" t="str">
        <x:v>https://blog.skyairline.com/chichen-itza/</x:v>
      </x:c>
      <x:c r="C1272" s="9" t="str">
        <x:v>Chichén Itzá: descubriendo este sitio arqueológico cerca de Cancún</x:v>
      </x:c>
      <x:c r="D1272" s="17" t="d">
        <x:v>2025-06-12T00:00:00.000Z</x:v>
      </x:c>
      <x:c r="E1272" s="17" t="d">
        <x:v>2025-12-19T00:00:00.000Z</x:v>
      </x:c>
      <x:c r="F1272" s="4" t="str">
        <x:v>Destinos</x:v>
      </x:c>
      <x:c r="G1272" s="11" t="n">
        <x:v>1264</x:v>
      </x:c>
      <x:c r="H1272" s="11" t="n">
        <x:v>200</x:v>
      </x:c>
      <x:c r="I1272" s="11" t="n">
        <x:v>1</x:v>
      </x:c>
      <x:c r="J1272" s="4" t="str">
        <x:v>https://blog.skyairline.com/chichen-itza/</x:v>
      </x:c>
      <x:c r="K1272" s="16" t="b">
        <x:v>0</x:v>
      </x:c>
      <x:c r="L1272" s="11" t="n">
        <x:v>0</x:v>
      </x:c>
      <x:c r="M1272" s="11" t="n">
        <x:v>4</x:v>
      </x:c>
      <x:c r="N1272" s="4"/>
      <x:c r="O1272" s="4"/>
      <x:c r="P1272" s="11" t="n">
        <x:v>0</x:v>
      </x:c>
      <x:c r="Q1272" s="11" t="n">
        <x:v>0</x:v>
      </x:c>
      <x:c r="R1272" s="11" t="str">
        <x:f>IF(OR(P1272="",Q1272=""),"",Q1272-P1272)</x:f>
      </x:c>
      <x:c r="S1272" s="13" t="str">
        <x:f>IF(OR(P1272="",Q1272="",P1272=0),"",((Q1272/30)/(P1272/31))-1)</x:f>
      </x:c>
      <x:c r="T1272" s="11" t="n">
        <x:v>553</x:v>
      </x:c>
      <x:c r="U1272" s="11" t="n">
        <x:v>292</x:v>
      </x:c>
      <x:c r="V1272" s="14" t="n">
        <x:v>0</x:v>
      </x:c>
      <x:c r="W1272" s="12" t="n">
        <x:v>25.126712328767123</x:v>
      </x:c>
      <x:c r="X1272" s="11"/>
      <x:c r="Y1272" s="11"/>
      <x:c r="Z1272" s="4" t="str">
        <x:v>https://blog.skyairline.com/chichen-itza/</x:v>
      </x:c>
      <x:c r="AA1272" s="4" t="str">
        <x:v>https://blog.skyairline.com/chichen-itza/</x:v>
      </x:c>
      <x:c r="AB1272" s="4" t="str">
        <x:v>Coincidencia URL</x:v>
      </x:c>
      <x:c r="AC1272" s="4" t="str">
        <x:v>Publicado hasta septiembre</x:v>
      </x:c>
      <x:c r="AD1272" s="4"/>
      <x:c r="AE1272" s="4"/>
      <x:c r="AF1272" s="16" t="b">
        <x:v>0</x:v>
      </x:c>
    </x:row>
    <x:row r="1273" ht="44" customHeight="1">
      <x:c r="A1273" s="4" t="n">
        <x:v>3408</x:v>
      </x:c>
      <x:c r="B1273" s="4" t="str">
        <x:v>https://blog.skyairline.com/mi-primer-viaje-al-extranjero/</x:v>
      </x:c>
      <x:c r="C1273" s="9" t="str">
        <x:v>6 errores que debes evitar en tu primer viaje al extranjero</x:v>
      </x:c>
      <x:c r="D1273" s="17" t="d">
        <x:v>2023-10-02T00:00:00.000Z</x:v>
      </x:c>
      <x:c r="E1273" s="17" t="d">
        <x:v>2023-10-02T00:00:00.000Z</x:v>
      </x:c>
      <x:c r="F1273" s="4" t="str">
        <x:v>Destinos</x:v>
      </x:c>
      <x:c r="G1273" s="11" t="n">
        <x:v>1047</x:v>
      </x:c>
      <x:c r="H1273" s="11" t="n">
        <x:v>200</x:v>
      </x:c>
      <x:c r="I1273" s="11" t="n">
        <x:v>1</x:v>
      </x:c>
      <x:c r="J1273" s="4" t="str">
        <x:v>https://blog.skyairline.com/mi-primer-viaje-al-extranjero/</x:v>
      </x:c>
      <x:c r="K1273" s="16" t="b">
        <x:v>0</x:v>
      </x:c>
      <x:c r="L1273" s="11" t="n">
        <x:v>0</x:v>
      </x:c>
      <x:c r="M1273" s="11" t="n">
        <x:v>8</x:v>
      </x:c>
      <x:c r="N1273" s="4"/>
      <x:c r="O1273" s="4"/>
      <x:c r="P1273" s="11" t="n">
        <x:v>0</x:v>
      </x:c>
      <x:c r="Q1273" s="11" t="n">
        <x:v>0</x:v>
      </x:c>
      <x:c r="R1273" s="11" t="str">
        <x:f>IF(OR(P1273="",Q1273=""),"",Q1273-P1273)</x:f>
      </x:c>
      <x:c r="S1273" s="13" t="str">
        <x:f>IF(OR(P1273="",Q1273="",P1273=0),"",((Q1273/30)/(P1273/31))-1)</x:f>
      </x:c>
      <x:c r="T1273" s="11" t="n">
        <x:v>106</x:v>
      </x:c>
      <x:c r="U1273" s="11" t="n">
        <x:v>61</x:v>
      </x:c>
      <x:c r="V1273" s="14" t="n">
        <x:v>0</x:v>
      </x:c>
      <x:c r="W1273" s="12" t="n">
        <x:v>11.21311475409836</x:v>
      </x:c>
      <x:c r="X1273" s="11" t="n">
        <x:v>1</x:v>
      </x:c>
      <x:c r="Y1273" s="11" t="n">
        <x:v>1</x:v>
      </x:c>
      <x:c r="Z1273" s="4" t="str">
        <x:v>https://blog.skyairline.com/mi-primer-viaje-al-extranjero/</x:v>
      </x:c>
      <x:c r="AA1273" s="4" t="str">
        <x:v>https://blog.skyairline.com/mi-primer-viaje-al-extranjero/</x:v>
      </x:c>
      <x:c r="AB1273" s="4" t="str">
        <x:v>Coincidencia URL</x:v>
      </x:c>
      <x:c r="AC1273" s="4" t="str">
        <x:v>Publicado hasta septiembre</x:v>
      </x:c>
      <x:c r="AD1273" s="4" t="str">
        <x:v>/mi-primer-viaje-al-extranjero/</x:v>
      </x:c>
      <x:c r="AE1273" s="4"/>
      <x:c r="AF1273" s="16" t="b">
        <x:v>0</x:v>
      </x:c>
    </x:row>
    <x:row r="1274" ht="44" customHeight="1">
      <x:c r="A1274" s="4" t="n">
        <x:v>3416</x:v>
      </x:c>
      <x:c r="B1274" s="4" t="str">
        <x:v>https://blog.skyairline.com/bavaro-punta-cana/</x:v>
      </x:c>
      <x:c r="C1274" s="9" t="str">
        <x:v>Bávaro Punta Cana: ¿por qué es una excelente zona para alojarte?</x:v>
      </x:c>
      <x:c r="D1274" s="17" t="d">
        <x:v>2023-10-03T00:00:00.000Z</x:v>
      </x:c>
      <x:c r="E1274" s="17" t="d">
        <x:v>2023-10-03T00:00:00.000Z</x:v>
      </x:c>
      <x:c r="F1274" s="4" t="str">
        <x:v>Destinos</x:v>
      </x:c>
      <x:c r="G1274" s="11" t="n">
        <x:v>1144</x:v>
      </x:c>
      <x:c r="H1274" s="11" t="n">
        <x:v>200</x:v>
      </x:c>
      <x:c r="I1274" s="11" t="n">
        <x:v>1</x:v>
      </x:c>
      <x:c r="J1274" s="4" t="str">
        <x:v>https://blog.skyairline.com/bavaro-punta-cana/</x:v>
      </x:c>
      <x:c r="K1274" s="16" t="b">
        <x:v>0</x:v>
      </x:c>
      <x:c r="L1274" s="11" t="n">
        <x:v>0</x:v>
      </x:c>
      <x:c r="M1274" s="11" t="n">
        <x:v>4</x:v>
      </x:c>
      <x:c r="N1274" s="4"/>
      <x:c r="O1274" s="4"/>
      <x:c r="P1274" s="11" t="n">
        <x:v>2</x:v>
      </x:c>
      <x:c r="Q1274" s="11" t="n">
        <x:v>0</x:v>
      </x:c>
      <x:c r="R1274" s="11" t="str">
        <x:f>IF(OR(P1274="",Q1274=""),"",Q1274-P1274)</x:f>
      </x:c>
      <x:c r="S1274" s="13" t="str">
        <x:f>IF(OR(P1274="",Q1274="",P1274=0),"",((Q1274/30)/(P1274/31))-1)</x:f>
      </x:c>
      <x:c r="T1274" s="11" t="n">
        <x:v>523</x:v>
      </x:c>
      <x:c r="U1274" s="11" t="n">
        <x:v>418</x:v>
      </x:c>
      <x:c r="V1274" s="14" t="n">
        <x:v>0</x:v>
      </x:c>
      <x:c r="W1274" s="12" t="n">
        <x:v>14.11244019138756</x:v>
      </x:c>
      <x:c r="X1274" s="11"/>
      <x:c r="Y1274" s="11"/>
      <x:c r="Z1274" s="4" t="str">
        <x:v>https://blog.skyairline.com/bavaro-punta-cana/</x:v>
      </x:c>
      <x:c r="AA1274" s="4" t="str">
        <x:v>https://blog.skyairline.com/bavaro-punta-cana/</x:v>
      </x:c>
      <x:c r="AB1274" s="4" t="str">
        <x:v>Coincidencia URL</x:v>
      </x:c>
      <x:c r="AC1274" s="4" t="str">
        <x:v>Publicado hasta septiembre</x:v>
      </x:c>
      <x:c r="AD1274" s="4"/>
      <x:c r="AE1274" s="4"/>
      <x:c r="AF1274" s="16" t="b">
        <x:v>0</x:v>
      </x:c>
    </x:row>
    <x:row r="1275" ht="44" customHeight="1">
      <x:c r="A1275" s="4" t="n">
        <x:v>3424</x:v>
      </x:c>
      <x:c r="B1275" s="4" t="str">
        <x:v>https://blog.skyairline.com/rio-de-janeiro/</x:v>
      </x:c>
      <x:c r="C1275" s="9" t="str">
        <x:v>Qué hacer en Río de Janeiro: playas, miradores y paseos imperdibles</x:v>
      </x:c>
      <x:c r="D1275" s="17" t="d">
        <x:v>2025-12-06T00:00:00.000Z</x:v>
      </x:c>
      <x:c r="E1275" s="17" t="d">
        <x:v>2026-01-19T00:00:00.000Z</x:v>
      </x:c>
      <x:c r="F1275" s="4" t="str">
        <x:v>Destinos</x:v>
      </x:c>
      <x:c r="G1275" s="11" t="n">
        <x:v>1093</x:v>
      </x:c>
      <x:c r="H1275" s="11" t="n">
        <x:v>200</x:v>
      </x:c>
      <x:c r="I1275" s="11" t="n">
        <x:v>1</x:v>
      </x:c>
      <x:c r="J1275" s="4" t="str">
        <x:v>https://blog.skyairline.com/rio-de-janeiro/</x:v>
      </x:c>
      <x:c r="K1275" s="16" t="b">
        <x:v>0</x:v>
      </x:c>
      <x:c r="L1275" s="11" t="n">
        <x:v>0</x:v>
      </x:c>
      <x:c r="M1275" s="11" t="n">
        <x:v>0</x:v>
      </x:c>
      <x:c r="N1275" s="4"/>
      <x:c r="O1275" s="4"/>
      <x:c r="P1275" s="11" t="n">
        <x:v>0</x:v>
      </x:c>
      <x:c r="Q1275" s="11" t="n">
        <x:v>0</x:v>
      </x:c>
      <x:c r="R1275" s="11" t="str">
        <x:f>IF(OR(P1275="",Q1275=""),"",Q1275-P1275)</x:f>
      </x:c>
      <x:c r="S1275" s="13" t="str">
        <x:f>IF(OR(P1275="",Q1275="",P1275=0),"",((Q1275/30)/(P1275/31))-1)</x:f>
      </x:c>
      <x:c r="T1275" s="11" t="n">
        <x:v>516</x:v>
      </x:c>
      <x:c r="U1275" s="11" t="n">
        <x:v>312</x:v>
      </x:c>
      <x:c r="V1275" s="14" t="n">
        <x:v>0</x:v>
      </x:c>
      <x:c r="W1275" s="12" t="n">
        <x:v>48.89102564102564</x:v>
      </x:c>
      <x:c r="X1275" s="11" t="n">
        <x:v>1</x:v>
      </x:c>
      <x:c r="Y1275" s="11" t="n">
        <x:v>1</x:v>
      </x:c>
      <x:c r="Z1275" s="4" t="str">
        <x:v>https://blog.skyairline.com/rio-de-janeiro/</x:v>
      </x:c>
      <x:c r="AA1275" s="4" t="str">
        <x:v>https://blog.skyairline.com/rio-de-janeiro/</x:v>
      </x:c>
      <x:c r="AB1275" s="4" t="str">
        <x:v>Coincidencia URL</x:v>
      </x:c>
      <x:c r="AC1275" s="4" t="str">
        <x:v>Publicado hasta septiembre</x:v>
      </x:c>
      <x:c r="AD1275" s="4" t="str">
        <x:v>/rio-de-janeiro/</x:v>
      </x:c>
      <x:c r="AE1275" s="4"/>
      <x:c r="AF1275" s="16" t="b">
        <x:v>0</x:v>
      </x:c>
    </x:row>
    <x:row r="1276" ht="44" customHeight="1">
      <x:c r="A1276" s="4" t="n">
        <x:v>3427</x:v>
      </x:c>
      <x:c r="B1276" s="4" t="str">
        <x:v>https://blog.skyairline.com/que-hacer-salvador-bahia/</x:v>
      </x:c>
      <x:c r="C1276" s="9" t="str">
        <x:v>Qué hacer en Salvador de Bahía: cultura, playas y barrios para enamorarte de la ciudad</x:v>
      </x:c>
      <x:c r="D1276" s="17" t="d">
        <x:v>2026-03-03T00:00:00.000Z</x:v>
      </x:c>
      <x:c r="E1276" s="17" t="d">
        <x:v>2026-03-02T00:00:00.000Z</x:v>
      </x:c>
      <x:c r="F1276" s="4" t="str">
        <x:v>Destinos</x:v>
      </x:c>
      <x:c r="G1276" s="11" t="n">
        <x:v>990</x:v>
      </x:c>
      <x:c r="H1276" s="11" t="n">
        <x:v>200</x:v>
      </x:c>
      <x:c r="I1276" s="11" t="n">
        <x:v>1</x:v>
      </x:c>
      <x:c r="J1276" s="4" t="str">
        <x:v>https://blog.skyairline.com/que-hacer-salvador-bahia/</x:v>
      </x:c>
      <x:c r="K1276" s="16" t="b">
        <x:v>0</x:v>
      </x:c>
      <x:c r="L1276" s="11" t="n">
        <x:v>0</x:v>
      </x:c>
      <x:c r="M1276" s="11" t="n">
        <x:v>0</x:v>
      </x:c>
      <x:c r="N1276" s="4"/>
      <x:c r="O1276" s="4"/>
      <x:c r="P1276" s="11" t="n">
        <x:v>1</x:v>
      </x:c>
      <x:c r="Q1276" s="11" t="n">
        <x:v>0</x:v>
      </x:c>
      <x:c r="R1276" s="11" t="str">
        <x:f>IF(OR(P1276="",Q1276=""),"",Q1276-P1276)</x:f>
      </x:c>
      <x:c r="S1276" s="13" t="str">
        <x:f>IF(OR(P1276="",Q1276="",P1276=0),"",((Q1276/30)/(P1276/31))-1)</x:f>
      </x:c>
      <x:c r="T1276" s="11" t="n">
        <x:v>259</x:v>
      </x:c>
      <x:c r="U1276" s="11" t="n">
        <x:v>109</x:v>
      </x:c>
      <x:c r="V1276" s="14" t="n">
        <x:v>0</x:v>
      </x:c>
      <x:c r="W1276" s="12" t="n">
        <x:v>61.596330275229356</x:v>
      </x:c>
      <x:c r="X1276" s="11"/>
      <x:c r="Y1276" s="11"/>
      <x:c r="Z1276" s="4" t="str">
        <x:v>https://blog.skyairline.com/que-hacer-salvador-bahia/</x:v>
      </x:c>
      <x:c r="AA1276" s="4" t="str">
        <x:v>https://blog.skyairline.com/que-hacer-salvador-bahia/</x:v>
      </x:c>
      <x:c r="AB1276" s="4" t="str">
        <x:v>Coincidencia URL</x:v>
      </x:c>
      <x:c r="AC1276" s="4" t="str">
        <x:v>Publicado hasta septiembre</x:v>
      </x:c>
      <x:c r="AD1276" s="4"/>
      <x:c r="AE1276" s="4"/>
      <x:c r="AF1276" s="16" t="b">
        <x:v>0</x:v>
      </x:c>
    </x:row>
    <x:row r="1277" ht="44" customHeight="1">
      <x:c r="A1277" s="4" t="n">
        <x:v>3441</x:v>
      </x:c>
      <x:c r="B1277" s="4" t="str">
        <x:v>https://blog.skyairline.com/teatro-colon/</x:v>
      </x:c>
      <x:c r="C1277" s="9" t="str">
        <x:v>Teatro Colón: un lugar imperdible en Buenos Aires</x:v>
      </x:c>
      <x:c r="D1277" s="17" t="d">
        <x:v>2023-10-11T00:00:00.000Z</x:v>
      </x:c>
      <x:c r="E1277" s="17" t="d">
        <x:v>2023-10-11T00:00:00.000Z</x:v>
      </x:c>
      <x:c r="F1277" s="4" t="str">
        <x:v>Destinos</x:v>
      </x:c>
      <x:c r="G1277" s="11" t="n">
        <x:v>1213</x:v>
      </x:c>
      <x:c r="H1277" s="11" t="n">
        <x:v>200</x:v>
      </x:c>
      <x:c r="I1277" s="11" t="n">
        <x:v>1</x:v>
      </x:c>
      <x:c r="J1277" s="4" t="str">
        <x:v>https://blog.skyairline.com/teatro-colon/</x:v>
      </x:c>
      <x:c r="K1277" s="16" t="b">
        <x:v>0</x:v>
      </x:c>
      <x:c r="L1277" s="11" t="n">
        <x:v>0</x:v>
      </x:c>
      <x:c r="M1277" s="11" t="n">
        <x:v>2</x:v>
      </x:c>
      <x:c r="N1277" s="4"/>
      <x:c r="O1277" s="4"/>
      <x:c r="P1277" s="11" t="n">
        <x:v>3</x:v>
      </x:c>
      <x:c r="Q1277" s="11" t="n">
        <x:v>0</x:v>
      </x:c>
      <x:c r="R1277" s="11" t="str">
        <x:f>IF(OR(P1277="",Q1277=""),"",Q1277-P1277)</x:f>
      </x:c>
      <x:c r="S1277" s="13" t="str">
        <x:f>IF(OR(P1277="",Q1277="",P1277=0),"",((Q1277/30)/(P1277/31))-1)</x:f>
      </x:c>
      <x:c r="T1277" s="11" t="n">
        <x:v>572</x:v>
      </x:c>
      <x:c r="U1277" s="11" t="n">
        <x:v>203</x:v>
      </x:c>
      <x:c r="V1277" s="14" t="n">
        <x:v>0</x:v>
      </x:c>
      <x:c r="W1277" s="12" t="n">
        <x:v>10.413793103448276</x:v>
      </x:c>
      <x:c r="X1277" s="11" t="n">
        <x:v>2</x:v>
      </x:c>
      <x:c r="Y1277" s="11" t="n">
        <x:v>3</x:v>
      </x:c>
      <x:c r="Z1277" s="4" t="str">
        <x:v>https://blog.skyairline.com/teatro-colon/</x:v>
      </x:c>
      <x:c r="AA1277" s="4" t="str">
        <x:v>https://blog.skyairline.com/teatro-colon/</x:v>
      </x:c>
      <x:c r="AB1277" s="4" t="str">
        <x:v>Coincidencia URL</x:v>
      </x:c>
      <x:c r="AC1277" s="4" t="str">
        <x:v>Publicado hasta septiembre</x:v>
      </x:c>
      <x:c r="AD1277" s="4" t="str">
        <x:v>/teatro-colon/</x:v>
      </x:c>
      <x:c r="AE1277" s="4"/>
      <x:c r="AF1277" s="16" t="b">
        <x:v>0</x:v>
      </x:c>
    </x:row>
    <x:row r="1278" ht="44" customHeight="1">
      <x:c r="A1278" s="4" t="n">
        <x:v>3444</x:v>
      </x:c>
      <x:c r="B1278" s="4" t="str">
        <x:v>https://blog.skyairline.com/parque-provincial-aconcagua/</x:v>
      </x:c>
      <x:c r="C1278" s="9" t="str">
        <x:v>Parque Provincial Aconcagua: cómo llegar, qué hacer y qué permisos necesitas</x:v>
      </x:c>
      <x:c r="D1278" s="17" t="d">
        <x:v>2026-10-03T00:00:00.000Z</x:v>
      </x:c>
      <x:c r="E1278" s="17" t="d">
        <x:v>2026-09-22T00:00:00.000Z</x:v>
      </x:c>
      <x:c r="F1278" s="4" t="str">
        <x:v>Destinos</x:v>
      </x:c>
      <x:c r="G1278" s="11" t="n">
        <x:v>1046</x:v>
      </x:c>
      <x:c r="H1278" s="11" t="n">
        <x:v>200</x:v>
      </x:c>
      <x:c r="I1278" s="11" t="n">
        <x:v>1</x:v>
      </x:c>
      <x:c r="J1278" s="4" t="str">
        <x:v>https://blog.skyairline.com/parque-provincial-aconcagua/</x:v>
      </x:c>
      <x:c r="K1278" s="16" t="b">
        <x:v>0</x:v>
      </x:c>
      <x:c r="L1278" s="11" t="n">
        <x:v>0</x:v>
      </x:c>
      <x:c r="M1278" s="11" t="n">
        <x:v>0</x:v>
      </x:c>
      <x:c r="N1278" s="4"/>
      <x:c r="O1278" s="4"/>
      <x:c r="P1278" s="11" t="n">
        <x:v>0</x:v>
      </x:c>
      <x:c r="Q1278" s="11" t="n">
        <x:v>0</x:v>
      </x:c>
      <x:c r="R1278" s="11" t="str">
        <x:f>IF(OR(P1278="",Q1278=""),"",Q1278-P1278)</x:f>
      </x:c>
      <x:c r="S1278" s="13" t="str">
        <x:f>IF(OR(P1278="",Q1278="",P1278=0),"",((Q1278/30)/(P1278/31))-1)</x:f>
      </x:c>
      <x:c r="T1278" s="11" t="n">
        <x:v>47</x:v>
      </x:c>
      <x:c r="U1278" s="11" t="n">
        <x:v>39</x:v>
      </x:c>
      <x:c r="V1278" s="14" t="n">
        <x:v>0</x:v>
      </x:c>
      <x:c r="W1278" s="12" t="n">
        <x:v>25.53846153846154</x:v>
      </x:c>
      <x:c r="X1278" s="11" t="n">
        <x:v>2</x:v>
      </x:c>
      <x:c r="Y1278" s="11" t="n">
        <x:v>5</x:v>
      </x:c>
      <x:c r="Z1278" s="4" t="str">
        <x:v>https://blog.skyairline.com/parque-provincial-aconcagua/</x:v>
      </x:c>
      <x:c r="AA1278" s="4" t="str">
        <x:v>https://blog.skyairline.com/parque-provincial-aconcagua/</x:v>
      </x:c>
      <x:c r="AB1278" s="4" t="str">
        <x:v>Coincidencia URL</x:v>
      </x:c>
      <x:c r="AC1278" s="4" t="str">
        <x:v>Publicado después del mes</x:v>
      </x:c>
      <x:c r="AD1278" s="4" t="str">
        <x:v>/parque-provincial-aconcagua/</x:v>
      </x:c>
      <x:c r="AE1278" s="4"/>
      <x:c r="AF1278" s="16" t="b">
        <x:v>0</x:v>
      </x:c>
    </x:row>
    <x:row r="1279" ht="44" customHeight="1">
      <x:c r="A1279" s="4" t="n">
        <x:v>3460</x:v>
      </x:c>
      <x:c r="B1279" s="4" t="str">
        <x:v>https://blog.skyairline.com/que-hacer-en-montevideo/</x:v>
      </x:c>
      <x:c r="C1279" s="9" t="str">
        <x:v>¿Qué hacer en Montevideo? Atracciones, gastronomía y consejos</x:v>
      </x:c>
      <x:c r="D1279" s="17" t="d">
        <x:v>2023-10-13T00:00:00.000Z</x:v>
      </x:c>
      <x:c r="E1279" s="17" t="d">
        <x:v>2023-10-13T00:00:00.000Z</x:v>
      </x:c>
      <x:c r="F1279" s="4" t="str">
        <x:v>Destinos</x:v>
      </x:c>
      <x:c r="G1279" s="11" t="n">
        <x:v>1387</x:v>
      </x:c>
      <x:c r="H1279" s="11" t="n">
        <x:v>200</x:v>
      </x:c>
      <x:c r="I1279" s="11" t="n">
        <x:v>1</x:v>
      </x:c>
      <x:c r="J1279" s="4" t="str">
        <x:v>https://blog.skyairline.com/que-hacer-en-montevideo/</x:v>
      </x:c>
      <x:c r="K1279" s="16" t="b">
        <x:v>0</x:v>
      </x:c>
      <x:c r="L1279" s="11" t="n">
        <x:v>0</x:v>
      </x:c>
      <x:c r="M1279" s="11" t="n">
        <x:v>6</x:v>
      </x:c>
      <x:c r="N1279" s="4"/>
      <x:c r="O1279" s="4"/>
      <x:c r="P1279" s="11" t="n">
        <x:v>0</x:v>
      </x:c>
      <x:c r="Q1279" s="11" t="n">
        <x:v>0</x:v>
      </x:c>
      <x:c r="R1279" s="11" t="str">
        <x:f>IF(OR(P1279="",Q1279=""),"",Q1279-P1279)</x:f>
      </x:c>
      <x:c r="S1279" s="13" t="str">
        <x:f>IF(OR(P1279="",Q1279="",P1279=0),"",((Q1279/30)/(P1279/31))-1)</x:f>
      </x:c>
      <x:c r="T1279" s="11" t="n">
        <x:v>176</x:v>
      </x:c>
      <x:c r="U1279" s="11" t="n">
        <x:v>83</x:v>
      </x:c>
      <x:c r="V1279" s="14" t="n">
        <x:v>0</x:v>
      </x:c>
      <x:c r="W1279" s="12" t="n">
        <x:v>45.506024096385545</x:v>
      </x:c>
      <x:c r="X1279" s="11" t="n">
        <x:v>6</x:v>
      </x:c>
      <x:c r="Y1279" s="11" t="n">
        <x:v>6</x:v>
      </x:c>
      <x:c r="Z1279" s="4" t="str">
        <x:v>https://blog.skyairline.com/que-hacer-en-montevideo/</x:v>
      </x:c>
      <x:c r="AA1279" s="4" t="str">
        <x:v>https://blog.skyairline.com/que-hacer-en-montevideo/</x:v>
      </x:c>
      <x:c r="AB1279" s="4" t="str">
        <x:v>Coincidencia URL</x:v>
      </x:c>
      <x:c r="AC1279" s="4" t="str">
        <x:v>Publicado hasta septiembre</x:v>
      </x:c>
      <x:c r="AD1279" s="4" t="str">
        <x:v>/que-hacer-en-montevideo/</x:v>
      </x:c>
      <x:c r="AE1279" s="4"/>
      <x:c r="AF1279" s="16" t="b">
        <x:v>0</x:v>
      </x:c>
    </x:row>
    <x:row r="1280" ht="44" customHeight="1">
      <x:c r="A1280" s="4" t="n">
        <x:v>3531</x:v>
      </x:c>
      <x:c r="B1280" s="4" t="str">
        <x:v>https://blog.skyairline.com/sky-airline-operara-dos-nuevas-rutas-en-puerto-montt/</x:v>
      </x:c>
      <x:c r="C1280" s="9" t="str">
        <x:v>SKY AIRLINE operará dos nuevas rutas en Puerto Montt</x:v>
      </x:c>
      <x:c r="D1280" s="17" t="d">
        <x:v>2023-09-28T00:00:00.000Z</x:v>
      </x:c>
      <x:c r="E1280" s="17" t="d">
        <x:v>2023-09-28T00:00:00.000Z</x:v>
      </x:c>
      <x:c r="F1280" s="4" t="str">
        <x:v>Noticias</x:v>
      </x:c>
      <x:c r="G1280" s="11" t="n">
        <x:v>450</x:v>
      </x:c>
      <x:c r="H1280" s="11" t="n">
        <x:v>200</x:v>
      </x:c>
      <x:c r="I1280" s="11" t="n">
        <x:v>1</x:v>
      </x:c>
      <x:c r="J1280" s="4" t="str">
        <x:v>https://blog.skyairline.com/sky-airline-operara-dos-nuevas-rutas-en-puerto-montt/</x:v>
      </x:c>
      <x:c r="K1280" s="16" t="b">
        <x:v>0</x:v>
      </x:c>
      <x:c r="L1280" s="11" t="n">
        <x:v>0</x:v>
      </x:c>
      <x:c r="M1280" s="11" t="n">
        <x:v>0</x:v>
      </x:c>
      <x:c r="N1280" s="4"/>
      <x:c r="O1280" s="4"/>
      <x:c r="P1280" s="11" t="n">
        <x:v>0</x:v>
      </x:c>
      <x:c r="Q1280" s="11" t="n">
        <x:v>0</x:v>
      </x:c>
      <x:c r="R1280" s="11" t="str">
        <x:f>IF(OR(P1280="",Q1280=""),"",Q1280-P1280)</x:f>
      </x:c>
      <x:c r="S1280" s="13" t="str">
        <x:f>IF(OR(P1280="",Q1280="",P1280=0),"",((Q1280/30)/(P1280/31))-1)</x:f>
      </x:c>
      <x:c r="T1280" s="11" t="n">
        <x:v>266</x:v>
      </x:c>
      <x:c r="U1280" s="11" t="n">
        <x:v>739</x:v>
      </x:c>
      <x:c r="V1280" s="14" t="n">
        <x:v>0</x:v>
      </x:c>
      <x:c r="W1280" s="12" t="n">
        <x:v>5.9851150202977</x:v>
      </x:c>
      <x:c r="X1280" s="11"/>
      <x:c r="Y1280" s="11"/>
      <x:c r="Z1280" s="4" t="str">
        <x:v>https://blog.skyairline.com/sky-airline-operara-dos-nuevas-rutas-en-puerto-montt/</x:v>
      </x:c>
      <x:c r="AA1280" s="4" t="str">
        <x:v>https://blog.skyairline.com/sky-airline-operara-dos-nuevas-rutas-en-puerto-montt/</x:v>
      </x:c>
      <x:c r="AB1280" s="4" t="str">
        <x:v>Coincidencia URL</x:v>
      </x:c>
      <x:c r="AC1280" s="4" t="str">
        <x:v>Publicado hasta septiembre</x:v>
      </x:c>
      <x:c r="AD1280" s="4"/>
      <x:c r="AE1280" s="4"/>
      <x:c r="AF1280" s="16" t="b">
        <x:v>1</x:v>
      </x:c>
    </x:row>
    <x:row r="1281" ht="44" customHeight="1">
      <x:c r="A1281" s="4" t="n">
        <x:v>3533</x:v>
      </x:c>
      <x:c r="B1281" s="4" t="str">
        <x:v>https://blog.skyairline.com/cerca-de-8-500-pasajes-aereos-fueron-comercializados-por-sky-desde-su-regreso-al-mercado-uruguayo-hace-menos-de-un-mes/</x:v>
      </x:c>
      <x:c r="C1281" s="9" t="str">
        <x:v>Cerca de 8.500 pasajes aéreos fueron comercializados por SKY desde su regreso al mercado uruguayo hace menos de un mes</x:v>
      </x:c>
      <x:c r="D1281" s="17" t="d">
        <x:v>2023-10-04T00:00:00.000Z</x:v>
      </x:c>
      <x:c r="E1281" s="17" t="d">
        <x:v>2023-10-04T00:00:00.000Z</x:v>
      </x:c>
      <x:c r="F1281" s="4" t="str">
        <x:v>Noticias</x:v>
      </x:c>
      <x:c r="G1281" s="11" t="n">
        <x:v>690</x:v>
      </x:c>
      <x:c r="H1281" s="11" t="n">
        <x:v>200</x:v>
      </x:c>
      <x:c r="I1281" s="11" t="n">
        <x:v>1</x:v>
      </x:c>
      <x:c r="J1281" s="4" t="str">
        <x:v>https://blog.skyairline.com/cerca-de-8-500-pasajes-aereos-fueron-comercializados-por-sky-desde-su-regreso-al-mercado-uruguayo-hace-menos-de-un-mes/</x:v>
      </x:c>
      <x:c r="K1281" s="16" t="b">
        <x:v>0</x:v>
      </x:c>
      <x:c r="L1281" s="11" t="n">
        <x:v>0</x:v>
      </x:c>
      <x:c r="M1281" s="11" t="n">
        <x:v>0</x:v>
      </x:c>
      <x:c r="N1281" s="4"/>
      <x:c r="O1281" s="4"/>
      <x:c r="P1281" s="11" t="n">
        <x:v>0</x:v>
      </x:c>
      <x:c r="Q1281" s="11" t="n">
        <x:v>0</x:v>
      </x:c>
      <x:c r="R1281" s="11" t="str">
        <x:f>IF(OR(P1281="",Q1281=""),"",Q1281-P1281)</x:f>
      </x:c>
      <x:c r="S1281" s="13" t="str">
        <x:f>IF(OR(P1281="",Q1281="",P1281=0),"",((Q1281/30)/(P1281/31))-1)</x:f>
      </x:c>
      <x:c r="T1281" s="11" t="n">
        <x:v>15</x:v>
      </x:c>
      <x:c r="U1281" s="11" t="n">
        <x:v>18</x:v>
      </x:c>
      <x:c r="V1281" s="14" t="n">
        <x:v>0</x:v>
      </x:c>
      <x:c r="W1281" s="12" t="n">
        <x:v>8.833333333333332</x:v>
      </x:c>
      <x:c r="X1281" s="11"/>
      <x:c r="Y1281" s="11"/>
      <x:c r="Z1281" s="4" t="str">
        <x:v>https://blog.skyairline.com/cerca-de-8-500-pasajes-aereos-fueron-comercializados-por-sky-desde-su-regreso-al-mercado-uruguayo-hace-menos-de-un-mes/</x:v>
      </x:c>
      <x:c r="AA1281" s="4" t="str">
        <x:v>https://blog.skyairline.com/cerca-de-8-500-pasajes-aereos-fueron-comercializados-por-sky-desde-su-regreso-al-mercado-uruguayo-hace-menos-de-un-mes/</x:v>
      </x:c>
      <x:c r="AB1281" s="4" t="str">
        <x:v>Coincidencia URL</x:v>
      </x:c>
      <x:c r="AC1281" s="4" t="str">
        <x:v>Publicado hasta septiembre</x:v>
      </x:c>
      <x:c r="AD1281" s="4"/>
      <x:c r="AE1281" s="4"/>
      <x:c r="AF1281" s="16" t="b">
        <x:v>0</x:v>
      </x:c>
    </x:row>
    <x:row r="1282" ht="44" customHeight="1">
      <x:c r="A1282" s="4" t="n">
        <x:v>3536</x:v>
      </x:c>
      <x:c r="B1282" s="4" t="str">
        <x:v>https://blog.skyairline.com/south-beach/</x:v>
      </x:c>
      <x:c r="C1282" s="9" t="str">
        <x:v>Todo lo que ofrece South Beach en tu viaje a Miami</x:v>
      </x:c>
      <x:c r="D1282" s="17" t="d">
        <x:v>2025-10-07T00:00:00.000Z</x:v>
      </x:c>
      <x:c r="E1282" s="17" t="d">
        <x:v>2026-01-12T00:00:00.000Z</x:v>
      </x:c>
      <x:c r="F1282" s="4" t="str">
        <x:v>Destinos</x:v>
      </x:c>
      <x:c r="G1282" s="11" t="n">
        <x:v>1236</x:v>
      </x:c>
      <x:c r="H1282" s="11" t="n">
        <x:v>200</x:v>
      </x:c>
      <x:c r="I1282" s="11" t="n">
        <x:v>1</x:v>
      </x:c>
      <x:c r="J1282" s="4" t="str">
        <x:v>https://blog.skyairline.com/south-beach/</x:v>
      </x:c>
      <x:c r="K1282" s="16" t="b">
        <x:v>0</x:v>
      </x:c>
      <x:c r="L1282" s="11" t="n">
        <x:v>0</x:v>
      </x:c>
      <x:c r="M1282" s="11" t="n">
        <x:v>3</x:v>
      </x:c>
      <x:c r="N1282" s="4"/>
      <x:c r="O1282" s="4"/>
      <x:c r="P1282" s="11" t="n">
        <x:v>2</x:v>
      </x:c>
      <x:c r="Q1282" s="11" t="n">
        <x:v>0</x:v>
      </x:c>
      <x:c r="R1282" s="11" t="str">
        <x:f>IF(OR(P1282="",Q1282=""),"",Q1282-P1282)</x:f>
      </x:c>
      <x:c r="S1282" s="13" t="str">
        <x:f>IF(OR(P1282="",Q1282="",P1282=0),"",((Q1282/30)/(P1282/31))-1)</x:f>
      </x:c>
      <x:c r="T1282" s="11" t="n">
        <x:v>330</x:v>
      </x:c>
      <x:c r="U1282" s="11" t="n">
        <x:v>258</x:v>
      </x:c>
      <x:c r="V1282" s="14" t="n">
        <x:v>0</x:v>
      </x:c>
      <x:c r="W1282" s="12" t="n">
        <x:v>17.558139534883722</x:v>
      </x:c>
      <x:c r="X1282" s="11"/>
      <x:c r="Y1282" s="11"/>
      <x:c r="Z1282" s="4" t="str">
        <x:v>https://blog.skyairline.com/south-beach/</x:v>
      </x:c>
      <x:c r="AA1282" s="4" t="str">
        <x:v>https://blog.skyairline.com/south-beach/</x:v>
      </x:c>
      <x:c r="AB1282" s="4" t="str">
        <x:v>Coincidencia URL</x:v>
      </x:c>
      <x:c r="AC1282" s="4" t="str">
        <x:v>Publicado hasta septiembre</x:v>
      </x:c>
      <x:c r="AD1282" s="4"/>
      <x:c r="AE1282" s="4"/>
      <x:c r="AF1282" s="16" t="b">
        <x:v>0</x:v>
      </x:c>
    </x:row>
    <x:row r="1283" ht="44" customHeight="1">
      <x:c r="A1283" s="4" t="n">
        <x:v>3582</x:v>
      </x:c>
      <x:c r="B1283" s="4" t="str">
        <x:v>https://blog.skyairline.com/ponemos-el-cielo-al-alcance-de-todos-y-no-solo-de-algunos/</x:v>
      </x:c>
      <x:c r="C1283" s="9" t="str">
        <x:v>¡Ponemos el cielo al alcance de todos y no sólo de algunos!</x:v>
      </x:c>
      <x:c r="D1283" s="17" t="d">
        <x:v>2023-10-26T00:00:00.000Z</x:v>
      </x:c>
      <x:c r="E1283" s="17" t="d">
        <x:v>2023-10-26T00:00:00.000Z</x:v>
      </x:c>
      <x:c r="F1283" s="4" t="str">
        <x:v>Noticias</x:v>
      </x:c>
      <x:c r="G1283" s="11" t="n">
        <x:v>131</x:v>
      </x:c>
      <x:c r="H1283" s="11" t="n">
        <x:v>200</x:v>
      </x:c>
      <x:c r="I1283" s="11" t="n">
        <x:v>1</x:v>
      </x:c>
      <x:c r="J1283" s="4" t="str">
        <x:v>https://blog.skyairline.com/ponemos-el-cielo-al-alcance-de-todos-y-no-solo-de-algunos/</x:v>
      </x:c>
      <x:c r="K1283" s="16" t="b">
        <x:v>0</x:v>
      </x:c>
      <x:c r="L1283" s="11" t="n">
        <x:v>0</x:v>
      </x:c>
      <x:c r="M1283" s="11" t="n">
        <x:v>0</x:v>
      </x:c>
      <x:c r="N1283" s="4"/>
      <x:c r="O1283" s="4"/>
      <x:c r="P1283" s="11" t="n">
        <x:v>0</x:v>
      </x:c>
      <x:c r="Q1283" s="11" t="n">
        <x:v>0</x:v>
      </x:c>
      <x:c r="R1283" s="11" t="str">
        <x:f>IF(OR(P1283="",Q1283=""),"",Q1283-P1283)</x:f>
      </x:c>
      <x:c r="S1283" s="13" t="str">
        <x:f>IF(OR(P1283="",Q1283="",P1283=0),"",((Q1283/30)/(P1283/31))-1)</x:f>
      </x:c>
      <x:c r="T1283" s="11" t="n">
        <x:v>78</x:v>
      </x:c>
      <x:c r="U1283" s="11" t="n">
        <x:v>53</x:v>
      </x:c>
      <x:c r="V1283" s="14" t="n">
        <x:v>0</x:v>
      </x:c>
      <x:c r="W1283" s="12" t="n">
        <x:v>11.18867924528302</x:v>
      </x:c>
      <x:c r="X1283" s="11" t="n">
        <x:v>1</x:v>
      </x:c>
      <x:c r="Y1283" s="11" t="n">
        <x:v>1</x:v>
      </x:c>
      <x:c r="Z1283" s="4" t="str">
        <x:v>https://blog.skyairline.com/ponemos-el-cielo-al-alcance-de-todos-y-no-solo-de-algunos/</x:v>
      </x:c>
      <x:c r="AA1283" s="4" t="str">
        <x:v>https://blog.skyairline.com/ponemos-el-cielo-al-alcance-de-todos-y-no-solo-de-algunos/</x:v>
      </x:c>
      <x:c r="AB1283" s="4" t="str">
        <x:v>Coincidencia URL</x:v>
      </x:c>
      <x:c r="AC1283" s="4" t="str">
        <x:v>Publicado hasta septiembre</x:v>
      </x:c>
      <x:c r="AD1283" s="4" t="str">
        <x:v>/ponemos-el-cielo-al-alcance-de-todos-y-no-solo-de-algunos/</x:v>
      </x:c>
      <x:c r="AE1283" s="4"/>
      <x:c r="AF1283" s="16" t="b">
        <x:v>0</x:v>
      </x:c>
    </x:row>
    <x:row r="1284" ht="44" customHeight="1">
      <x:c r="A1284" s="4" t="n">
        <x:v>3600</x:v>
      </x:c>
      <x:c r="B1284" s="4" t="str">
        <x:v>https://blog.skyairline.com/sky-airline-ofrecio-descuentos-en-pasajes-para-antofagastinos/</x:v>
      </x:c>
      <x:c r="C1284" s="9" t="str">
        <x:v>SKY Airline ofreció descuentos en pasajes para antofagastinos</x:v>
      </x:c>
      <x:c r="D1284" s="17" t="d">
        <x:v>2023-10-30T00:00:00.000Z</x:v>
      </x:c>
      <x:c r="E1284" s="17" t="d">
        <x:v>2023-10-30T00:00:00.000Z</x:v>
      </x:c>
      <x:c r="F1284" s="4" t="str">
        <x:v>Noticias</x:v>
      </x:c>
      <x:c r="G1284" s="11" t="n">
        <x:v>484</x:v>
      </x:c>
      <x:c r="H1284" s="11" t="n">
        <x:v>200</x:v>
      </x:c>
      <x:c r="I1284" s="11" t="n">
        <x:v>1</x:v>
      </x:c>
      <x:c r="J1284" s="4" t="str">
        <x:v>https://blog.skyairline.com/sky-airline-ofrecio-descuentos-en-pasajes-para-antofagastinos/</x:v>
      </x:c>
      <x:c r="K1284" s="16" t="b">
        <x:v>0</x:v>
      </x:c>
      <x:c r="L1284" s="11" t="n">
        <x:v>0</x:v>
      </x:c>
      <x:c r="M1284" s="11" t="n">
        <x:v>0</x:v>
      </x:c>
      <x:c r="N1284" s="4"/>
      <x:c r="O1284" s="4"/>
      <x:c r="P1284" s="11" t="n">
        <x:v>0</x:v>
      </x:c>
      <x:c r="Q1284" s="11" t="n">
        <x:v>0</x:v>
      </x:c>
      <x:c r="R1284" s="11" t="str">
        <x:f>IF(OR(P1284="",Q1284=""),"",Q1284-P1284)</x:f>
      </x:c>
      <x:c r="S1284" s="13" t="str">
        <x:f>IF(OR(P1284="",Q1284="",P1284=0),"",((Q1284/30)/(P1284/31))-1)</x:f>
      </x:c>
      <x:c r="T1284" s="11" t="n">
        <x:v>55</x:v>
      </x:c>
      <x:c r="U1284" s="11" t="n">
        <x:v>145</x:v>
      </x:c>
      <x:c r="V1284" s="14" t="n">
        <x:v>0</x:v>
      </x:c>
      <x:c r="W1284" s="12" t="n">
        <x:v>9.455172413793104</x:v>
      </x:c>
      <x:c r="X1284" s="11"/>
      <x:c r="Y1284" s="11"/>
      <x:c r="Z1284" s="4" t="str">
        <x:v>https://blog.skyairline.com/sky-airline-ofrecio-descuentos-en-pasajes-para-antofagastinos/</x:v>
      </x:c>
      <x:c r="AA1284" s="4" t="str">
        <x:v>https://blog.skyairline.com/sky-airline-ofrecio-descuentos-en-pasajes-para-antofagastinos/</x:v>
      </x:c>
      <x:c r="AB1284" s="4" t="str">
        <x:v>Coincidencia URL</x:v>
      </x:c>
      <x:c r="AC1284" s="4" t="str">
        <x:v>Publicado hasta septiembre</x:v>
      </x:c>
      <x:c r="AD1284" s="4"/>
      <x:c r="AE1284" s="4"/>
      <x:c r="AF1284" s="16" t="b">
        <x:v>0</x:v>
      </x:c>
    </x:row>
    <x:row r="1285" ht="44" customHeight="1">
      <x:c r="A1285" s="4" t="n">
        <x:v>3607</x:v>
      </x:c>
      <x:c r="B1285" s="4" t="str">
        <x:v>https://blog.skyairline.com/los-hinchas-peruanos-viajan-al-clasico-del-pacifico-para-alentar-a-la-bicolor/</x:v>
      </x:c>
      <x:c r="C1285" s="9" t="str">
        <x:v>LOS HINCHAS PERUANOS VIAJAN AL CLÁSICO DEL PACÍFICO PARA ALENTAR A LA BICOLOR</x:v>
      </x:c>
      <x:c r="D1285" s="17" t="d">
        <x:v>2023-11-02T00:00:00.000Z</x:v>
      </x:c>
      <x:c r="E1285" s="17" t="d">
        <x:v>2023-11-02T00:00:00.000Z</x:v>
      </x:c>
      <x:c r="F1285" s="4" t="str">
        <x:v>Noticias</x:v>
      </x:c>
      <x:c r="G1285" s="11" t="n">
        <x:v>380</x:v>
      </x:c>
      <x:c r="H1285" s="11" t="n">
        <x:v>200</x:v>
      </x:c>
      <x:c r="I1285" s="11" t="n">
        <x:v>1</x:v>
      </x:c>
      <x:c r="J1285" s="4" t="str">
        <x:v>https://blog.skyairline.com/los-hinchas-peruanos-viajan-al-clasico-del-pacifico-para-alentar-a-la-bicolor/</x:v>
      </x:c>
      <x:c r="K1285" s="16" t="b">
        <x:v>0</x:v>
      </x:c>
      <x:c r="L1285" s="11" t="n">
        <x:v>0</x:v>
      </x:c>
      <x:c r="M1285" s="11" t="n">
        <x:v>0</x:v>
      </x:c>
      <x:c r="N1285" s="4"/>
      <x:c r="O1285" s="4"/>
      <x:c r="P1285" s="11" t="n">
        <x:v>0</x:v>
      </x:c>
      <x:c r="Q1285" s="11" t="n">
        <x:v>0</x:v>
      </x:c>
      <x:c r="R1285" s="11" t="str">
        <x:f>IF(OR(P1285="",Q1285=""),"",Q1285-P1285)</x:f>
      </x:c>
      <x:c r="S1285" s="13" t="str">
        <x:f>IF(OR(P1285="",Q1285="",P1285=0),"",((Q1285/30)/(P1285/31))-1)</x:f>
      </x:c>
      <x:c r="T1285" s="11" t="n">
        <x:v>14</x:v>
      </x:c>
      <x:c r="U1285" s="11" t="n">
        <x:v>4</x:v>
      </x:c>
      <x:c r="V1285" s="14" t="n">
        <x:v>0</x:v>
      </x:c>
      <x:c r="W1285" s="12" t="n">
        <x:v>8</x:v>
      </x:c>
      <x:c r="X1285" s="11" t="n">
        <x:v>2</x:v>
      </x:c>
      <x:c r="Y1285" s="11" t="n">
        <x:v>1</x:v>
      </x:c>
      <x:c r="Z1285" s="4" t="str">
        <x:v>https://blog.skyairline.com/los-hinchas-peruanos-viajan-al-clasico-del-pacifico-para-alentar-a-la-bicolor/</x:v>
      </x:c>
      <x:c r="AA1285" s="4" t="str">
        <x:v>https://blog.skyairline.com/los-hinchas-peruanos-viajan-al-clasico-del-pacifico-para-alentar-a-la-bicolor/</x:v>
      </x:c>
      <x:c r="AB1285" s="4" t="str">
        <x:v>Coincidencia URL</x:v>
      </x:c>
      <x:c r="AC1285" s="4" t="str">
        <x:v>Publicado hasta septiembre</x:v>
      </x:c>
      <x:c r="AD1285" s="4" t="str">
        <x:v>/los-hinchas-peruanos-viajan-al-clasico-del-pacifico-para-alentar-a-la-bicolor/</x:v>
      </x:c>
      <x:c r="AE1285" s="4"/>
      <x:c r="AF1285" s="16" t="b">
        <x:v>0</x:v>
      </x:c>
    </x:row>
    <x:row r="1286" ht="44" customHeight="1">
      <x:c r="A1286" s="4" t="n">
        <x:v>3612</x:v>
      </x:c>
      <x:c r="B1286" s="4" t="str">
        <x:v>https://blog.skyairline.com/eliminatorias-2026-parte-el-avion-de-la-bicolor-rumbo-al-clasico-del-pacifico/</x:v>
      </x:c>
      <x:c r="C1286" s="9" t="str">
        <x:v>Eliminatorias 2026: parte el avión de La Bicolor rumbo al Clásico del Pacífico</x:v>
      </x:c>
      <x:c r="D1286" s="17" t="d">
        <x:v>2023-11-02T00:00:00.000Z</x:v>
      </x:c>
      <x:c r="E1286" s="17" t="d">
        <x:v>2023-11-02T00:00:00.000Z</x:v>
      </x:c>
      <x:c r="F1286" s="4" t="str">
        <x:v>Noticias</x:v>
      </x:c>
      <x:c r="G1286" s="11" t="n">
        <x:v>448</x:v>
      </x:c>
      <x:c r="H1286" s="11" t="n">
        <x:v>200</x:v>
      </x:c>
      <x:c r="I1286" s="11" t="n">
        <x:v>1</x:v>
      </x:c>
      <x:c r="J1286" s="4" t="str">
        <x:v>https://blog.skyairline.com/eliminatorias-2026-parte-el-avion-de-la-bicolor-rumbo-al-clasico-del-pacifico/</x:v>
      </x:c>
      <x:c r="K1286" s="16" t="b">
        <x:v>0</x:v>
      </x:c>
      <x:c r="L1286" s="11" t="n">
        <x:v>0</x:v>
      </x:c>
      <x:c r="M1286" s="11" t="n">
        <x:v>0</x:v>
      </x:c>
      <x:c r="N1286" s="4"/>
      <x:c r="O1286" s="4"/>
      <x:c r="P1286" s="11" t="n">
        <x:v>0</x:v>
      </x:c>
      <x:c r="Q1286" s="11" t="n">
        <x:v>0</x:v>
      </x:c>
      <x:c r="R1286" s="11" t="str">
        <x:f>IF(OR(P1286="",Q1286=""),"",Q1286-P1286)</x:f>
      </x:c>
      <x:c r="S1286" s="13" t="str">
        <x:f>IF(OR(P1286="",Q1286="",P1286=0),"",((Q1286/30)/(P1286/31))-1)</x:f>
      </x:c>
      <x:c r="T1286" s="11" t="n">
        <x:v>27</x:v>
      </x:c>
      <x:c r="U1286" s="11" t="n">
        <x:v>28</x:v>
      </x:c>
      <x:c r="V1286" s="14" t="n">
        <x:v>0</x:v>
      </x:c>
      <x:c r="W1286" s="12" t="n">
        <x:v>4.357142857142858</x:v>
      </x:c>
      <x:c r="X1286" s="11" t="n">
        <x:v>1</x:v>
      </x:c>
      <x:c r="Y1286" s="11" t="n">
        <x:v>1</x:v>
      </x:c>
      <x:c r="Z1286" s="4" t="str">
        <x:v>https://blog.skyairline.com/eliminatorias-2026-parte-el-avion-de-la-bicolor-rumbo-al-clasico-del-pacifico/</x:v>
      </x:c>
      <x:c r="AA1286" s="4" t="str">
        <x:v>https://blog.skyairline.com/eliminatorias-2026-parte-el-avion-de-la-bicolor-rumbo-al-clasico-del-pacifico/</x:v>
      </x:c>
      <x:c r="AB1286" s="4" t="str">
        <x:v>Coincidencia URL</x:v>
      </x:c>
      <x:c r="AC1286" s="4" t="str">
        <x:v>Publicado hasta septiembre</x:v>
      </x:c>
      <x:c r="AD1286" s="4" t="str">
        <x:v>/eliminatorias-2026-parte-el-avion-de-la-bicolor-rumbo-al-clasico-del-pacifico/</x:v>
      </x:c>
      <x:c r="AE1286" s="4"/>
      <x:c r="AF1286" s="16" t="b">
        <x:v>0</x:v>
      </x:c>
    </x:row>
    <x:row r="1287" ht="44" customHeight="1">
      <x:c r="A1287" s="4" t="n">
        <x:v>3614</x:v>
      </x:c>
      <x:c r="B1287" s="4" t="str">
        <x:v>https://blog.skyairline.com/pan-azucar-uruguay/</x:v>
      </x:c>
      <x:c r="C1287" s="9" t="str">
        <x:v>Pan de Azúcar de Uruguay: valores, cómo llegar y otras informaciones</x:v>
      </x:c>
      <x:c r="D1287" s="17" t="d">
        <x:v>2023-11-14T00:00:00.000Z</x:v>
      </x:c>
      <x:c r="E1287" s="17" t="d">
        <x:v>2023-11-14T00:00:00.000Z</x:v>
      </x:c>
      <x:c r="F1287" s="4" t="str">
        <x:v>Destinos</x:v>
      </x:c>
      <x:c r="G1287" s="11" t="n">
        <x:v>1000</x:v>
      </x:c>
      <x:c r="H1287" s="11" t="n">
        <x:v>200</x:v>
      </x:c>
      <x:c r="I1287" s="11" t="n">
        <x:v>1</x:v>
      </x:c>
      <x:c r="J1287" s="4" t="str">
        <x:v>https://blog.skyairline.com/pan-azucar-uruguay/</x:v>
      </x:c>
      <x:c r="K1287" s="16" t="b">
        <x:v>0</x:v>
      </x:c>
      <x:c r="L1287" s="11" t="n">
        <x:v>0</x:v>
      </x:c>
      <x:c r="M1287" s="11" t="n">
        <x:v>2</x:v>
      </x:c>
      <x:c r="N1287" s="4"/>
      <x:c r="O1287" s="4"/>
      <x:c r="P1287" s="11" t="n">
        <x:v>0</x:v>
      </x:c>
      <x:c r="Q1287" s="11" t="n">
        <x:v>0</x:v>
      </x:c>
      <x:c r="R1287" s="11" t="str">
        <x:f>IF(OR(P1287="",Q1287=""),"",Q1287-P1287)</x:f>
      </x:c>
      <x:c r="S1287" s="13" t="str">
        <x:f>IF(OR(P1287="",Q1287="",P1287=0),"",((Q1287/30)/(P1287/31))-1)</x:f>
      </x:c>
      <x:c r="T1287" s="11" t="n">
        <x:v>340</x:v>
      </x:c>
      <x:c r="U1287" s="11" t="n">
        <x:v>210</x:v>
      </x:c>
      <x:c r="V1287" s="14" t="n">
        <x:v>0</x:v>
      </x:c>
      <x:c r="W1287" s="12" t="n">
        <x:v>14.195238095238095</x:v>
      </x:c>
      <x:c r="X1287" s="11" t="n">
        <x:v>1</x:v>
      </x:c>
      <x:c r="Y1287" s="11" t="n">
        <x:v>1</x:v>
      </x:c>
      <x:c r="Z1287" s="4" t="str">
        <x:v>https://blog.skyairline.com/pan-azucar-uruguay/</x:v>
      </x:c>
      <x:c r="AA1287" s="4" t="str">
        <x:v>https://blog.skyairline.com/pan-azucar-uruguay/</x:v>
      </x:c>
      <x:c r="AB1287" s="4" t="str">
        <x:v>Coincidencia URL</x:v>
      </x:c>
      <x:c r="AC1287" s="4" t="str">
        <x:v>Publicado hasta septiembre</x:v>
      </x:c>
      <x:c r="AD1287" s="4" t="str">
        <x:v>/pan-azucar-uruguay/</x:v>
      </x:c>
      <x:c r="AE1287" s="4"/>
      <x:c r="AF1287" s="16" t="b">
        <x:v>1</x:v>
      </x:c>
    </x:row>
    <x:row r="1288" ht="44" customHeight="1">
      <x:c r="A1288" s="4" t="n">
        <x:v>3659</x:v>
      </x:c>
      <x:c r="B1288" s="4" t="str">
        <x:v>https://blog.skyairline.com/que-visitar-en-uruguay/</x:v>
      </x:c>
      <x:c r="C1288" s="9" t="str">
        <x:v>Qué visitar en Uruguay: ciudades, playas y más</x:v>
      </x:c>
      <x:c r="D1288" s="17" t="d">
        <x:v>2025-10-07T00:00:00.000Z</x:v>
      </x:c>
      <x:c r="E1288" s="17" t="d">
        <x:v>2026-01-12T00:00:00.000Z</x:v>
      </x:c>
      <x:c r="F1288" s="4" t="str">
        <x:v>Destinos</x:v>
      </x:c>
      <x:c r="G1288" s="11" t="n">
        <x:v>1309</x:v>
      </x:c>
      <x:c r="H1288" s="11" t="n">
        <x:v>200</x:v>
      </x:c>
      <x:c r="I1288" s="11" t="n">
        <x:v>1</x:v>
      </x:c>
      <x:c r="J1288" s="4" t="str">
        <x:v>https://blog.skyairline.com/que-visitar-en-uruguay/</x:v>
      </x:c>
      <x:c r="K1288" s="16" t="b">
        <x:v>0</x:v>
      </x:c>
      <x:c r="L1288" s="11" t="n">
        <x:v>0</x:v>
      </x:c>
      <x:c r="M1288" s="11" t="n">
        <x:v>3</x:v>
      </x:c>
      <x:c r="N1288" s="4"/>
      <x:c r="O1288" s="4"/>
      <x:c r="P1288" s="11" t="n">
        <x:v>1</x:v>
      </x:c>
      <x:c r="Q1288" s="11" t="n">
        <x:v>0</x:v>
      </x:c>
      <x:c r="R1288" s="11" t="str">
        <x:f>IF(OR(P1288="",Q1288=""),"",Q1288-P1288)</x:f>
      </x:c>
      <x:c r="S1288" s="13" t="str">
        <x:f>IF(OR(P1288="",Q1288="",P1288=0),"",((Q1288/30)/(P1288/31))-1)</x:f>
      </x:c>
      <x:c r="T1288" s="11" t="n">
        <x:v>308</x:v>
      </x:c>
      <x:c r="U1288" s="11" t="n">
        <x:v>132</x:v>
      </x:c>
      <x:c r="V1288" s="14" t="n">
        <x:v>0</x:v>
      </x:c>
      <x:c r="W1288" s="12" t="n">
        <x:v>49.81060606060606</x:v>
      </x:c>
      <x:c r="X1288" s="11" t="n">
        <x:v>4</x:v>
      </x:c>
      <x:c r="Y1288" s="11" t="n">
        <x:v>4</x:v>
      </x:c>
      <x:c r="Z1288" s="4" t="str">
        <x:v>https://blog.skyairline.com/que-visitar-en-uruguay/</x:v>
      </x:c>
      <x:c r="AA1288" s="4" t="str">
        <x:v>https://blog.skyairline.com/que-visitar-en-uruguay/</x:v>
      </x:c>
      <x:c r="AB1288" s="4" t="str">
        <x:v>Coincidencia URL</x:v>
      </x:c>
      <x:c r="AC1288" s="4" t="str">
        <x:v>Publicado hasta septiembre</x:v>
      </x:c>
      <x:c r="AD1288" s="4" t="str">
        <x:v>/que-visitar-en-uruguay/</x:v>
      </x:c>
      <x:c r="AE1288" s="4"/>
      <x:c r="AF1288" s="16" t="b">
        <x:v>0</x:v>
      </x:c>
    </x:row>
    <x:row r="1289" ht="44" customHeight="1">
      <x:c r="A1289" s="4" t="n">
        <x:v>3662</x:v>
      </x:c>
      <x:c r="B1289" s="4" t="str">
        <x:v>https://blog.skyairline.com/turismo-artigas-departamento/</x:v>
      </x:c>
      <x:c r="C1289" s="9" t="str">
        <x:v>Turismo en el departamento de Artigas: lugares, actividades y más</x:v>
      </x:c>
      <x:c r="D1289" s="17" t="d">
        <x:v>2023-11-21T00:00:00.000Z</x:v>
      </x:c>
      <x:c r="E1289" s="17" t="d">
        <x:v>2023-11-21T00:00:00.000Z</x:v>
      </x:c>
      <x:c r="F1289" s="4" t="str">
        <x:v>Destinos</x:v>
      </x:c>
      <x:c r="G1289" s="11" t="n">
        <x:v>989</x:v>
      </x:c>
      <x:c r="H1289" s="11" t="n">
        <x:v>200</x:v>
      </x:c>
      <x:c r="I1289" s="11" t="n">
        <x:v>1</x:v>
      </x:c>
      <x:c r="J1289" s="4" t="str">
        <x:v>https://blog.skyairline.com/turismo-artigas-departamento/</x:v>
      </x:c>
      <x:c r="K1289" s="16" t="b">
        <x:v>0</x:v>
      </x:c>
      <x:c r="L1289" s="11" t="n">
        <x:v>0</x:v>
      </x:c>
      <x:c r="M1289" s="11" t="n">
        <x:v>3</x:v>
      </x:c>
      <x:c r="N1289" s="4"/>
      <x:c r="O1289" s="4"/>
      <x:c r="P1289" s="11" t="n">
        <x:v>1</x:v>
      </x:c>
      <x:c r="Q1289" s="11" t="n">
        <x:v>0</x:v>
      </x:c>
      <x:c r="R1289" s="11" t="str">
        <x:f>IF(OR(P1289="",Q1289=""),"",Q1289-P1289)</x:f>
      </x:c>
      <x:c r="S1289" s="13" t="str">
        <x:f>IF(OR(P1289="",Q1289="",P1289=0),"",((Q1289/30)/(P1289/31))-1)</x:f>
      </x:c>
      <x:c r="T1289" s="11" t="n">
        <x:v>203</x:v>
      </x:c>
      <x:c r="U1289" s="11" t="n">
        <x:v>154</x:v>
      </x:c>
      <x:c r="V1289" s="14" t="n">
        <x:v>0</x:v>
      </x:c>
      <x:c r="W1289" s="12" t="n">
        <x:v>12.948051948051948</x:v>
      </x:c>
      <x:c r="X1289" s="11" t="n">
        <x:v>1</x:v>
      </x:c>
      <x:c r="Y1289" s="11" t="n">
        <x:v>1</x:v>
      </x:c>
      <x:c r="Z1289" s="4" t="str">
        <x:v>https://blog.skyairline.com/turismo-artigas-departamento/</x:v>
      </x:c>
      <x:c r="AA1289" s="4" t="str">
        <x:v>https://blog.skyairline.com/turismo-artigas-departamento/</x:v>
      </x:c>
      <x:c r="AB1289" s="4" t="str">
        <x:v>Coincidencia URL</x:v>
      </x:c>
      <x:c r="AC1289" s="4" t="str">
        <x:v>Publicado hasta septiembre</x:v>
      </x:c>
      <x:c r="AD1289" s="4" t="str">
        <x:v>/turismo-artigas-departamento/</x:v>
      </x:c>
      <x:c r="AE1289" s="4"/>
      <x:c r="AF1289" s="16" t="b">
        <x:v>0</x:v>
      </x:c>
    </x:row>
    <x:row r="1290" ht="44" customHeight="1">
      <x:c r="A1290" s="4" t="n">
        <x:v>3665</x:v>
      </x:c>
      <x:c r="B1290" s="4" t="str">
        <x:v>https://blog.skyairline.com/cabo-polonio-playa/</x:v>
      </x:c>
      <x:c r="C1290" s="9" t="str">
        <x:v>Qué hacer en Cabo Polonio Uruguay</x:v>
      </x:c>
      <x:c r="D1290" s="17" t="d">
        <x:v>2026-07-01T00:00:00.000Z</x:v>
      </x:c>
      <x:c r="E1290" s="17" t="d">
        <x:v>2026-07-01T00:00:00.000Z</x:v>
      </x:c>
      <x:c r="F1290" s="4" t="str">
        <x:v>Planificación de Viaje</x:v>
      </x:c>
      <x:c r="G1290" s="11" t="n">
        <x:v>1094</x:v>
      </x:c>
      <x:c r="H1290" s="11" t="n">
        <x:v>200</x:v>
      </x:c>
      <x:c r="I1290" s="11" t="n">
        <x:v>1</x:v>
      </x:c>
      <x:c r="J1290" s="4" t="str">
        <x:v>https://blog.skyairline.com/cabo-polonio-playa/</x:v>
      </x:c>
      <x:c r="K1290" s="16" t="b">
        <x:v>0</x:v>
      </x:c>
      <x:c r="L1290" s="11" t="n">
        <x:v>0</x:v>
      </x:c>
      <x:c r="M1290" s="11" t="n">
        <x:v>0</x:v>
      </x:c>
      <x:c r="N1290" s="4"/>
      <x:c r="O1290" s="4"/>
      <x:c r="P1290" s="11" t="n">
        <x:v>0</x:v>
      </x:c>
      <x:c r="Q1290" s="11" t="n">
        <x:v>0</x:v>
      </x:c>
      <x:c r="R1290" s="11" t="str">
        <x:f>IF(OR(P1290="",Q1290=""),"",Q1290-P1290)</x:f>
      </x:c>
      <x:c r="S1290" s="13" t="str">
        <x:f>IF(OR(P1290="",Q1290="",P1290=0),"",((Q1290/30)/(P1290/31))-1)</x:f>
      </x:c>
      <x:c r="T1290" s="11" t="n">
        <x:v>348</x:v>
      </x:c>
      <x:c r="U1290" s="11" t="n">
        <x:v>222</x:v>
      </x:c>
      <x:c r="V1290" s="14" t="n">
        <x:v>0</x:v>
      </x:c>
      <x:c r="W1290" s="12" t="n">
        <x:v>13.216216216216216</x:v>
      </x:c>
      <x:c r="X1290" s="11"/>
      <x:c r="Y1290" s="11"/>
      <x:c r="Z1290" s="4" t="str">
        <x:v>https://blog.skyairline.com/cabo-polonio-playa/</x:v>
      </x:c>
      <x:c r="AA1290" s="4" t="str">
        <x:v>https://blog.skyairline.com/cabo-polonio-playa/</x:v>
      </x:c>
      <x:c r="AB1290" s="4" t="str">
        <x:v>Coincidencia URL</x:v>
      </x:c>
      <x:c r="AC1290" s="4" t="str">
        <x:v>Publicado hasta septiembre</x:v>
      </x:c>
      <x:c r="AD1290" s="4"/>
      <x:c r="AE1290" s="4"/>
      <x:c r="AF1290" s="16" t="b">
        <x:v>0</x:v>
      </x:c>
    </x:row>
    <x:row r="1291" ht="44" customHeight="1">
      <x:c r="A1291" s="4" t="n">
        <x:v>3691</x:v>
      </x:c>
      <x:c r="B1291" s="4" t="str">
        <x:v>https://blog.skyairline.com/holger-paulmann-es-reconocido-por-la-sofofa-con-el-premio/</x:v>
      </x:c>
      <x:c r="C1291" s="9" t="str">
        <x:v>Holger Paulmann, presidente de SKY, es reconocido por la SOFOFA con el premio “Andrés Concha Rodríguez”</x:v>
      </x:c>
      <x:c r="D1291" s="17" t="d">
        <x:v>2023-11-21T00:00:00.000Z</x:v>
      </x:c>
      <x:c r="E1291" s="17" t="d">
        <x:v>2023-11-21T00:00:00.000Z</x:v>
      </x:c>
      <x:c r="F1291" s="4" t="str">
        <x:v>Noticias</x:v>
      </x:c>
      <x:c r="G1291" s="11" t="n">
        <x:v>616</x:v>
      </x:c>
      <x:c r="H1291" s="11" t="n">
        <x:v>200</x:v>
      </x:c>
      <x:c r="I1291" s="11" t="n">
        <x:v>1</x:v>
      </x:c>
      <x:c r="J1291" s="4" t="str">
        <x:v>https://blog.skyairline.com/holger-paulmann-es-reconocido-por-la-sofofa-con-el-premio/</x:v>
      </x:c>
      <x:c r="K1291" s="16" t="b">
        <x:v>0</x:v>
      </x:c>
      <x:c r="L1291" s="11" t="n">
        <x:v>0</x:v>
      </x:c>
      <x:c r="M1291" s="11" t="n">
        <x:v>0</x:v>
      </x:c>
      <x:c r="N1291" s="4"/>
      <x:c r="O1291" s="4"/>
      <x:c r="P1291" s="11" t="n">
        <x:v>0</x:v>
      </x:c>
      <x:c r="Q1291" s="11" t="n">
        <x:v>0</x:v>
      </x:c>
      <x:c r="R1291" s="11" t="str">
        <x:f>IF(OR(P1291="",Q1291=""),"",Q1291-P1291)</x:f>
      </x:c>
      <x:c r="S1291" s="13" t="str">
        <x:f>IF(OR(P1291="",Q1291="",P1291=0),"",((Q1291/30)/(P1291/31))-1)</x:f>
      </x:c>
      <x:c r="T1291" s="11" t="n">
        <x:v>31</x:v>
      </x:c>
      <x:c r="U1291" s="11" t="n">
        <x:v>26</x:v>
      </x:c>
      <x:c r="V1291" s="14" t="n">
        <x:v>0</x:v>
      </x:c>
      <x:c r="W1291" s="12" t="n">
        <x:v>8.692307692307693</x:v>
      </x:c>
      <x:c r="X1291" s="11"/>
      <x:c r="Y1291" s="11"/>
      <x:c r="Z1291" s="4" t="str">
        <x:v>https://blog.skyairline.com/holger-paulmann-es-reconocido-por-la-sofofa-con-el-premio/</x:v>
      </x:c>
      <x:c r="AA1291" s="4" t="str">
        <x:v>https://blog.skyairline.com/holger-paulmann-es-reconocido-por-la-sofofa-con-el-premio/</x:v>
      </x:c>
      <x:c r="AB1291" s="4" t="str">
        <x:v>Coincidencia URL</x:v>
      </x:c>
      <x:c r="AC1291" s="4" t="str">
        <x:v>Publicado hasta septiembre</x:v>
      </x:c>
      <x:c r="AD1291" s="4"/>
      <x:c r="AE1291" s="4"/>
      <x:c r="AF1291" s="16" t="b">
        <x:v>0</x:v>
      </x:c>
    </x:row>
    <x:row r="1292" ht="44" customHeight="1">
      <x:c r="A1292" s="4" t="n">
        <x:v>3695</x:v>
      </x:c>
      <x:c r="B1292" s="4" t="str">
        <x:v>https://blog.skyairline.com/seguimos-potenciando-nuestra-alianza-con-desafio-levantemos-chile/</x:v>
      </x:c>
      <x:c r="C1292" s="9" t="str">
        <x:v>Seguimos potenciando nuestra alianza con Desafío Levantemos Chile</x:v>
      </x:c>
      <x:c r="D1292" s="17" t="d">
        <x:v>2023-11-21T00:00:00.000Z</x:v>
      </x:c>
      <x:c r="E1292" s="17" t="d">
        <x:v>2023-11-21T00:00:00.000Z</x:v>
      </x:c>
      <x:c r="F1292" s="4" t="str">
        <x:v>Compromiso SKY</x:v>
      </x:c>
      <x:c r="G1292" s="11" t="n">
        <x:v>135</x:v>
      </x:c>
      <x:c r="H1292" s="11" t="n">
        <x:v>200</x:v>
      </x:c>
      <x:c r="I1292" s="11" t="n">
        <x:v>1</x:v>
      </x:c>
      <x:c r="J1292" s="4" t="str">
        <x:v>https://blog.skyairline.com/seguimos-potenciando-nuestra-alianza-con-desafio-levantemos-chile/</x:v>
      </x:c>
      <x:c r="K1292" s="16" t="b">
        <x:v>0</x:v>
      </x:c>
      <x:c r="L1292" s="11" t="n">
        <x:v>0</x:v>
      </x:c>
      <x:c r="M1292" s="11" t="n">
        <x:v>0</x:v>
      </x:c>
      <x:c r="N1292" s="4"/>
      <x:c r="O1292" s="4"/>
      <x:c r="P1292" s="11" t="n">
        <x:v>0</x:v>
      </x:c>
      <x:c r="Q1292" s="11" t="n">
        <x:v>0</x:v>
      </x:c>
      <x:c r="R1292" s="11" t="str">
        <x:f>IF(OR(P1292="",Q1292=""),"",Q1292-P1292)</x:f>
      </x:c>
      <x:c r="S1292" s="13" t="str">
        <x:f>IF(OR(P1292="",Q1292="",P1292=0),"",((Q1292/30)/(P1292/31))-1)</x:f>
      </x:c>
      <x:c r="T1292" s="11" t="n">
        <x:v>10</x:v>
      </x:c>
      <x:c r="U1292" s="11" t="n">
        <x:v>8</x:v>
      </x:c>
      <x:c r="V1292" s="14" t="n">
        <x:v>0</x:v>
      </x:c>
      <x:c r="W1292" s="12" t="n">
        <x:v>9.375</x:v>
      </x:c>
      <x:c r="X1292" s="11"/>
      <x:c r="Y1292" s="11"/>
      <x:c r="Z1292" s="4" t="str">
        <x:v>https://blog.skyairline.com/seguimos-potenciando-nuestra-alianza-con-desafio-levantemos-chile/</x:v>
      </x:c>
      <x:c r="AA1292" s="4" t="str">
        <x:v>https://blog.skyairline.com/seguimos-potenciando-nuestra-alianza-con-desafio-levantemos-chile/</x:v>
      </x:c>
      <x:c r="AB1292" s="4" t="str">
        <x:v>Coincidencia URL</x:v>
      </x:c>
      <x:c r="AC1292" s="4" t="str">
        <x:v>Publicado hasta septiembre</x:v>
      </x:c>
      <x:c r="AD1292" s="4"/>
      <x:c r="AE1292" s="4"/>
      <x:c r="AF1292" s="16" t="b">
        <x:v>0</x:v>
      </x:c>
    </x:row>
    <x:row r="1293" ht="44" customHeight="1">
      <x:c r="A1293" s="4" t="n">
        <x:v>3699</x:v>
      </x:c>
      <x:c r="B1293" s="4" t="str">
        <x:v>https://blog.skyairline.com/recibimos-el-sello-de-reduccion-de-huella-de-carbono-organizacional/</x:v>
      </x:c>
      <x:c r="C1293" s="9" t="str">
        <x:v>¡Recibimos el Sello de Reducción de Huella de Carbono Organizacional!</x:v>
      </x:c>
      <x:c r="D1293" s="17" t="d">
        <x:v>2023-11-21T00:00:00.000Z</x:v>
      </x:c>
      <x:c r="E1293" s="17" t="d">
        <x:v>2023-11-21T00:00:00.000Z</x:v>
      </x:c>
      <x:c r="F1293" s="4" t="str">
        <x:v>Compromiso SKY</x:v>
      </x:c>
      <x:c r="G1293" s="11" t="n">
        <x:v>96</x:v>
      </x:c>
      <x:c r="H1293" s="11" t="n">
        <x:v>200</x:v>
      </x:c>
      <x:c r="I1293" s="11" t="n">
        <x:v>1</x:v>
      </x:c>
      <x:c r="J1293" s="4" t="str">
        <x:v>https://blog.skyairline.com/recibimos-el-sello-de-reduccion-de-huella-de-carbono-organizacional/</x:v>
      </x:c>
      <x:c r="K1293" s="16" t="b">
        <x:v>0</x:v>
      </x:c>
      <x:c r="L1293" s="11" t="n">
        <x:v>0</x:v>
      </x:c>
      <x:c r="M1293" s="11" t="n">
        <x:v>0</x:v>
      </x:c>
      <x:c r="N1293" s="4"/>
      <x:c r="O1293" s="4"/>
      <x:c r="P1293" s="11" t="n">
        <x:v>0</x:v>
      </x:c>
      <x:c r="Q1293" s="11" t="n">
        <x:v>0</x:v>
      </x:c>
      <x:c r="R1293" s="11" t="str">
        <x:f>IF(OR(P1293="",Q1293=""),"",Q1293-P1293)</x:f>
      </x:c>
      <x:c r="S1293" s="13" t="str">
        <x:f>IF(OR(P1293="",Q1293="",P1293=0),"",((Q1293/30)/(P1293/31))-1)</x:f>
      </x:c>
      <x:c r="T1293" s="11" t="n">
        <x:v>3</x:v>
      </x:c>
      <x:c r="U1293" s="11" t="n">
        <x:v>17</x:v>
      </x:c>
      <x:c r="V1293" s="14" t="n">
        <x:v>0</x:v>
      </x:c>
      <x:c r="W1293" s="12" t="n">
        <x:v>8.235294117647058</x:v>
      </x:c>
      <x:c r="X1293" s="11"/>
      <x:c r="Y1293" s="11"/>
      <x:c r="Z1293" s="4" t="str">
        <x:v>https://blog.skyairline.com/recibimos-el-sello-de-reduccion-de-huella-de-carbono-organizacional/</x:v>
      </x:c>
      <x:c r="AA1293" s="4" t="str">
        <x:v>https://blog.skyairline.com/recibimos-el-sello-de-reduccion-de-huella-de-carbono-organizacional/</x:v>
      </x:c>
      <x:c r="AB1293" s="4" t="str">
        <x:v>Coincidencia URL</x:v>
      </x:c>
      <x:c r="AC1293" s="4" t="str">
        <x:v>Publicado hasta septiembre</x:v>
      </x:c>
      <x:c r="AD1293" s="4"/>
      <x:c r="AE1293" s="4"/>
      <x:c r="AF1293" s="16" t="b">
        <x:v>0</x:v>
      </x:c>
    </x:row>
    <x:row r="1294" ht="44" customHeight="1">
      <x:c r="A1294" s="4" t="n">
        <x:v>3713</x:v>
      </x:c>
      <x:c r="B1294" s="4" t="str">
        <x:v>https://blog.skyairline.com/cyber-peru-descuentos-mas-de-40-mil-pasajes-con-descuentos-de-hasta-47/</x:v>
      </x:c>
      <x:c r="C1294" s="9" t="str">
        <x:v>CYBER PERÚ DESCUENTOS: MÁS DE 40 MIL PASAJES CON DESCUENTOS DE HASTA 47%</x:v>
      </x:c>
      <x:c r="D1294" s="17" t="d">
        <x:v>2023-11-22T00:00:00.000Z</x:v>
      </x:c>
      <x:c r="E1294" s="17" t="d">
        <x:v>2023-11-22T00:00:00.000Z</x:v>
      </x:c>
      <x:c r="F1294" s="4" t="str">
        <x:v>Noticias</x:v>
      </x:c>
      <x:c r="G1294" s="11" t="n">
        <x:v>585</x:v>
      </x:c>
      <x:c r="H1294" s="11" t="n">
        <x:v>200</x:v>
      </x:c>
      <x:c r="I1294" s="11" t="n">
        <x:v>1</x:v>
      </x:c>
      <x:c r="J1294" s="4" t="str">
        <x:v>https://blog.skyairline.com/cyber-peru-descuentos-mas-de-40-mil-pasajes-con-descuentos-de-hasta-47/</x:v>
      </x:c>
      <x:c r="K1294" s="16" t="b">
        <x:v>0</x:v>
      </x:c>
      <x:c r="L1294" s="11" t="n">
        <x:v>0</x:v>
      </x:c>
      <x:c r="M1294" s="11" t="n">
        <x:v>0</x:v>
      </x:c>
      <x:c r="N1294" s="4"/>
      <x:c r="O1294" s="4"/>
      <x:c r="P1294" s="11" t="n">
        <x:v>0</x:v>
      </x:c>
      <x:c r="Q1294" s="11" t="n">
        <x:v>0</x:v>
      </x:c>
      <x:c r="R1294" s="11" t="str">
        <x:f>IF(OR(P1294="",Q1294=""),"",Q1294-P1294)</x:f>
      </x:c>
      <x:c r="S1294" s="13" t="str">
        <x:f>IF(OR(P1294="",Q1294="",P1294=0),"",((Q1294/30)/(P1294/31))-1)</x:f>
      </x:c>
      <x:c r="T1294" s="11" t="n">
        <x:v>123</x:v>
      </x:c>
      <x:c r="U1294" s="11" t="n">
        <x:v>60</x:v>
      </x:c>
      <x:c r="V1294" s="14" t="n">
        <x:v>0</x:v>
      </x:c>
      <x:c r="W1294" s="12" t="n">
        <x:v>18.05</x:v>
      </x:c>
      <x:c r="X1294" s="11"/>
      <x:c r="Y1294" s="11"/>
      <x:c r="Z1294" s="4" t="str">
        <x:v>https://blog.skyairline.com/cyber-peru-descuentos-mas-de-40-mil-pasajes-con-descuentos-de-hasta-47/</x:v>
      </x:c>
      <x:c r="AA1294" s="4" t="str">
        <x:v>https://blog.skyairline.com/cyber-peru-descuentos-mas-de-40-mil-pasajes-con-descuentos-de-hasta-47/</x:v>
      </x:c>
      <x:c r="AB1294" s="4" t="str">
        <x:v>Coincidencia URL</x:v>
      </x:c>
      <x:c r="AC1294" s="4" t="str">
        <x:v>Publicado hasta septiembre</x:v>
      </x:c>
      <x:c r="AD1294" s="4"/>
      <x:c r="AE1294" s="4"/>
      <x:c r="AF1294" s="16" t="b">
        <x:v>0</x:v>
      </x:c>
    </x:row>
    <x:row r="1295" ht="44" customHeight="1">
      <x:c r="A1295" s="4" t="n">
        <x:v>3718</x:v>
      </x:c>
      <x:c r="B1295" s="4" t="str">
        <x:v>https://blog.skyairline.com/parque-del-plata/</x:v>
      </x:c>
      <x:c r="C1295" s="9" t="str">
        <x:v>¿Qué hacer en Parque del Plata?</x:v>
      </x:c>
      <x:c r="D1295" s="17" t="d">
        <x:v>2023-11-29T00:00:00.000Z</x:v>
      </x:c>
      <x:c r="E1295" s="17" t="d">
        <x:v>2023-11-29T00:00:00.000Z</x:v>
      </x:c>
      <x:c r="F1295" s="4" t="str">
        <x:v>Destinos</x:v>
      </x:c>
      <x:c r="G1295" s="11" t="n">
        <x:v>983</x:v>
      </x:c>
      <x:c r="H1295" s="11" t="n">
        <x:v>200</x:v>
      </x:c>
      <x:c r="I1295" s="11" t="n">
        <x:v>1</x:v>
      </x:c>
      <x:c r="J1295" s="4" t="str">
        <x:v>https://blog.skyairline.com/parque-del-plata/</x:v>
      </x:c>
      <x:c r="K1295" s="16" t="b">
        <x:v>0</x:v>
      </x:c>
      <x:c r="L1295" s="11" t="n">
        <x:v>0</x:v>
      </x:c>
      <x:c r="M1295" s="11" t="n">
        <x:v>3</x:v>
      </x:c>
      <x:c r="N1295" s="4"/>
      <x:c r="O1295" s="4"/>
      <x:c r="P1295" s="11" t="n">
        <x:v>0</x:v>
      </x:c>
      <x:c r="Q1295" s="11" t="n">
        <x:v>0</x:v>
      </x:c>
      <x:c r="R1295" s="11" t="str">
        <x:f>IF(OR(P1295="",Q1295=""),"",Q1295-P1295)</x:f>
      </x:c>
      <x:c r="S1295" s="13" t="str">
        <x:f>IF(OR(P1295="",Q1295="",P1295=0),"",((Q1295/30)/(P1295/31))-1)</x:f>
      </x:c>
      <x:c r="T1295" s="11" t="n">
        <x:v>90</x:v>
      </x:c>
      <x:c r="U1295" s="11" t="n">
        <x:v>45</x:v>
      </x:c>
      <x:c r="V1295" s="14" t="n">
        <x:v>0</x:v>
      </x:c>
      <x:c r="W1295" s="12" t="n">
        <x:v>14.022222222222222</x:v>
      </x:c>
      <x:c r="X1295" s="11"/>
      <x:c r="Y1295" s="11"/>
      <x:c r="Z1295" s="4" t="str">
        <x:v>https://blog.skyairline.com/parque-del-plata/</x:v>
      </x:c>
      <x:c r="AA1295" s="4" t="str">
        <x:v>https://blog.skyairline.com/parque-del-plata/</x:v>
      </x:c>
      <x:c r="AB1295" s="4" t="str">
        <x:v>Coincidencia URL</x:v>
      </x:c>
      <x:c r="AC1295" s="4" t="str">
        <x:v>Publicado hasta septiembre</x:v>
      </x:c>
      <x:c r="AD1295" s="4"/>
      <x:c r="AE1295" s="4"/>
      <x:c r="AF1295" s="16" t="b">
        <x:v>0</x:v>
      </x:c>
    </x:row>
    <x:row r="1296" ht="44" customHeight="1">
      <x:c r="A1296" s="4" t="n">
        <x:v>3721</x:v>
      </x:c>
      <x:c r="B1296" s="4" t="str">
        <x:v>https://blog.skyairline.com/minas-uruguay/</x:v>
      </x:c>
      <x:c r="C1296" s="9" t="str">
        <x:v>¿Qué hacer en Minas (Uruguay)?</x:v>
      </x:c>
      <x:c r="D1296" s="17" t="d">
        <x:v>2023-11-30T00:00:00.000Z</x:v>
      </x:c>
      <x:c r="E1296" s="17" t="d">
        <x:v>2023-11-30T00:00:00.000Z</x:v>
      </x:c>
      <x:c r="F1296" s="4" t="str">
        <x:v>Destinos</x:v>
      </x:c>
      <x:c r="G1296" s="11" t="n">
        <x:v>1072</x:v>
      </x:c>
      <x:c r="H1296" s="11" t="n">
        <x:v>200</x:v>
      </x:c>
      <x:c r="I1296" s="11" t="n">
        <x:v>1</x:v>
      </x:c>
      <x:c r="J1296" s="4" t="str">
        <x:v>https://blog.skyairline.com/minas-uruguay/</x:v>
      </x:c>
      <x:c r="K1296" s="16" t="b">
        <x:v>0</x:v>
      </x:c>
      <x:c r="L1296" s="11" t="n">
        <x:v>0</x:v>
      </x:c>
      <x:c r="M1296" s="11" t="n">
        <x:v>3</x:v>
      </x:c>
      <x:c r="N1296" s="4"/>
      <x:c r="O1296" s="4"/>
      <x:c r="P1296" s="11" t="n">
        <x:v>2</x:v>
      </x:c>
      <x:c r="Q1296" s="11" t="n">
        <x:v>0</x:v>
      </x:c>
      <x:c r="R1296" s="11" t="str">
        <x:f>IF(OR(P1296="",Q1296=""),"",Q1296-P1296)</x:f>
      </x:c>
      <x:c r="S1296" s="13" t="str">
        <x:f>IF(OR(P1296="",Q1296="",P1296=0),"",((Q1296/30)/(P1296/31))-1)</x:f>
      </x:c>
      <x:c r="T1296" s="11" t="n">
        <x:v>542</x:v>
      </x:c>
      <x:c r="U1296" s="11" t="n">
        <x:v>401</x:v>
      </x:c>
      <x:c r="V1296" s="14" t="n">
        <x:v>0</x:v>
      </x:c>
      <x:c r="W1296" s="12" t="n">
        <x:v>15.88778054862843</x:v>
      </x:c>
      <x:c r="X1296" s="11" t="n">
        <x:v>1</x:v>
      </x:c>
      <x:c r="Y1296" s="11" t="n">
        <x:v>1</x:v>
      </x:c>
      <x:c r="Z1296" s="4" t="str">
        <x:v>https://blog.skyairline.com/minas-uruguay/</x:v>
      </x:c>
      <x:c r="AA1296" s="4" t="str">
        <x:v>https://blog.skyairline.com/minas-uruguay/</x:v>
      </x:c>
      <x:c r="AB1296" s="4" t="str">
        <x:v>Coincidencia URL</x:v>
      </x:c>
      <x:c r="AC1296" s="4" t="str">
        <x:v>Publicado hasta septiembre</x:v>
      </x:c>
      <x:c r="AD1296" s="4" t="str">
        <x:v>/minas-uruguay/</x:v>
      </x:c>
      <x:c r="AE1296" s="4"/>
      <x:c r="AF1296" s="16" t="b">
        <x:v>0</x:v>
      </x:c>
    </x:row>
    <x:row r="1297" ht="44" customHeight="1">
      <x:c r="A1297" s="4" t="n">
        <x:v>3725</x:v>
      </x:c>
      <x:c r="B1297" s="4" t="str">
        <x:v>https://blog.skyairline.com/playas-del-caribe-2/</x:v>
      </x:c>
      <x:c r="C1297" s="9" t="str">
        <x:v>Las mejores playas del Caribe para visitar este año</x:v>
      </x:c>
      <x:c r="D1297" s="17" t="d">
        <x:v>2024-10-06T00:00:00.000Z</x:v>
      </x:c>
      <x:c r="E1297" s="17" t="d">
        <x:v>2026-01-12T00:00:00.000Z</x:v>
      </x:c>
      <x:c r="F1297" s="4" t="str">
        <x:v>Destinos</x:v>
      </x:c>
      <x:c r="G1297" s="11" t="n">
        <x:v>1113</x:v>
      </x:c>
      <x:c r="H1297" s="11" t="n">
        <x:v>200</x:v>
      </x:c>
      <x:c r="I1297" s="11" t="n">
        <x:v>1</x:v>
      </x:c>
      <x:c r="J1297" s="4" t="str">
        <x:v>https://blog.skyairline.com/playas-del-caribe-2/</x:v>
      </x:c>
      <x:c r="K1297" s="16" t="b">
        <x:v>0</x:v>
      </x:c>
      <x:c r="L1297" s="11" t="n">
        <x:v>0</x:v>
      </x:c>
      <x:c r="M1297" s="11" t="n">
        <x:v>3</x:v>
      </x:c>
      <x:c r="N1297" s="4"/>
      <x:c r="O1297" s="4"/>
      <x:c r="P1297" s="11" t="n">
        <x:v>3</x:v>
      </x:c>
      <x:c r="Q1297" s="11" t="n">
        <x:v>0</x:v>
      </x:c>
      <x:c r="R1297" s="11" t="str">
        <x:f>IF(OR(P1297="",Q1297=""),"",Q1297-P1297)</x:f>
      </x:c>
      <x:c r="S1297" s="13" t="str">
        <x:f>IF(OR(P1297="",Q1297="",P1297=0),"",((Q1297/30)/(P1297/31))-1)</x:f>
      </x:c>
      <x:c r="T1297" s="11" t="n">
        <x:v>435</x:v>
      </x:c>
      <x:c r="U1297" s="11" t="n">
        <x:v>207</x:v>
      </x:c>
      <x:c r="V1297" s="14" t="n">
        <x:v>0</x:v>
      </x:c>
      <x:c r="W1297" s="12" t="n">
        <x:v>23.17391304347826</x:v>
      </x:c>
      <x:c r="X1297" s="11"/>
      <x:c r="Y1297" s="11"/>
      <x:c r="Z1297" s="4" t="str">
        <x:v>https://blog.skyairline.com/playas-del-caribe-2/</x:v>
      </x:c>
      <x:c r="AA1297" s="4" t="str">
        <x:v>https://blog.skyairline.com/playas-del-caribe-2/</x:v>
      </x:c>
      <x:c r="AB1297" s="4" t="str">
        <x:v>Coincidencia URL</x:v>
      </x:c>
      <x:c r="AC1297" s="4" t="str">
        <x:v>Publicado hasta septiembre</x:v>
      </x:c>
      <x:c r="AD1297" s="4"/>
      <x:c r="AE1297" s="4"/>
      <x:c r="AF1297" s="16" t="b">
        <x:v>0</x:v>
      </x:c>
    </x:row>
    <x:row r="1298" ht="44" customHeight="1">
      <x:c r="A1298" s="4" t="n">
        <x:v>3731</x:v>
      </x:c>
      <x:c r="B1298" s="4" t="str">
        <x:v>https://blog.skyairline.com/tacuarembo/</x:v>
      </x:c>
      <x:c r="C1298" s="9" t="str">
        <x:v>¿Qué hacer en Tacuarembó?</x:v>
      </x:c>
      <x:c r="D1298" s="17" t="d">
        <x:v>2023-12-05T00:00:00.000Z</x:v>
      </x:c>
      <x:c r="E1298" s="17" t="d">
        <x:v>2023-12-05T00:00:00.000Z</x:v>
      </x:c>
      <x:c r="F1298" s="4" t="str">
        <x:v>Destinos</x:v>
      </x:c>
      <x:c r="G1298" s="11" t="n">
        <x:v>1060</x:v>
      </x:c>
      <x:c r="H1298" s="11" t="n">
        <x:v>200</x:v>
      </x:c>
      <x:c r="I1298" s="11" t="n">
        <x:v>1</x:v>
      </x:c>
      <x:c r="J1298" s="4" t="str">
        <x:v>https://blog.skyairline.com/tacuarembo/</x:v>
      </x:c>
      <x:c r="K1298" s="16" t="b">
        <x:v>0</x:v>
      </x:c>
      <x:c r="L1298" s="11" t="n">
        <x:v>0</x:v>
      </x:c>
      <x:c r="M1298" s="11" t="n">
        <x:v>4</x:v>
      </x:c>
      <x:c r="N1298" s="4"/>
      <x:c r="O1298" s="4"/>
      <x:c r="P1298" s="11" t="n">
        <x:v>0</x:v>
      </x:c>
      <x:c r="Q1298" s="11" t="n">
        <x:v>0</x:v>
      </x:c>
      <x:c r="R1298" s="11" t="str">
        <x:f>IF(OR(P1298="",Q1298=""),"",Q1298-P1298)</x:f>
      </x:c>
      <x:c r="S1298" s="13" t="str">
        <x:f>IF(OR(P1298="",Q1298="",P1298=0),"",((Q1298/30)/(P1298/31))-1)</x:f>
      </x:c>
      <x:c r="T1298" s="11" t="n">
        <x:v>153</x:v>
      </x:c>
      <x:c r="U1298" s="11" t="n">
        <x:v>106</x:v>
      </x:c>
      <x:c r="V1298" s="14" t="n">
        <x:v>0</x:v>
      </x:c>
      <x:c r="W1298" s="12" t="n">
        <x:v>19.91509433962264</x:v>
      </x:c>
      <x:c r="X1298" s="11"/>
      <x:c r="Y1298" s="11"/>
      <x:c r="Z1298" s="4" t="str">
        <x:v>https://blog.skyairline.com/tacuarembo/</x:v>
      </x:c>
      <x:c r="AA1298" s="4" t="str">
        <x:v>https://blog.skyairline.com/tacuarembo/</x:v>
      </x:c>
      <x:c r="AB1298" s="4" t="str">
        <x:v>Coincidencia URL</x:v>
      </x:c>
      <x:c r="AC1298" s="4" t="str">
        <x:v>Publicado hasta septiembre</x:v>
      </x:c>
      <x:c r="AD1298" s="4"/>
      <x:c r="AE1298" s="4"/>
      <x:c r="AF1298" s="16" t="b">
        <x:v>0</x:v>
      </x:c>
    </x:row>
    <x:row r="1299" ht="44" customHeight="1">
      <x:c r="A1299" s="4" t="n">
        <x:v>3752</x:v>
      </x:c>
      <x:c r="B1299" s="4" t="str">
        <x:v>https://blog.skyairline.com/sky-y-clinica-alemana-de-santiago-sellan-alianza-para-potenciar-operativos-medicos-en-regiones-de-chile/</x:v>
      </x:c>
      <x:c r="C1299" s="9" t="str">
        <x:v>SKY y Clínica Alemana de Santiago sellan alianza para potenciar operativos médicos en regiones de Chile</x:v>
      </x:c>
      <x:c r="D1299" s="17" t="d">
        <x:v>2023-12-11T00:00:00.000Z</x:v>
      </x:c>
      <x:c r="E1299" s="17" t="d">
        <x:v>2023-12-11T00:00:00.000Z</x:v>
      </x:c>
      <x:c r="F1299" s="4" t="str">
        <x:v>Compromiso SKY</x:v>
      </x:c>
      <x:c r="G1299" s="11" t="n">
        <x:v>427</x:v>
      </x:c>
      <x:c r="H1299" s="11" t="n">
        <x:v>200</x:v>
      </x:c>
      <x:c r="I1299" s="11" t="n">
        <x:v>1</x:v>
      </x:c>
      <x:c r="J1299" s="4" t="str">
        <x:v>https://blog.skyairline.com/sky-y-clinica-alemana-de-santiago-sellan-alianza-para-potenciar-operativos-medicos-en-regiones-de-chile/</x:v>
      </x:c>
      <x:c r="K1299" s="16" t="b">
        <x:v>0</x:v>
      </x:c>
      <x:c r="L1299" s="11" t="n">
        <x:v>0</x:v>
      </x:c>
      <x:c r="M1299" s="11" t="n">
        <x:v>0</x:v>
      </x:c>
      <x:c r="N1299" s="4"/>
      <x:c r="O1299" s="4"/>
      <x:c r="P1299" s="11" t="n">
        <x:v>0</x:v>
      </x:c>
      <x:c r="Q1299" s="11" t="n">
        <x:v>0</x:v>
      </x:c>
      <x:c r="R1299" s="11" t="str">
        <x:f>IF(OR(P1299="",Q1299=""),"",Q1299-P1299)</x:f>
      </x:c>
      <x:c r="S1299" s="13" t="str">
        <x:f>IF(OR(P1299="",Q1299="",P1299=0),"",((Q1299/30)/(P1299/31))-1)</x:f>
      </x:c>
      <x:c r="T1299" s="11" t="n">
        <x:v>14</x:v>
      </x:c>
      <x:c r="U1299" s="11" t="n">
        <x:v>10</x:v>
      </x:c>
      <x:c r="V1299" s="14" t="n">
        <x:v>0</x:v>
      </x:c>
      <x:c r="W1299" s="12" t="n">
        <x:v>6.9</x:v>
      </x:c>
      <x:c r="X1299" s="11"/>
      <x:c r="Y1299" s="11"/>
      <x:c r="Z1299" s="4" t="str">
        <x:v>https://blog.skyairline.com/sky-y-clinica-alemana-de-santiago-sellan-alianza-para-potenciar-operativos-medicos-en-regiones-de-chile/</x:v>
      </x:c>
      <x:c r="AA1299" s="4" t="str">
        <x:v>https://blog.skyairline.com/sky-y-clinica-alemana-de-santiago-sellan-alianza-para-potenciar-operativos-medicos-en-regiones-de-chile/</x:v>
      </x:c>
      <x:c r="AB1299" s="4" t="str">
        <x:v>Coincidencia URL</x:v>
      </x:c>
      <x:c r="AC1299" s="4" t="str">
        <x:v>Publicado hasta septiembre</x:v>
      </x:c>
      <x:c r="AD1299" s="4"/>
      <x:c r="AE1299" s="4"/>
      <x:c r="AF1299" s="16" t="b">
        <x:v>0</x:v>
      </x:c>
    </x:row>
    <x:row r="1300" ht="44" customHeight="1">
      <x:c r="A1300" s="4" t="n">
        <x:v>3825</x:v>
      </x:c>
      <x:c r="B1300" s="4" t="str">
        <x:v>https://blog.skyairline.com/ninos-de-la-araucania-vuelan-por-primera-vez-en-avion-junto-a-sky/</x:v>
      </x:c>
      <x:c r="C1300" s="9" t="str">
        <x:v>Niños de La Araucanía vuelan por primera vez en avión junto a SKY</x:v>
      </x:c>
      <x:c r="D1300" s="17" t="d">
        <x:v>2023-12-26T00:00:00.000Z</x:v>
      </x:c>
      <x:c r="E1300" s="17" t="d">
        <x:v>2023-12-26T00:00:00.000Z</x:v>
      </x:c>
      <x:c r="F1300" s="4" t="str">
        <x:v>Compromiso SKY</x:v>
      </x:c>
      <x:c r="G1300" s="11" t="n">
        <x:v>217</x:v>
      </x:c>
      <x:c r="H1300" s="11" t="n">
        <x:v>200</x:v>
      </x:c>
      <x:c r="I1300" s="11" t="n">
        <x:v>1</x:v>
      </x:c>
      <x:c r="J1300" s="4" t="str">
        <x:v>https://blog.skyairline.com/ninos-de-la-araucania-vuelan-por-primera-vez-en-avion-junto-a-sky/</x:v>
      </x:c>
      <x:c r="K1300" s="16" t="b">
        <x:v>0</x:v>
      </x:c>
      <x:c r="L1300" s="11" t="n">
        <x:v>0</x:v>
      </x:c>
      <x:c r="M1300" s="11" t="n">
        <x:v>0</x:v>
      </x:c>
      <x:c r="N1300" s="4"/>
      <x:c r="O1300" s="4"/>
      <x:c r="P1300" s="11" t="n">
        <x:v>0</x:v>
      </x:c>
      <x:c r="Q1300" s="11" t="n">
        <x:v>0</x:v>
      </x:c>
      <x:c r="R1300" s="11" t="str">
        <x:f>IF(OR(P1300="",Q1300=""),"",Q1300-P1300)</x:f>
      </x:c>
      <x:c r="S1300" s="13" t="str">
        <x:f>IF(OR(P1300="",Q1300="",P1300=0),"",((Q1300/30)/(P1300/31))-1)</x:f>
      </x:c>
      <x:c r="T1300" s="11" t="n">
        <x:v>15</x:v>
      </x:c>
      <x:c r="U1300" s="11" t="n">
        <x:v>32</x:v>
      </x:c>
      <x:c r="V1300" s="14" t="n">
        <x:v>0</x:v>
      </x:c>
      <x:c r="W1300" s="12" t="n">
        <x:v>13.375</x:v>
      </x:c>
      <x:c r="X1300" s="11"/>
      <x:c r="Y1300" s="11"/>
      <x:c r="Z1300" s="4" t="str">
        <x:v>https://blog.skyairline.com/ninos-de-la-araucania-vuelan-por-primera-vez-en-avion-junto-a-sky/</x:v>
      </x:c>
      <x:c r="AA1300" s="4" t="str">
        <x:v>https://blog.skyairline.com/ninos-de-la-araucania-vuelan-por-primera-vez-en-avion-junto-a-sky/</x:v>
      </x:c>
      <x:c r="AB1300" s="4" t="str">
        <x:v>Coincidencia URL</x:v>
      </x:c>
      <x:c r="AC1300" s="4" t="str">
        <x:v>Publicado hasta septiembre</x:v>
      </x:c>
      <x:c r="AD1300" s="4"/>
      <x:c r="AE1300" s="4"/>
      <x:c r="AF1300" s="16" t="b">
        <x:v>0</x:v>
      </x:c>
    </x:row>
    <x:row r="1301" ht="44" customHeight="1">
      <x:c r="A1301" s="4" t="n">
        <x:v>3836</x:v>
      </x:c>
      <x:c r="B1301" s="4" t="str">
        <x:v>https://blog.skyairline.com/colombia-turismo-playas/</x:v>
      </x:c>
      <x:c r="C1301" s="9" t="str">
        <x:v>Colombia turismo: Playas colombianas que debes visitar</x:v>
      </x:c>
      <x:c r="D1301" s="17" t="d">
        <x:v>2023-12-16T00:00:00.000Z</x:v>
      </x:c>
      <x:c r="E1301" s="17" t="d">
        <x:v>2023-12-16T00:00:00.000Z</x:v>
      </x:c>
      <x:c r="F1301" s="4" t="str">
        <x:v>Destinos</x:v>
      </x:c>
      <x:c r="G1301" s="11" t="n">
        <x:v>1148</x:v>
      </x:c>
      <x:c r="H1301" s="11" t="n">
        <x:v>200</x:v>
      </x:c>
      <x:c r="I1301" s="11" t="n">
        <x:v>1</x:v>
      </x:c>
      <x:c r="J1301" s="4" t="str">
        <x:v>https://blog.skyairline.com/colombia-turismo-playas/</x:v>
      </x:c>
      <x:c r="K1301" s="16" t="b">
        <x:v>0</x:v>
      </x:c>
      <x:c r="L1301" s="11" t="n">
        <x:v>0</x:v>
      </x:c>
      <x:c r="M1301" s="11" t="n">
        <x:v>3</x:v>
      </x:c>
      <x:c r="N1301" s="4"/>
      <x:c r="O1301" s="4"/>
      <x:c r="P1301" s="11" t="n">
        <x:v>0</x:v>
      </x:c>
      <x:c r="Q1301" s="11" t="n">
        <x:v>0</x:v>
      </x:c>
      <x:c r="R1301" s="11" t="str">
        <x:f>IF(OR(P1301="",Q1301=""),"",Q1301-P1301)</x:f>
      </x:c>
      <x:c r="S1301" s="13" t="str">
        <x:f>IF(OR(P1301="",Q1301="",P1301=0),"",((Q1301/30)/(P1301/31))-1)</x:f>
      </x:c>
      <x:c r="T1301" s="11" t="n">
        <x:v>186</x:v>
      </x:c>
      <x:c r="U1301" s="11" t="n">
        <x:v>171</x:v>
      </x:c>
      <x:c r="V1301" s="14" t="n">
        <x:v>0</x:v>
      </x:c>
      <x:c r="W1301" s="12" t="n">
        <x:v>52.76608187134503</x:v>
      </x:c>
      <x:c r="X1301" s="11"/>
      <x:c r="Y1301" s="11"/>
      <x:c r="Z1301" s="4" t="str">
        <x:v>https://blog.skyairline.com/colombia-turismo-playas/</x:v>
      </x:c>
      <x:c r="AA1301" s="4" t="str">
        <x:v>https://blog.skyairline.com/colombia-turismo-playas/</x:v>
      </x:c>
      <x:c r="AB1301" s="4" t="str">
        <x:v>Coincidencia URL</x:v>
      </x:c>
      <x:c r="AC1301" s="4" t="str">
        <x:v>Publicado hasta septiembre</x:v>
      </x:c>
      <x:c r="AD1301" s="4"/>
      <x:c r="AE1301" s="4"/>
      <x:c r="AF1301" s="16" t="b">
        <x:v>0</x:v>
      </x:c>
    </x:row>
    <x:row r="1302" ht="44" customHeight="1">
      <x:c r="A1302" s="4" t="n">
        <x:v>3888</x:v>
      </x:c>
      <x:c r="B1302" s="4" t="str">
        <x:v>https://blog.skyairline.com/aprender-portugues/</x:v>
      </x:c>
      <x:c r="C1302" s="9" t="str">
        <x:v>¿Cómo aprender portugués rápido?</x:v>
      </x:c>
      <x:c r="D1302" s="17" t="d">
        <x:v>2023-12-30T00:00:00.000Z</x:v>
      </x:c>
      <x:c r="E1302" s="17" t="d">
        <x:v>2023-12-30T00:00:00.000Z</x:v>
      </x:c>
      <x:c r="F1302" s="4" t="str">
        <x:v>Planificación de Viaje</x:v>
      </x:c>
      <x:c r="G1302" s="11" t="n">
        <x:v>1023</x:v>
      </x:c>
      <x:c r="H1302" s="11" t="n">
        <x:v>200</x:v>
      </x:c>
      <x:c r="I1302" s="11" t="n">
        <x:v>1</x:v>
      </x:c>
      <x:c r="J1302" s="4" t="str">
        <x:v>https://blog.skyairline.com/aprender-portugues/</x:v>
      </x:c>
      <x:c r="K1302" s="16" t="b">
        <x:v>0</x:v>
      </x:c>
      <x:c r="L1302" s="11" t="n">
        <x:v>0</x:v>
      </x:c>
      <x:c r="M1302" s="11" t="n">
        <x:v>3</x:v>
      </x:c>
      <x:c r="N1302" s="4"/>
      <x:c r="O1302" s="4"/>
      <x:c r="P1302" s="11" t="n">
        <x:v>0</x:v>
      </x:c>
      <x:c r="Q1302" s="11" t="n">
        <x:v>0</x:v>
      </x:c>
      <x:c r="R1302" s="11" t="str">
        <x:f>IF(OR(P1302="",Q1302=""),"",Q1302-P1302)</x:f>
      </x:c>
      <x:c r="S1302" s="13" t="str">
        <x:f>IF(OR(P1302="",Q1302="",P1302=0),"",((Q1302/30)/(P1302/31))-1)</x:f>
      </x:c>
      <x:c r="T1302" s="11" t="n">
        <x:v>471</x:v>
      </x:c>
      <x:c r="U1302" s="11" t="n">
        <x:v>342</x:v>
      </x:c>
      <x:c r="V1302" s="14" t="n">
        <x:v>0</x:v>
      </x:c>
      <x:c r="W1302" s="12" t="n">
        <x:v>23.502923976608187</x:v>
      </x:c>
      <x:c r="X1302" s="11"/>
      <x:c r="Y1302" s="11"/>
      <x:c r="Z1302" s="4" t="str">
        <x:v>https://blog.skyairline.com/aprender-portugues/</x:v>
      </x:c>
      <x:c r="AA1302" s="4" t="str">
        <x:v>https://blog.skyairline.com/aprender-portugues/</x:v>
      </x:c>
      <x:c r="AB1302" s="4" t="str">
        <x:v>Coincidencia URL</x:v>
      </x:c>
      <x:c r="AC1302" s="4" t="str">
        <x:v>Publicado hasta septiembre</x:v>
      </x:c>
      <x:c r="AD1302" s="4"/>
      <x:c r="AE1302" s="4"/>
      <x:c r="AF1302" s="16" t="b">
        <x:v>0</x:v>
      </x:c>
    </x:row>
    <x:row r="1303" ht="44" customHeight="1">
      <x:c r="A1303" s="4" t="n">
        <x:v>3905</x:v>
      </x:c>
      <x:c r="B1303" s="4" t="str">
        <x:v>https://blog.skyairline.com/aprender-ingles/</x:v>
      </x:c>
      <x:c r="C1303" s="9" t="str">
        <x:v>Aprender inglés en el extranjero: Mejores países para hacerlo</x:v>
      </x:c>
      <x:c r="D1303" s="17" t="d">
        <x:v>2024-01-06T00:00:00.000Z</x:v>
      </x:c>
      <x:c r="E1303" s="17" t="d">
        <x:v>2024-01-06T00:00:00.000Z</x:v>
      </x:c>
      <x:c r="F1303" s="4" t="str">
        <x:v>Cultura</x:v>
      </x:c>
      <x:c r="G1303" s="11" t="n">
        <x:v>1074</x:v>
      </x:c>
      <x:c r="H1303" s="11" t="n">
        <x:v>200</x:v>
      </x:c>
      <x:c r="I1303" s="11" t="n">
        <x:v>1</x:v>
      </x:c>
      <x:c r="J1303" s="4" t="str">
        <x:v>https://blog.skyairline.com/aprender-ingles/</x:v>
      </x:c>
      <x:c r="K1303" s="16" t="b">
        <x:v>0</x:v>
      </x:c>
      <x:c r="L1303" s="11" t="n">
        <x:v>0</x:v>
      </x:c>
      <x:c r="M1303" s="11" t="n">
        <x:v>3</x:v>
      </x:c>
      <x:c r="N1303" s="4"/>
      <x:c r="O1303" s="4"/>
      <x:c r="P1303" s="11" t="n">
        <x:v>0</x:v>
      </x:c>
      <x:c r="Q1303" s="11" t="n">
        <x:v>0</x:v>
      </x:c>
      <x:c r="R1303" s="11" t="str">
        <x:f>IF(OR(P1303="",Q1303=""),"",Q1303-P1303)</x:f>
      </x:c>
      <x:c r="S1303" s="13" t="str">
        <x:f>IF(OR(P1303="",Q1303="",P1303=0),"",((Q1303/30)/(P1303/31))-1)</x:f>
      </x:c>
      <x:c r="T1303" s="11" t="n">
        <x:v>713</x:v>
      </x:c>
      <x:c r="U1303" s="11" t="n">
        <x:v>348</x:v>
      </x:c>
      <x:c r="V1303" s="14" t="n">
        <x:v>0</x:v>
      </x:c>
      <x:c r="W1303" s="12" t="n">
        <x:v>33.62643678160919</x:v>
      </x:c>
      <x:c r="X1303" s="11"/>
      <x:c r="Y1303" s="11"/>
      <x:c r="Z1303" s="4" t="str">
        <x:v>https://blog.skyairline.com/aprender-ingles/</x:v>
      </x:c>
      <x:c r="AA1303" s="4" t="str">
        <x:v>https://blog.skyairline.com/aprender-ingles/</x:v>
      </x:c>
      <x:c r="AB1303" s="4" t="str">
        <x:v>Coincidencia URL</x:v>
      </x:c>
      <x:c r="AC1303" s="4" t="str">
        <x:v>Publicado hasta septiembre</x:v>
      </x:c>
      <x:c r="AD1303" s="4"/>
      <x:c r="AE1303" s="4"/>
      <x:c r="AF1303" s="16" t="b">
        <x:v>0</x:v>
      </x:c>
    </x:row>
    <x:row r="1304" ht="44" customHeight="1">
      <x:c r="A1304" s="4" t="n">
        <x:v>3908</x:v>
      </x:c>
      <x:c r="B1304" s="4" t="str">
        <x:v>https://blog.skyairline.com/como-hacer-mochila/</x:v>
      </x:c>
      <x:c r="C1304" s="9" t="str">
        <x:v>¿Cómo hacer una mochila para viajar?: 10 consejos para mochileros</x:v>
      </x:c>
      <x:c r="D1304" s="17" t="d">
        <x:v>2024-01-07T00:00:00.000Z</x:v>
      </x:c>
      <x:c r="E1304" s="17" t="d">
        <x:v>2024-01-07T00:00:00.000Z</x:v>
      </x:c>
      <x:c r="F1304" s="4" t="str">
        <x:v>Planificación de Viaje</x:v>
      </x:c>
      <x:c r="G1304" s="11" t="n">
        <x:v>1062</x:v>
      </x:c>
      <x:c r="H1304" s="11" t="n">
        <x:v>200</x:v>
      </x:c>
      <x:c r="I1304" s="11" t="n">
        <x:v>1</x:v>
      </x:c>
      <x:c r="J1304" s="4" t="str">
        <x:v>https://blog.skyairline.com/como-hacer-mochila/</x:v>
      </x:c>
      <x:c r="K1304" s="16" t="b">
        <x:v>0</x:v>
      </x:c>
      <x:c r="L1304" s="11" t="n">
        <x:v>0</x:v>
      </x:c>
      <x:c r="M1304" s="11" t="n">
        <x:v>3</x:v>
      </x:c>
      <x:c r="N1304" s="4"/>
      <x:c r="O1304" s="4"/>
      <x:c r="P1304" s="11" t="n">
        <x:v>1</x:v>
      </x:c>
      <x:c r="Q1304" s="11" t="n">
        <x:v>0</x:v>
      </x:c>
      <x:c r="R1304" s="11" t="str">
        <x:f>IF(OR(P1304="",Q1304=""),"",Q1304-P1304)</x:f>
      </x:c>
      <x:c r="S1304" s="13" t="str">
        <x:f>IF(OR(P1304="",Q1304="",P1304=0),"",((Q1304/30)/(P1304/31))-1)</x:f>
      </x:c>
      <x:c r="T1304" s="11" t="n">
        <x:v>457</x:v>
      </x:c>
      <x:c r="U1304" s="11" t="n">
        <x:v>169</x:v>
      </x:c>
      <x:c r="V1304" s="14" t="n">
        <x:v>0</x:v>
      </x:c>
      <x:c r="W1304" s="12" t="n">
        <x:v>29.60355029585799</x:v>
      </x:c>
      <x:c r="X1304" s="11" t="n">
        <x:v>4</x:v>
      </x:c>
      <x:c r="Y1304" s="11" t="n">
        <x:v>4</x:v>
      </x:c>
      <x:c r="Z1304" s="4" t="str">
        <x:v>https://blog.skyairline.com/como-hacer-mochila/</x:v>
      </x:c>
      <x:c r="AA1304" s="4" t="str">
        <x:v>https://blog.skyairline.com/como-hacer-mochila/</x:v>
      </x:c>
      <x:c r="AB1304" s="4" t="str">
        <x:v>Coincidencia URL</x:v>
      </x:c>
      <x:c r="AC1304" s="4" t="str">
        <x:v>Publicado hasta septiembre</x:v>
      </x:c>
      <x:c r="AD1304" s="4" t="str">
        <x:v>/como-hacer-mochila/</x:v>
      </x:c>
      <x:c r="AE1304" s="4"/>
      <x:c r="AF1304" s="16" t="b">
        <x:v>1</x:v>
      </x:c>
    </x:row>
    <x:row r="1305" ht="44" customHeight="1">
      <x:c r="A1305" s="4" t="n">
        <x:v>3911</x:v>
      </x:c>
      <x:c r="B1305" s="4" t="str">
        <x:v>https://blog.skyairline.com/estudiar-trabajar-extranjero/</x:v>
      </x:c>
      <x:c r="C1305" s="9" t="str">
        <x:v>Estudiar y trabajar en el extranjero: 4 países que lo permiten</x:v>
      </x:c>
      <x:c r="D1305" s="17" t="d">
        <x:v>2024-01-09T00:00:00.000Z</x:v>
      </x:c>
      <x:c r="E1305" s="17" t="d">
        <x:v>2024-01-09T00:00:00.000Z</x:v>
      </x:c>
      <x:c r="F1305" s="4" t="str">
        <x:v>Planificación de Viaje</x:v>
      </x:c>
      <x:c r="G1305" s="11" t="n">
        <x:v>1121</x:v>
      </x:c>
      <x:c r="H1305" s="11" t="n">
        <x:v>200</x:v>
      </x:c>
      <x:c r="I1305" s="11" t="n">
        <x:v>1</x:v>
      </x:c>
      <x:c r="J1305" s="4" t="str">
        <x:v>https://blog.skyairline.com/estudiar-trabajar-extranjero/</x:v>
      </x:c>
      <x:c r="K1305" s="16" t="b">
        <x:v>0</x:v>
      </x:c>
      <x:c r="L1305" s="11" t="n">
        <x:v>0</x:v>
      </x:c>
      <x:c r="M1305" s="11" t="n">
        <x:v>3</x:v>
      </x:c>
      <x:c r="N1305" s="4"/>
      <x:c r="O1305" s="4"/>
      <x:c r="P1305" s="11" t="n">
        <x:v>0</x:v>
      </x:c>
      <x:c r="Q1305" s="11" t="n">
        <x:v>0</x:v>
      </x:c>
      <x:c r="R1305" s="11" t="str">
        <x:f>IF(OR(P1305="",Q1305=""),"",Q1305-P1305)</x:f>
      </x:c>
      <x:c r="S1305" s="13" t="str">
        <x:f>IF(OR(P1305="",Q1305="",P1305=0),"",((Q1305/30)/(P1305/31))-1)</x:f>
      </x:c>
      <x:c r="T1305" s="11" t="n">
        <x:v>436</x:v>
      </x:c>
      <x:c r="U1305" s="11" t="n">
        <x:v>262</x:v>
      </x:c>
      <x:c r="V1305" s="14" t="n">
        <x:v>0</x:v>
      </x:c>
      <x:c r="W1305" s="12" t="n">
        <x:v>37.30916030534351</x:v>
      </x:c>
      <x:c r="X1305" s="11"/>
      <x:c r="Y1305" s="11"/>
      <x:c r="Z1305" s="4" t="str">
        <x:v>https://blog.skyairline.com/estudiar-trabajar-extranjero/</x:v>
      </x:c>
      <x:c r="AA1305" s="4" t="str">
        <x:v>https://blog.skyairline.com/estudiar-trabajar-extranjero/</x:v>
      </x:c>
      <x:c r="AB1305" s="4" t="str">
        <x:v>Coincidencia URL</x:v>
      </x:c>
      <x:c r="AC1305" s="4" t="str">
        <x:v>Publicado hasta septiembre</x:v>
      </x:c>
      <x:c r="AD1305" s="4"/>
      <x:c r="AE1305" s="4"/>
      <x:c r="AF1305" s="16" t="b">
        <x:v>1</x:v>
      </x:c>
    </x:row>
    <x:row r="1306" ht="44" customHeight="1">
      <x:c r="A1306" s="4" t="n">
        <x:v>3961</x:v>
      </x:c>
      <x:c r="B1306" s="4" t="str">
        <x:v>https://blog.skyairline.com/sky-recibe-el-2024-con-nuevas-rutas-en-sudamerica/</x:v>
      </x:c>
      <x:c r="C1306" s="9" t="str">
        <x:v>SKY recibe el 2024 con nuevas rutas en Sudamérica</x:v>
      </x:c>
      <x:c r="D1306" s="17" t="d">
        <x:v>2024-01-23T00:00:00.000Z</x:v>
      </x:c>
      <x:c r="E1306" s="17" t="d">
        <x:v>2024-01-23T00:00:00.000Z</x:v>
      </x:c>
      <x:c r="F1306" s="4" t="str">
        <x:v>Noticias</x:v>
      </x:c>
      <x:c r="G1306" s="11" t="n">
        <x:v>329</x:v>
      </x:c>
      <x:c r="H1306" s="11" t="n">
        <x:v>200</x:v>
      </x:c>
      <x:c r="I1306" s="11" t="n">
        <x:v>1</x:v>
      </x:c>
      <x:c r="J1306" s="4" t="str">
        <x:v>https://blog.skyairline.com/sky-recibe-el-2024-con-nuevas-rutas-en-sudamerica/</x:v>
      </x:c>
      <x:c r="K1306" s="16" t="b">
        <x:v>0</x:v>
      </x:c>
      <x:c r="L1306" s="11" t="n">
        <x:v>0</x:v>
      </x:c>
      <x:c r="M1306" s="11" t="n">
        <x:v>0</x:v>
      </x:c>
      <x:c r="N1306" s="4"/>
      <x:c r="O1306" s="4"/>
      <x:c r="P1306" s="11" t="n">
        <x:v>0</x:v>
      </x:c>
      <x:c r="Q1306" s="11" t="n">
        <x:v>0</x:v>
      </x:c>
      <x:c r="R1306" s="11" t="str">
        <x:f>IF(OR(P1306="",Q1306=""),"",Q1306-P1306)</x:f>
      </x:c>
      <x:c r="S1306" s="13" t="str">
        <x:f>IF(OR(P1306="",Q1306="",P1306=0),"",((Q1306/30)/(P1306/31))-1)</x:f>
      </x:c>
      <x:c r="T1306" s="11" t="n">
        <x:v>49</x:v>
      </x:c>
      <x:c r="U1306" s="11" t="n">
        <x:v>12</x:v>
      </x:c>
      <x:c r="V1306" s="14" t="n">
        <x:v>0</x:v>
      </x:c>
      <x:c r="W1306" s="12" t="n">
        <x:v>7</x:v>
      </x:c>
      <x:c r="X1306" s="11"/>
      <x:c r="Y1306" s="11"/>
      <x:c r="Z1306" s="4" t="str">
        <x:v>https://blog.skyairline.com/sky-recibe-el-2024-con-nuevas-rutas-en-sudamerica/</x:v>
      </x:c>
      <x:c r="AA1306" s="4" t="str">
        <x:v>https://blog.skyairline.com/sky-recibe-el-2024-con-nuevas-rutas-en-sudamerica/</x:v>
      </x:c>
      <x:c r="AB1306" s="4" t="str">
        <x:v>Coincidencia URL</x:v>
      </x:c>
      <x:c r="AC1306" s="4" t="str">
        <x:v>Publicado hasta septiembre</x:v>
      </x:c>
      <x:c r="AD1306" s="4"/>
      <x:c r="AE1306" s="4"/>
      <x:c r="AF1306" s="16" t="b">
        <x:v>1</x:v>
      </x:c>
    </x:row>
    <x:row r="1307" ht="44" customHeight="1">
      <x:c r="A1307" s="4" t="n">
        <x:v>3970</x:v>
      </x:c>
      <x:c r="B1307" s="4" t="str">
        <x:v>https://blog.skyairline.com/en-el-2023-sky-aumenta-en-un-50-los-pasajeros-transportados-en-el-escenario-pre-pandemia/</x:v>
      </x:c>
      <x:c r="C1307" s="9" t="str">
        <x:v>En el 2023 SKY aumenta en un 50% los pasajeros transportados en el escenario pre pandemia</x:v>
      </x:c>
      <x:c r="D1307" s="17" t="d">
        <x:v>2024-01-24T00:00:00.000Z</x:v>
      </x:c>
      <x:c r="E1307" s="17" t="d">
        <x:v>2024-01-24T00:00:00.000Z</x:v>
      </x:c>
      <x:c r="F1307" s="4" t="str">
        <x:v>Noticias</x:v>
      </x:c>
      <x:c r="G1307" s="11" t="n">
        <x:v>674</x:v>
      </x:c>
      <x:c r="H1307" s="11" t="n">
        <x:v>200</x:v>
      </x:c>
      <x:c r="I1307" s="11" t="n">
        <x:v>1</x:v>
      </x:c>
      <x:c r="J1307" s="4" t="str">
        <x:v>https://blog.skyairline.com/en-el-2023-sky-aumenta-en-un-50-los-pasajeros-transportados-en-el-escenario-pre-pandemia/</x:v>
      </x:c>
      <x:c r="K1307" s="16" t="b">
        <x:v>0</x:v>
      </x:c>
      <x:c r="L1307" s="11" t="n">
        <x:v>0</x:v>
      </x:c>
      <x:c r="M1307" s="11" t="n">
        <x:v>0</x:v>
      </x:c>
      <x:c r="N1307" s="4"/>
      <x:c r="O1307" s="4"/>
      <x:c r="P1307" s="11" t="n">
        <x:v>1</x:v>
      </x:c>
      <x:c r="Q1307" s="11" t="n">
        <x:v>0</x:v>
      </x:c>
      <x:c r="R1307" s="11" t="str">
        <x:f>IF(OR(P1307="",Q1307=""),"",Q1307-P1307)</x:f>
      </x:c>
      <x:c r="S1307" s="13" t="str">
        <x:f>IF(OR(P1307="",Q1307="",P1307=0),"",((Q1307/30)/(P1307/31))-1)</x:f>
      </x:c>
      <x:c r="T1307" s="11" t="n">
        <x:v>45</x:v>
      </x:c>
      <x:c r="U1307" s="11" t="n">
        <x:v>23</x:v>
      </x:c>
      <x:c r="V1307" s="14" t="n">
        <x:v>0</x:v>
      </x:c>
      <x:c r="W1307" s="12" t="n">
        <x:v>6.391304347826087</x:v>
      </x:c>
      <x:c r="X1307" s="11" t="n">
        <x:v>9</x:v>
      </x:c>
      <x:c r="Y1307" s="11" t="n">
        <x:v>15</x:v>
      </x:c>
      <x:c r="Z1307" s="4" t="str">
        <x:v>https://blog.skyairline.com/en-el-2023-sky-aumenta-en-un-50-los-pasajeros-transportados-en-el-escenario-pre-pandemia/</x:v>
      </x:c>
      <x:c r="AA1307" s="4" t="str">
        <x:v>https://blog.skyairline.com/en-el-2023-sky-aumenta-en-un-50-los-pasajeros-transportados-en-el-escenario-pre-pandemia/</x:v>
      </x:c>
      <x:c r="AB1307" s="4" t="str">
        <x:v>Coincidencia URL</x:v>
      </x:c>
      <x:c r="AC1307" s="4" t="str">
        <x:v>Publicado hasta septiembre</x:v>
      </x:c>
      <x:c r="AD1307" s="4" t="str">
        <x:v>/en-el-2023-sky-aumenta-en-un-50-los-pasajeros-transportados-en-el-escenario-pre-pandemia/</x:v>
      </x:c>
      <x:c r="AE1307" s="4"/>
      <x:c r="AF1307" s="16" t="b">
        <x:v>0</x:v>
      </x:c>
    </x:row>
    <x:row r="1308" ht="44" customHeight="1">
      <x:c r="A1308" s="4" t="n">
        <x:v>3975</x:v>
      </x:c>
      <x:c r="B1308" s="4" t="str">
        <x:v>https://blog.skyairline.com/sky-inauguro-nueva-ruta-entre-lima-y-montevideo/</x:v>
      </x:c>
      <x:c r="C1308" s="9" t="str">
        <x:v>SKY inauguró nueva ruta entre Lima y Montevideo</x:v>
      </x:c>
      <x:c r="D1308" s="17" t="d">
        <x:v>2024-01-25T00:00:00.000Z</x:v>
      </x:c>
      <x:c r="E1308" s="17" t="d">
        <x:v>2024-01-25T00:00:00.000Z</x:v>
      </x:c>
      <x:c r="F1308" s="4" t="str">
        <x:v>Noticias</x:v>
      </x:c>
      <x:c r="G1308" s="11" t="n">
        <x:v>586</x:v>
      </x:c>
      <x:c r="H1308" s="11" t="n">
        <x:v>200</x:v>
      </x:c>
      <x:c r="I1308" s="11" t="n">
        <x:v>1</x:v>
      </x:c>
      <x:c r="J1308" s="4" t="str">
        <x:v>https://blog.skyairline.com/sky-inauguro-nueva-ruta-entre-lima-y-montevideo/</x:v>
      </x:c>
      <x:c r="K1308" s="16" t="b">
        <x:v>0</x:v>
      </x:c>
      <x:c r="L1308" s="11" t="n">
        <x:v>0</x:v>
      </x:c>
      <x:c r="M1308" s="11" t="n">
        <x:v>0</x:v>
      </x:c>
      <x:c r="N1308" s="4"/>
      <x:c r="O1308" s="4"/>
      <x:c r="P1308" s="11" t="n">
        <x:v>0</x:v>
      </x:c>
      <x:c r="Q1308" s="11" t="n">
        <x:v>0</x:v>
      </x:c>
      <x:c r="R1308" s="11" t="str">
        <x:f>IF(OR(P1308="",Q1308=""),"",Q1308-P1308)</x:f>
      </x:c>
      <x:c r="S1308" s="13" t="str">
        <x:f>IF(OR(P1308="",Q1308="",P1308=0),"",((Q1308/30)/(P1308/31))-1)</x:f>
      </x:c>
      <x:c r="T1308" s="11" t="n">
        <x:v>66</x:v>
      </x:c>
      <x:c r="U1308" s="11" t="n">
        <x:v>31</x:v>
      </x:c>
      <x:c r="V1308" s="14" t="n">
        <x:v>0</x:v>
      </x:c>
      <x:c r="W1308" s="12" t="n">
        <x:v>7.096774193548387</x:v>
      </x:c>
      <x:c r="X1308" s="11"/>
      <x:c r="Y1308" s="11"/>
      <x:c r="Z1308" s="4" t="str">
        <x:v>https://blog.skyairline.com/sky-inauguro-nueva-ruta-entre-lima-y-montevideo/</x:v>
      </x:c>
      <x:c r="AA1308" s="4" t="str">
        <x:v>https://blog.skyairline.com/sky-inauguro-nueva-ruta-entre-lima-y-montevideo/</x:v>
      </x:c>
      <x:c r="AB1308" s="4" t="str">
        <x:v>Coincidencia URL</x:v>
      </x:c>
      <x:c r="AC1308" s="4" t="str">
        <x:v>Publicado hasta septiembre</x:v>
      </x:c>
      <x:c r="AD1308" s="4"/>
      <x:c r="AE1308" s="4"/>
      <x:c r="AF1308" s="16" t="b">
        <x:v>0</x:v>
      </x:c>
    </x:row>
    <x:row r="1309" ht="44" customHeight="1">
      <x:c r="A1309" s="4" t="n">
        <x:v>3982</x:v>
      </x:c>
      <x:c r="B1309" s="4" t="str">
        <x:v>https://blog.skyairline.com/destinos-nacionales-sky-mas-visitados/</x:v>
      </x:c>
      <x:c r="C1309" s="9" t="str">
        <x:v>Destinos peruanos más visitados en el 2023 por viajeros SKY</x:v>
      </x:c>
      <x:c r="D1309" s="17" t="d">
        <x:v>2024-01-26T00:00:00.000Z</x:v>
      </x:c>
      <x:c r="E1309" s="17" t="d">
        <x:v>2024-01-26T00:00:00.000Z</x:v>
      </x:c>
      <x:c r="F1309" s="4" t="str">
        <x:v>Sin categoría</x:v>
      </x:c>
      <x:c r="G1309" s="11" t="n">
        <x:v>430</x:v>
      </x:c>
      <x:c r="H1309" s="11" t="n">
        <x:v>200</x:v>
      </x:c>
      <x:c r="I1309" s="11" t="n">
        <x:v>1</x:v>
      </x:c>
      <x:c r="J1309" s="4" t="str">
        <x:v>https://blog.skyairline.com/destinos-nacionales-sky-mas-visitados/</x:v>
      </x:c>
      <x:c r="K1309" s="16" t="b">
        <x:v>0</x:v>
      </x:c>
      <x:c r="L1309" s="11" t="n">
        <x:v>0</x:v>
      </x:c>
      <x:c r="M1309" s="11" t="n">
        <x:v>0</x:v>
      </x:c>
      <x:c r="N1309" s="4"/>
      <x:c r="O1309" s="4"/>
      <x:c r="P1309" s="11" t="n">
        <x:v>0</x:v>
      </x:c>
      <x:c r="Q1309" s="11" t="n">
        <x:v>0</x:v>
      </x:c>
      <x:c r="R1309" s="11" t="str">
        <x:f>IF(OR(P1309="",Q1309=""),"",Q1309-P1309)</x:f>
      </x:c>
      <x:c r="S1309" s="13" t="str">
        <x:f>IF(OR(P1309="",Q1309="",P1309=0),"",((Q1309/30)/(P1309/31))-1)</x:f>
      </x:c>
      <x:c r="T1309" s="11" t="n">
        <x:v>11</x:v>
      </x:c>
      <x:c r="U1309" s="11" t="n">
        <x:v>17</x:v>
      </x:c>
      <x:c r="V1309" s="14" t="n">
        <x:v>0</x:v>
      </x:c>
      <x:c r="W1309" s="12" t="n">
        <x:v>6.529411764705882</x:v>
      </x:c>
      <x:c r="X1309" s="11"/>
      <x:c r="Y1309" s="11"/>
      <x:c r="Z1309" s="4" t="str">
        <x:v>https://blog.skyairline.com/destinos-nacionales-sky-mas-visitados/</x:v>
      </x:c>
      <x:c r="AA1309" s="4" t="str">
        <x:v>https://blog.skyairline.com/destinos-nacionales-sky-mas-visitados/</x:v>
      </x:c>
      <x:c r="AB1309" s="4" t="str">
        <x:v>Coincidencia URL</x:v>
      </x:c>
      <x:c r="AC1309" s="4" t="str">
        <x:v>Publicado hasta septiembre</x:v>
      </x:c>
      <x:c r="AD1309" s="4"/>
      <x:c r="AE1309" s="4"/>
      <x:c r="AF1309" s="16" t="b">
        <x:v>0</x:v>
      </x:c>
    </x:row>
    <x:row r="1310" ht="44" customHeight="1">
      <x:c r="A1310" s="4" t="n">
        <x:v>4038</x:v>
      </x:c>
      <x:c r="B1310" s="4" t="str">
        <x:v>https://blog.skyairline.com/destinos-para-mochileros/</x:v>
      </x:c>
      <x:c r="C1310" s="9" t="str">
        <x:v>Conoce Sudamérica, 5 destinos para mochileros</x:v>
      </x:c>
      <x:c r="D1310" s="17" t="d">
        <x:v>2026-04-26T00:00:00.000Z</x:v>
      </x:c>
      <x:c r="E1310" s="17" t="d">
        <x:v>2026-04-16T00:00:00.000Z</x:v>
      </x:c>
      <x:c r="F1310" s="4" t="str">
        <x:v>Planificación de Viaje</x:v>
      </x:c>
      <x:c r="G1310" s="11" t="n">
        <x:v>1036</x:v>
      </x:c>
      <x:c r="H1310" s="11" t="n">
        <x:v>200</x:v>
      </x:c>
      <x:c r="I1310" s="11" t="n">
        <x:v>1</x:v>
      </x:c>
      <x:c r="J1310" s="4" t="str">
        <x:v>https://blog.skyairline.com/destinos-para-mochileros/</x:v>
      </x:c>
      <x:c r="K1310" s="16" t="b">
        <x:v>0</x:v>
      </x:c>
      <x:c r="L1310" s="11" t="n">
        <x:v>0</x:v>
      </x:c>
      <x:c r="M1310" s="11" t="n">
        <x:v>0</x:v>
      </x:c>
      <x:c r="N1310" s="4"/>
      <x:c r="O1310" s="4"/>
      <x:c r="P1310" s="11" t="n">
        <x:v>0</x:v>
      </x:c>
      <x:c r="Q1310" s="11" t="n">
        <x:v>0</x:v>
      </x:c>
      <x:c r="R1310" s="11" t="str">
        <x:f>IF(OR(P1310="",Q1310=""),"",Q1310-P1310)</x:f>
      </x:c>
      <x:c r="S1310" s="13" t="str">
        <x:f>IF(OR(P1310="",Q1310="",P1310=0),"",((Q1310/30)/(P1310/31))-1)</x:f>
      </x:c>
      <x:c r="T1310" s="11" t="n">
        <x:v>108</x:v>
      </x:c>
      <x:c r="U1310" s="11" t="n">
        <x:v>83</x:v>
      </x:c>
      <x:c r="V1310" s="14" t="n">
        <x:v>0</x:v>
      </x:c>
      <x:c r="W1310" s="12" t="n">
        <x:v>13.168674698795181</x:v>
      </x:c>
      <x:c r="X1310" s="11"/>
      <x:c r="Y1310" s="11"/>
      <x:c r="Z1310" s="4" t="str">
        <x:v>https://blog.skyairline.com/destinos-para-mochileros/</x:v>
      </x:c>
      <x:c r="AA1310" s="4" t="str">
        <x:v>https://blog.skyairline.com/destinos-para-mochileros/</x:v>
      </x:c>
      <x:c r="AB1310" s="4" t="str">
        <x:v>Coincidencia URL</x:v>
      </x:c>
      <x:c r="AC1310" s="4" t="str">
        <x:v>Publicado hasta septiembre</x:v>
      </x:c>
      <x:c r="AD1310" s="4"/>
      <x:c r="AE1310" s="4"/>
      <x:c r="AF1310" s="16" t="b">
        <x:v>0</x:v>
      </x:c>
    </x:row>
    <x:row r="1311" ht="44" customHeight="1">
      <x:c r="A1311" s="4" t="n">
        <x:v>4064</x:v>
      </x:c>
      <x:c r="B1311" s="4" t="str">
        <x:v>https://blog.skyairline.com/sky-airline-sella-alianza-con-embratur/</x:v>
      </x:c>
      <x:c r="C1311" s="9" t="str">
        <x:v>SKY Airline apuesta por Brasil y sella alianza con Embratur para potenciar el turismo internacional</x:v>
      </x:c>
      <x:c r="D1311" s="17" t="d">
        <x:v>2024-02-19T00:00:00.000Z</x:v>
      </x:c>
      <x:c r="E1311" s="17" t="d">
        <x:v>2024-02-19T00:00:00.000Z</x:v>
      </x:c>
      <x:c r="F1311" s="4" t="str">
        <x:v>Noticias</x:v>
      </x:c>
      <x:c r="G1311" s="11" t="n">
        <x:v>515</x:v>
      </x:c>
      <x:c r="H1311" s="11" t="n">
        <x:v>200</x:v>
      </x:c>
      <x:c r="I1311" s="11" t="n">
        <x:v>1</x:v>
      </x:c>
      <x:c r="J1311" s="4" t="str">
        <x:v>https://blog.skyairline.com/sky-airline-sella-alianza-con-embratur/</x:v>
      </x:c>
      <x:c r="K1311" s="16" t="b">
        <x:v>0</x:v>
      </x:c>
      <x:c r="L1311" s="11" t="n">
        <x:v>0</x:v>
      </x:c>
      <x:c r="M1311" s="11" t="n">
        <x:v>0</x:v>
      </x:c>
      <x:c r="N1311" s="4"/>
      <x:c r="O1311" s="4"/>
      <x:c r="P1311" s="11" t="n">
        <x:v>0</x:v>
      </x:c>
      <x:c r="Q1311" s="11" t="n">
        <x:v>0</x:v>
      </x:c>
      <x:c r="R1311" s="11" t="str">
        <x:f>IF(OR(P1311="",Q1311=""),"",Q1311-P1311)</x:f>
      </x:c>
      <x:c r="S1311" s="13" t="str">
        <x:f>IF(OR(P1311="",Q1311="",P1311=0),"",((Q1311/30)/(P1311/31))-1)</x:f>
      </x:c>
      <x:c r="T1311" s="11" t="n">
        <x:v>21</x:v>
      </x:c>
      <x:c r="U1311" s="11" t="n">
        <x:v>21</x:v>
      </x:c>
      <x:c r="V1311" s="14" t="n">
        <x:v>0</x:v>
      </x:c>
      <x:c r="W1311" s="12" t="n">
        <x:v>10.523809523809524</x:v>
      </x:c>
      <x:c r="X1311" s="11"/>
      <x:c r="Y1311" s="11"/>
      <x:c r="Z1311" s="4" t="str">
        <x:v>https://blog.skyairline.com/sky-airline-sella-alianza-con-embratur/</x:v>
      </x:c>
      <x:c r="AA1311" s="4" t="str">
        <x:v>https://blog.skyairline.com/sky-airline-sella-alianza-con-embratur/</x:v>
      </x:c>
      <x:c r="AB1311" s="4" t="str">
        <x:v>Coincidencia URL</x:v>
      </x:c>
      <x:c r="AC1311" s="4" t="str">
        <x:v>Publicado hasta septiembre</x:v>
      </x:c>
      <x:c r="AD1311" s="4"/>
      <x:c r="AE1311" s="4"/>
      <x:c r="AF1311" s="16" t="b">
        <x:v>0</x:v>
      </x:c>
    </x:row>
    <x:row r="1312" ht="44" customHeight="1">
      <x:c r="A1312" s="4" t="n">
        <x:v>4072</x:v>
      </x:c>
      <x:c r="B1312" s="4" t="str">
        <x:v>https://blog.skyairline.com/sky-refuerza-su-presencia-en-brasil-con-nuevos-vuelos-directos-entre-santiago-y-salvador-de-bahia/</x:v>
      </x:c>
      <x:c r="C1312" s="9" t="str">
        <x:v>SKY refuerza su presencia en Brasil, con nuevos vuelos directos entre Santiago y Salvador de Bahía</x:v>
      </x:c>
      <x:c r="D1312" s="17" t="d">
        <x:v>2024-02-19T00:00:00.000Z</x:v>
      </x:c>
      <x:c r="E1312" s="17" t="d">
        <x:v>2024-02-19T00:00:00.000Z</x:v>
      </x:c>
      <x:c r="F1312" s="4" t="str">
        <x:v>Noticias</x:v>
      </x:c>
      <x:c r="G1312" s="11" t="n">
        <x:v>347</x:v>
      </x:c>
      <x:c r="H1312" s="11" t="n">
        <x:v>200</x:v>
      </x:c>
      <x:c r="I1312" s="11" t="n">
        <x:v>1</x:v>
      </x:c>
      <x:c r="J1312" s="4" t="str">
        <x:v>https://blog.skyairline.com/sky-refuerza-su-presencia-en-brasil-con-nuevos-vuelos-directos-entre-santiago-y-salvador-de-bahia/</x:v>
      </x:c>
      <x:c r="K1312" s="16" t="b">
        <x:v>0</x:v>
      </x:c>
      <x:c r="L1312" s="11" t="n">
        <x:v>0</x:v>
      </x:c>
      <x:c r="M1312" s="11" t="n">
        <x:v>0</x:v>
      </x:c>
      <x:c r="N1312" s="4"/>
      <x:c r="O1312" s="4"/>
      <x:c r="P1312" s="11" t="n">
        <x:v>3</x:v>
      </x:c>
      <x:c r="Q1312" s="11" t="n">
        <x:v>0</x:v>
      </x:c>
      <x:c r="R1312" s="11" t="str">
        <x:f>IF(OR(P1312="",Q1312=""),"",Q1312-P1312)</x:f>
      </x:c>
      <x:c r="S1312" s="13" t="str">
        <x:f>IF(OR(P1312="",Q1312="",P1312=0),"",((Q1312/30)/(P1312/31))-1)</x:f>
      </x:c>
      <x:c r="T1312" s="11" t="n">
        <x:v>231</x:v>
      </x:c>
      <x:c r="U1312" s="11" t="n">
        <x:v>119</x:v>
      </x:c>
      <x:c r="V1312" s="14" t="n">
        <x:v>0</x:v>
      </x:c>
      <x:c r="W1312" s="12" t="n">
        <x:v>8.176470588235293</x:v>
      </x:c>
      <x:c r="X1312" s="11"/>
      <x:c r="Y1312" s="11"/>
      <x:c r="Z1312" s="4" t="str">
        <x:v>https://blog.skyairline.com/sky-refuerza-su-presencia-en-brasil-con-nuevos-vuelos-directos-entre-santiago-y-salvador-de-bahia/</x:v>
      </x:c>
      <x:c r="AA1312" s="4" t="str">
        <x:v>https://blog.skyairline.com/sky-refuerza-su-presencia-en-brasil-con-nuevos-vuelos-directos-entre-santiago-y-salvador-de-bahia/</x:v>
      </x:c>
      <x:c r="AB1312" s="4" t="str">
        <x:v>Coincidencia URL</x:v>
      </x:c>
      <x:c r="AC1312" s="4" t="str">
        <x:v>Publicado hasta septiembre</x:v>
      </x:c>
      <x:c r="AD1312" s="4"/>
      <x:c r="AE1312" s="4"/>
      <x:c r="AF1312" s="16" t="b">
        <x:v>0</x:v>
      </x:c>
    </x:row>
    <x:row r="1313" ht="44" customHeight="1">
      <x:c r="A1313" s="4" t="n">
        <x:v>4076</x:v>
      </x:c>
      <x:c r="B1313" s="4" t="str">
        <x:v>https://blog.skyairline.com/sky-es-nuevamente-auspiciador-de-un-festival-de-vina-2024-marcado-por-la-solidaridad/</x:v>
      </x:c>
      <x:c r="C1313" s="9" t="str">
        <x:v>SKY es nuevamente auspiciador de un Festival de Viña 2024 marcado por la solidaridad</x:v>
      </x:c>
      <x:c r="D1313" s="17" t="d">
        <x:v>2024-02-20T00:00:00.000Z</x:v>
      </x:c>
      <x:c r="E1313" s="17" t="d">
        <x:v>2024-02-20T00:00:00.000Z</x:v>
      </x:c>
      <x:c r="F1313" s="4" t="str">
        <x:v>Noticias</x:v>
      </x:c>
      <x:c r="G1313" s="11" t="n">
        <x:v>345</x:v>
      </x:c>
      <x:c r="H1313" s="11" t="n">
        <x:v>200</x:v>
      </x:c>
      <x:c r="I1313" s="11" t="n">
        <x:v>1</x:v>
      </x:c>
      <x:c r="J1313" s="4" t="str">
        <x:v>https://blog.skyairline.com/sky-es-nuevamente-auspiciador-de-un-festival-de-vina-2024-marcado-por-la-solidaridad/</x:v>
      </x:c>
      <x:c r="K1313" s="16" t="b">
        <x:v>0</x:v>
      </x:c>
      <x:c r="L1313" s="11" t="n">
        <x:v>0</x:v>
      </x:c>
      <x:c r="M1313" s="11" t="n">
        <x:v>0</x:v>
      </x:c>
      <x:c r="N1313" s="4"/>
      <x:c r="O1313" s="4"/>
      <x:c r="P1313" s="11" t="n">
        <x:v>0</x:v>
      </x:c>
      <x:c r="Q1313" s="11" t="n">
        <x:v>0</x:v>
      </x:c>
      <x:c r="R1313" s="11" t="str">
        <x:f>IF(OR(P1313="",Q1313=""),"",Q1313-P1313)</x:f>
      </x:c>
      <x:c r="S1313" s="13" t="str">
        <x:f>IF(OR(P1313="",Q1313="",P1313=0),"",((Q1313/30)/(P1313/31))-1)</x:f>
      </x:c>
      <x:c r="T1313" s="11" t="n">
        <x:v>7</x:v>
      </x:c>
      <x:c r="U1313" s="11" t="n">
        <x:v>12</x:v>
      </x:c>
      <x:c r="V1313" s="14" t="n">
        <x:v>0</x:v>
      </x:c>
      <x:c r="W1313" s="12" t="n">
        <x:v>12.5</x:v>
      </x:c>
      <x:c r="X1313" s="11"/>
      <x:c r="Y1313" s="11"/>
      <x:c r="Z1313" s="4" t="str">
        <x:v>https://blog.skyairline.com/sky-es-nuevamente-auspiciador-de-un-festival-de-vina-2024-marcado-por-la-solidaridad/</x:v>
      </x:c>
      <x:c r="AA1313" s="4" t="str">
        <x:v>https://blog.skyairline.com/sky-es-nuevamente-auspiciador-de-un-festival-de-vina-2024-marcado-por-la-solidaridad/</x:v>
      </x:c>
      <x:c r="AB1313" s="4" t="str">
        <x:v>Coincidencia URL</x:v>
      </x:c>
      <x:c r="AC1313" s="4" t="str">
        <x:v>Publicado hasta septiembre</x:v>
      </x:c>
      <x:c r="AD1313" s="4"/>
      <x:c r="AE1313" s="4"/>
      <x:c r="AF1313" s="16" t="b">
        <x:v>0</x:v>
      </x:c>
    </x:row>
    <x:row r="1314" ht="44" customHeight="1">
      <x:c r="A1314" s="4" t="n">
        <x:v>4098</x:v>
      </x:c>
      <x:c r="B1314" s="4" t="str">
        <x:v>https://blog.skyairline.com/que-hacer-en-san-martin-de-los-andes/</x:v>
      </x:c>
      <x:c r="C1314" s="9" t="str">
        <x:v>Planes ideales para disfrutar San Martín de los Andes</x:v>
      </x:c>
      <x:c r="D1314" s="17" t="d">
        <x:v>2024-03-08T00:00:00.000Z</x:v>
      </x:c>
      <x:c r="E1314" s="17" t="d">
        <x:v>2024-03-08T00:00:00.000Z</x:v>
      </x:c>
      <x:c r="F1314" s="4" t="str">
        <x:v>Destinos</x:v>
      </x:c>
      <x:c r="G1314" s="11" t="n">
        <x:v>1151</x:v>
      </x:c>
      <x:c r="H1314" s="11" t="n">
        <x:v>200</x:v>
      </x:c>
      <x:c r="I1314" s="11" t="n">
        <x:v>1</x:v>
      </x:c>
      <x:c r="J1314" s="4" t="str">
        <x:v>https://blog.skyairline.com/que-hacer-en-san-martin-de-los-andes/</x:v>
      </x:c>
      <x:c r="K1314" s="16" t="b">
        <x:v>0</x:v>
      </x:c>
      <x:c r="L1314" s="11" t="n">
        <x:v>0</x:v>
      </x:c>
      <x:c r="M1314" s="11" t="n">
        <x:v>3</x:v>
      </x:c>
      <x:c r="N1314" s="4"/>
      <x:c r="O1314" s="4"/>
      <x:c r="P1314" s="11" t="n">
        <x:v>0</x:v>
      </x:c>
      <x:c r="Q1314" s="11" t="n">
        <x:v>0</x:v>
      </x:c>
      <x:c r="R1314" s="11" t="str">
        <x:f>IF(OR(P1314="",Q1314=""),"",Q1314-P1314)</x:f>
      </x:c>
      <x:c r="S1314" s="13" t="str">
        <x:f>IF(OR(P1314="",Q1314="",P1314=0),"",((Q1314/30)/(P1314/31))-1)</x:f>
      </x:c>
      <x:c r="T1314" s="11" t="n">
        <x:v>174</x:v>
      </x:c>
      <x:c r="U1314" s="11" t="n">
        <x:v>75</x:v>
      </x:c>
      <x:c r="V1314" s="14" t="n">
        <x:v>0</x:v>
      </x:c>
      <x:c r="W1314" s="12" t="n">
        <x:v>23.253333333333334</x:v>
      </x:c>
      <x:c r="X1314" s="11" t="n">
        <x:v>1</x:v>
      </x:c>
      <x:c r="Y1314" s="11" t="n">
        <x:v>1</x:v>
      </x:c>
      <x:c r="Z1314" s="4" t="str">
        <x:v>https://blog.skyairline.com/que-hacer-en-san-martin-de-los-andes/</x:v>
      </x:c>
      <x:c r="AA1314" s="4" t="str">
        <x:v>https://blog.skyairline.com/que-hacer-en-san-martin-de-los-andes/</x:v>
      </x:c>
      <x:c r="AB1314" s="4" t="str">
        <x:v>Coincidencia URL</x:v>
      </x:c>
      <x:c r="AC1314" s="4" t="str">
        <x:v>Publicado hasta septiembre</x:v>
      </x:c>
      <x:c r="AD1314" s="4" t="str">
        <x:v>/que-hacer-en-san-martin-de-los-andes/</x:v>
      </x:c>
      <x:c r="AE1314" s="4"/>
      <x:c r="AF1314" s="16" t="b">
        <x:v>0</x:v>
      </x:c>
    </x:row>
    <x:row r="1315" ht="44" customHeight="1">
      <x:c r="A1315" s="4" t="n">
        <x:v>4107</x:v>
      </x:c>
      <x:c r="B1315" s="4" t="str">
        <x:v>https://blog.skyairline.com/trekking-latinoamerica/</x:v>
      </x:c>
      <x:c r="C1315" s="9" t="str">
        <x:v>Trekking en Latinoamérica: las 15 rutas que no te puedes perder</x:v>
      </x:c>
      <x:c r="D1315" s="17" t="d">
        <x:v>2024-03-15T00:00:00.000Z</x:v>
      </x:c>
      <x:c r="E1315" s="17" t="d">
        <x:v>2024-03-15T00:00:00.000Z</x:v>
      </x:c>
      <x:c r="F1315" s="4" t="str">
        <x:v>Planificación de Viaje</x:v>
      </x:c>
      <x:c r="G1315" s="11" t="n">
        <x:v>1282</x:v>
      </x:c>
      <x:c r="H1315" s="11" t="n">
        <x:v>200</x:v>
      </x:c>
      <x:c r="I1315" s="11" t="n">
        <x:v>1</x:v>
      </x:c>
      <x:c r="J1315" s="4" t="str">
        <x:v>https://blog.skyairline.com/trekking-latinoamerica/</x:v>
      </x:c>
      <x:c r="K1315" s="16" t="b">
        <x:v>0</x:v>
      </x:c>
      <x:c r="L1315" s="11" t="n">
        <x:v>0</x:v>
      </x:c>
      <x:c r="M1315" s="11" t="n">
        <x:v>5</x:v>
      </x:c>
      <x:c r="N1315" s="4"/>
      <x:c r="O1315" s="4"/>
      <x:c r="P1315" s="11" t="n">
        <x:v>1</x:v>
      </x:c>
      <x:c r="Q1315" s="11" t="n">
        <x:v>0</x:v>
      </x:c>
      <x:c r="R1315" s="11" t="str">
        <x:f>IF(OR(P1315="",Q1315=""),"",Q1315-P1315)</x:f>
      </x:c>
      <x:c r="S1315" s="13" t="str">
        <x:f>IF(OR(P1315="",Q1315="",P1315=0),"",((Q1315/30)/(P1315/31))-1)</x:f>
      </x:c>
      <x:c r="T1315" s="11" t="n">
        <x:v>79</x:v>
      </x:c>
      <x:c r="U1315" s="11" t="n">
        <x:v>71</x:v>
      </x:c>
      <x:c r="V1315" s="14" t="n">
        <x:v>0</x:v>
      </x:c>
      <x:c r="W1315" s="12" t="n">
        <x:v>25.070422535211268</x:v>
      </x:c>
      <x:c r="X1315" s="11" t="n">
        <x:v>1</x:v>
      </x:c>
      <x:c r="Y1315" s="11" t="n">
        <x:v>1</x:v>
      </x:c>
      <x:c r="Z1315" s="4" t="str">
        <x:v>https://blog.skyairline.com/trekking-latinoamerica/</x:v>
      </x:c>
      <x:c r="AA1315" s="4" t="str">
        <x:v>https://blog.skyairline.com/trekking-latinoamerica/</x:v>
      </x:c>
      <x:c r="AB1315" s="4" t="str">
        <x:v>Coincidencia URL</x:v>
      </x:c>
      <x:c r="AC1315" s="4" t="str">
        <x:v>Publicado hasta septiembre</x:v>
      </x:c>
      <x:c r="AD1315" s="4" t="str">
        <x:v>/trekking-latinoamerica/</x:v>
      </x:c>
      <x:c r="AE1315" s="4"/>
      <x:c r="AF1315" s="16" t="b">
        <x:v>1</x:v>
      </x:c>
    </x:row>
    <x:row r="1316" ht="44" customHeight="1">
      <x:c r="A1316" s="4" t="n">
        <x:v>4173</x:v>
      </x:c>
      <x:c r="B1316" s="4" t="str">
        <x:v>https://blog.skyairline.com/salvador-de-brasil/</x:v>
      </x:c>
      <x:c r="C1316" s="9" t="str">
        <x:v>Salvador de Bahía, aventúrate a conocer este mágico lugar</x:v>
      </x:c>
      <x:c r="D1316" s="17" t="d">
        <x:v>2025-10-21T00:00:00.000Z</x:v>
      </x:c>
      <x:c r="E1316" s="17" t="d">
        <x:v>2026-01-12T00:00:00.000Z</x:v>
      </x:c>
      <x:c r="F1316" s="4" t="str">
        <x:v>Destinos</x:v>
      </x:c>
      <x:c r="G1316" s="11" t="n">
        <x:v>1151</x:v>
      </x:c>
      <x:c r="H1316" s="11" t="n">
        <x:v>200</x:v>
      </x:c>
      <x:c r="I1316" s="11" t="n">
        <x:v>1</x:v>
      </x:c>
      <x:c r="J1316" s="4" t="str">
        <x:v>https://blog.skyairline.com/salvador-de-brasil/</x:v>
      </x:c>
      <x:c r="K1316" s="16" t="b">
        <x:v>0</x:v>
      </x:c>
      <x:c r="L1316" s="11" t="n">
        <x:v>0</x:v>
      </x:c>
      <x:c r="M1316" s="11" t="n">
        <x:v>0</x:v>
      </x:c>
      <x:c r="N1316" s="4"/>
      <x:c r="O1316" s="4"/>
      <x:c r="P1316" s="11" t="n">
        <x:v>1</x:v>
      </x:c>
      <x:c r="Q1316" s="11" t="n">
        <x:v>0</x:v>
      </x:c>
      <x:c r="R1316" s="11" t="str">
        <x:f>IF(OR(P1316="",Q1316=""),"",Q1316-P1316)</x:f>
      </x:c>
      <x:c r="S1316" s="13" t="str">
        <x:f>IF(OR(P1316="",Q1316="",P1316=0),"",((Q1316/30)/(P1316/31))-1)</x:f>
      </x:c>
      <x:c r="T1316" s="11" t="n">
        <x:v>352</x:v>
      </x:c>
      <x:c r="U1316" s="11" t="n">
        <x:v>821</x:v>
      </x:c>
      <x:c r="V1316" s="14" t="n">
        <x:v>0</x:v>
      </x:c>
      <x:c r="W1316" s="12" t="n">
        <x:v>13.61266747868453</x:v>
      </x:c>
      <x:c r="X1316" s="11"/>
      <x:c r="Y1316" s="11"/>
      <x:c r="Z1316" s="4" t="str">
        <x:v>https://blog.skyairline.com/salvador-de-brasil/</x:v>
      </x:c>
      <x:c r="AA1316" s="4" t="str">
        <x:v>https://blog.skyairline.com/salvador-de-brasil/</x:v>
      </x:c>
      <x:c r="AB1316" s="4" t="str">
        <x:v>Coincidencia URL</x:v>
      </x:c>
      <x:c r="AC1316" s="4" t="str">
        <x:v>Publicado hasta septiembre</x:v>
      </x:c>
      <x:c r="AD1316" s="4"/>
      <x:c r="AE1316" s="4"/>
      <x:c r="AF1316" s="16" t="b">
        <x:v>0</x:v>
      </x:c>
    </x:row>
    <x:row r="1317" ht="44" customHeight="1">
      <x:c r="A1317" s="4" t="n">
        <x:v>4178</x:v>
      </x:c>
      <x:c r="B1317" s="4" t="str">
        <x:v>https://blog.skyairline.com/cozumel/</x:v>
      </x:c>
      <x:c r="C1317" s="9" t="str">
        <x:v>¡Visita Cozumel! Un paraíso submarino con encanto tropical</x:v>
      </x:c>
      <x:c r="D1317" s="17" t="d">
        <x:v>2025-11-12T00:00:00.000Z</x:v>
      </x:c>
      <x:c r="E1317" s="17" t="d">
        <x:v>2026-01-12T00:00:00.000Z</x:v>
      </x:c>
      <x:c r="F1317" s="4" t="str">
        <x:v>Destinos</x:v>
      </x:c>
      <x:c r="G1317" s="11" t="n">
        <x:v>1046</x:v>
      </x:c>
      <x:c r="H1317" s="11" t="n">
        <x:v>200</x:v>
      </x:c>
      <x:c r="I1317" s="11" t="n">
        <x:v>1</x:v>
      </x:c>
      <x:c r="J1317" s="4" t="str">
        <x:v>https://blog.skyairline.com/cozumel/</x:v>
      </x:c>
      <x:c r="K1317" s="16" t="b">
        <x:v>0</x:v>
      </x:c>
      <x:c r="L1317" s="11" t="n">
        <x:v>0</x:v>
      </x:c>
      <x:c r="M1317" s="11" t="n">
        <x:v>5</x:v>
      </x:c>
      <x:c r="N1317" s="4"/>
      <x:c r="O1317" s="4"/>
      <x:c r="P1317" s="11" t="n">
        <x:v>0</x:v>
      </x:c>
      <x:c r="Q1317" s="11" t="n">
        <x:v>0</x:v>
      </x:c>
      <x:c r="R1317" s="11" t="str">
        <x:f>IF(OR(P1317="",Q1317=""),"",Q1317-P1317)</x:f>
      </x:c>
      <x:c r="S1317" s="13" t="str">
        <x:f>IF(OR(P1317="",Q1317="",P1317=0),"",((Q1317/30)/(P1317/31))-1)</x:f>
      </x:c>
      <x:c r="T1317" s="11" t="n">
        <x:v>29</x:v>
      </x:c>
      <x:c r="U1317" s="11" t="n">
        <x:v>24</x:v>
      </x:c>
      <x:c r="V1317" s="14" t="n">
        <x:v>0</x:v>
      </x:c>
      <x:c r="W1317" s="12" t="n">
        <x:v>9.083333333333334</x:v>
      </x:c>
      <x:c r="X1317" s="11"/>
      <x:c r="Y1317" s="11"/>
      <x:c r="Z1317" s="4" t="str">
        <x:v>https://blog.skyairline.com/cozumel/</x:v>
      </x:c>
      <x:c r="AA1317" s="4" t="str">
        <x:v>https://blog.skyairline.com/cozumel/</x:v>
      </x:c>
      <x:c r="AB1317" s="4" t="str">
        <x:v>Coincidencia URL</x:v>
      </x:c>
      <x:c r="AC1317" s="4" t="str">
        <x:v>Publicado hasta septiembre</x:v>
      </x:c>
      <x:c r="AD1317" s="4"/>
      <x:c r="AE1317" s="4"/>
      <x:c r="AF1317" s="16" t="b">
        <x:v>0</x:v>
      </x:c>
    </x:row>
    <x:row r="1318" ht="44" customHeight="1">
      <x:c r="A1318" s="4" t="n">
        <x:v>4182</x:v>
      </x:c>
      <x:c r="B1318" s="4" t="str">
        <x:v>https://blog.skyairline.com/sky-edudown/</x:v>
      </x:c>
      <x:c r="C1318" s="9" t="str">
        <x:v>SKY y Corporación Edudown sellan alianza para potenciar la atención de personas con Síndrome de Down en regiones</x:v>
      </x:c>
      <x:c r="D1318" s="17" t="d">
        <x:v>2024-03-26T00:00:00.000Z</x:v>
      </x:c>
      <x:c r="E1318" s="17" t="d">
        <x:v>2024-03-26T00:00:00.000Z</x:v>
      </x:c>
      <x:c r="F1318" s="4" t="str">
        <x:v>Compromiso SKY</x:v>
      </x:c>
      <x:c r="G1318" s="11" t="n">
        <x:v>452</x:v>
      </x:c>
      <x:c r="H1318" s="11" t="n">
        <x:v>200</x:v>
      </x:c>
      <x:c r="I1318" s="11" t="n">
        <x:v>1</x:v>
      </x:c>
      <x:c r="J1318" s="4" t="str">
        <x:v>https://blog.skyairline.com/sky-edudown/</x:v>
      </x:c>
      <x:c r="K1318" s="16" t="b">
        <x:v>0</x:v>
      </x:c>
      <x:c r="L1318" s="11" t="n">
        <x:v>0</x:v>
      </x:c>
      <x:c r="M1318" s="11" t="n">
        <x:v>0</x:v>
      </x:c>
      <x:c r="N1318" s="4"/>
      <x:c r="O1318" s="4"/>
      <x:c r="P1318" s="11" t="n">
        <x:v>0</x:v>
      </x:c>
      <x:c r="Q1318" s="11" t="n">
        <x:v>0</x:v>
      </x:c>
      <x:c r="R1318" s="11" t="str">
        <x:f>IF(OR(P1318="",Q1318=""),"",Q1318-P1318)</x:f>
      </x:c>
      <x:c r="S1318" s="13" t="str">
        <x:f>IF(OR(P1318="",Q1318="",P1318=0),"",((Q1318/30)/(P1318/31))-1)</x:f>
      </x:c>
      <x:c r="T1318" s="11" t="n">
        <x:v>13</x:v>
      </x:c>
      <x:c r="U1318" s="11" t="n">
        <x:v>15</x:v>
      </x:c>
      <x:c r="V1318" s="14" t="n">
        <x:v>0</x:v>
      </x:c>
      <x:c r="W1318" s="12" t="n">
        <x:v>6.533333333333333</x:v>
      </x:c>
      <x:c r="X1318" s="11"/>
      <x:c r="Y1318" s="11"/>
      <x:c r="Z1318" s="4" t="str">
        <x:v>https://blog.skyairline.com/sky-edudown/</x:v>
      </x:c>
      <x:c r="AA1318" s="4" t="str">
        <x:v>https://blog.skyairline.com/sky-edudown/</x:v>
      </x:c>
      <x:c r="AB1318" s="4" t="str">
        <x:v>Coincidencia URL</x:v>
      </x:c>
      <x:c r="AC1318" s="4" t="str">
        <x:v>Publicado hasta septiembre</x:v>
      </x:c>
      <x:c r="AD1318" s="4"/>
      <x:c r="AE1318" s="4"/>
      <x:c r="AF1318" s="16" t="b">
        <x:v>0</x:v>
      </x:c>
    </x:row>
    <x:row r="1319" ht="44" customHeight="1">
      <x:c r="A1319" s="4" t="n">
        <x:v>4185</x:v>
      </x:c>
      <x:c r="B1319" s="4" t="str">
        <x:v>https://blog.skyairline.com/mujeres-pilotos/</x:v>
      </x:c>
      <x:c r="C1319" s="9" t="str">
        <x:v>SKY firma compromiso con el Ministerio de la Mujer y Equidad de Género para aumentar la contratación de mujeres pilotos </x:v>
      </x:c>
      <x:c r="D1319" s="17" t="d">
        <x:v>2024-03-26T00:00:00.000Z</x:v>
      </x:c>
      <x:c r="E1319" s="17" t="d">
        <x:v>2024-03-26T00:00:00.000Z</x:v>
      </x:c>
      <x:c r="F1319" s="4" t="str">
        <x:v>Compromiso SKY</x:v>
      </x:c>
      <x:c r="G1319" s="11" t="n">
        <x:v>519</x:v>
      </x:c>
      <x:c r="H1319" s="11" t="n">
        <x:v>200</x:v>
      </x:c>
      <x:c r="I1319" s="11" t="n">
        <x:v>1</x:v>
      </x:c>
      <x:c r="J1319" s="4" t="str">
        <x:v>https://blog.skyairline.com/mujeres-pilotos/</x:v>
      </x:c>
      <x:c r="K1319" s="16" t="b">
        <x:v>0</x:v>
      </x:c>
      <x:c r="L1319" s="11" t="n">
        <x:v>0</x:v>
      </x:c>
      <x:c r="M1319" s="11" t="n">
        <x:v>0</x:v>
      </x:c>
      <x:c r="N1319" s="4"/>
      <x:c r="O1319" s="4"/>
      <x:c r="P1319" s="11" t="n">
        <x:v>2</x:v>
      </x:c>
      <x:c r="Q1319" s="11" t="n">
        <x:v>0</x:v>
      </x:c>
      <x:c r="R1319" s="11" t="str">
        <x:f>IF(OR(P1319="",Q1319=""),"",Q1319-P1319)</x:f>
      </x:c>
      <x:c r="S1319" s="13" t="str">
        <x:f>IF(OR(P1319="",Q1319="",P1319=0),"",((Q1319/30)/(P1319/31))-1)</x:f>
      </x:c>
      <x:c r="T1319" s="11" t="n">
        <x:v>77</x:v>
      </x:c>
      <x:c r="U1319" s="11" t="n">
        <x:v>73</x:v>
      </x:c>
      <x:c r="V1319" s="14" t="n">
        <x:v>0</x:v>
      </x:c>
      <x:c r="W1319" s="12" t="n">
        <x:v>7.904109589041096</x:v>
      </x:c>
      <x:c r="X1319" s="11" t="n">
        <x:v>1</x:v>
      </x:c>
      <x:c r="Y1319" s="11" t="n">
        <x:v>1</x:v>
      </x:c>
      <x:c r="Z1319" s="4" t="str">
        <x:v>https://blog.skyairline.com/mujeres-pilotos/</x:v>
      </x:c>
      <x:c r="AA1319" s="4" t="str">
        <x:v>https://blog.skyairline.com/mujeres-pilotos/</x:v>
      </x:c>
      <x:c r="AB1319" s="4" t="str">
        <x:v>Coincidencia URL</x:v>
      </x:c>
      <x:c r="AC1319" s="4" t="str">
        <x:v>Publicado hasta septiembre</x:v>
      </x:c>
      <x:c r="AD1319" s="4" t="str">
        <x:v>/mujeres-pilotos/</x:v>
      </x:c>
      <x:c r="AE1319" s="4"/>
      <x:c r="AF1319" s="16" t="b">
        <x:v>0</x:v>
      </x:c>
    </x:row>
    <x:row r="1320" ht="44" customHeight="1">
      <x:c r="A1320" s="4" t="n">
        <x:v>4188</x:v>
      </x:c>
      <x:c r="B1320" s="4" t="str">
        <x:v>https://blog.skyairline.com/karol-g-sky/</x:v>
      </x:c>
      <x:c r="C1320" s="9" t="str">
        <x:v>“Mañana Será Bonito”, la gira de Karol G llega a las alturas de Latinoamérica en alianza con SKY</x:v>
      </x:c>
      <x:c r="D1320" s="17" t="d">
        <x:v>2024-03-26T00:00:00.000Z</x:v>
      </x:c>
      <x:c r="E1320" s="17" t="d">
        <x:v>2024-03-26T00:00:00.000Z</x:v>
      </x:c>
      <x:c r="F1320" s="4" t="str">
        <x:v>Cultura</x:v>
      </x:c>
      <x:c r="G1320" s="11" t="n">
        <x:v>312</x:v>
      </x:c>
      <x:c r="H1320" s="11" t="n">
        <x:v>200</x:v>
      </x:c>
      <x:c r="I1320" s="11" t="n">
        <x:v>1</x:v>
      </x:c>
      <x:c r="J1320" s="4" t="str">
        <x:v>https://blog.skyairline.com/karol-g-sky/</x:v>
      </x:c>
      <x:c r="K1320" s="16" t="b">
        <x:v>0</x:v>
      </x:c>
      <x:c r="L1320" s="11" t="n">
        <x:v>0</x:v>
      </x:c>
      <x:c r="M1320" s="11" t="n">
        <x:v>0</x:v>
      </x:c>
      <x:c r="N1320" s="4"/>
      <x:c r="O1320" s="4"/>
      <x:c r="P1320" s="11" t="n">
        <x:v>0</x:v>
      </x:c>
      <x:c r="Q1320" s="11" t="n">
        <x:v>0</x:v>
      </x:c>
      <x:c r="R1320" s="11" t="str">
        <x:f>IF(OR(P1320="",Q1320=""),"",Q1320-P1320)</x:f>
      </x:c>
      <x:c r="S1320" s="13" t="str">
        <x:f>IF(OR(P1320="",Q1320="",P1320=0),"",((Q1320/30)/(P1320/31))-1)</x:f>
      </x:c>
      <x:c r="T1320" s="11" t="n">
        <x:v>73</x:v>
      </x:c>
      <x:c r="U1320" s="11" t="n">
        <x:v>55</x:v>
      </x:c>
      <x:c r="V1320" s="14" t="n">
        <x:v>0</x:v>
      </x:c>
      <x:c r="W1320" s="12" t="n">
        <x:v>5.945454545454545</x:v>
      </x:c>
      <x:c r="X1320" s="11"/>
      <x:c r="Y1320" s="11"/>
      <x:c r="Z1320" s="4" t="str">
        <x:v>https://blog.skyairline.com/karol-g-sky/</x:v>
      </x:c>
      <x:c r="AA1320" s="4" t="str">
        <x:v>https://blog.skyairline.com/karol-g-sky/</x:v>
      </x:c>
      <x:c r="AB1320" s="4" t="str">
        <x:v>Coincidencia URL</x:v>
      </x:c>
      <x:c r="AC1320" s="4" t="str">
        <x:v>Publicado hasta septiembre</x:v>
      </x:c>
      <x:c r="AD1320" s="4"/>
      <x:c r="AE1320" s="4"/>
      <x:c r="AF1320" s="16" t="b">
        <x:v>0</x:v>
      </x:c>
    </x:row>
    <x:row r="1321" ht="44" customHeight="1">
      <x:c r="A1321" s="4" t="n">
        <x:v>4191</x:v>
      </x:c>
      <x:c r="B1321" s="4" t="str">
        <x:v>https://blog.skyairline.com/lima-montevideo-sky/</x:v>
      </x:c>
      <x:c r="C1321" s="9" t="str">
        <x:v>SKY duplicará la frecuencia de vuelos entre Lima y Montevideo </x:v>
      </x:c>
      <x:c r="D1321" s="17" t="d">
        <x:v>2024-03-26T00:00:00.000Z</x:v>
      </x:c>
      <x:c r="E1321" s="17" t="d">
        <x:v>2024-03-26T00:00:00.000Z</x:v>
      </x:c>
      <x:c r="F1321" s="4" t="str">
        <x:v>Destinos</x:v>
      </x:c>
      <x:c r="G1321" s="11" t="n">
        <x:v>288</x:v>
      </x:c>
      <x:c r="H1321" s="11" t="n">
        <x:v>200</x:v>
      </x:c>
      <x:c r="I1321" s="11" t="n">
        <x:v>1</x:v>
      </x:c>
      <x:c r="J1321" s="4" t="str">
        <x:v>https://blog.skyairline.com/lima-montevideo-sky/</x:v>
      </x:c>
      <x:c r="K1321" s="16" t="b">
        <x:v>0</x:v>
      </x:c>
      <x:c r="L1321" s="11" t="n">
        <x:v>0</x:v>
      </x:c>
      <x:c r="M1321" s="11" t="n">
        <x:v>0</x:v>
      </x:c>
      <x:c r="N1321" s="4"/>
      <x:c r="O1321" s="4"/>
      <x:c r="P1321" s="11" t="n">
        <x:v>0</x:v>
      </x:c>
      <x:c r="Q1321" s="11" t="n">
        <x:v>0</x:v>
      </x:c>
      <x:c r="R1321" s="11" t="str">
        <x:f>IF(OR(P1321="",Q1321=""),"",Q1321-P1321)</x:f>
      </x:c>
      <x:c r="S1321" s="13" t="str">
        <x:f>IF(OR(P1321="",Q1321="",P1321=0),"",((Q1321/30)/(P1321/31))-1)</x:f>
      </x:c>
      <x:c r="T1321" s="11" t="n">
        <x:v>84</x:v>
      </x:c>
      <x:c r="U1321" s="11" t="n">
        <x:v>58</x:v>
      </x:c>
      <x:c r="V1321" s="14" t="n">
        <x:v>0</x:v>
      </x:c>
      <x:c r="W1321" s="12" t="n">
        <x:v>9.793103448275861</x:v>
      </x:c>
      <x:c r="X1321" s="11"/>
      <x:c r="Y1321" s="11"/>
      <x:c r="Z1321" s="4" t="str">
        <x:v>https://blog.skyairline.com/lima-montevideo-sky/</x:v>
      </x:c>
      <x:c r="AA1321" s="4" t="str">
        <x:v>https://blog.skyairline.com/lima-montevideo-sky/</x:v>
      </x:c>
      <x:c r="AB1321" s="4" t="str">
        <x:v>Coincidencia URL</x:v>
      </x:c>
      <x:c r="AC1321" s="4" t="str">
        <x:v>Publicado hasta septiembre</x:v>
      </x:c>
      <x:c r="AD1321" s="4"/>
      <x:c r="AE1321" s="4"/>
      <x:c r="AF1321" s="16" t="b">
        <x:v>0</x:v>
      </x:c>
    </x:row>
    <x:row r="1322" ht="44" customHeight="1">
      <x:c r="A1322" s="4" t="n">
        <x:v>4194</x:v>
      </x:c>
      <x:c r="B1322" s="4" t="str">
        <x:v>https://blog.skyairline.com/cielo-mas-igualitario/</x:v>
      </x:c>
      <x:c r="C1322" s="9" t="str">
        <x:v>SKY anuncia su compromiso de apostar por un cielo más igualitario  </x:v>
      </x:c>
      <x:c r="D1322" s="17" t="d">
        <x:v>2024-03-26T00:00:00.000Z</x:v>
      </x:c>
      <x:c r="E1322" s="17" t="d">
        <x:v>2024-03-26T00:00:00.000Z</x:v>
      </x:c>
      <x:c r="F1322" s="4" t="str">
        <x:v>Compromiso SKY</x:v>
      </x:c>
      <x:c r="G1322" s="11" t="n">
        <x:v>340</x:v>
      </x:c>
      <x:c r="H1322" s="11" t="n">
        <x:v>200</x:v>
      </x:c>
      <x:c r="I1322" s="11" t="n">
        <x:v>1</x:v>
      </x:c>
      <x:c r="J1322" s="4" t="str">
        <x:v>https://blog.skyairline.com/cielo-mas-igualitario/</x:v>
      </x:c>
      <x:c r="K1322" s="16" t="b">
        <x:v>0</x:v>
      </x:c>
      <x:c r="L1322" s="11" t="n">
        <x:v>0</x:v>
      </x:c>
      <x:c r="M1322" s="11" t="n">
        <x:v>0</x:v>
      </x:c>
      <x:c r="N1322" s="4"/>
      <x:c r="O1322" s="4"/>
      <x:c r="P1322" s="11" t="n">
        <x:v>0</x:v>
      </x:c>
      <x:c r="Q1322" s="11" t="n">
        <x:v>0</x:v>
      </x:c>
      <x:c r="R1322" s="11" t="str">
        <x:f>IF(OR(P1322="",Q1322=""),"",Q1322-P1322)</x:f>
      </x:c>
      <x:c r="S1322" s="13" t="str">
        <x:f>IF(OR(P1322="",Q1322="",P1322=0),"",((Q1322/30)/(P1322/31))-1)</x:f>
      </x:c>
      <x:c r="T1322" s="11" t="n">
        <x:v>31</x:v>
      </x:c>
      <x:c r="U1322" s="11" t="n">
        <x:v>29</x:v>
      </x:c>
      <x:c r="V1322" s="14" t="n">
        <x:v>0</x:v>
      </x:c>
      <x:c r="W1322" s="12" t="n">
        <x:v>8.310344827586206</x:v>
      </x:c>
      <x:c r="X1322" s="11"/>
      <x:c r="Y1322" s="11"/>
      <x:c r="Z1322" s="4" t="str">
        <x:v>https://blog.skyairline.com/cielo-mas-igualitario/</x:v>
      </x:c>
      <x:c r="AA1322" s="4" t="str">
        <x:v>https://blog.skyairline.com/cielo-mas-igualitario/</x:v>
      </x:c>
      <x:c r="AB1322" s="4" t="str">
        <x:v>Coincidencia URL</x:v>
      </x:c>
      <x:c r="AC1322" s="4" t="str">
        <x:v>Publicado hasta septiembre</x:v>
      </x:c>
      <x:c r="AD1322" s="4"/>
      <x:c r="AE1322" s="4"/>
      <x:c r="AF1322" s="16" t="b">
        <x:v>0</x:v>
      </x:c>
    </x:row>
    <x:row r="1323" ht="44" customHeight="1">
      <x:c r="A1323" s="4" t="n">
        <x:v>4213</x:v>
      </x:c>
      <x:c r="B1323" s="4" t="str">
        <x:v>https://blog.skyairline.com/chalten-trekking/</x:v>
      </x:c>
      <x:c r="C1323" s="9" t="str">
        <x:v>Aventúrate a hacer trekking en El Chaltén con SKY</x:v>
      </x:c>
      <x:c r="D1323" s="17" t="d">
        <x:v>2024-04-12T00:00:00.000Z</x:v>
      </x:c>
      <x:c r="E1323" s="17" t="d">
        <x:v>2024-04-12T00:00:00.000Z</x:v>
      </x:c>
      <x:c r="F1323" s="4" t="str">
        <x:v>Destinos</x:v>
      </x:c>
      <x:c r="G1323" s="11" t="n">
        <x:v>943</x:v>
      </x:c>
      <x:c r="H1323" s="11" t="n">
        <x:v>200</x:v>
      </x:c>
      <x:c r="I1323" s="11" t="n">
        <x:v>1</x:v>
      </x:c>
      <x:c r="J1323" s="4" t="str">
        <x:v>https://blog.skyairline.com/chalten-trekking/</x:v>
      </x:c>
      <x:c r="K1323" s="16" t="b">
        <x:v>0</x:v>
      </x:c>
      <x:c r="L1323" s="11" t="n">
        <x:v>0</x:v>
      </x:c>
      <x:c r="M1323" s="11" t="n">
        <x:v>3</x:v>
      </x:c>
      <x:c r="N1323" s="4"/>
      <x:c r="O1323" s="4"/>
      <x:c r="P1323" s="11" t="n">
        <x:v>0</x:v>
      </x:c>
      <x:c r="Q1323" s="11" t="n">
        <x:v>0</x:v>
      </x:c>
      <x:c r="R1323" s="11" t="str">
        <x:f>IF(OR(P1323="",Q1323=""),"",Q1323-P1323)</x:f>
      </x:c>
      <x:c r="S1323" s="13" t="str">
        <x:f>IF(OR(P1323="",Q1323="",P1323=0),"",((Q1323/30)/(P1323/31))-1)</x:f>
      </x:c>
      <x:c r="T1323" s="11" t="n">
        <x:v>5</x:v>
      </x:c>
      <x:c r="U1323" s="11" t="n">
        <x:v>10</x:v>
      </x:c>
      <x:c r="V1323" s="14" t="n">
        <x:v>0</x:v>
      </x:c>
      <x:c r="W1323" s="12" t="n">
        <x:v>7.3</x:v>
      </x:c>
      <x:c r="X1323" s="11"/>
      <x:c r="Y1323" s="11"/>
      <x:c r="Z1323" s="4" t="str">
        <x:v>https://blog.skyairline.com/chalten-trekking/</x:v>
      </x:c>
      <x:c r="AA1323" s="4" t="str">
        <x:v>https://blog.skyairline.com/chalten-trekking/</x:v>
      </x:c>
      <x:c r="AB1323" s="4" t="str">
        <x:v>Coincidencia URL</x:v>
      </x:c>
      <x:c r="AC1323" s="4" t="str">
        <x:v>Publicado hasta septiembre</x:v>
      </x:c>
      <x:c r="AD1323" s="4"/>
      <x:c r="AE1323" s="4"/>
      <x:c r="AF1323" s="16" t="b">
        <x:v>1</x:v>
      </x:c>
    </x:row>
    <x:row r="1324" ht="44" customHeight="1">
      <x:c r="A1324" s="4" t="n">
        <x:v>4217</x:v>
      </x:c>
      <x:c r="B1324" s="4" t="str">
        <x:v>https://blog.skyairline.com/trekking-bariloche/</x:v>
      </x:c>
      <x:c r="C1324" s="9" t="str">
        <x:v>Explora la naturaleza patagónica haciendo trekking en Bariloche</x:v>
      </x:c>
      <x:c r="D1324" s="17" t="d">
        <x:v>2024-04-18T00:00:00.000Z</x:v>
      </x:c>
      <x:c r="E1324" s="17" t="d">
        <x:v>2024-04-18T00:00:00.000Z</x:v>
      </x:c>
      <x:c r="F1324" s="4" t="str">
        <x:v>Bariloche, Destinos</x:v>
      </x:c>
      <x:c r="G1324" s="11" t="n">
        <x:v>966</x:v>
      </x:c>
      <x:c r="H1324" s="11" t="n">
        <x:v>200</x:v>
      </x:c>
      <x:c r="I1324" s="11" t="n">
        <x:v>1</x:v>
      </x:c>
      <x:c r="J1324" s="4" t="str">
        <x:v>https://blog.skyairline.com/trekking-bariloche/</x:v>
      </x:c>
      <x:c r="K1324" s="16" t="b">
        <x:v>0</x:v>
      </x:c>
      <x:c r="L1324" s="11" t="n">
        <x:v>0</x:v>
      </x:c>
      <x:c r="M1324" s="11" t="n">
        <x:v>3</x:v>
      </x:c>
      <x:c r="N1324" s="4"/>
      <x:c r="O1324" s="4"/>
      <x:c r="P1324" s="11" t="n">
        <x:v>0</x:v>
      </x:c>
      <x:c r="Q1324" s="11" t="n">
        <x:v>0</x:v>
      </x:c>
      <x:c r="R1324" s="11" t="str">
        <x:f>IF(OR(P1324="",Q1324=""),"",Q1324-P1324)</x:f>
      </x:c>
      <x:c r="S1324" s="13" t="str">
        <x:f>IF(OR(P1324="",Q1324="",P1324=0),"",((Q1324/30)/(P1324/31))-1)</x:f>
      </x:c>
      <x:c r="T1324" s="11" t="n">
        <x:v>60</x:v>
      </x:c>
      <x:c r="U1324" s="11" t="n">
        <x:v>11</x:v>
      </x:c>
      <x:c r="V1324" s="14" t="n">
        <x:v>0</x:v>
      </x:c>
      <x:c r="W1324" s="12" t="n">
        <x:v>33.63636363636363</x:v>
      </x:c>
      <x:c r="X1324" s="11"/>
      <x:c r="Y1324" s="11"/>
      <x:c r="Z1324" s="4" t="str">
        <x:v>https://blog.skyairline.com/trekking-bariloche/</x:v>
      </x:c>
      <x:c r="AA1324" s="4" t="str">
        <x:v>https://blog.skyairline.com/trekking-bariloche/</x:v>
      </x:c>
      <x:c r="AB1324" s="4" t="str">
        <x:v>Coincidencia URL</x:v>
      </x:c>
      <x:c r="AC1324" s="4" t="str">
        <x:v>Publicado hasta septiembre</x:v>
      </x:c>
      <x:c r="AD1324" s="4"/>
      <x:c r="AE1324" s="4"/>
      <x:c r="AF1324" s="16" t="b">
        <x:v>0</x:v>
      </x:c>
    </x:row>
    <x:row r="1325" ht="44" customHeight="1">
      <x:c r="A1325" s="4" t="n">
        <x:v>4227</x:v>
      </x:c>
      <x:c r="B1325" s="4" t="str">
        <x:v>https://blog.skyairline.com/final-libertadores/</x:v>
      </x:c>
      <x:c r="C1325" s="9" t="str">
        <x:v>¿Dónde se juega la final de la Copa Libertadores? ¡Conoce aquí todos los detalles!</x:v>
      </x:c>
      <x:c r="D1325" s="17" t="d">
        <x:v>2025-06-17T00:00:00.000Z</x:v>
      </x:c>
      <x:c r="E1325" s="17" t="d">
        <x:v>2025-12-19T00:00:00.000Z</x:v>
      </x:c>
      <x:c r="F1325" s="4" t="str">
        <x:v>Planificación de Viaje</x:v>
      </x:c>
      <x:c r="G1325" s="11" t="n">
        <x:v>1294</x:v>
      </x:c>
      <x:c r="H1325" s="11" t="n">
        <x:v>200</x:v>
      </x:c>
      <x:c r="I1325" s="11" t="n">
        <x:v>1</x:v>
      </x:c>
      <x:c r="J1325" s="4" t="str">
        <x:v>https://blog.skyairline.com/final-libertadores/</x:v>
      </x:c>
      <x:c r="K1325" s="16" t="b">
        <x:v>0</x:v>
      </x:c>
      <x:c r="L1325" s="11" t="n">
        <x:v>0</x:v>
      </x:c>
      <x:c r="M1325" s="11" t="n">
        <x:v>6</x:v>
      </x:c>
      <x:c r="N1325" s="4"/>
      <x:c r="O1325" s="4"/>
      <x:c r="P1325" s="11" t="n">
        <x:v>0</x:v>
      </x:c>
      <x:c r="Q1325" s="11" t="n">
        <x:v>0</x:v>
      </x:c>
      <x:c r="R1325" s="11" t="str">
        <x:f>IF(OR(P1325="",Q1325=""),"",Q1325-P1325)</x:f>
      </x:c>
      <x:c r="S1325" s="13" t="str">
        <x:f>IF(OR(P1325="",Q1325="",P1325=0),"",((Q1325/30)/(P1325/31))-1)</x:f>
      </x:c>
      <x:c r="T1325" s="11" t="n">
        <x:v>259</x:v>
      </x:c>
      <x:c r="U1325" s="11" t="n">
        <x:v>166</x:v>
      </x:c>
      <x:c r="V1325" s="14" t="n">
        <x:v>0</x:v>
      </x:c>
      <x:c r="W1325" s="12" t="n">
        <x:v>9.80722891566265</x:v>
      </x:c>
      <x:c r="X1325" s="11"/>
      <x:c r="Y1325" s="11"/>
      <x:c r="Z1325" s="4" t="str">
        <x:v>https://blog.skyairline.com/final-libertadores/</x:v>
      </x:c>
      <x:c r="AA1325" s="4" t="str">
        <x:v>https://blog.skyairline.com/final-libertadores/</x:v>
      </x:c>
      <x:c r="AB1325" s="4" t="str">
        <x:v>Coincidencia URL</x:v>
      </x:c>
      <x:c r="AC1325" s="4" t="str">
        <x:v>Publicado hasta septiembre</x:v>
      </x:c>
      <x:c r="AD1325" s="4"/>
      <x:c r="AE1325" s="4"/>
      <x:c r="AF1325" s="16" t="b">
        <x:v>0</x:v>
      </x:c>
    </x:row>
    <x:row r="1326" ht="44" customHeight="1">
      <x:c r="A1326" s="4" t="n">
        <x:v>4232</x:v>
      </x:c>
      <x:c r="B1326" s="4" t="str">
        <x:v>https://blog.skyairline.com/trekking-ushuaia/</x:v>
      </x:c>
      <x:c r="C1326" s="9" t="str">
        <x:v>Trekking: descubre los mejores senderos en Ushuaia</x:v>
      </x:c>
      <x:c r="D1326" s="17" t="d">
        <x:v>2026-07-23T00:00:00.000Z</x:v>
      </x:c>
      <x:c r="E1326" s="17" t="d">
        <x:v>2026-07-22T00:00:00.000Z</x:v>
      </x:c>
      <x:c r="F1326" s="4" t="str">
        <x:v>Destinos</x:v>
      </x:c>
      <x:c r="G1326" s="11" t="n">
        <x:v>1016</x:v>
      </x:c>
      <x:c r="H1326" s="11" t="n">
        <x:v>200</x:v>
      </x:c>
      <x:c r="I1326" s="11" t="n">
        <x:v>1</x:v>
      </x:c>
      <x:c r="J1326" s="4" t="str">
        <x:v>https://blog.skyairline.com/trekking-ushuaia/</x:v>
      </x:c>
      <x:c r="K1326" s="16" t="b">
        <x:v>0</x:v>
      </x:c>
      <x:c r="L1326" s="11" t="n">
        <x:v>0</x:v>
      </x:c>
      <x:c r="M1326" s="11" t="n">
        <x:v>0</x:v>
      </x:c>
      <x:c r="N1326" s="4"/>
      <x:c r="O1326" s="4"/>
      <x:c r="P1326" s="11" t="n">
        <x:v>0</x:v>
      </x:c>
      <x:c r="Q1326" s="11" t="n">
        <x:v>0</x:v>
      </x:c>
      <x:c r="R1326" s="11" t="str">
        <x:f>IF(OR(P1326="",Q1326=""),"",Q1326-P1326)</x:f>
      </x:c>
      <x:c r="S1326" s="13" t="str">
        <x:f>IF(OR(P1326="",Q1326="",P1326=0),"",((Q1326/30)/(P1326/31))-1)</x:f>
      </x:c>
      <x:c r="T1326" s="11" t="n">
        <x:v>69</x:v>
      </x:c>
      <x:c r="U1326" s="11" t="n">
        <x:v>49</x:v>
      </x:c>
      <x:c r="V1326" s="14" t="n">
        <x:v>0</x:v>
      </x:c>
      <x:c r="W1326" s="12" t="n">
        <x:v>22.448979591836736</x:v>
      </x:c>
      <x:c r="X1326" s="11"/>
      <x:c r="Y1326" s="11"/>
      <x:c r="Z1326" s="4" t="str">
        <x:v>https://blog.skyairline.com/trekking-ushuaia/</x:v>
      </x:c>
      <x:c r="AA1326" s="4" t="str">
        <x:v>https://blog.skyairline.com/trekking-ushuaia/</x:v>
      </x:c>
      <x:c r="AB1326" s="4" t="str">
        <x:v>Coincidencia URL</x:v>
      </x:c>
      <x:c r="AC1326" s="4" t="str">
        <x:v>Publicado hasta septiembre</x:v>
      </x:c>
      <x:c r="AD1326" s="4"/>
      <x:c r="AE1326" s="4"/>
      <x:c r="AF1326" s="16" t="b">
        <x:v>0</x:v>
      </x:c>
    </x:row>
    <x:row r="1327" ht="44" customHeight="1">
      <x:c r="A1327" s="4" t="n">
        <x:v>4238</x:v>
      </x:c>
      <x:c r="B1327" s="4" t="str">
        <x:v>https://blog.skyairline.com/trekking-santiago/</x:v>
      </x:c>
      <x:c r="C1327" s="9" t="str">
        <x:v>Rutas de trekking en Santiago para todos los niveles</x:v>
      </x:c>
      <x:c r="D1327" s="17" t="d">
        <x:v>2025-10-03T00:00:00.000Z</x:v>
      </x:c>
      <x:c r="E1327" s="17" t="d">
        <x:v>2026-01-12T00:00:00.000Z</x:v>
      </x:c>
      <x:c r="F1327" s="4" t="str">
        <x:v>Destinos</x:v>
      </x:c>
      <x:c r="G1327" s="11" t="n">
        <x:v>1033</x:v>
      </x:c>
      <x:c r="H1327" s="11" t="n">
        <x:v>200</x:v>
      </x:c>
      <x:c r="I1327" s="11" t="n">
        <x:v>1</x:v>
      </x:c>
      <x:c r="J1327" s="4" t="str">
        <x:v>https://blog.skyairline.com/trekking-santiago/</x:v>
      </x:c>
      <x:c r="K1327" s="16" t="b">
        <x:v>0</x:v>
      </x:c>
      <x:c r="L1327" s="11" t="n">
        <x:v>0</x:v>
      </x:c>
      <x:c r="M1327" s="11" t="n">
        <x:v>3</x:v>
      </x:c>
      <x:c r="N1327" s="4"/>
      <x:c r="O1327" s="4"/>
      <x:c r="P1327" s="11" t="n">
        <x:v>0</x:v>
      </x:c>
      <x:c r="Q1327" s="11" t="n">
        <x:v>0</x:v>
      </x:c>
      <x:c r="R1327" s="11" t="str">
        <x:f>IF(OR(P1327="",Q1327=""),"",Q1327-P1327)</x:f>
      </x:c>
      <x:c r="S1327" s="13" t="str">
        <x:f>IF(OR(P1327="",Q1327="",P1327=0),"",((Q1327/30)/(P1327/31))-1)</x:f>
      </x:c>
      <x:c r="T1327" s="11" t="n">
        <x:v>89</x:v>
      </x:c>
      <x:c r="U1327" s="11" t="n">
        <x:v>176</x:v>
      </x:c>
      <x:c r="V1327" s="14" t="n">
        <x:v>0</x:v>
      </x:c>
      <x:c r="W1327" s="12" t="n">
        <x:v>23.5625</x:v>
      </x:c>
      <x:c r="X1327" s="11" t="n">
        <x:v>1</x:v>
      </x:c>
      <x:c r="Y1327" s="11" t="n">
        <x:v>1</x:v>
      </x:c>
      <x:c r="Z1327" s="4" t="str">
        <x:v>https://blog.skyairline.com/trekking-santiago/</x:v>
      </x:c>
      <x:c r="AA1327" s="4" t="str">
        <x:v>https://blog.skyairline.com/trekking-santiago/</x:v>
      </x:c>
      <x:c r="AB1327" s="4" t="str">
        <x:v>Coincidencia URL</x:v>
      </x:c>
      <x:c r="AC1327" s="4" t="str">
        <x:v>Publicado hasta septiembre</x:v>
      </x:c>
      <x:c r="AD1327" s="4" t="str">
        <x:v>/trekking-santiago/</x:v>
      </x:c>
      <x:c r="AE1327" s="4"/>
      <x:c r="AF1327" s="16" t="b">
        <x:v>0</x:v>
      </x:c>
    </x:row>
    <x:row r="1328" ht="44" customHeight="1">
      <x:c r="A1328" s="4" t="n">
        <x:v>4241</x:v>
      </x:c>
      <x:c r="B1328" s="4" t="str">
        <x:v>https://blog.skyairline.com/que-hacer-en-puerto-varas/</x:v>
      </x:c>
      <x:c r="C1328" s="9" t="str">
        <x:v>Qué hacer en Puerto Varas: naturaleza, arquitectura y cultura</x:v>
      </x:c>
      <x:c r="D1328" s="17" t="d">
        <x:v>2026-10-01T00:00:00.000Z</x:v>
      </x:c>
      <x:c r="E1328" s="17" t="d">
        <x:v>2026-09-22T00:00:00.000Z</x:v>
      </x:c>
      <x:c r="F1328" s="4" t="str">
        <x:v>Destinos</x:v>
      </x:c>
      <x:c r="G1328" s="11" t="n">
        <x:v>1557</x:v>
      </x:c>
      <x:c r="H1328" s="11" t="n">
        <x:v>200</x:v>
      </x:c>
      <x:c r="I1328" s="11" t="n">
        <x:v>1</x:v>
      </x:c>
      <x:c r="J1328" s="4" t="str">
        <x:v>https://blog.skyairline.com/que-hacer-en-puerto-varas/</x:v>
      </x:c>
      <x:c r="K1328" s="16" t="b">
        <x:v>0</x:v>
      </x:c>
      <x:c r="L1328" s="11" t="n">
        <x:v>0</x:v>
      </x:c>
      <x:c r="M1328" s="11" t="n">
        <x:v>0</x:v>
      </x:c>
      <x:c r="N1328" s="4"/>
      <x:c r="O1328" s="4"/>
      <x:c r="P1328" s="11" t="n">
        <x:v>0</x:v>
      </x:c>
      <x:c r="Q1328" s="11" t="n">
        <x:v>0</x:v>
      </x:c>
      <x:c r="R1328" s="11" t="str">
        <x:f>IF(OR(P1328="",Q1328=""),"",Q1328-P1328)</x:f>
      </x:c>
      <x:c r="S1328" s="13" t="str">
        <x:f>IF(OR(P1328="",Q1328="",P1328=0),"",((Q1328/30)/(P1328/31))-1)</x:f>
      </x:c>
      <x:c r="T1328" s="11" t="n">
        <x:v>1</x:v>
      </x:c>
      <x:c r="U1328" s="11" t="n">
        <x:v>18</x:v>
      </x:c>
      <x:c r="V1328" s="14" t="n">
        <x:v>0</x:v>
      </x:c>
      <x:c r="W1328" s="12" t="n">
        <x:v>46.666666666666664</x:v>
      </x:c>
      <x:c r="X1328" s="11" t="n">
        <x:v>1</x:v>
      </x:c>
      <x:c r="Y1328" s="11" t="n">
        <x:v>1</x:v>
      </x:c>
      <x:c r="Z1328" s="4" t="str">
        <x:v>https://blog.skyairline.com/que-hacer-en-puerto-varas/</x:v>
      </x:c>
      <x:c r="AA1328" s="4" t="str">
        <x:v>https://blog.skyairline.com/que-hacer-en-puerto-varas/</x:v>
      </x:c>
      <x:c r="AB1328" s="4" t="str">
        <x:v>Coincidencia URL</x:v>
      </x:c>
      <x:c r="AC1328" s="4" t="str">
        <x:v>Publicado después del mes</x:v>
      </x:c>
      <x:c r="AD1328" s="4" t="str">
        <x:v>/que-hacer-en-puerto-varas/</x:v>
      </x:c>
      <x:c r="AE1328" s="4"/>
      <x:c r="AF1328" s="16" t="b">
        <x:v>0</x:v>
      </x:c>
    </x:row>
    <x:row r="1329" ht="44" customHeight="1">
      <x:c r="A1329" s="4" t="n">
        <x:v>4269</x:v>
      </x:c>
      <x:c r="B1329" s="4" t="str">
        <x:v>https://blog.skyairline.com/cabanas-en-bariloche/</x:v>
      </x:c>
      <x:c r="C1329" s="9" t="str">
        <x:v>Cabañas en Bariloche: mejores zonas para alojarte y qué hacer en sus alrededores</x:v>
      </x:c>
      <x:c r="D1329" s="17" t="d">
        <x:v>2025-11-02T00:00:00.000Z</x:v>
      </x:c>
      <x:c r="E1329" s="17" t="d">
        <x:v>2026-01-12T00:00:00.000Z</x:v>
      </x:c>
      <x:c r="F1329" s="4" t="str">
        <x:v>Bariloche</x:v>
      </x:c>
      <x:c r="G1329" s="11" t="n">
        <x:v>956</x:v>
      </x:c>
      <x:c r="H1329" s="11" t="n">
        <x:v>200</x:v>
      </x:c>
      <x:c r="I1329" s="11" t="n">
        <x:v>1</x:v>
      </x:c>
      <x:c r="J1329" s="4" t="str">
        <x:v>https://blog.skyairline.com/cabanas-en-bariloche/</x:v>
      </x:c>
      <x:c r="K1329" s="16" t="b">
        <x:v>0</x:v>
      </x:c>
      <x:c r="L1329" s="11" t="n">
        <x:v>0</x:v>
      </x:c>
      <x:c r="M1329" s="11" t="n">
        <x:v>2</x:v>
      </x:c>
      <x:c r="N1329" s="4"/>
      <x:c r="O1329" s="4"/>
      <x:c r="P1329" s="11" t="n">
        <x:v>0</x:v>
      </x:c>
      <x:c r="Q1329" s="11" t="n">
        <x:v>0</x:v>
      </x:c>
      <x:c r="R1329" s="11" t="str">
        <x:f>IF(OR(P1329="",Q1329=""),"",Q1329-P1329)</x:f>
      </x:c>
      <x:c r="S1329" s="13" t="str">
        <x:f>IF(OR(P1329="",Q1329="",P1329=0),"",((Q1329/30)/(P1329/31))-1)</x:f>
      </x:c>
      <x:c r="T1329" s="11" t="n">
        <x:v>91</x:v>
      </x:c>
      <x:c r="U1329" s="11" t="n">
        <x:v>101</x:v>
      </x:c>
      <x:c r="V1329" s="14" t="n">
        <x:v>0</x:v>
      </x:c>
      <x:c r="W1329" s="12" t="n">
        <x:v>16.91089108910891</x:v>
      </x:c>
      <x:c r="X1329" s="11"/>
      <x:c r="Y1329" s="11"/>
      <x:c r="Z1329" s="4" t="str">
        <x:v>https://blog.skyairline.com/cabanas-en-bariloche/</x:v>
      </x:c>
      <x:c r="AA1329" s="4" t="str">
        <x:v>https://blog.skyairline.com/cabanas-en-bariloche/</x:v>
      </x:c>
      <x:c r="AB1329" s="4" t="str">
        <x:v>Coincidencia URL</x:v>
      </x:c>
      <x:c r="AC1329" s="4" t="str">
        <x:v>Publicado hasta septiembre</x:v>
      </x:c>
      <x:c r="AD1329" s="4"/>
      <x:c r="AE1329" s="4"/>
      <x:c r="AF1329" s="16" t="b">
        <x:v>0</x:v>
      </x:c>
    </x:row>
    <x:row r="1330" ht="44" customHeight="1">
      <x:c r="A1330" s="4" t="n">
        <x:v>4275</x:v>
      </x:c>
      <x:c r="B1330" s="4" t="str">
        <x:v>https://blog.skyairline.com/cultura-brasilena/</x:v>
      </x:c>
      <x:c r="C1330" s="9" t="str">
        <x:v>Lo mejor de la cultura brasileña en cinco experiencias</x:v>
      </x:c>
      <x:c r="D1330" s="17" t="d">
        <x:v>2025-10-03T00:00:00.000Z</x:v>
      </x:c>
      <x:c r="E1330" s="17" t="d">
        <x:v>2026-01-12T00:00:00.000Z</x:v>
      </x:c>
      <x:c r="F1330" s="4" t="str">
        <x:v>Destinos</x:v>
      </x:c>
      <x:c r="G1330" s="11" t="n">
        <x:v>1120</x:v>
      </x:c>
      <x:c r="H1330" s="11" t="n">
        <x:v>200</x:v>
      </x:c>
      <x:c r="I1330" s="11" t="n">
        <x:v>1</x:v>
      </x:c>
      <x:c r="J1330" s="4" t="str">
        <x:v>https://blog.skyairline.com/cultura-brasilena/</x:v>
      </x:c>
      <x:c r="K1330" s="16" t="b">
        <x:v>0</x:v>
      </x:c>
      <x:c r="L1330" s="11" t="n">
        <x:v>0</x:v>
      </x:c>
      <x:c r="M1330" s="11" t="n">
        <x:v>3</x:v>
      </x:c>
      <x:c r="N1330" s="4"/>
      <x:c r="O1330" s="4"/>
      <x:c r="P1330" s="11" t="n">
        <x:v>2</x:v>
      </x:c>
      <x:c r="Q1330" s="11" t="n">
        <x:v>0</x:v>
      </x:c>
      <x:c r="R1330" s="11" t="str">
        <x:f>IF(OR(P1330="",Q1330=""),"",Q1330-P1330)</x:f>
      </x:c>
      <x:c r="S1330" s="13" t="str">
        <x:f>IF(OR(P1330="",Q1330="",P1330=0),"",((Q1330/30)/(P1330/31))-1)</x:f>
      </x:c>
      <x:c r="T1330" s="11" t="n">
        <x:v>467</x:v>
      </x:c>
      <x:c r="U1330" s="11" t="n">
        <x:v>303</x:v>
      </x:c>
      <x:c r="V1330" s="14" t="n">
        <x:v>0</x:v>
      </x:c>
      <x:c r="W1330" s="12" t="n">
        <x:v>24.316831683168317</x:v>
      </x:c>
      <x:c r="X1330" s="11" t="n">
        <x:v>1</x:v>
      </x:c>
      <x:c r="Y1330" s="11" t="n">
        <x:v>1</x:v>
      </x:c>
      <x:c r="Z1330" s="4" t="str">
        <x:v>https://blog.skyairline.com/cultura-brasilena/</x:v>
      </x:c>
      <x:c r="AA1330" s="4" t="str">
        <x:v>https://blog.skyairline.com/cultura-brasilena/</x:v>
      </x:c>
      <x:c r="AB1330" s="4" t="str">
        <x:v>Coincidencia URL</x:v>
      </x:c>
      <x:c r="AC1330" s="4" t="str">
        <x:v>Publicado hasta septiembre</x:v>
      </x:c>
      <x:c r="AD1330" s="4" t="str">
        <x:v>/cultura-brasilena/</x:v>
      </x:c>
      <x:c r="AE1330" s="4"/>
      <x:c r="AF1330" s="16" t="b">
        <x:v>0</x:v>
      </x:c>
    </x:row>
    <x:row r="1331" ht="44" customHeight="1">
      <x:c r="A1331" s="4" t="n">
        <x:v>4279</x:v>
      </x:c>
      <x:c r="B1331" s="4" t="str">
        <x:v>https://blog.skyairline.com/caleta-condor/</x:v>
      </x:c>
      <x:c r="C1331" s="9" t="str">
        <x:v>Descubriendo Caleta Cóndor: naturaleza intacta y serenidad costera</x:v>
      </x:c>
      <x:c r="D1331" s="17" t="d">
        <x:v>2025-09-02T00:00:00.000Z</x:v>
      </x:c>
      <x:c r="E1331" s="17" t="d">
        <x:v>2026-01-12T00:00:00.000Z</x:v>
      </x:c>
      <x:c r="F1331" s="4" t="str">
        <x:v>Destinos</x:v>
      </x:c>
      <x:c r="G1331" s="11" t="n">
        <x:v>1111</x:v>
      </x:c>
      <x:c r="H1331" s="11" t="n">
        <x:v>200</x:v>
      </x:c>
      <x:c r="I1331" s="11" t="n">
        <x:v>1</x:v>
      </x:c>
      <x:c r="J1331" s="4" t="str">
        <x:v>https://blog.skyairline.com/caleta-condor/</x:v>
      </x:c>
      <x:c r="K1331" s="16" t="b">
        <x:v>0</x:v>
      </x:c>
      <x:c r="L1331" s="11" t="n">
        <x:v>0</x:v>
      </x:c>
      <x:c r="M1331" s="11" t="n">
        <x:v>0</x:v>
      </x:c>
      <x:c r="N1331" s="4"/>
      <x:c r="O1331" s="4"/>
      <x:c r="P1331" s="11" t="n">
        <x:v>0</x:v>
      </x:c>
      <x:c r="Q1331" s="11" t="n">
        <x:v>0</x:v>
      </x:c>
      <x:c r="R1331" s="11" t="str">
        <x:f>IF(OR(P1331="",Q1331=""),"",Q1331-P1331)</x:f>
      </x:c>
      <x:c r="S1331" s="13" t="str">
        <x:f>IF(OR(P1331="",Q1331="",P1331=0),"",((Q1331/30)/(P1331/31))-1)</x:f>
      </x:c>
      <x:c r="T1331" s="11" t="n">
        <x:v>105</x:v>
      </x:c>
      <x:c r="U1331" s="11" t="n">
        <x:v>150</x:v>
      </x:c>
      <x:c r="V1331" s="14" t="n">
        <x:v>0</x:v>
      </x:c>
      <x:c r="W1331" s="12" t="n">
        <x:v>13.56</x:v>
      </x:c>
      <x:c r="X1331" s="11"/>
      <x:c r="Y1331" s="11"/>
      <x:c r="Z1331" s="4" t="str">
        <x:v>https://blog.skyairline.com/caleta-condor/</x:v>
      </x:c>
      <x:c r="AA1331" s="4" t="str">
        <x:v>https://blog.skyairline.com/caleta-condor/</x:v>
      </x:c>
      <x:c r="AB1331" s="4" t="str">
        <x:v>Coincidencia URL</x:v>
      </x:c>
      <x:c r="AC1331" s="4" t="str">
        <x:v>Publicado hasta septiembre</x:v>
      </x:c>
      <x:c r="AD1331" s="4"/>
      <x:c r="AE1331" s="4"/>
      <x:c r="AF1331" s="16" t="b">
        <x:v>0</x:v>
      </x:c>
    </x:row>
    <x:row r="1332" ht="44" customHeight="1">
      <x:c r="A1332" s="4" t="n">
        <x:v>4317</x:v>
      </x:c>
      <x:c r="B1332" s="4" t="str">
        <x:v>https://blog.skyairline.com/viajar-dentro-de-chile-2/</x:v>
      </x:c>
      <x:c r="C1332" s="9" t="str">
        <x:v>Cómo recorrer Chile en 2 semanas sin auto: itinerario 100% en avión</x:v>
      </x:c>
      <x:c r="D1332" s="17" t="d">
        <x:v>2026-09-30T00:00:00.000Z</x:v>
      </x:c>
      <x:c r="E1332" s="17" t="d">
        <x:v>2026-09-22T00:00:00.000Z</x:v>
      </x:c>
      <x:c r="F1332" s="4" t="str">
        <x:v>Destinos</x:v>
      </x:c>
      <x:c r="G1332" s="11" t="n">
        <x:v>1147</x:v>
      </x:c>
      <x:c r="H1332" s="11" t="n">
        <x:v>200</x:v>
      </x:c>
      <x:c r="I1332" s="11" t="n">
        <x:v>1</x:v>
      </x:c>
      <x:c r="J1332" s="4" t="str">
        <x:v>https://blog.skyairline.com/viajar-dentro-de-chile-2/</x:v>
      </x:c>
      <x:c r="K1332" s="16" t="b">
        <x:v>0</x:v>
      </x:c>
      <x:c r="L1332" s="11" t="n">
        <x:v>0</x:v>
      </x:c>
      <x:c r="M1332" s="11" t="n">
        <x:v>0</x:v>
      </x:c>
      <x:c r="N1332" s="4"/>
      <x:c r="O1332" s="4"/>
      <x:c r="P1332" s="11" t="n">
        <x:v>0</x:v>
      </x:c>
      <x:c r="Q1332" s="11" t="n">
        <x:v>0</x:v>
      </x:c>
      <x:c r="R1332" s="11" t="str">
        <x:f>IF(OR(P1332="",Q1332=""),"",Q1332-P1332)</x:f>
      </x:c>
      <x:c r="S1332" s="13" t="str">
        <x:f>IF(OR(P1332="",Q1332="",P1332=0),"",((Q1332/30)/(P1332/31))-1)</x:f>
      </x:c>
      <x:c r="T1332" s="11" t="n">
        <x:v>156</x:v>
      </x:c>
      <x:c r="U1332" s="11" t="n">
        <x:v>27</x:v>
      </x:c>
      <x:c r="V1332" s="14" t="n">
        <x:v>0</x:v>
      </x:c>
      <x:c r="W1332" s="12" t="n">
        <x:v>17.74074074074074</x:v>
      </x:c>
      <x:c r="X1332" s="11" t="n">
        <x:v>2</x:v>
      </x:c>
      <x:c r="Y1332" s="11" t="n">
        <x:v>2</x:v>
      </x:c>
      <x:c r="Z1332" s="4" t="str">
        <x:v>https://blog.skyairline.com/viajar-dentro-de-chile-2/</x:v>
      </x:c>
      <x:c r="AA1332" s="4" t="str">
        <x:v>https://blog.skyairline.com/viajar-dentro-de-chile-2/</x:v>
      </x:c>
      <x:c r="AB1332" s="4" t="str">
        <x:v>Coincidencia URL</x:v>
      </x:c>
      <x:c r="AC1332" s="4" t="str">
        <x:v>Publicado hasta septiembre</x:v>
      </x:c>
      <x:c r="AD1332" s="4" t="str">
        <x:v>/viajar-dentro-de-chile-2/</x:v>
      </x:c>
      <x:c r="AE1332" s="4"/>
      <x:c r="AF1332" s="16" t="b">
        <x:v>0</x:v>
      </x:c>
    </x:row>
    <x:row r="1333" ht="44" customHeight="1">
      <x:c r="A1333" s="4" t="n">
        <x:v>4319</x:v>
      </x:c>
      <x:c r="B1333" s="4" t="str">
        <x:v>https://blog.skyairline.com/viajar-por-sudamerica/</x:v>
      </x:c>
      <x:c r="C1333" s="9" t="str">
        <x:v>¿Cuánto cuesta viajar por Sudamérica?</x:v>
      </x:c>
      <x:c r="D1333" s="17" t="d">
        <x:v>2024-03-22T00:00:00.000Z</x:v>
      </x:c>
      <x:c r="E1333" s="17" t="d">
        <x:v>2024-03-22T00:00:00.000Z</x:v>
      </x:c>
      <x:c r="F1333" s="4" t="str">
        <x:v>Destinos, Planificación de Viaje</x:v>
      </x:c>
      <x:c r="G1333" s="11" t="n">
        <x:v>1190</x:v>
      </x:c>
      <x:c r="H1333" s="11" t="n">
        <x:v>200</x:v>
      </x:c>
      <x:c r="I1333" s="11" t="n">
        <x:v>1</x:v>
      </x:c>
      <x:c r="J1333" s="4" t="str">
        <x:v>https://blog.skyairline.com/viajar-por-sudamerica/</x:v>
      </x:c>
      <x:c r="K1333" s="16" t="b">
        <x:v>0</x:v>
      </x:c>
      <x:c r="L1333" s="11" t="n">
        <x:v>0</x:v>
      </x:c>
      <x:c r="M1333" s="11" t="n">
        <x:v>6</x:v>
      </x:c>
      <x:c r="N1333" s="4"/>
      <x:c r="O1333" s="4"/>
      <x:c r="P1333" s="11" t="n">
        <x:v>1</x:v>
      </x:c>
      <x:c r="Q1333" s="11" t="n">
        <x:v>0</x:v>
      </x:c>
      <x:c r="R1333" s="11" t="str">
        <x:f>IF(OR(P1333="",Q1333=""),"",Q1333-P1333)</x:f>
      </x:c>
      <x:c r="S1333" s="13" t="str">
        <x:f>IF(OR(P1333="",Q1333="",P1333=0),"",((Q1333/30)/(P1333/31))-1)</x:f>
      </x:c>
      <x:c r="T1333" s="11" t="n">
        <x:v>31</x:v>
      </x:c>
      <x:c r="U1333" s="11" t="n">
        <x:v>34</x:v>
      </x:c>
      <x:c r="V1333" s="14" t="n">
        <x:v>0</x:v>
      </x:c>
      <x:c r="W1333" s="12" t="n">
        <x:v>13.352941176470589</x:v>
      </x:c>
      <x:c r="X1333" s="11"/>
      <x:c r="Y1333" s="11"/>
      <x:c r="Z1333" s="4" t="str">
        <x:v>https://blog.skyairline.com/viajar-por-sudamerica/</x:v>
      </x:c>
      <x:c r="AA1333" s="4" t="str">
        <x:v>https://blog.skyairline.com/viajar-por-sudamerica/</x:v>
      </x:c>
      <x:c r="AB1333" s="4" t="str">
        <x:v>Coincidencia URL</x:v>
      </x:c>
      <x:c r="AC1333" s="4" t="str">
        <x:v>Publicado hasta septiembre</x:v>
      </x:c>
      <x:c r="AD1333" s="4"/>
      <x:c r="AE1333" s="4"/>
      <x:c r="AF1333" s="16" t="b">
        <x:v>1</x:v>
      </x:c>
    </x:row>
    <x:row r="1334" ht="44" customHeight="1">
      <x:c r="A1334" s="4" t="n">
        <x:v>4320</x:v>
      </x:c>
      <x:c r="B1334" s="4" t="str">
        <x:v>https://blog.skyairline.com/maraton-de-buenos-aires/</x:v>
      </x:c>
      <x:c r="C1334" s="9" t="str">
        <x:v>Descubre todos los detalles del maratón de Buenos Aires 2024</x:v>
      </x:c>
      <x:c r="D1334" s="17" t="d">
        <x:v>2024-03-23T00:00:00.000Z</x:v>
      </x:c>
      <x:c r="E1334" s="17" t="d">
        <x:v>2024-03-23T00:00:00.000Z</x:v>
      </x:c>
      <x:c r="F1334" s="4" t="str">
        <x:v>Buenos Aires</x:v>
      </x:c>
      <x:c r="G1334" s="11" t="n">
        <x:v>972</x:v>
      </x:c>
      <x:c r="H1334" s="11" t="n">
        <x:v>200</x:v>
      </x:c>
      <x:c r="I1334" s="11" t="n">
        <x:v>1</x:v>
      </x:c>
      <x:c r="J1334" s="4" t="str">
        <x:v>https://blog.skyairline.com/maraton-de-buenos-aires/</x:v>
      </x:c>
      <x:c r="K1334" s="16" t="b">
        <x:v>0</x:v>
      </x:c>
      <x:c r="L1334" s="11" t="n">
        <x:v>0</x:v>
      </x:c>
      <x:c r="M1334" s="11" t="n">
        <x:v>3</x:v>
      </x:c>
      <x:c r="N1334" s="4"/>
      <x:c r="O1334" s="4"/>
      <x:c r="P1334" s="11" t="n">
        <x:v>0</x:v>
      </x:c>
      <x:c r="Q1334" s="11" t="n">
        <x:v>0</x:v>
      </x:c>
      <x:c r="R1334" s="11" t="str">
        <x:f>IF(OR(P1334="",Q1334=""),"",Q1334-P1334)</x:f>
      </x:c>
      <x:c r="S1334" s="13" t="str">
        <x:f>IF(OR(P1334="",Q1334="",P1334=0),"",((Q1334/30)/(P1334/31))-1)</x:f>
      </x:c>
      <x:c r="T1334" s="11" t="n">
        <x:v>183</x:v>
      </x:c>
      <x:c r="U1334" s="11" t="n">
        <x:v>180</x:v>
      </x:c>
      <x:c r="V1334" s="14" t="n">
        <x:v>0</x:v>
      </x:c>
      <x:c r="W1334" s="12" t="n">
        <x:v>11.5</x:v>
      </x:c>
      <x:c r="X1334" s="11" t="n">
        <x:v>1</x:v>
      </x:c>
      <x:c r="Y1334" s="11" t="n">
        <x:v>1</x:v>
      </x:c>
      <x:c r="Z1334" s="4" t="str">
        <x:v>https://blog.skyairline.com/maraton-de-buenos-aires/</x:v>
      </x:c>
      <x:c r="AA1334" s="4" t="str">
        <x:v>https://blog.skyairline.com/maraton-de-buenos-aires/</x:v>
      </x:c>
      <x:c r="AB1334" s="4" t="str">
        <x:v>Coincidencia URL</x:v>
      </x:c>
      <x:c r="AC1334" s="4" t="str">
        <x:v>Publicado hasta septiembre</x:v>
      </x:c>
      <x:c r="AD1334" s="4" t="str">
        <x:v>/maraton-de-buenos-aires/</x:v>
      </x:c>
      <x:c r="AE1334" s="4"/>
      <x:c r="AF1334" s="16" t="b">
        <x:v>0</x:v>
      </x:c>
    </x:row>
    <x:row r="1335" ht="44" customHeight="1">
      <x:c r="A1335" s="4" t="n">
        <x:v>4324</x:v>
      </x:c>
      <x:c r="B1335" s="4" t="str">
        <x:v>https://blog.skyairline.com/tulum-mexico/</x:v>
      </x:c>
      <x:c r="C1335" s="9" t="str">
        <x:v>Qué hacer en Tulum, México: descubre los encantos de este paraíso maya</x:v>
      </x:c>
      <x:c r="D1335" s="17" t="d">
        <x:v>2024-03-29T00:00:00.000Z</x:v>
      </x:c>
      <x:c r="E1335" s="17" t="d">
        <x:v>2024-03-29T00:00:00.000Z</x:v>
      </x:c>
      <x:c r="F1335" s="4" t="str">
        <x:v>Destinos</x:v>
      </x:c>
      <x:c r="G1335" s="11" t="n">
        <x:v>1057</x:v>
      </x:c>
      <x:c r="H1335" s="11" t="n">
        <x:v>200</x:v>
      </x:c>
      <x:c r="I1335" s="11" t="n">
        <x:v>1</x:v>
      </x:c>
      <x:c r="J1335" s="4" t="str">
        <x:v>https://blog.skyairline.com/tulum-mexico/</x:v>
      </x:c>
      <x:c r="K1335" s="16" t="b">
        <x:v>0</x:v>
      </x:c>
      <x:c r="L1335" s="11" t="n">
        <x:v>0</x:v>
      </x:c>
      <x:c r="M1335" s="11" t="n">
        <x:v>3</x:v>
      </x:c>
      <x:c r="N1335" s="4"/>
      <x:c r="O1335" s="4"/>
      <x:c r="P1335" s="11" t="n">
        <x:v>0</x:v>
      </x:c>
      <x:c r="Q1335" s="11" t="n">
        <x:v>0</x:v>
      </x:c>
      <x:c r="R1335" s="11" t="str">
        <x:f>IF(OR(P1335="",Q1335=""),"",Q1335-P1335)</x:f>
      </x:c>
      <x:c r="S1335" s="13" t="str">
        <x:f>IF(OR(P1335="",Q1335="",P1335=0),"",((Q1335/30)/(P1335/31))-1)</x:f>
      </x:c>
      <x:c r="T1335" s="11" t="n">
        <x:v>3</x:v>
      </x:c>
      <x:c r="U1335" s="11" t="n">
        <x:v>3</x:v>
      </x:c>
      <x:c r="V1335" s="14" t="n">
        <x:v>0</x:v>
      </x:c>
      <x:c r="W1335" s="12" t="n">
        <x:v>13</x:v>
      </x:c>
      <x:c r="X1335" s="11"/>
      <x:c r="Y1335" s="11"/>
      <x:c r="Z1335" s="4" t="str">
        <x:v>https://blog.skyairline.com/tulum-mexico/</x:v>
      </x:c>
      <x:c r="AA1335" s="4" t="str">
        <x:v>https://blog.skyairline.com/tulum-mexico/</x:v>
      </x:c>
      <x:c r="AB1335" s="4" t="str">
        <x:v>Coincidencia URL</x:v>
      </x:c>
      <x:c r="AC1335" s="4" t="str">
        <x:v>Publicado hasta septiembre</x:v>
      </x:c>
      <x:c r="AD1335" s="4"/>
      <x:c r="AE1335" s="4"/>
      <x:c r="AF1335" s="16" t="b">
        <x:v>0</x:v>
      </x:c>
    </x:row>
    <x:row r="1336" ht="44" customHeight="1">
      <x:c r="A1336" s="4" t="n">
        <x:v>4326</x:v>
      </x:c>
      <x:c r="B1336" s="4" t="str">
        <x:v>https://blog.skyairline.com/donde-se-juega-copa-america-2024/</x:v>
      </x:c>
      <x:c r="C1336" s="9" t="str">
        <x:v>Descubre dónde se juega la Copa América 2024</x:v>
      </x:c>
      <x:c r="D1336" s="17" t="d">
        <x:v>2024-03-28T00:00:00.000Z</x:v>
      </x:c>
      <x:c r="E1336" s="17" t="d">
        <x:v>2024-03-28T00:00:00.000Z</x:v>
      </x:c>
      <x:c r="F1336" s="4" t="str">
        <x:v>Cultura, Noticias</x:v>
      </x:c>
      <x:c r="G1336" s="11" t="n">
        <x:v>1029</x:v>
      </x:c>
      <x:c r="H1336" s="11" t="n">
        <x:v>200</x:v>
      </x:c>
      <x:c r="I1336" s="11" t="n">
        <x:v>1</x:v>
      </x:c>
      <x:c r="J1336" s="4" t="str">
        <x:v>https://blog.skyairline.com/donde-se-juega-copa-america-2024/</x:v>
      </x:c>
      <x:c r="K1336" s="16" t="b">
        <x:v>0</x:v>
      </x:c>
      <x:c r="L1336" s="11" t="n">
        <x:v>0</x:v>
      </x:c>
      <x:c r="M1336" s="11" t="n">
        <x:v>3</x:v>
      </x:c>
      <x:c r="N1336" s="4"/>
      <x:c r="O1336" s="4"/>
      <x:c r="P1336" s="11" t="n">
        <x:v>0</x:v>
      </x:c>
      <x:c r="Q1336" s="11" t="n">
        <x:v>0</x:v>
      </x:c>
      <x:c r="R1336" s="11" t="str">
        <x:f>IF(OR(P1336="",Q1336=""),"",Q1336-P1336)</x:f>
      </x:c>
      <x:c r="S1336" s="13" t="str">
        <x:f>IF(OR(P1336="",Q1336="",P1336=0),"",((Q1336/30)/(P1336/31))-1)</x:f>
      </x:c>
      <x:c r="T1336" s="11" t="n">
        <x:v>1</x:v>
      </x:c>
      <x:c r="U1336" s="11" t="n">
        <x:v>3</x:v>
      </x:c>
      <x:c r="V1336" s="14" t="n">
        <x:v>0</x:v>
      </x:c>
      <x:c r="W1336" s="12" t="n">
        <x:v>7.666666666666667</x:v>
      </x:c>
      <x:c r="X1336" s="11"/>
      <x:c r="Y1336" s="11"/>
      <x:c r="Z1336" s="4" t="str">
        <x:v>https://blog.skyairline.com/donde-se-juega-copa-america-2024/</x:v>
      </x:c>
      <x:c r="AA1336" s="4" t="str">
        <x:v>https://blog.skyairline.com/donde-se-juega-copa-america-2024/</x:v>
      </x:c>
      <x:c r="AB1336" s="4" t="str">
        <x:v>Coincidencia URL</x:v>
      </x:c>
      <x:c r="AC1336" s="4" t="str">
        <x:v>Publicado hasta septiembre</x:v>
      </x:c>
      <x:c r="AD1336" s="4"/>
      <x:c r="AE1336" s="4"/>
      <x:c r="AF1336" s="16" t="b">
        <x:v>0</x:v>
      </x:c>
    </x:row>
    <x:row r="1337" ht="44" customHeight="1">
      <x:c r="A1337" s="4" t="n">
        <x:v>4327</x:v>
      </x:c>
      <x:c r="B1337" s="4" t="str">
        <x:v>https://blog.skyairline.com/norte-de-chile-2/</x:v>
      </x:c>
      <x:c r="C1337" s="9" t="str">
        <x:v>De Arica a La Serena: explora el encanto del norte de Chile con SKY</x:v>
      </x:c>
      <x:c r="D1337" s="17" t="d">
        <x:v>2025-10-24T00:00:00.000Z</x:v>
      </x:c>
      <x:c r="E1337" s="17" t="d">
        <x:v>2026-01-12T00:00:00.000Z</x:v>
      </x:c>
      <x:c r="F1337" s="4" t="str">
        <x:v>Destinos</x:v>
      </x:c>
      <x:c r="G1337" s="11" t="n">
        <x:v>1181</x:v>
      </x:c>
      <x:c r="H1337" s="11" t="n">
        <x:v>200</x:v>
      </x:c>
      <x:c r="I1337" s="11" t="n">
        <x:v>1</x:v>
      </x:c>
      <x:c r="J1337" s="4" t="str">
        <x:v>https://blog.skyairline.com/norte-de-chile-2/</x:v>
      </x:c>
      <x:c r="K1337" s="16" t="b">
        <x:v>0</x:v>
      </x:c>
      <x:c r="L1337" s="11" t="n">
        <x:v>0</x:v>
      </x:c>
      <x:c r="M1337" s="11" t="n">
        <x:v>0</x:v>
      </x:c>
      <x:c r="N1337" s="4"/>
      <x:c r="O1337" s="4"/>
      <x:c r="P1337" s="11" t="n">
        <x:v>0</x:v>
      </x:c>
      <x:c r="Q1337" s="11" t="n">
        <x:v>0</x:v>
      </x:c>
      <x:c r="R1337" s="11" t="str">
        <x:f>IF(OR(P1337="",Q1337=""),"",Q1337-P1337)</x:f>
      </x:c>
      <x:c r="S1337" s="13" t="str">
        <x:f>IF(OR(P1337="",Q1337="",P1337=0),"",((Q1337/30)/(P1337/31))-1)</x:f>
      </x:c>
      <x:c r="T1337" s="11" t="n">
        <x:v>118</x:v>
      </x:c>
      <x:c r="U1337" s="11" t="n">
        <x:v>73</x:v>
      </x:c>
      <x:c r="V1337" s="14" t="n">
        <x:v>0</x:v>
      </x:c>
      <x:c r="W1337" s="12" t="n">
        <x:v>12.931506849315069</x:v>
      </x:c>
      <x:c r="X1337" s="11"/>
      <x:c r="Y1337" s="11"/>
      <x:c r="Z1337" s="4" t="str">
        <x:v>https://blog.skyairline.com/norte-de-chile-2/</x:v>
      </x:c>
      <x:c r="AA1337" s="4" t="str">
        <x:v>https://blog.skyairline.com/norte-de-chile-2/</x:v>
      </x:c>
      <x:c r="AB1337" s="4" t="str">
        <x:v>Coincidencia URL</x:v>
      </x:c>
      <x:c r="AC1337" s="4" t="str">
        <x:v>Publicado hasta septiembre</x:v>
      </x:c>
      <x:c r="AD1337" s="4"/>
      <x:c r="AE1337" s="4"/>
      <x:c r="AF1337" s="16" t="b">
        <x:v>0</x:v>
      </x:c>
    </x:row>
    <x:row r="1338" ht="44" customHeight="1">
      <x:c r="A1338" s="4" t="n">
        <x:v>4328</x:v>
      </x:c>
      <x:c r="B1338" s="4" t="str">
        <x:v>https://blog.skyairline.com/natal-brasil/</x:v>
      </x:c>
      <x:c r="C1338" s="9" t="str">
        <x:v>Maravillas del nordeste brasileño en Natal</x:v>
      </x:c>
      <x:c r="D1338" s="17" t="d">
        <x:v>2024-03-30T00:00:00.000Z</x:v>
      </x:c>
      <x:c r="E1338" s="17" t="d">
        <x:v>2024-03-30T00:00:00.000Z</x:v>
      </x:c>
      <x:c r="F1338" s="4" t="str">
        <x:v>Destinos</x:v>
      </x:c>
      <x:c r="G1338" s="11" t="n">
        <x:v>1084</x:v>
      </x:c>
      <x:c r="H1338" s="11" t="n">
        <x:v>200</x:v>
      </x:c>
      <x:c r="I1338" s="11" t="n">
        <x:v>1</x:v>
      </x:c>
      <x:c r="J1338" s="4" t="str">
        <x:v>https://blog.skyairline.com/natal-brasil/</x:v>
      </x:c>
      <x:c r="K1338" s="16" t="b">
        <x:v>0</x:v>
      </x:c>
      <x:c r="L1338" s="11" t="n">
        <x:v>0</x:v>
      </x:c>
      <x:c r="M1338" s="11" t="n">
        <x:v>4</x:v>
      </x:c>
      <x:c r="N1338" s="4"/>
      <x:c r="O1338" s="4"/>
      <x:c r="P1338" s="11" t="n">
        <x:v>1</x:v>
      </x:c>
      <x:c r="Q1338" s="11" t="n">
        <x:v>0</x:v>
      </x:c>
      <x:c r="R1338" s="11" t="str">
        <x:f>IF(OR(P1338="",Q1338=""),"",Q1338-P1338)</x:f>
      </x:c>
      <x:c r="S1338" s="13" t="str">
        <x:f>IF(OR(P1338="",Q1338="",P1338=0),"",((Q1338/30)/(P1338/31))-1)</x:f>
      </x:c>
      <x:c r="T1338" s="11" t="n">
        <x:v>366</x:v>
      </x:c>
      <x:c r="U1338" s="11" t="n">
        <x:v>116</x:v>
      </x:c>
      <x:c r="V1338" s="14" t="n">
        <x:v>0</x:v>
      </x:c>
      <x:c r="W1338" s="12" t="n">
        <x:v>15.275862068965518</x:v>
      </x:c>
      <x:c r="X1338" s="11"/>
      <x:c r="Y1338" s="11"/>
      <x:c r="Z1338" s="4" t="str">
        <x:v>https://blog.skyairline.com/natal-brasil/</x:v>
      </x:c>
      <x:c r="AA1338" s="4" t="str">
        <x:v>https://blog.skyairline.com/natal-brasil/</x:v>
      </x:c>
      <x:c r="AB1338" s="4" t="str">
        <x:v>Coincidencia URL</x:v>
      </x:c>
      <x:c r="AC1338" s="4" t="str">
        <x:v>Publicado hasta septiembre</x:v>
      </x:c>
      <x:c r="AD1338" s="4"/>
      <x:c r="AE1338" s="4"/>
      <x:c r="AF1338" s="16" t="b">
        <x:v>1</x:v>
      </x:c>
    </x:row>
    <x:row r="1339" ht="44" customHeight="1">
      <x:c r="A1339" s="4" t="n">
        <x:v>4332</x:v>
      </x:c>
      <x:c r="B1339" s="4" t="str">
        <x:v>https://blog.skyairline.com/atracciones-destacadas-en-osorno-2/</x:v>
      </x:c>
      <x:c r="C1339" s="9" t="str">
        <x:v>10 atracciones destacadas en Osorno que no puedes perderte</x:v>
      </x:c>
      <x:c r="D1339" s="17" t="d">
        <x:v>2024-04-08T00:00:00.000Z</x:v>
      </x:c>
      <x:c r="E1339" s="17" t="d">
        <x:v>2024-04-08T00:00:00.000Z</x:v>
      </x:c>
      <x:c r="F1339" s="4" t="str">
        <x:v>Destinos</x:v>
      </x:c>
      <x:c r="G1339" s="11" t="n">
        <x:v>1462</x:v>
      </x:c>
      <x:c r="H1339" s="11" t="n">
        <x:v>200</x:v>
      </x:c>
      <x:c r="I1339" s="11" t="n">
        <x:v>1</x:v>
      </x:c>
      <x:c r="J1339" s="4" t="str">
        <x:v>https://blog.skyairline.com/atracciones-destacadas-en-osorno-2/</x:v>
      </x:c>
      <x:c r="K1339" s="16" t="b">
        <x:v>0</x:v>
      </x:c>
      <x:c r="L1339" s="11" t="n">
        <x:v>0</x:v>
      </x:c>
      <x:c r="M1339" s="11" t="n">
        <x:v>3</x:v>
      </x:c>
      <x:c r="N1339" s="4"/>
      <x:c r="O1339" s="4"/>
      <x:c r="P1339" s="11" t="n">
        <x:v>1</x:v>
      </x:c>
      <x:c r="Q1339" s="11" t="n">
        <x:v>0</x:v>
      </x:c>
      <x:c r="R1339" s="11" t="str">
        <x:f>IF(OR(P1339="",Q1339=""),"",Q1339-P1339)</x:f>
      </x:c>
      <x:c r="S1339" s="13" t="str">
        <x:f>IF(OR(P1339="",Q1339="",P1339=0),"",((Q1339/30)/(P1339/31))-1)</x:f>
      </x:c>
      <x:c r="T1339" s="11" t="n">
        <x:v>87</x:v>
      </x:c>
      <x:c r="U1339" s="11" t="n">
        <x:v>91</x:v>
      </x:c>
      <x:c r="V1339" s="14" t="n">
        <x:v>0</x:v>
      </x:c>
      <x:c r="W1339" s="12" t="n">
        <x:v>22.615384615384617</x:v>
      </x:c>
      <x:c r="X1339" s="11"/>
      <x:c r="Y1339" s="11"/>
      <x:c r="Z1339" s="4" t="str">
        <x:v>https://blog.skyairline.com/atracciones-destacadas-en-osorno-2/</x:v>
      </x:c>
      <x:c r="AA1339" s="4" t="str">
        <x:v>https://blog.skyairline.com/atracciones-destacadas-en-osorno-2/</x:v>
      </x:c>
      <x:c r="AB1339" s="4" t="str">
        <x:v>Coincidencia URL</x:v>
      </x:c>
      <x:c r="AC1339" s="4" t="str">
        <x:v>Publicado hasta septiembre</x:v>
      </x:c>
      <x:c r="AD1339" s="4"/>
      <x:c r="AE1339" s="4"/>
      <x:c r="AF1339" s="16" t="b">
        <x:v>0</x:v>
      </x:c>
    </x:row>
    <x:row r="1340" ht="44" customHeight="1">
      <x:c r="A1340" s="4" t="n">
        <x:v>4334</x:v>
      </x:c>
      <x:c r="B1340" s="4" t="str">
        <x:v>https://blog.skyairline.com/parque-nahuelito-en-bariloche-2/</x:v>
      </x:c>
      <x:c r="C1340" s="9" t="str">
        <x:v>Parque Nahuelito en Bariloche: Un destino imperdible</x:v>
      </x:c>
      <x:c r="D1340" s="17" t="d">
        <x:v>2024-04-11T00:00:00.000Z</x:v>
      </x:c>
      <x:c r="E1340" s="17" t="d">
        <x:v>2024-04-11T00:00:00.000Z</x:v>
      </x:c>
      <x:c r="F1340" s="4" t="str">
        <x:v>Bariloche, Destinos</x:v>
      </x:c>
      <x:c r="G1340" s="11" t="n">
        <x:v>1035</x:v>
      </x:c>
      <x:c r="H1340" s="11" t="n">
        <x:v>200</x:v>
      </x:c>
      <x:c r="I1340" s="11" t="n">
        <x:v>1</x:v>
      </x:c>
      <x:c r="J1340" s="4" t="str">
        <x:v>https://blog.skyairline.com/parque-nahuelito-en-bariloche-2/</x:v>
      </x:c>
      <x:c r="K1340" s="16" t="b">
        <x:v>0</x:v>
      </x:c>
      <x:c r="L1340" s="11" t="n">
        <x:v>0</x:v>
      </x:c>
      <x:c r="M1340" s="11" t="n">
        <x:v>5</x:v>
      </x:c>
      <x:c r="N1340" s="4"/>
      <x:c r="O1340" s="4" t="str">
        <x:v>C07</x:v>
      </x:c>
      <x:c r="P1340" s="11" t="n">
        <x:v>0</x:v>
      </x:c>
      <x:c r="Q1340" s="11" t="n">
        <x:v>0</x:v>
      </x:c>
      <x:c r="R1340" s="11" t="str">
        <x:f>IF(OR(P1340="",Q1340=""),"",Q1340-P1340)</x:f>
      </x:c>
      <x:c r="S1340" s="13" t="str">
        <x:f>IF(OR(P1340="",Q1340="",P1340=0),"",((Q1340/30)/(P1340/31))-1)</x:f>
      </x:c>
      <x:c r="T1340" s="11" t="n">
        <x:v>18</x:v>
      </x:c>
      <x:c r="U1340" s="11" t="n">
        <x:v>29</x:v>
      </x:c>
      <x:c r="V1340" s="14" t="n">
        <x:v>0</x:v>
      </x:c>
      <x:c r="W1340" s="12" t="n">
        <x:v>12.344827586206897</x:v>
      </x:c>
      <x:c r="X1340" s="11"/>
      <x:c r="Y1340" s="11"/>
      <x:c r="Z1340" s="4" t="str">
        <x:v>https://blog.skyairline.com/parque-nahuelito-en-bariloche-2/</x:v>
      </x:c>
      <x:c r="AA1340" s="4" t="str">
        <x:v>https://blog.skyairline.com/parque-nahuelito-en-bariloche-2/</x:v>
      </x:c>
      <x:c r="AB1340" s="4" t="str">
        <x:v>Coincidencia URL</x:v>
      </x:c>
      <x:c r="AC1340" s="4" t="str">
        <x:v>Publicado hasta septiembre</x:v>
      </x:c>
      <x:c r="AD1340" s="4"/>
      <x:c r="AE1340" s="4"/>
      <x:c r="AF1340" s="16" t="b">
        <x:v>1</x:v>
      </x:c>
    </x:row>
    <x:row r="1341" ht="44" customHeight="1">
      <x:c r="A1341" s="4" t="n">
        <x:v>4336</x:v>
      </x:c>
      <x:c r="B1341" s="4" t="str">
        <x:v>https://blog.skyairline.com/lugares-para-visitar-en-medellin/</x:v>
      </x:c>
      <x:c r="C1341" s="9" t="str">
        <x:v>Lugares para visitar en Medellín: descubre la ciudad de la eterna primavera</x:v>
      </x:c>
      <x:c r="D1341" s="17" t="d">
        <x:v>2024-04-05T00:00:00.000Z</x:v>
      </x:c>
      <x:c r="E1341" s="17" t="d">
        <x:v>2024-04-05T00:00:00.000Z</x:v>
      </x:c>
      <x:c r="F1341" s="4" t="str">
        <x:v>Destinos</x:v>
      </x:c>
      <x:c r="G1341" s="11" t="n">
        <x:v>1001</x:v>
      </x:c>
      <x:c r="H1341" s="11" t="n">
        <x:v>200</x:v>
      </x:c>
      <x:c r="I1341" s="11" t="n">
        <x:v>1</x:v>
      </x:c>
      <x:c r="J1341" s="4" t="str">
        <x:v>https://blog.skyairline.com/lugares-para-visitar-en-medellin/</x:v>
      </x:c>
      <x:c r="K1341" s="16" t="b">
        <x:v>0</x:v>
      </x:c>
      <x:c r="L1341" s="11" t="n">
        <x:v>0</x:v>
      </x:c>
      <x:c r="M1341" s="11" t="n">
        <x:v>4</x:v>
      </x:c>
      <x:c r="N1341" s="4"/>
      <x:c r="O1341" s="4"/>
      <x:c r="P1341" s="11" t="n">
        <x:v>0</x:v>
      </x:c>
      <x:c r="Q1341" s="11" t="n">
        <x:v>0</x:v>
      </x:c>
      <x:c r="R1341" s="11" t="str">
        <x:f>IF(OR(P1341="",Q1341=""),"",Q1341-P1341)</x:f>
      </x:c>
      <x:c r="S1341" s="13" t="str">
        <x:f>IF(OR(P1341="",Q1341="",P1341=0),"",((Q1341/30)/(P1341/31))-1)</x:f>
      </x:c>
      <x:c r="T1341" s="11" t="n">
        <x:v>20</x:v>
      </x:c>
      <x:c r="U1341" s="11" t="n">
        <x:v>35</x:v>
      </x:c>
      <x:c r="V1341" s="14" t="n">
        <x:v>0</x:v>
      </x:c>
      <x:c r="W1341" s="12" t="n">
        <x:v>17.542857142857144</x:v>
      </x:c>
      <x:c r="X1341" s="11"/>
      <x:c r="Y1341" s="11"/>
      <x:c r="Z1341" s="4" t="str">
        <x:v>https://blog.skyairline.com/lugares-para-visitar-en-medellin/</x:v>
      </x:c>
      <x:c r="AA1341" s="4" t="str">
        <x:v>https://blog.skyairline.com/lugares-para-visitar-en-medellin/</x:v>
      </x:c>
      <x:c r="AB1341" s="4" t="str">
        <x:v>Coincidencia URL</x:v>
      </x:c>
      <x:c r="AC1341" s="4" t="str">
        <x:v>Publicado hasta septiembre</x:v>
      </x:c>
      <x:c r="AD1341" s="4"/>
      <x:c r="AE1341" s="4"/>
      <x:c r="AF1341" s="16" t="b">
        <x:v>0</x:v>
      </x:c>
    </x:row>
    <x:row r="1342" ht="44" customHeight="1">
      <x:c r="A1342" s="4" t="n">
        <x:v>4386</x:v>
      </x:c>
      <x:c r="B1342" s="4" t="str">
        <x:v>https://blog.skyairline.com/sky-une-fuerzas-con-la-fundacion-vivir-mas-feliz-para-apoyar-la-construccion-de-un-centro-oncopediatrico-en-la-araucania/</x:v>
      </x:c>
      <x:c r="C1342" s="9" t="str">
        <x:v>SKY une fuerzas con la Fundación Vivir Más Feliz para apoyar la construcción de un centro oncopediátrico en La Araucanía</x:v>
      </x:c>
      <x:c r="D1342" s="17" t="d">
        <x:v>2024-04-25T00:00:00.000Z</x:v>
      </x:c>
      <x:c r="E1342" s="17" t="d">
        <x:v>2024-04-25T00:00:00.000Z</x:v>
      </x:c>
      <x:c r="F1342" s="4" t="str">
        <x:v>Sin categoría</x:v>
      </x:c>
      <x:c r="G1342" s="11" t="n">
        <x:v>558</x:v>
      </x:c>
      <x:c r="H1342" s="11" t="n">
        <x:v>200</x:v>
      </x:c>
      <x:c r="I1342" s="11" t="n">
        <x:v>1</x:v>
      </x:c>
      <x:c r="J1342" s="4" t="str">
        <x:v>https://blog.skyairline.com/sky-une-fuerzas-con-la-fundacion-vivir-mas-feliz-para-apoyar-la-construccion-de-un-centro-oncopediatrico-en-la-araucania/</x:v>
      </x:c>
      <x:c r="K1342" s="16" t="b">
        <x:v>0</x:v>
      </x:c>
      <x:c r="L1342" s="11" t="n">
        <x:v>0</x:v>
      </x:c>
      <x:c r="M1342" s="11" t="n">
        <x:v>0</x:v>
      </x:c>
      <x:c r="N1342" s="4"/>
      <x:c r="O1342" s="4"/>
      <x:c r="P1342" s="11" t="n">
        <x:v>0</x:v>
      </x:c>
      <x:c r="Q1342" s="11" t="n">
        <x:v>0</x:v>
      </x:c>
      <x:c r="R1342" s="11" t="str">
        <x:f>IF(OR(P1342="",Q1342=""),"",Q1342-P1342)</x:f>
      </x:c>
      <x:c r="S1342" s="13" t="str">
        <x:f>IF(OR(P1342="",Q1342="",P1342=0),"",((Q1342/30)/(P1342/31))-1)</x:f>
      </x:c>
      <x:c r="T1342" s="11" t="n">
        <x:v>4</x:v>
      </x:c>
      <x:c r="U1342" s="11" t="n">
        <x:v>10</x:v>
      </x:c>
      <x:c r="V1342" s="14" t="n">
        <x:v>0</x:v>
      </x:c>
      <x:c r="W1342" s="12" t="n">
        <x:v>5.8</x:v>
      </x:c>
      <x:c r="X1342" s="11"/>
      <x:c r="Y1342" s="11"/>
      <x:c r="Z1342" s="4" t="str">
        <x:v>https://blog.skyairline.com/sky-une-fuerzas-con-la-fundacion-vivir-mas-feliz-para-apoyar-la-construccion-de-un-centro-oncopediatrico-en-la-araucania/</x:v>
      </x:c>
      <x:c r="AA1342" s="4" t="str">
        <x:v>https://blog.skyairline.com/sky-une-fuerzas-con-la-fundacion-vivir-mas-feliz-para-apoyar-la-construccion-de-un-centro-oncopediatrico-en-la-araucania/</x:v>
      </x:c>
      <x:c r="AB1342" s="4" t="str">
        <x:v>Coincidencia URL</x:v>
      </x:c>
      <x:c r="AC1342" s="4" t="str">
        <x:v>Publicado hasta septiembre</x:v>
      </x:c>
      <x:c r="AD1342" s="4"/>
      <x:c r="AE1342" s="4"/>
      <x:c r="AF1342" s="16" t="b">
        <x:v>0</x:v>
      </x:c>
    </x:row>
    <x:row r="1343" ht="44" customHeight="1">
      <x:c r="A1343" s="4" t="n">
        <x:v>4393</x:v>
      </x:c>
      <x:c r="B1343" s="4" t="str">
        <x:v>https://blog.skyairline.com/sky-airline-celebra-su-5to-aniversario-de-operaciones-en-peru/</x:v>
      </x:c>
      <x:c r="C1343" s="9" t="str">
        <x:v>SKY Airline celebra su 5to aniversario de operaciones en Perú</x:v>
      </x:c>
      <x:c r="D1343" s="17" t="d">
        <x:v>2024-04-26T00:00:00.000Z</x:v>
      </x:c>
      <x:c r="E1343" s="17" t="d">
        <x:v>2024-04-26T00:00:00.000Z</x:v>
      </x:c>
      <x:c r="F1343" s="4" t="str">
        <x:v>Sin categoría</x:v>
      </x:c>
      <x:c r="G1343" s="11" t="n">
        <x:v>410</x:v>
      </x:c>
      <x:c r="H1343" s="11" t="n">
        <x:v>200</x:v>
      </x:c>
      <x:c r="I1343" s="11" t="n">
        <x:v>1</x:v>
      </x:c>
      <x:c r="J1343" s="4" t="str">
        <x:v>https://blog.skyairline.com/sky-airline-celebra-su-5to-aniversario-de-operaciones-en-peru/</x:v>
      </x:c>
      <x:c r="K1343" s="16" t="b">
        <x:v>0</x:v>
      </x:c>
      <x:c r="L1343" s="11" t="n">
        <x:v>0</x:v>
      </x:c>
      <x:c r="M1343" s="11" t="n">
        <x:v>0</x:v>
      </x:c>
      <x:c r="N1343" s="4"/>
      <x:c r="O1343" s="4"/>
      <x:c r="P1343" s="11" t="n">
        <x:v>0</x:v>
      </x:c>
      <x:c r="Q1343" s="11" t="n">
        <x:v>0</x:v>
      </x:c>
      <x:c r="R1343" s="11" t="str">
        <x:f>IF(OR(P1343="",Q1343=""),"",Q1343-P1343)</x:f>
      </x:c>
      <x:c r="S1343" s="13" t="str">
        <x:f>IF(OR(P1343="",Q1343="",P1343=0),"",((Q1343/30)/(P1343/31))-1)</x:f>
      </x:c>
      <x:c r="T1343" s="11" t="n">
        <x:v>96</x:v>
      </x:c>
      <x:c r="U1343" s="11" t="n">
        <x:v>80</x:v>
      </x:c>
      <x:c r="V1343" s="14" t="n">
        <x:v>0</x:v>
      </x:c>
      <x:c r="W1343" s="12" t="n">
        <x:v>6.95</x:v>
      </x:c>
      <x:c r="X1343" s="11"/>
      <x:c r="Y1343" s="11"/>
      <x:c r="Z1343" s="4" t="str">
        <x:v>https://blog.skyairline.com/sky-airline-celebra-su-5to-aniversario-de-operaciones-en-peru/</x:v>
      </x:c>
      <x:c r="AA1343" s="4" t="str">
        <x:v>https://blog.skyairline.com/sky-airline-celebra-su-5to-aniversario-de-operaciones-en-peru/</x:v>
      </x:c>
      <x:c r="AB1343" s="4" t="str">
        <x:v>Coincidencia URL</x:v>
      </x:c>
      <x:c r="AC1343" s="4" t="str">
        <x:v>Publicado hasta septiembre</x:v>
      </x:c>
      <x:c r="AD1343" s="4"/>
      <x:c r="AE1343" s="4"/>
      <x:c r="AF1343" s="16" t="b">
        <x:v>0</x:v>
      </x:c>
    </x:row>
    <x:row r="1344" ht="44" customHeight="1">
      <x:c r="A1344" s="4" t="n">
        <x:v>4479</x:v>
      </x:c>
      <x:c r="B1344" s="4" t="str">
        <x:v>https://blog.skyairline.com/playas-salvador-bahia/</x:v>
      </x:c>
      <x:c r="C1344" s="9" t="str">
        <x:v>Sol, mar y arena: Visitar las playas imperdibles de Salvador de Bahía con SKY</x:v>
      </x:c>
      <x:c r="D1344" s="17" t="d">
        <x:v>2024-05-17T00:00:00.000Z</x:v>
      </x:c>
      <x:c r="E1344" s="17" t="d">
        <x:v>2024-05-17T00:00:00.000Z</x:v>
      </x:c>
      <x:c r="F1344" s="4" t="str">
        <x:v>Destinos</x:v>
      </x:c>
      <x:c r="G1344" s="11" t="n">
        <x:v>1126</x:v>
      </x:c>
      <x:c r="H1344" s="11" t="n">
        <x:v>200</x:v>
      </x:c>
      <x:c r="I1344" s="11" t="n">
        <x:v>1</x:v>
      </x:c>
      <x:c r="J1344" s="4" t="str">
        <x:v>https://blog.skyairline.com/playas-salvador-bahia/</x:v>
      </x:c>
      <x:c r="K1344" s="16" t="b">
        <x:v>0</x:v>
      </x:c>
      <x:c r="L1344" s="11" t="n">
        <x:v>0</x:v>
      </x:c>
      <x:c r="M1344" s="11" t="n">
        <x:v>3</x:v>
      </x:c>
      <x:c r="N1344" s="4"/>
      <x:c r="O1344" s="4"/>
      <x:c r="P1344" s="11" t="n">
        <x:v>0</x:v>
      </x:c>
      <x:c r="Q1344" s="11" t="n">
        <x:v>0</x:v>
      </x:c>
      <x:c r="R1344" s="11" t="str">
        <x:f>IF(OR(P1344="",Q1344=""),"",Q1344-P1344)</x:f>
      </x:c>
      <x:c r="S1344" s="13" t="str">
        <x:f>IF(OR(P1344="",Q1344="",P1344=0),"",((Q1344/30)/(P1344/31))-1)</x:f>
      </x:c>
      <x:c r="T1344" s="11" t="n">
        <x:v>149</x:v>
      </x:c>
      <x:c r="U1344" s="11" t="n">
        <x:v>98</x:v>
      </x:c>
      <x:c r="V1344" s="14" t="n">
        <x:v>0</x:v>
      </x:c>
      <x:c r="W1344" s="12" t="n">
        <x:v>40.5</x:v>
      </x:c>
      <x:c r="X1344" s="11"/>
      <x:c r="Y1344" s="11"/>
      <x:c r="Z1344" s="4" t="str">
        <x:v>https://blog.skyairline.com/playas-salvador-bahia/</x:v>
      </x:c>
      <x:c r="AA1344" s="4" t="str">
        <x:v>https://blog.skyairline.com/playas-salvador-bahia/</x:v>
      </x:c>
      <x:c r="AB1344" s="4" t="str">
        <x:v>Coincidencia URL</x:v>
      </x:c>
      <x:c r="AC1344" s="4" t="str">
        <x:v>Publicado hasta septiembre</x:v>
      </x:c>
      <x:c r="AD1344" s="4"/>
      <x:c r="AE1344" s="4"/>
      <x:c r="AF1344" s="16" t="b">
        <x:v>0</x:v>
      </x:c>
    </x:row>
    <x:row r="1345" ht="44" customHeight="1">
      <x:c r="A1345" s="4" t="n">
        <x:v>4482</x:v>
      </x:c>
      <x:c r="B1345" s="4" t="str">
        <x:v>https://blog.skyairline.com/zapatillas-hiking/</x:v>
      </x:c>
      <x:c r="C1345" s="9" t="str">
        <x:v>Encuentra las mejores zapatillas para hiking para tu próxima aventura</x:v>
      </x:c>
      <x:c r="D1345" s="17" t="d">
        <x:v>2024-05-22T00:00:00.000Z</x:v>
      </x:c>
      <x:c r="E1345" s="17" t="d">
        <x:v>2024-05-22T00:00:00.000Z</x:v>
      </x:c>
      <x:c r="F1345" s="4" t="str">
        <x:v>Planificación de Viaje</x:v>
      </x:c>
      <x:c r="G1345" s="11" t="n">
        <x:v>981</x:v>
      </x:c>
      <x:c r="H1345" s="11" t="n">
        <x:v>200</x:v>
      </x:c>
      <x:c r="I1345" s="11" t="n">
        <x:v>1</x:v>
      </x:c>
      <x:c r="J1345" s="4" t="str">
        <x:v>https://blog.skyairline.com/zapatillas-hiking/</x:v>
      </x:c>
      <x:c r="K1345" s="16" t="b">
        <x:v>0</x:v>
      </x:c>
      <x:c r="L1345" s="11" t="n">
        <x:v>0</x:v>
      </x:c>
      <x:c r="M1345" s="11" t="n">
        <x:v>3</x:v>
      </x:c>
      <x:c r="N1345" s="4"/>
      <x:c r="O1345" s="4"/>
      <x:c r="P1345" s="11" t="n">
        <x:v>0</x:v>
      </x:c>
      <x:c r="Q1345" s="11" t="n">
        <x:v>0</x:v>
      </x:c>
      <x:c r="R1345" s="11" t="str">
        <x:f>IF(OR(P1345="",Q1345=""),"",Q1345-P1345)</x:f>
      </x:c>
      <x:c r="S1345" s="13" t="str">
        <x:f>IF(OR(P1345="",Q1345="",P1345=0),"",((Q1345/30)/(P1345/31))-1)</x:f>
      </x:c>
      <x:c r="T1345" s="11" t="n">
        <x:v>238</x:v>
      </x:c>
      <x:c r="U1345" s="11" t="n">
        <x:v>87</x:v>
      </x:c>
      <x:c r="V1345" s="14" t="n">
        <x:v>0</x:v>
      </x:c>
      <x:c r="W1345" s="12" t="n">
        <x:v>20.816091954022987</x:v>
      </x:c>
      <x:c r="X1345" s="11"/>
      <x:c r="Y1345" s="11"/>
      <x:c r="Z1345" s="4" t="str">
        <x:v>https://blog.skyairline.com/zapatillas-hiking/</x:v>
      </x:c>
      <x:c r="AA1345" s="4" t="str">
        <x:v>https://blog.skyairline.com/zapatillas-hiking/</x:v>
      </x:c>
      <x:c r="AB1345" s="4" t="str">
        <x:v>Coincidencia URL</x:v>
      </x:c>
      <x:c r="AC1345" s="4" t="str">
        <x:v>Publicado hasta septiembre</x:v>
      </x:c>
      <x:c r="AD1345" s="4"/>
      <x:c r="AE1345" s="4"/>
      <x:c r="AF1345" s="16" t="b">
        <x:v>0</x:v>
      </x:c>
    </x:row>
    <x:row r="1346" ht="44" customHeight="1">
      <x:c r="A1346" s="4" t="n">
        <x:v>4488</x:v>
      </x:c>
      <x:c r="B1346" s="4" t="str">
        <x:v>https://blog.skyairline.com/comida-brasilena/</x:v>
      </x:c>
      <x:c r="C1346" s="9" t="str">
        <x:v>Gastronomía brasileña: Una experiencia tropical inigualable con SKY</x:v>
      </x:c>
      <x:c r="D1346" s="17" t="d">
        <x:v>2024-05-29T00:00:00.000Z</x:v>
      </x:c>
      <x:c r="E1346" s="17" t="d">
        <x:v>2024-05-29T00:00:00.000Z</x:v>
      </x:c>
      <x:c r="F1346" s="4" t="str">
        <x:v>Destinos</x:v>
      </x:c>
      <x:c r="G1346" s="11" t="n">
        <x:v>1020</x:v>
      </x:c>
      <x:c r="H1346" s="11" t="n">
        <x:v>200</x:v>
      </x:c>
      <x:c r="I1346" s="11" t="n">
        <x:v>1</x:v>
      </x:c>
      <x:c r="J1346" s="4" t="str">
        <x:v>https://blog.skyairline.com/comida-brasilena/</x:v>
      </x:c>
      <x:c r="K1346" s="16" t="b">
        <x:v>0</x:v>
      </x:c>
      <x:c r="L1346" s="11" t="n">
        <x:v>0</x:v>
      </x:c>
      <x:c r="M1346" s="11" t="n">
        <x:v>3</x:v>
      </x:c>
      <x:c r="N1346" s="4"/>
      <x:c r="O1346" s="4"/>
      <x:c r="P1346" s="11" t="n">
        <x:v>2</x:v>
      </x:c>
      <x:c r="Q1346" s="11" t="n">
        <x:v>0</x:v>
      </x:c>
      <x:c r="R1346" s="11" t="str">
        <x:f>IF(OR(P1346="",Q1346=""),"",Q1346-P1346)</x:f>
      </x:c>
      <x:c r="S1346" s="13" t="str">
        <x:f>IF(OR(P1346="",Q1346="",P1346=0),"",((Q1346/30)/(P1346/31))-1)</x:f>
      </x:c>
      <x:c r="T1346" s="11" t="n">
        <x:v>156</x:v>
      </x:c>
      <x:c r="U1346" s="11" t="n">
        <x:v>72</x:v>
      </x:c>
      <x:c r="V1346" s="14" t="n">
        <x:v>0</x:v>
      </x:c>
      <x:c r="W1346" s="12" t="n">
        <x:v>32.30555555555556</x:v>
      </x:c>
      <x:c r="X1346" s="11"/>
      <x:c r="Y1346" s="11"/>
      <x:c r="Z1346" s="4" t="str">
        <x:v>https://blog.skyairline.com/comida-brasilena/</x:v>
      </x:c>
      <x:c r="AA1346" s="4" t="str">
        <x:v>https://blog.skyairline.com/comida-brasilena/</x:v>
      </x:c>
      <x:c r="AB1346" s="4" t="str">
        <x:v>Coincidencia URL</x:v>
      </x:c>
      <x:c r="AC1346" s="4" t="str">
        <x:v>Publicado hasta septiembre</x:v>
      </x:c>
      <x:c r="AD1346" s="4"/>
      <x:c r="AE1346" s="4"/>
      <x:c r="AF1346" s="16" t="b">
        <x:v>0</x:v>
      </x:c>
    </x:row>
    <x:row r="1347" ht="44" customHeight="1">
      <x:c r="A1347" s="4" t="n">
        <x:v>4635</x:v>
      </x:c>
      <x:c r="B1347" s="4" t="str">
        <x:v>https://blog.skyairline.com/carretera-austral-auto/</x:v>
      </x:c>
      <x:c r="C1347" s="9" t="str">
        <x:v>Aventura en la Carretera Austral: Recorre el sur de Chile con SKY</x:v>
      </x:c>
      <x:c r="D1347" s="17" t="d">
        <x:v>2025-06-06T00:00:00.000Z</x:v>
      </x:c>
      <x:c r="E1347" s="17" t="d">
        <x:v>2025-12-19T00:00:00.000Z</x:v>
      </x:c>
      <x:c r="F1347" s="4" t="str">
        <x:v>Destinos</x:v>
      </x:c>
      <x:c r="G1347" s="11" t="n">
        <x:v>1261</x:v>
      </x:c>
      <x:c r="H1347" s="11" t="n">
        <x:v>200</x:v>
      </x:c>
      <x:c r="I1347" s="11" t="n">
        <x:v>1</x:v>
      </x:c>
      <x:c r="J1347" s="4" t="str">
        <x:v>https://blog.skyairline.com/carretera-austral-auto/</x:v>
      </x:c>
      <x:c r="K1347" s="16" t="b">
        <x:v>0</x:v>
      </x:c>
      <x:c r="L1347" s="11" t="n">
        <x:v>0</x:v>
      </x:c>
      <x:c r="M1347" s="11" t="n">
        <x:v>3</x:v>
      </x:c>
      <x:c r="N1347" s="4"/>
      <x:c r="O1347" s="4"/>
      <x:c r="P1347" s="11" t="n">
        <x:v>0</x:v>
      </x:c>
      <x:c r="Q1347" s="11" t="n">
        <x:v>0</x:v>
      </x:c>
      <x:c r="R1347" s="11" t="str">
        <x:f>IF(OR(P1347="",Q1347=""),"",Q1347-P1347)</x:f>
      </x:c>
      <x:c r="S1347" s="13" t="str">
        <x:f>IF(OR(P1347="",Q1347="",P1347=0),"",((Q1347/30)/(P1347/31))-1)</x:f>
      </x:c>
      <x:c r="T1347" s="11" t="n">
        <x:v>128</x:v>
      </x:c>
      <x:c r="U1347" s="11" t="n">
        <x:v>43</x:v>
      </x:c>
      <x:c r="V1347" s="14" t="n">
        <x:v>0</x:v>
      </x:c>
      <x:c r="W1347" s="12" t="n">
        <x:v>11.348837209302326</x:v>
      </x:c>
      <x:c r="X1347" s="11"/>
      <x:c r="Y1347" s="11"/>
      <x:c r="Z1347" s="4" t="str">
        <x:v>https://blog.skyairline.com/carretera-austral-auto/</x:v>
      </x:c>
      <x:c r="AA1347" s="4" t="str">
        <x:v>https://blog.skyairline.com/carretera-austral-auto/</x:v>
      </x:c>
      <x:c r="AB1347" s="4" t="str">
        <x:v>Coincidencia URL</x:v>
      </x:c>
      <x:c r="AC1347" s="4" t="str">
        <x:v>Publicado hasta septiembre</x:v>
      </x:c>
      <x:c r="AD1347" s="4"/>
      <x:c r="AE1347" s="4"/>
      <x:c r="AF1347" s="16" t="b">
        <x:v>0</x:v>
      </x:c>
    </x:row>
    <x:row r="1348" ht="44" customHeight="1">
      <x:c r="A1348" s="4" t="n">
        <x:v>4638</x:v>
      </x:c>
      <x:c r="B1348" s="4" t="str">
        <x:v>https://blog.skyairline.com/media-maraton-puerto-varas/</x:v>
      </x:c>
      <x:c r="C1348" s="9" t="str">
        <x:v>Media Maratón Puerto Varas: De la carrera al avión con SKY</x:v>
      </x:c>
      <x:c r="D1348" s="17" t="d">
        <x:v>2024-06-05T00:00:00.000Z</x:v>
      </x:c>
      <x:c r="E1348" s="17" t="d">
        <x:v>2024-06-05T00:00:00.000Z</x:v>
      </x:c>
      <x:c r="F1348" s="4" t="str">
        <x:v>Cultura, Destinos</x:v>
      </x:c>
      <x:c r="G1348" s="11" t="n">
        <x:v>974</x:v>
      </x:c>
      <x:c r="H1348" s="11" t="n">
        <x:v>200</x:v>
      </x:c>
      <x:c r="I1348" s="11" t="n">
        <x:v>1</x:v>
      </x:c>
      <x:c r="J1348" s="4" t="str">
        <x:v>https://blog.skyairline.com/media-maraton-puerto-varas/</x:v>
      </x:c>
      <x:c r="K1348" s="16" t="b">
        <x:v>0</x:v>
      </x:c>
      <x:c r="L1348" s="11" t="n">
        <x:v>0</x:v>
      </x:c>
      <x:c r="M1348" s="11" t="n">
        <x:v>5</x:v>
      </x:c>
      <x:c r="N1348" s="4"/>
      <x:c r="O1348" s="4"/>
      <x:c r="P1348" s="11" t="n">
        <x:v>0</x:v>
      </x:c>
      <x:c r="Q1348" s="11" t="n">
        <x:v>0</x:v>
      </x:c>
      <x:c r="R1348" s="11" t="str">
        <x:f>IF(OR(P1348="",Q1348=""),"",Q1348-P1348)</x:f>
      </x:c>
      <x:c r="S1348" s="13" t="str">
        <x:f>IF(OR(P1348="",Q1348="",P1348=0),"",((Q1348/30)/(P1348/31))-1)</x:f>
      </x:c>
      <x:c r="T1348" s="11" t="n">
        <x:v>295</x:v>
      </x:c>
      <x:c r="U1348" s="11" t="n">
        <x:v>12</x:v>
      </x:c>
      <x:c r="V1348" s="14" t="n">
        <x:v>0</x:v>
      </x:c>
      <x:c r="W1348" s="12" t="n">
        <x:v>4.833333333333334</x:v>
      </x:c>
      <x:c r="X1348" s="11"/>
      <x:c r="Y1348" s="11"/>
      <x:c r="Z1348" s="4" t="str">
        <x:v>https://blog.skyairline.com/media-maraton-puerto-varas/</x:v>
      </x:c>
      <x:c r="AA1348" s="4" t="str">
        <x:v>https://blog.skyairline.com/media-maraton-puerto-varas/</x:v>
      </x:c>
      <x:c r="AB1348" s="4" t="str">
        <x:v>Coincidencia URL</x:v>
      </x:c>
      <x:c r="AC1348" s="4" t="str">
        <x:v>Publicado hasta septiembre</x:v>
      </x:c>
      <x:c r="AD1348" s="4"/>
      <x:c r="AE1348" s="4"/>
      <x:c r="AF1348" s="16" t="b">
        <x:v>0</x:v>
      </x:c>
    </x:row>
    <x:row r="1349" ht="44" customHeight="1">
      <x:c r="A1349" s="4" t="n">
        <x:v>4645</x:v>
      </x:c>
      <x:c r="B1349" s="4" t="str">
        <x:v>https://blog.skyairline.com/sky-transporto-a-mas-de-24-millones-de-pasajeros-durante-el-primer-trimestre-de-2024/</x:v>
      </x:c>
      <x:c r="C1349" s="9" t="str">
        <x:v>SKY transportó a más de 2,4 millones de pasajeros durante el primer trimestre de 2024</x:v>
      </x:c>
      <x:c r="D1349" s="17" t="d">
        <x:v>2024-05-22T00:00:00.000Z</x:v>
      </x:c>
      <x:c r="E1349" s="17" t="d">
        <x:v>2024-05-22T00:00:00.000Z</x:v>
      </x:c>
      <x:c r="F1349" s="4" t="str">
        <x:v>Noticias</x:v>
      </x:c>
      <x:c r="G1349" s="11" t="n">
        <x:v>830</x:v>
      </x:c>
      <x:c r="H1349" s="11" t="n">
        <x:v>200</x:v>
      </x:c>
      <x:c r="I1349" s="11" t="n">
        <x:v>1</x:v>
      </x:c>
      <x:c r="J1349" s="4" t="str">
        <x:v>https://blog.skyairline.com/sky-transporto-a-mas-de-24-millones-de-pasajeros-durante-el-primer-trimestre-de-2024/</x:v>
      </x:c>
      <x:c r="K1349" s="16" t="b">
        <x:v>0</x:v>
      </x:c>
      <x:c r="L1349" s="11" t="n">
        <x:v>0</x:v>
      </x:c>
      <x:c r="M1349" s="11" t="n">
        <x:v>0</x:v>
      </x:c>
      <x:c r="N1349" s="4"/>
      <x:c r="O1349" s="4"/>
      <x:c r="P1349" s="11" t="n">
        <x:v>3</x:v>
      </x:c>
      <x:c r="Q1349" s="11" t="n">
        <x:v>0</x:v>
      </x:c>
      <x:c r="R1349" s="11" t="str">
        <x:f>IF(OR(P1349="",Q1349=""),"",Q1349-P1349)</x:f>
      </x:c>
      <x:c r="S1349" s="13" t="str">
        <x:f>IF(OR(P1349="",Q1349="",P1349=0),"",((Q1349/30)/(P1349/31))-1)</x:f>
      </x:c>
      <x:c r="T1349" s="11" t="n">
        <x:v>88</x:v>
      </x:c>
      <x:c r="U1349" s="11" t="n">
        <x:v>70</x:v>
      </x:c>
      <x:c r="V1349" s="14" t="n">
        <x:v>0</x:v>
      </x:c>
      <x:c r="W1349" s="12" t="n">
        <x:v>6.057142857142857</x:v>
      </x:c>
      <x:c r="X1349" s="11" t="n">
        <x:v>5</x:v>
      </x:c>
      <x:c r="Y1349" s="11" t="n">
        <x:v>6</x:v>
      </x:c>
      <x:c r="Z1349" s="4" t="str">
        <x:v>https://blog.skyairline.com/sky-transporto-a-mas-de-24-millones-de-pasajeros-durante-el-primer-trimestre-de-2024/</x:v>
      </x:c>
      <x:c r="AA1349" s="4" t="str">
        <x:v>https://blog.skyairline.com/sky-transporto-a-mas-de-24-millones-de-pasajeros-durante-el-primer-trimestre-de-2024/</x:v>
      </x:c>
      <x:c r="AB1349" s="4" t="str">
        <x:v>Coincidencia URL</x:v>
      </x:c>
      <x:c r="AC1349" s="4" t="str">
        <x:v>Publicado hasta septiembre</x:v>
      </x:c>
      <x:c r="AD1349" s="4" t="str">
        <x:v>/sky-transporto-a-mas-de-24-millones-de-pasajeros-durante-el-primer-trimestre-de-2024/</x:v>
      </x:c>
      <x:c r="AE1349" s="4"/>
      <x:c r="AF1349" s="16" t="b">
        <x:v>0</x:v>
      </x:c>
    </x:row>
    <x:row r="1350" ht="44" customHeight="1">
      <x:c r="A1350" s="4" t="n">
        <x:v>4647</x:v>
      </x:c>
      <x:c r="B1350" s="4" t="str">
        <x:v>https://blog.skyairline.com/sky-traslado-a-mas-de-825-mil-pasajeros-en-el-primer-trimestre-de-2024/</x:v>
      </x:c>
      <x:c r="C1350" s="9" t="str">
        <x:v>SKY trasladó a más de 825 mil pasajeros en el primer trimestre de 2024</x:v>
      </x:c>
      <x:c r="D1350" s="17" t="d">
        <x:v>2024-05-22T00:00:00.000Z</x:v>
      </x:c>
      <x:c r="E1350" s="17" t="d">
        <x:v>2024-05-22T00:00:00.000Z</x:v>
      </x:c>
      <x:c r="F1350" s="4" t="str">
        <x:v>Noticias</x:v>
      </x:c>
      <x:c r="G1350" s="11" t="n">
        <x:v>922</x:v>
      </x:c>
      <x:c r="H1350" s="11" t="n">
        <x:v>200</x:v>
      </x:c>
      <x:c r="I1350" s="11" t="n">
        <x:v>1</x:v>
      </x:c>
      <x:c r="J1350" s="4" t="str">
        <x:v>https://blog.skyairline.com/sky-traslado-a-mas-de-825-mil-pasajeros-en-el-primer-trimestre-de-2024/</x:v>
      </x:c>
      <x:c r="K1350" s="16" t="b">
        <x:v>0</x:v>
      </x:c>
      <x:c r="L1350" s="11" t="n">
        <x:v>0</x:v>
      </x:c>
      <x:c r="M1350" s="11" t="n">
        <x:v>0</x:v>
      </x:c>
      <x:c r="N1350" s="4"/>
      <x:c r="O1350" s="4"/>
      <x:c r="P1350" s="11" t="n">
        <x:v>0</x:v>
      </x:c>
      <x:c r="Q1350" s="11" t="n">
        <x:v>0</x:v>
      </x:c>
      <x:c r="R1350" s="11" t="str">
        <x:f>IF(OR(P1350="",Q1350=""),"",Q1350-P1350)</x:f>
      </x:c>
      <x:c r="S1350" s="13" t="str">
        <x:f>IF(OR(P1350="",Q1350="",P1350=0),"",((Q1350/30)/(P1350/31))-1)</x:f>
      </x:c>
      <x:c r="T1350" s="11" t="n">
        <x:v>19</x:v>
      </x:c>
      <x:c r="U1350" s="11" t="n">
        <x:v>11</x:v>
      </x:c>
      <x:c r="V1350" s="14" t="n">
        <x:v>0</x:v>
      </x:c>
      <x:c r="W1350" s="12" t="n">
        <x:v>8.09090909090909</x:v>
      </x:c>
      <x:c r="X1350" s="11"/>
      <x:c r="Y1350" s="11"/>
      <x:c r="Z1350" s="4" t="str">
        <x:v>https://blog.skyairline.com/sky-traslado-a-mas-de-825-mil-pasajeros-en-el-primer-trimestre-de-2024/</x:v>
      </x:c>
      <x:c r="AA1350" s="4" t="str">
        <x:v>https://blog.skyairline.com/sky-traslado-a-mas-de-825-mil-pasajeros-en-el-primer-trimestre-de-2024/</x:v>
      </x:c>
      <x:c r="AB1350" s="4" t="str">
        <x:v>Coincidencia URL</x:v>
      </x:c>
      <x:c r="AC1350" s="4" t="str">
        <x:v>Publicado hasta septiembre</x:v>
      </x:c>
      <x:c r="AD1350" s="4"/>
      <x:c r="AE1350" s="4"/>
      <x:c r="AF1350" s="16" t="b">
        <x:v>0</x:v>
      </x:c>
    </x:row>
    <x:row r="1351" ht="44" customHeight="1">
      <x:c r="A1351" s="4" t="n">
        <x:v>4656</x:v>
      </x:c>
      <x:c r="B1351" s="4" t="str">
        <x:v>https://blog.skyairline.com/mas-de-230-mil-pasajeros-volaran-entre-chile-y-brasil-para-la-temporada-de-invierno-2024/</x:v>
      </x:c>
      <x:c r="C1351" s="9" t="str">
        <x:v>Más de 230 mil pasajeros volarán entre Chile y Brasil para la temporada de invierno 2024</x:v>
      </x:c>
      <x:c r="D1351" s="17" t="d">
        <x:v>2024-05-24T00:00:00.000Z</x:v>
      </x:c>
      <x:c r="E1351" s="17" t="d">
        <x:v>2024-05-24T00:00:00.000Z</x:v>
      </x:c>
      <x:c r="F1351" s="4" t="str">
        <x:v>Noticias</x:v>
      </x:c>
      <x:c r="G1351" s="11" t="n">
        <x:v>494</x:v>
      </x:c>
      <x:c r="H1351" s="11" t="n">
        <x:v>200</x:v>
      </x:c>
      <x:c r="I1351" s="11" t="n">
        <x:v>1</x:v>
      </x:c>
      <x:c r="J1351" s="4" t="str">
        <x:v>https://blog.skyairline.com/mas-de-230-mil-pasajeros-volaran-entre-chile-y-brasil-para-la-temporada-de-invierno-2024/</x:v>
      </x:c>
      <x:c r="K1351" s="16" t="b">
        <x:v>0</x:v>
      </x:c>
      <x:c r="L1351" s="11" t="n">
        <x:v>0</x:v>
      </x:c>
      <x:c r="M1351" s="11" t="n">
        <x:v>0</x:v>
      </x:c>
      <x:c r="N1351" s="4"/>
      <x:c r="O1351" s="4"/>
      <x:c r="P1351" s="11" t="n">
        <x:v>0</x:v>
      </x:c>
      <x:c r="Q1351" s="11" t="n">
        <x:v>0</x:v>
      </x:c>
      <x:c r="R1351" s="11" t="str">
        <x:f>IF(OR(P1351="",Q1351=""),"",Q1351-P1351)</x:f>
      </x:c>
      <x:c r="S1351" s="13" t="str">
        <x:f>IF(OR(P1351="",Q1351="",P1351=0),"",((Q1351/30)/(P1351/31))-1)</x:f>
      </x:c>
      <x:c r="T1351" s="11" t="n">
        <x:v>8</x:v>
      </x:c>
      <x:c r="U1351" s="11" t="n">
        <x:v>15</x:v>
      </x:c>
      <x:c r="V1351" s="14" t="n">
        <x:v>0</x:v>
      </x:c>
      <x:c r="W1351" s="12" t="n">
        <x:v>9</x:v>
      </x:c>
      <x:c r="X1351" s="11"/>
      <x:c r="Y1351" s="11"/>
      <x:c r="Z1351" s="4" t="str">
        <x:v>https://blog.skyairline.com/mas-de-230-mil-pasajeros-volaran-entre-chile-y-brasil-para-la-temporada-de-invierno-2024/</x:v>
      </x:c>
      <x:c r="AA1351" s="4" t="str">
        <x:v>https://blog.skyairline.com/mas-de-230-mil-pasajeros-volaran-entre-chile-y-brasil-para-la-temporada-de-invierno-2024/</x:v>
      </x:c>
      <x:c r="AB1351" s="4" t="str">
        <x:v>Coincidencia URL</x:v>
      </x:c>
      <x:c r="AC1351" s="4" t="str">
        <x:v>Publicado hasta septiembre</x:v>
      </x:c>
      <x:c r="AD1351" s="4"/>
      <x:c r="AE1351" s="4"/>
      <x:c r="AF1351" s="16" t="b">
        <x:v>0</x:v>
      </x:c>
    </x:row>
    <x:row r="1352" ht="44" customHeight="1">
      <x:c r="A1352" s="4" t="n">
        <x:v>4658</x:v>
      </x:c>
      <x:c r="B1352" s="4" t="str">
        <x:v>https://blog.skyairline.com/parques-xcaret/</x:v>
      </x:c>
      <x:c r="C1352" s="9" t="str">
        <x:v>Xcaret y más allá: Explora los parques temáticos de México</x:v>
      </x:c>
      <x:c r="D1352" s="17" t="d">
        <x:v>2024-06-07T00:00:00.000Z</x:v>
      </x:c>
      <x:c r="E1352" s="17" t="d">
        <x:v>2024-06-07T00:00:00.000Z</x:v>
      </x:c>
      <x:c r="F1352" s="4" t="str">
        <x:v>Cancún, Destinos</x:v>
      </x:c>
      <x:c r="G1352" s="11" t="n">
        <x:v>988</x:v>
      </x:c>
      <x:c r="H1352" s="11" t="n">
        <x:v>200</x:v>
      </x:c>
      <x:c r="I1352" s="11" t="n">
        <x:v>1</x:v>
      </x:c>
      <x:c r="J1352" s="4" t="str">
        <x:v>https://blog.skyairline.com/parques-xcaret/</x:v>
      </x:c>
      <x:c r="K1352" s="16" t="b">
        <x:v>0</x:v>
      </x:c>
      <x:c r="L1352" s="11" t="n">
        <x:v>0</x:v>
      </x:c>
      <x:c r="M1352" s="11" t="n">
        <x:v>3</x:v>
      </x:c>
      <x:c r="N1352" s="4"/>
      <x:c r="O1352" s="4"/>
      <x:c r="P1352" s="11" t="n">
        <x:v>1</x:v>
      </x:c>
      <x:c r="Q1352" s="11" t="n">
        <x:v>0</x:v>
      </x:c>
      <x:c r="R1352" s="11" t="str">
        <x:f>IF(OR(P1352="",Q1352=""),"",Q1352-P1352)</x:f>
      </x:c>
      <x:c r="S1352" s="13" t="str">
        <x:f>IF(OR(P1352="",Q1352="",P1352=0),"",((Q1352/30)/(P1352/31))-1)</x:f>
      </x:c>
      <x:c r="T1352" s="11" t="n">
        <x:v>103</x:v>
      </x:c>
      <x:c r="U1352" s="11" t="n">
        <x:v>18</x:v>
      </x:c>
      <x:c r="V1352" s="14" t="n">
        <x:v>0</x:v>
      </x:c>
      <x:c r="W1352" s="12" t="n">
        <x:v>15.777777777777779</x:v>
      </x:c>
      <x:c r="X1352" s="11"/>
      <x:c r="Y1352" s="11"/>
      <x:c r="Z1352" s="4" t="str">
        <x:v>https://blog.skyairline.com/parques-xcaret/</x:v>
      </x:c>
      <x:c r="AA1352" s="4" t="str">
        <x:v>https://blog.skyairline.com/parques-xcaret/</x:v>
      </x:c>
      <x:c r="AB1352" s="4" t="str">
        <x:v>Coincidencia URL</x:v>
      </x:c>
      <x:c r="AC1352" s="4" t="str">
        <x:v>Publicado hasta septiembre</x:v>
      </x:c>
      <x:c r="AD1352" s="4"/>
      <x:c r="AE1352" s="4"/>
      <x:c r="AF1352" s="16" t="b">
        <x:v>0</x:v>
      </x:c>
    </x:row>
    <x:row r="1353" ht="44" customHeight="1">
      <x:c r="A1353" s="4" t="n">
        <x:v>4661</x:v>
      </x:c>
      <x:c r="B1353" s="4" t="str">
        <x:v>https://blog.skyairline.com/cenotes-tulum/</x:v>
      </x:c>
      <x:c r="C1353" s="9" t="str">
        <x:v>Sumérgete en los cenotes de Tulum: tu aventura submarina comienza con SKY</x:v>
      </x:c>
      <x:c r="D1353" s="17" t="d">
        <x:v>2025-09-05T00:00:00.000Z</x:v>
      </x:c>
      <x:c r="E1353" s="17" t="d">
        <x:v>2026-01-12T00:00:00.000Z</x:v>
      </x:c>
      <x:c r="F1353" s="4" t="str">
        <x:v>Cancún, Destinos</x:v>
      </x:c>
      <x:c r="G1353" s="11" t="n">
        <x:v>965</x:v>
      </x:c>
      <x:c r="H1353" s="11" t="n">
        <x:v>200</x:v>
      </x:c>
      <x:c r="I1353" s="11" t="n">
        <x:v>1</x:v>
      </x:c>
      <x:c r="J1353" s="4" t="str">
        <x:v>https://blog.skyairline.com/cenotes-tulum/</x:v>
      </x:c>
      <x:c r="K1353" s="16" t="b">
        <x:v>0</x:v>
      </x:c>
      <x:c r="L1353" s="11" t="n">
        <x:v>0</x:v>
      </x:c>
      <x:c r="M1353" s="11" t="n">
        <x:v>0</x:v>
      </x:c>
      <x:c r="N1353" s="4"/>
      <x:c r="O1353" s="4"/>
      <x:c r="P1353" s="11" t="n">
        <x:v>1</x:v>
      </x:c>
      <x:c r="Q1353" s="11" t="n">
        <x:v>0</x:v>
      </x:c>
      <x:c r="R1353" s="11" t="str">
        <x:f>IF(OR(P1353="",Q1353=""),"",Q1353-P1353)</x:f>
      </x:c>
      <x:c r="S1353" s="13" t="str">
        <x:f>IF(OR(P1353="",Q1353="",P1353=0),"",((Q1353/30)/(P1353/31))-1)</x:f>
      </x:c>
      <x:c r="T1353" s="11" t="n">
        <x:v>135</x:v>
      </x:c>
      <x:c r="U1353" s="11" t="n">
        <x:v>59</x:v>
      </x:c>
      <x:c r="V1353" s="14" t="n">
        <x:v>0</x:v>
      </x:c>
      <x:c r="W1353" s="12" t="n">
        <x:v>14.508474576271187</x:v>
      </x:c>
      <x:c r="X1353" s="11"/>
      <x:c r="Y1353" s="11"/>
      <x:c r="Z1353" s="4" t="str">
        <x:v>https://blog.skyairline.com/cenotes-tulum/</x:v>
      </x:c>
      <x:c r="AA1353" s="4" t="str">
        <x:v>https://blog.skyairline.com/cenotes-tulum/</x:v>
      </x:c>
      <x:c r="AB1353" s="4" t="str">
        <x:v>Coincidencia URL</x:v>
      </x:c>
      <x:c r="AC1353" s="4" t="str">
        <x:v>Publicado hasta septiembre</x:v>
      </x:c>
      <x:c r="AD1353" s="4"/>
      <x:c r="AE1353" s="4"/>
      <x:c r="AF1353" s="16" t="b">
        <x:v>0</x:v>
      </x:c>
    </x:row>
    <x:row r="1354" ht="44" customHeight="1">
      <x:c r="A1354" s="4" t="n">
        <x:v>4673</x:v>
      </x:c>
      <x:c r="B1354" s="4" t="str">
        <x:v>https://blog.skyairline.com/liga-contra-el-cancer-se-une-a-sky-para-implementar-campanas-preventivas-a-nivel-nacional/</x:v>
      </x:c>
      <x:c r="C1354" s="9" t="str">
        <x:v>Liga Contra el Cáncer se une a SKY para implementar campañas preventivas a nivel nacional</x:v>
      </x:c>
      <x:c r="D1354" s="17" t="d">
        <x:v>2024-05-27T00:00:00.000Z</x:v>
      </x:c>
      <x:c r="E1354" s="17" t="d">
        <x:v>2024-05-27T00:00:00.000Z</x:v>
      </x:c>
      <x:c r="F1354" s="4" t="str">
        <x:v>Compromiso SKY</x:v>
      </x:c>
      <x:c r="G1354" s="11" t="n">
        <x:v>437</x:v>
      </x:c>
      <x:c r="H1354" s="11" t="n">
        <x:v>200</x:v>
      </x:c>
      <x:c r="I1354" s="11" t="n">
        <x:v>1</x:v>
      </x:c>
      <x:c r="J1354" s="4" t="str">
        <x:v>https://blog.skyairline.com/liga-contra-el-cancer-se-une-a-sky-para-implementar-campanas-preventivas-a-nivel-nacional/</x:v>
      </x:c>
      <x:c r="K1354" s="16" t="b">
        <x:v>0</x:v>
      </x:c>
      <x:c r="L1354" s="11" t="n">
        <x:v>0</x:v>
      </x:c>
      <x:c r="M1354" s="11" t="n">
        <x:v>0</x:v>
      </x:c>
      <x:c r="N1354" s="4"/>
      <x:c r="O1354" s="4"/>
      <x:c r="P1354" s="11" t="n">
        <x:v>0</x:v>
      </x:c>
      <x:c r="Q1354" s="11" t="n">
        <x:v>0</x:v>
      </x:c>
      <x:c r="R1354" s="11" t="str">
        <x:f>IF(OR(P1354="",Q1354=""),"",Q1354-P1354)</x:f>
      </x:c>
      <x:c r="S1354" s="13" t="str">
        <x:f>IF(OR(P1354="",Q1354="",P1354=0),"",((Q1354/30)/(P1354/31))-1)</x:f>
      </x:c>
      <x:c r="T1354" s="11" t="n">
        <x:v>5</x:v>
      </x:c>
      <x:c r="U1354" s="11" t="n">
        <x:v>9</x:v>
      </x:c>
      <x:c r="V1354" s="14" t="n">
        <x:v>0</x:v>
      </x:c>
      <x:c r="W1354" s="12" t="n">
        <x:v>7.777777777777778</x:v>
      </x:c>
      <x:c r="X1354" s="11"/>
      <x:c r="Y1354" s="11"/>
      <x:c r="Z1354" s="4" t="str">
        <x:v>https://blog.skyairline.com/liga-contra-el-cancer-se-une-a-sky-para-implementar-campanas-preventivas-a-nivel-nacional/</x:v>
      </x:c>
      <x:c r="AA1354" s="4" t="str">
        <x:v>https://blog.skyairline.com/liga-contra-el-cancer-se-une-a-sky-para-implementar-campanas-preventivas-a-nivel-nacional/</x:v>
      </x:c>
      <x:c r="AB1354" s="4" t="str">
        <x:v>Coincidencia URL</x:v>
      </x:c>
      <x:c r="AC1354" s="4" t="str">
        <x:v>Publicado hasta septiembre</x:v>
      </x:c>
      <x:c r="AD1354" s="4"/>
      <x:c r="AE1354" s="4"/>
      <x:c r="AF1354" s="16" t="b">
        <x:v>0</x:v>
      </x:c>
    </x:row>
    <x:row r="1355" ht="44" customHeight="1">
      <x:c r="A1355" s="4" t="n">
        <x:v>4676</x:v>
      </x:c>
      <x:c r="B1355" s="4" t="str">
        <x:v>https://blog.skyairline.com/conoce-un-poco-mas-acerca-de-las-tres-nuevas-rutas-que-conectaran-santiago-con-brasil/</x:v>
      </x:c>
      <x:c r="C1355" s="9" t="str">
        <x:v>Conoce un poco más acerca de las tres nuevas rutas que conectarán Santiago con Brasil</x:v>
      </x:c>
      <x:c r="D1355" s="17" t="d">
        <x:v>2024-05-27T00:00:00.000Z</x:v>
      </x:c>
      <x:c r="E1355" s="17" t="d">
        <x:v>2024-05-27T00:00:00.000Z</x:v>
      </x:c>
      <x:c r="F1355" s="4" t="str">
        <x:v>Noticias</x:v>
      </x:c>
      <x:c r="G1355" s="11" t="n">
        <x:v>356</x:v>
      </x:c>
      <x:c r="H1355" s="11" t="n">
        <x:v>200</x:v>
      </x:c>
      <x:c r="I1355" s="11" t="n">
        <x:v>1</x:v>
      </x:c>
      <x:c r="J1355" s="4" t="str">
        <x:v>https://blog.skyairline.com/conoce-un-poco-mas-acerca-de-las-tres-nuevas-rutas-que-conectaran-santiago-con-brasil/</x:v>
      </x:c>
      <x:c r="K1355" s="16" t="b">
        <x:v>0</x:v>
      </x:c>
      <x:c r="L1355" s="11" t="n">
        <x:v>0</x:v>
      </x:c>
      <x:c r="M1355" s="11" t="n">
        <x:v>0</x:v>
      </x:c>
      <x:c r="N1355" s="4"/>
      <x:c r="O1355" s="4"/>
      <x:c r="P1355" s="11" t="n">
        <x:v>0</x:v>
      </x:c>
      <x:c r="Q1355" s="11" t="n">
        <x:v>0</x:v>
      </x:c>
      <x:c r="R1355" s="11" t="str">
        <x:f>IF(OR(P1355="",Q1355=""),"",Q1355-P1355)</x:f>
      </x:c>
      <x:c r="S1355" s="13" t="str">
        <x:f>IF(OR(P1355="",Q1355="",P1355=0),"",((Q1355/30)/(P1355/31))-1)</x:f>
      </x:c>
      <x:c r="T1355" s="11" t="n">
        <x:v>70</x:v>
      </x:c>
      <x:c r="U1355" s="11" t="n">
        <x:v>42</x:v>
      </x:c>
      <x:c r="V1355" s="14" t="n">
        <x:v>0</x:v>
      </x:c>
      <x:c r="W1355" s="12" t="n">
        <x:v>8.476190476190476</x:v>
      </x:c>
      <x:c r="X1355" s="11"/>
      <x:c r="Y1355" s="11"/>
      <x:c r="Z1355" s="4" t="str">
        <x:v>https://blog.skyairline.com/conoce-un-poco-mas-acerca-de-las-tres-nuevas-rutas-que-conectaran-santiago-con-brasil/</x:v>
      </x:c>
      <x:c r="AA1355" s="4" t="str">
        <x:v>https://blog.skyairline.com/conoce-un-poco-mas-acerca-de-las-tres-nuevas-rutas-que-conectaran-santiago-con-brasil/</x:v>
      </x:c>
      <x:c r="AB1355" s="4" t="str">
        <x:v>Coincidencia URL</x:v>
      </x:c>
      <x:c r="AC1355" s="4" t="str">
        <x:v>Publicado hasta septiembre</x:v>
      </x:c>
      <x:c r="AD1355" s="4"/>
      <x:c r="AE1355" s="4"/>
      <x:c r="AF1355" s="16" t="b">
        <x:v>0</x:v>
      </x:c>
    </x:row>
    <x:row r="1356" ht="44" customHeight="1">
      <x:c r="A1356" s="4" t="n">
        <x:v>4682</x:v>
      </x:c>
      <x:c r="B1356" s="4" t="str">
        <x:v>https://blog.skyairline.com/cyber-descuentos-sky-ofrecera-descuentos-de-hasta-un-75-en-pasajes-en-su-campana-sky-sale/</x:v>
      </x:c>
      <x:c r="C1356" s="9" t="str">
        <x:v>Cyber descuentos: SKY ofrecerá descuentos de hasta un 75% en pasajes en su campaña SKY Sale</x:v>
      </x:c>
      <x:c r="D1356" s="17" t="d">
        <x:v>2024-05-28T00:00:00.000Z</x:v>
      </x:c>
      <x:c r="E1356" s="17" t="d">
        <x:v>2024-05-28T00:00:00.000Z</x:v>
      </x:c>
      <x:c r="F1356" s="4" t="str">
        <x:v>Noticias, Sin categoría</x:v>
      </x:c>
      <x:c r="G1356" s="11" t="n">
        <x:v>611</x:v>
      </x:c>
      <x:c r="H1356" s="11" t="n">
        <x:v>200</x:v>
      </x:c>
      <x:c r="I1356" s="11" t="n">
        <x:v>1</x:v>
      </x:c>
      <x:c r="J1356" s="4" t="str">
        <x:v>https://blog.skyairline.com/cyber-descuentos-sky-ofrecera-descuentos-de-hasta-un-75-en-pasajes-en-su-campana-sky-sale/</x:v>
      </x:c>
      <x:c r="K1356" s="16" t="b">
        <x:v>0</x:v>
      </x:c>
      <x:c r="L1356" s="11" t="n">
        <x:v>0</x:v>
      </x:c>
      <x:c r="M1356" s="11" t="n">
        <x:v>0</x:v>
      </x:c>
      <x:c r="N1356" s="4"/>
      <x:c r="O1356" s="4"/>
      <x:c r="P1356" s="11" t="n">
        <x:v>0</x:v>
      </x:c>
      <x:c r="Q1356" s="11" t="n">
        <x:v>0</x:v>
      </x:c>
      <x:c r="R1356" s="11" t="str">
        <x:f>IF(OR(P1356="",Q1356=""),"",Q1356-P1356)</x:f>
      </x:c>
      <x:c r="S1356" s="13" t="str">
        <x:f>IF(OR(P1356="",Q1356="",P1356=0),"",((Q1356/30)/(P1356/31))-1)</x:f>
      </x:c>
      <x:c r="T1356" s="11" t="n">
        <x:v>127</x:v>
      </x:c>
      <x:c r="U1356" s="11" t="n">
        <x:v>438</x:v>
      </x:c>
      <x:c r="V1356" s="14" t="n">
        <x:v>0</x:v>
      </x:c>
      <x:c r="W1356" s="12" t="n">
        <x:v>7.607305936073059</x:v>
      </x:c>
      <x:c r="X1356" s="11"/>
      <x:c r="Y1356" s="11"/>
      <x:c r="Z1356" s="4" t="str">
        <x:v>https://blog.skyairline.com/cyber-descuentos-sky-ofrecera-descuentos-de-hasta-un-75-en-pasajes-en-su-campana-sky-sale/</x:v>
      </x:c>
      <x:c r="AA1356" s="4" t="str">
        <x:v>https://blog.skyairline.com/cyber-descuentos-sky-ofrecera-descuentos-de-hasta-un-75-en-pasajes-en-su-campana-sky-sale/</x:v>
      </x:c>
      <x:c r="AB1356" s="4" t="str">
        <x:v>Coincidencia URL</x:v>
      </x:c>
      <x:c r="AC1356" s="4" t="str">
        <x:v>Publicado hasta septiembre</x:v>
      </x:c>
      <x:c r="AD1356" s="4"/>
      <x:c r="AE1356" s="4"/>
      <x:c r="AF1356" s="16" t="b">
        <x:v>0</x:v>
      </x:c>
    </x:row>
    <x:row r="1357" ht="44" customHeight="1">
      <x:c r="A1357" s="4" t="n">
        <x:v>4711</x:v>
      </x:c>
      <x:c r="B1357" s="4" t="str">
        <x:v>https://blog.skyairline.com/paises-mas-seguros-latinoamerica/</x:v>
      </x:c>
      <x:c r="C1357" s="9" t="str">
        <x:v>Viajar con confianza: conoce los países más seguros de Latinoamérica</x:v>
      </x:c>
      <x:c r="D1357" s="17" t="d">
        <x:v>2024-06-21T00:00:00.000Z</x:v>
      </x:c>
      <x:c r="E1357" s="17" t="d">
        <x:v>2024-06-21T00:00:00.000Z</x:v>
      </x:c>
      <x:c r="F1357" s="4" t="str">
        <x:v>Destinos</x:v>
      </x:c>
      <x:c r="G1357" s="11" t="n">
        <x:v>1185</x:v>
      </x:c>
      <x:c r="H1357" s="11" t="n">
        <x:v>200</x:v>
      </x:c>
      <x:c r="I1357" s="11" t="n">
        <x:v>1</x:v>
      </x:c>
      <x:c r="J1357" s="4" t="str">
        <x:v>https://blog.skyairline.com/paises-mas-seguros-latinoamerica/</x:v>
      </x:c>
      <x:c r="K1357" s="16" t="b">
        <x:v>0</x:v>
      </x:c>
      <x:c r="L1357" s="11" t="n">
        <x:v>0</x:v>
      </x:c>
      <x:c r="M1357" s="11" t="n">
        <x:v>3</x:v>
      </x:c>
      <x:c r="N1357" s="4"/>
      <x:c r="O1357" s="4"/>
      <x:c r="P1357" s="11" t="n">
        <x:v>0</x:v>
      </x:c>
      <x:c r="Q1357" s="11" t="n">
        <x:v>0</x:v>
      </x:c>
      <x:c r="R1357" s="11" t="str">
        <x:f>IF(OR(P1357="",Q1357=""),"",Q1357-P1357)</x:f>
      </x:c>
      <x:c r="S1357" s="13" t="str">
        <x:f>IF(OR(P1357="",Q1357="",P1357=0),"",((Q1357/30)/(P1357/31))-1)</x:f>
      </x:c>
      <x:c r="T1357" s="11" t="n">
        <x:v>174</x:v>
      </x:c>
      <x:c r="U1357" s="11" t="n">
        <x:v>179</x:v>
      </x:c>
      <x:c r="V1357" s="14" t="n">
        <x:v>0</x:v>
      </x:c>
      <x:c r="W1357" s="12" t="n">
        <x:v>15.932960893854748</x:v>
      </x:c>
      <x:c r="X1357" s="11"/>
      <x:c r="Y1357" s="11"/>
      <x:c r="Z1357" s="4" t="str">
        <x:v>https://blog.skyairline.com/paises-mas-seguros-latinoamerica/</x:v>
      </x:c>
      <x:c r="AA1357" s="4" t="str">
        <x:v>https://blog.skyairline.com/paises-mas-seguros-latinoamerica/</x:v>
      </x:c>
      <x:c r="AB1357" s="4" t="str">
        <x:v>Coincidencia URL</x:v>
      </x:c>
      <x:c r="AC1357" s="4" t="str">
        <x:v>Publicado hasta septiembre</x:v>
      </x:c>
      <x:c r="AD1357" s="4"/>
      <x:c r="AE1357" s="4"/>
      <x:c r="AF1357" s="16" t="b">
        <x:v>0</x:v>
      </x:c>
    </x:row>
    <x:row r="1358" ht="44" customHeight="1">
      <x:c r="A1358" s="4" t="n">
        <x:v>4714</x:v>
      </x:c>
      <x:c r="B1358" s="4" t="str">
        <x:v>https://blog.skyairline.com/gastronomia-colombiana/</x:v>
      </x:c>
      <x:c r="C1358" s="9" t="str">
        <x:v>Descubre los secretos y las maravillas de la gastronomía colombiana</x:v>
      </x:c>
      <x:c r="D1358" s="17" t="d">
        <x:v>2024-06-26T00:00:00.000Z</x:v>
      </x:c>
      <x:c r="E1358" s="17" t="d">
        <x:v>2024-06-26T00:00:00.000Z</x:v>
      </x:c>
      <x:c r="F1358" s="4" t="str">
        <x:v>Destinos</x:v>
      </x:c>
      <x:c r="G1358" s="11" t="n">
        <x:v>1088</x:v>
      </x:c>
      <x:c r="H1358" s="11" t="n">
        <x:v>200</x:v>
      </x:c>
      <x:c r="I1358" s="11" t="n">
        <x:v>1</x:v>
      </x:c>
      <x:c r="J1358" s="4" t="str">
        <x:v>https://blog.skyairline.com/gastronomia-colombiana/</x:v>
      </x:c>
      <x:c r="K1358" s="16" t="b">
        <x:v>0</x:v>
      </x:c>
      <x:c r="L1358" s="11" t="n">
        <x:v>0</x:v>
      </x:c>
      <x:c r="M1358" s="11" t="n">
        <x:v>3</x:v>
      </x:c>
      <x:c r="N1358" s="4"/>
      <x:c r="O1358" s="4"/>
      <x:c r="P1358" s="11" t="n">
        <x:v>2</x:v>
      </x:c>
      <x:c r="Q1358" s="11" t="n">
        <x:v>0</x:v>
      </x:c>
      <x:c r="R1358" s="11" t="str">
        <x:f>IF(OR(P1358="",Q1358=""),"",Q1358-P1358)</x:f>
      </x:c>
      <x:c r="S1358" s="13" t="str">
        <x:f>IF(OR(P1358="",Q1358="",P1358=0),"",((Q1358/30)/(P1358/31))-1)</x:f>
      </x:c>
      <x:c r="T1358" s="11" t="n">
        <x:v>218</x:v>
      </x:c>
      <x:c r="U1358" s="11" t="n">
        <x:v>133</x:v>
      </x:c>
      <x:c r="V1358" s="14" t="n">
        <x:v>0</x:v>
      </x:c>
      <x:c r="W1358" s="12" t="n">
        <x:v>34.225563909774436</x:v>
      </x:c>
      <x:c r="X1358" s="11"/>
      <x:c r="Y1358" s="11"/>
      <x:c r="Z1358" s="4" t="str">
        <x:v>https://blog.skyairline.com/gastronomia-colombiana/</x:v>
      </x:c>
      <x:c r="AA1358" s="4" t="str">
        <x:v>https://blog.skyairline.com/gastronomia-colombiana/</x:v>
      </x:c>
      <x:c r="AB1358" s="4" t="str">
        <x:v>Coincidencia URL</x:v>
      </x:c>
      <x:c r="AC1358" s="4" t="str">
        <x:v>Publicado hasta septiembre</x:v>
      </x:c>
      <x:c r="AD1358" s="4"/>
      <x:c r="AE1358" s="4"/>
      <x:c r="AF1358" s="16" t="b">
        <x:v>0</x:v>
      </x:c>
    </x:row>
    <x:row r="1359" ht="44" customHeight="1">
      <x:c r="A1359" s="4" t="n">
        <x:v>4730</x:v>
      </x:c>
      <x:c r="B1359" s="4" t="str">
        <x:v>https://blog.skyairline.com/hiking-outdoor/</x:v>
      </x:c>
      <x:c r="C1359" s="9" t="str">
        <x:v>Las mejores rutas outdoor para hacer en pareja o con amigos</x:v>
      </x:c>
      <x:c r="D1359" s="17" t="d">
        <x:v>2025-10-01T00:00:00.000Z</x:v>
      </x:c>
      <x:c r="E1359" s="17" t="d">
        <x:v>2026-01-12T00:00:00.000Z</x:v>
      </x:c>
      <x:c r="F1359" s="4" t="str">
        <x:v>Destinos</x:v>
      </x:c>
      <x:c r="G1359" s="11" t="n">
        <x:v>1042</x:v>
      </x:c>
      <x:c r="H1359" s="11" t="n">
        <x:v>200</x:v>
      </x:c>
      <x:c r="I1359" s="11" t="n">
        <x:v>1</x:v>
      </x:c>
      <x:c r="J1359" s="4" t="str">
        <x:v>https://blog.skyairline.com/hiking-outdoor/</x:v>
      </x:c>
      <x:c r="K1359" s="16" t="b">
        <x:v>0</x:v>
      </x:c>
      <x:c r="L1359" s="11" t="n">
        <x:v>0</x:v>
      </x:c>
      <x:c r="M1359" s="11" t="n">
        <x:v>0</x:v>
      </x:c>
      <x:c r="N1359" s="4"/>
      <x:c r="O1359" s="4"/>
      <x:c r="P1359" s="11" t="n">
        <x:v>0</x:v>
      </x:c>
      <x:c r="Q1359" s="11" t="n">
        <x:v>0</x:v>
      </x:c>
      <x:c r="R1359" s="11" t="str">
        <x:f>IF(OR(P1359="",Q1359=""),"",Q1359-P1359)</x:f>
      </x:c>
      <x:c r="S1359" s="13" t="str">
        <x:f>IF(OR(P1359="",Q1359="",P1359=0),"",((Q1359/30)/(P1359/31))-1)</x:f>
      </x:c>
      <x:c r="T1359" s="11" t="n">
        <x:v>13</x:v>
      </x:c>
      <x:c r="U1359" s="11" t="n">
        <x:v>19</x:v>
      </x:c>
      <x:c r="V1359" s="14" t="n">
        <x:v>0</x:v>
      </x:c>
      <x:c r="W1359" s="12" t="n">
        <x:v>9.105263157894736</x:v>
      </x:c>
      <x:c r="X1359" s="11"/>
      <x:c r="Y1359" s="11"/>
      <x:c r="Z1359" s="4" t="str">
        <x:v>https://blog.skyairline.com/hiking-outdoor/</x:v>
      </x:c>
      <x:c r="AA1359" s="4" t="str">
        <x:v>https://blog.skyairline.com/hiking-outdoor/</x:v>
      </x:c>
      <x:c r="AB1359" s="4" t="str">
        <x:v>Coincidencia URL</x:v>
      </x:c>
      <x:c r="AC1359" s="4" t="str">
        <x:v>Publicado hasta septiembre</x:v>
      </x:c>
      <x:c r="AD1359" s="4"/>
      <x:c r="AE1359" s="4"/>
      <x:c r="AF1359" s="16" t="b">
        <x:v>0</x:v>
      </x:c>
    </x:row>
    <x:row r="1360" ht="44" customHeight="1">
      <x:c r="A1360" s="4" t="n">
        <x:v>4744</x:v>
      </x:c>
      <x:c r="B1360" s="4" t="str">
        <x:v>https://blog.skyairline.com/mas-de-48-mil-personas-viajaran-dentro-del-peru-durante-fiestas-patrias/</x:v>
      </x:c>
      <x:c r="C1360" s="9" t="str">
        <x:v>Más de 48 mil personas viajarán dentro del Perú durante Fiestas Patrias</x:v>
      </x:c>
      <x:c r="D1360" s="17" t="d">
        <x:v>2024-06-30T00:00:00.000Z</x:v>
      </x:c>
      <x:c r="E1360" s="17" t="d">
        <x:v>2024-06-30T00:00:00.000Z</x:v>
      </x:c>
      <x:c r="F1360" s="4" t="str">
        <x:v>Noticias, Sin categoría</x:v>
      </x:c>
      <x:c r="G1360" s="11" t="n">
        <x:v>593</x:v>
      </x:c>
      <x:c r="H1360" s="11" t="n">
        <x:v>200</x:v>
      </x:c>
      <x:c r="I1360" s="11" t="n">
        <x:v>1</x:v>
      </x:c>
      <x:c r="J1360" s="4" t="str">
        <x:v>https://blog.skyairline.com/mas-de-48-mil-personas-viajaran-dentro-del-peru-durante-fiestas-patrias/</x:v>
      </x:c>
      <x:c r="K1360" s="16" t="b">
        <x:v>0</x:v>
      </x:c>
      <x:c r="L1360" s="11" t="n">
        <x:v>0</x:v>
      </x:c>
      <x:c r="M1360" s="11" t="n">
        <x:v>0</x:v>
      </x:c>
      <x:c r="N1360" s="4"/>
      <x:c r="O1360" s="4"/>
      <x:c r="P1360" s="11" t="n">
        <x:v>0</x:v>
      </x:c>
      <x:c r="Q1360" s="11" t="n">
        <x:v>0</x:v>
      </x:c>
      <x:c r="R1360" s="11" t="str">
        <x:f>IF(OR(P1360="",Q1360=""),"",Q1360-P1360)</x:f>
      </x:c>
      <x:c r="S1360" s="13" t="str">
        <x:f>IF(OR(P1360="",Q1360="",P1360=0),"",((Q1360/30)/(P1360/31))-1)</x:f>
      </x:c>
      <x:c r="T1360" s="11" t="n">
        <x:v>2</x:v>
      </x:c>
      <x:c r="U1360" s="11" t="n">
        <x:v>2</x:v>
      </x:c>
      <x:c r="V1360" s="14" t="n">
        <x:v>0</x:v>
      </x:c>
      <x:c r="W1360" s="12" t="n">
        <x:v>3</x:v>
      </x:c>
      <x:c r="X1360" s="11"/>
      <x:c r="Y1360" s="11"/>
      <x:c r="Z1360" s="4" t="str">
        <x:v>https://blog.skyairline.com/mas-de-48-mil-personas-viajaran-dentro-del-peru-durante-fiestas-patrias/</x:v>
      </x:c>
      <x:c r="AA1360" s="4" t="str">
        <x:v>https://blog.skyairline.com/mas-de-48-mil-personas-viajaran-dentro-del-peru-durante-fiestas-patrias/</x:v>
      </x:c>
      <x:c r="AB1360" s="4" t="str">
        <x:v>Coincidencia URL</x:v>
      </x:c>
      <x:c r="AC1360" s="4" t="str">
        <x:v>Publicado hasta septiembre</x:v>
      </x:c>
      <x:c r="AD1360" s="4"/>
      <x:c r="AE1360" s="4"/>
      <x:c r="AF1360" s="16" t="b">
        <x:v>0</x:v>
      </x:c>
    </x:row>
    <x:row r="1361" ht="44" customHeight="1">
      <x:c r="A1361" s="4" t="n">
        <x:v>4753</x:v>
      </x:c>
      <x:c r="B1361" s="4" t="str">
        <x:v>https://blog.skyairline.com/lima-sao-paulo-buenos-aires-y-rio-de-janeiro-seran-algunos-de-los-destinos-internacionales-favoritos-para-estas-vacaciones-de-invierno/</x:v>
      </x:c>
      <x:c r="C1361" s="9" t="str">
        <x:v>Lima, Sao Paulo, Buenos Aires y Río de Janeiro, serán algunos de los destinos internacionales favoritos para estas vacaciones de invierno </x:v>
      </x:c>
      <x:c r="D1361" s="17" t="d">
        <x:v>2024-07-04T00:00:00.000Z</x:v>
      </x:c>
      <x:c r="E1361" s="17" t="d">
        <x:v>2024-07-04T00:00:00.000Z</x:v>
      </x:c>
      <x:c r="F1361" s="4" t="str">
        <x:v>Noticias</x:v>
      </x:c>
      <x:c r="G1361" s="11" t="n">
        <x:v>410</x:v>
      </x:c>
      <x:c r="H1361" s="11" t="n">
        <x:v>200</x:v>
      </x:c>
      <x:c r="I1361" s="11" t="n">
        <x:v>1</x:v>
      </x:c>
      <x:c r="J1361" s="4" t="str">
        <x:v>https://blog.skyairline.com/lima-sao-paulo-buenos-aires-y-rio-de-janeiro-seran-algunos-de-los-destinos-internacionales-favoritos-para-estas-vacaciones-de-invierno/</x:v>
      </x:c>
      <x:c r="K1361" s="16" t="b">
        <x:v>0</x:v>
      </x:c>
      <x:c r="L1361" s="11" t="n">
        <x:v>0</x:v>
      </x:c>
      <x:c r="M1361" s="11" t="n">
        <x:v>0</x:v>
      </x:c>
      <x:c r="N1361" s="4"/>
      <x:c r="O1361" s="4"/>
      <x:c r="P1361" s="11" t="n">
        <x:v>0</x:v>
      </x:c>
      <x:c r="Q1361" s="11" t="n">
        <x:v>0</x:v>
      </x:c>
      <x:c r="R1361" s="11" t="str">
        <x:f>IF(OR(P1361="",Q1361=""),"",Q1361-P1361)</x:f>
      </x:c>
      <x:c r="S1361" s="13" t="str">
        <x:f>IF(OR(P1361="",Q1361="",P1361=0),"",((Q1361/30)/(P1361/31))-1)</x:f>
      </x:c>
      <x:c r="T1361" s="11" t="n">
        <x:v>8</x:v>
      </x:c>
      <x:c r="U1361" s="11" t="n">
        <x:v>7</x:v>
      </x:c>
      <x:c r="V1361" s="14" t="n">
        <x:v>0</x:v>
      </x:c>
      <x:c r="W1361" s="12" t="n">
        <x:v>8</x:v>
      </x:c>
      <x:c r="X1361" s="11"/>
      <x:c r="Y1361" s="11"/>
      <x:c r="Z1361" s="4" t="str">
        <x:v>https://blog.skyairline.com/lima-sao-paulo-buenos-aires-y-rio-de-janeiro-seran-algunos-de-los-destinos-internacionales-favoritos-para-estas-vacaciones-de-invierno/</x:v>
      </x:c>
      <x:c r="AA1361" s="4" t="str">
        <x:v>https://blog.skyairline.com/lima-sao-paulo-buenos-aires-y-rio-de-janeiro-seran-algunos-de-los-destinos-internacionales-favoritos-para-estas-vacaciones-de-invierno/</x:v>
      </x:c>
      <x:c r="AB1361" s="4" t="str">
        <x:v>Coincidencia URL</x:v>
      </x:c>
      <x:c r="AC1361" s="4" t="str">
        <x:v>Publicado hasta septiembre</x:v>
      </x:c>
      <x:c r="AD1361" s="4"/>
      <x:c r="AE1361" s="4"/>
      <x:c r="AF1361" s="16" t="b">
        <x:v>0</x:v>
      </x:c>
    </x:row>
    <x:row r="1362" ht="44" customHeight="1">
      <x:c r="A1362" s="4" t="n">
        <x:v>4765</x:v>
      </x:c>
      <x:c r="B1362" s="4" t="str">
        <x:v>https://blog.skyairline.com/la-bicolor-y-sky-compensaran-las-emisiones-de-los-vuelos-de-la-seleccion-peruana/</x:v>
      </x:c>
      <x:c r="C1362" s="9" t="str">
        <x:v>La Bicolor y SKY compensarán las emisiones de los vuelos de la selección peruana</x:v>
      </x:c>
      <x:c r="D1362" s="17" t="d">
        <x:v>2024-07-01T00:00:00.000Z</x:v>
      </x:c>
      <x:c r="E1362" s="17" t="d">
        <x:v>2024-07-01T00:00:00.000Z</x:v>
      </x:c>
      <x:c r="F1362" s="4" t="str">
        <x:v>Noticias</x:v>
      </x:c>
      <x:c r="G1362" s="11" t="n">
        <x:v>413</x:v>
      </x:c>
      <x:c r="H1362" s="11" t="n">
        <x:v>200</x:v>
      </x:c>
      <x:c r="I1362" s="11" t="n">
        <x:v>1</x:v>
      </x:c>
      <x:c r="J1362" s="4" t="str">
        <x:v>https://blog.skyairline.com/la-bicolor-y-sky-compensaran-las-emisiones-de-los-vuelos-de-la-seleccion-peruana/</x:v>
      </x:c>
      <x:c r="K1362" s="16" t="b">
        <x:v>0</x:v>
      </x:c>
      <x:c r="L1362" s="11" t="n">
        <x:v>0</x:v>
      </x:c>
      <x:c r="M1362" s="11" t="n">
        <x:v>0</x:v>
      </x:c>
      <x:c r="N1362" s="4"/>
      <x:c r="O1362" s="4"/>
      <x:c r="P1362" s="11" t="n">
        <x:v>0</x:v>
      </x:c>
      <x:c r="Q1362" s="11" t="n">
        <x:v>0</x:v>
      </x:c>
      <x:c r="R1362" s="11" t="str">
        <x:f>IF(OR(P1362="",Q1362=""),"",Q1362-P1362)</x:f>
      </x:c>
      <x:c r="S1362" s="13" t="str">
        <x:f>IF(OR(P1362="",Q1362="",P1362=0),"",((Q1362/30)/(P1362/31))-1)</x:f>
      </x:c>
      <x:c r="T1362" s="11" t="n">
        <x:v>16</x:v>
      </x:c>
      <x:c r="U1362" s="11" t="n">
        <x:v>9</x:v>
      </x:c>
      <x:c r="V1362" s="14" t="n">
        <x:v>0</x:v>
      </x:c>
      <x:c r="W1362" s="12" t="n">
        <x:v>4.444444444444445</x:v>
      </x:c>
      <x:c r="X1362" s="11"/>
      <x:c r="Y1362" s="11"/>
      <x:c r="Z1362" s="4" t="str">
        <x:v>https://blog.skyairline.com/la-bicolor-y-sky-compensaran-las-emisiones-de-los-vuelos-de-la-seleccion-peruana/</x:v>
      </x:c>
      <x:c r="AA1362" s="4" t="str">
        <x:v>https://blog.skyairline.com/la-bicolor-y-sky-compensaran-las-emisiones-de-los-vuelos-de-la-seleccion-peruana/</x:v>
      </x:c>
      <x:c r="AB1362" s="4" t="str">
        <x:v>Coincidencia URL</x:v>
      </x:c>
      <x:c r="AC1362" s="4" t="str">
        <x:v>Publicado hasta septiembre</x:v>
      </x:c>
      <x:c r="AD1362" s="4"/>
      <x:c r="AE1362" s="4"/>
      <x:c r="AF1362" s="16" t="b">
        <x:v>0</x:v>
      </x:c>
    </x:row>
    <x:row r="1363" ht="44" customHeight="1">
      <x:c r="A1363" s="4" t="n">
        <x:v>4798</x:v>
      </x:c>
      <x:c r="B1363" s="4" t="str">
        <x:v>https://blog.skyairline.com/cadenas-para-nieve-puerto-montt/</x:v>
      </x:c>
      <x:c r="C1363" s="9" t="str">
        <x:v>¿Son necesarias las cadenas para nieve en Puerto Montt durante el invierno?</x:v>
      </x:c>
      <x:c r="D1363" s="17" t="d">
        <x:v>2024-07-16T00:00:00.000Z</x:v>
      </x:c>
      <x:c r="E1363" s="17" t="d">
        <x:v>2024-07-16T00:00:00.000Z</x:v>
      </x:c>
      <x:c r="F1363" s="4" t="str">
        <x:v>Destinos</x:v>
      </x:c>
      <x:c r="G1363" s="11" t="n">
        <x:v>1125</x:v>
      </x:c>
      <x:c r="H1363" s="11" t="n">
        <x:v>200</x:v>
      </x:c>
      <x:c r="I1363" s="11" t="n">
        <x:v>1</x:v>
      </x:c>
      <x:c r="J1363" s="4" t="str">
        <x:v>https://blog.skyairline.com/cadenas-para-nieve-puerto-montt/</x:v>
      </x:c>
      <x:c r="K1363" s="16" t="b">
        <x:v>0</x:v>
      </x:c>
      <x:c r="L1363" s="11" t="n">
        <x:v>0</x:v>
      </x:c>
      <x:c r="M1363" s="11" t="n">
        <x:v>3</x:v>
      </x:c>
      <x:c r="N1363" s="4"/>
      <x:c r="O1363" s="4"/>
      <x:c r="P1363" s="11" t="n">
        <x:v>0</x:v>
      </x:c>
      <x:c r="Q1363" s="11" t="n">
        <x:v>0</x:v>
      </x:c>
      <x:c r="R1363" s="11" t="str">
        <x:f>IF(OR(P1363="",Q1363=""),"",Q1363-P1363)</x:f>
      </x:c>
      <x:c r="S1363" s="13" t="str">
        <x:f>IF(OR(P1363="",Q1363="",P1363=0),"",((Q1363/30)/(P1363/31))-1)</x:f>
      </x:c>
      <x:c r="T1363" s="11" t="n">
        <x:v>339</x:v>
      </x:c>
      <x:c r="U1363" s="11" t="n">
        <x:v>43</x:v>
      </x:c>
      <x:c r="V1363" s="14" t="n">
        <x:v>0</x:v>
      </x:c>
      <x:c r="W1363" s="12" t="n">
        <x:v>13.906976744186046</x:v>
      </x:c>
      <x:c r="X1363" s="11"/>
      <x:c r="Y1363" s="11"/>
      <x:c r="Z1363" s="4" t="str">
        <x:v>https://blog.skyairline.com/cadenas-para-nieve-puerto-montt/</x:v>
      </x:c>
      <x:c r="AA1363" s="4" t="str">
        <x:v>https://blog.skyairline.com/cadenas-para-nieve-puerto-montt/</x:v>
      </x:c>
      <x:c r="AB1363" s="4" t="str">
        <x:v>Coincidencia URL</x:v>
      </x:c>
      <x:c r="AC1363" s="4" t="str">
        <x:v>Publicado hasta septiembre</x:v>
      </x:c>
      <x:c r="AD1363" s="4"/>
      <x:c r="AE1363" s="4"/>
      <x:c r="AF1363" s="16" t="b">
        <x:v>0</x:v>
      </x:c>
    </x:row>
    <x:row r="1364" ht="44" customHeight="1">
      <x:c r="A1364" s="4" t="n">
        <x:v>4800</x:v>
      </x:c>
      <x:c r="B1364" s="4" t="str">
        <x:v>https://blog.skyairline.com/virgen-de-las-nieve/</x:v>
      </x:c>
      <x:c r="C1364" s="9" t="str">
        <x:v>Virgen de las Nieves en Bariloche: historia y lugares que no te puedes perder</x:v>
      </x:c>
      <x:c r="D1364" s="17" t="d">
        <x:v>2025-09-05T00:00:00.000Z</x:v>
      </x:c>
      <x:c r="E1364" s="17" t="d">
        <x:v>2026-01-12T00:00:00.000Z</x:v>
      </x:c>
      <x:c r="F1364" s="4" t="str">
        <x:v>Cultura</x:v>
      </x:c>
      <x:c r="G1364" s="11" t="n">
        <x:v>1006</x:v>
      </x:c>
      <x:c r="H1364" s="11" t="n">
        <x:v>200</x:v>
      </x:c>
      <x:c r="I1364" s="11" t="n">
        <x:v>1</x:v>
      </x:c>
      <x:c r="J1364" s="4" t="str">
        <x:v>https://blog.skyairline.com/virgen-de-las-nieve/</x:v>
      </x:c>
      <x:c r="K1364" s="16" t="b">
        <x:v>0</x:v>
      </x:c>
      <x:c r="L1364" s="11" t="n">
        <x:v>0</x:v>
      </x:c>
      <x:c r="M1364" s="11" t="n">
        <x:v>0</x:v>
      </x:c>
      <x:c r="N1364" s="4"/>
      <x:c r="O1364" s="4"/>
      <x:c r="P1364" s="11" t="n">
        <x:v>27</x:v>
      </x:c>
      <x:c r="Q1364" s="11" t="n">
        <x:v>0</x:v>
      </x:c>
      <x:c r="R1364" s="11" t="str">
        <x:f>IF(OR(P1364="",Q1364=""),"",Q1364-P1364)</x:f>
      </x:c>
      <x:c r="S1364" s="13" t="str">
        <x:f>IF(OR(P1364="",Q1364="",P1364=0),"",((Q1364/30)/(P1364/31))-1)</x:f>
      </x:c>
      <x:c r="T1364" s="11" t="n">
        <x:v>3477</x:v>
      </x:c>
      <x:c r="U1364" s="11" t="n">
        <x:v>249</x:v>
      </x:c>
      <x:c r="V1364" s="14" t="n">
        <x:v>0</x:v>
      </x:c>
      <x:c r="W1364" s="12" t="n">
        <x:v>9.220883534136545</x:v>
      </x:c>
      <x:c r="X1364" s="11"/>
      <x:c r="Y1364" s="11"/>
      <x:c r="Z1364" s="4" t="str">
        <x:v>https://blog.skyairline.com/virgen-de-las-nieve/</x:v>
      </x:c>
      <x:c r="AA1364" s="4" t="str">
        <x:v>https://blog.skyairline.com/virgen-de-las-nieve/</x:v>
      </x:c>
      <x:c r="AB1364" s="4" t="str">
        <x:v>Coincidencia URL</x:v>
      </x:c>
      <x:c r="AC1364" s="4" t="str">
        <x:v>Publicado hasta septiembre</x:v>
      </x:c>
      <x:c r="AD1364" s="4"/>
      <x:c r="AE1364" s="4"/>
      <x:c r="AF1364" s="16" t="b">
        <x:v>0</x:v>
      </x:c>
    </x:row>
    <x:row r="1365" ht="44" customHeight="1">
      <x:c r="A1365" s="4" t="n">
        <x:v>4802</x:v>
      </x:c>
      <x:c r="B1365" s="4" t="str">
        <x:v>https://blog.skyairline.com/parque-farellones/</x:v>
      </x:c>
      <x:c r="C1365" s="9" t="str">
        <x:v>Actividades imperdibles en el Parque Farellones en Chile</x:v>
      </x:c>
      <x:c r="D1365" s="17" t="d">
        <x:v>2025-09-08T00:00:00.000Z</x:v>
      </x:c>
      <x:c r="E1365" s="17" t="d">
        <x:v>2026-01-12T00:00:00.000Z</x:v>
      </x:c>
      <x:c r="F1365" s="4" t="str">
        <x:v>Planificación de Viaje</x:v>
      </x:c>
      <x:c r="G1365" s="11" t="n">
        <x:v>1171</x:v>
      </x:c>
      <x:c r="H1365" s="11" t="n">
        <x:v>200</x:v>
      </x:c>
      <x:c r="I1365" s="11" t="n">
        <x:v>1</x:v>
      </x:c>
      <x:c r="J1365" s="4" t="str">
        <x:v>https://blog.skyairline.com/parque-farellones/</x:v>
      </x:c>
      <x:c r="K1365" s="16" t="b">
        <x:v>0</x:v>
      </x:c>
      <x:c r="L1365" s="11" t="n">
        <x:v>0</x:v>
      </x:c>
      <x:c r="M1365" s="11" t="n">
        <x:v>0</x:v>
      </x:c>
      <x:c r="N1365" s="4"/>
      <x:c r="O1365" s="4"/>
      <x:c r="P1365" s="11" t="n">
        <x:v>2</x:v>
      </x:c>
      <x:c r="Q1365" s="11" t="n">
        <x:v>0</x:v>
      </x:c>
      <x:c r="R1365" s="11" t="str">
        <x:f>IF(OR(P1365="",Q1365=""),"",Q1365-P1365)</x:f>
      </x:c>
      <x:c r="S1365" s="13" t="str">
        <x:f>IF(OR(P1365="",Q1365="",P1365=0),"",((Q1365/30)/(P1365/31))-1)</x:f>
      </x:c>
      <x:c r="T1365" s="11" t="n">
        <x:v>427</x:v>
      </x:c>
      <x:c r="U1365" s="11" t="n">
        <x:v>645</x:v>
      </x:c>
      <x:c r="V1365" s="14" t="n">
        <x:v>0</x:v>
      </x:c>
      <x:c r="W1365" s="12" t="n">
        <x:v>10.872868217054263</x:v>
      </x:c>
      <x:c r="X1365" s="11" t="n">
        <x:v>2</x:v>
      </x:c>
      <x:c r="Y1365" s="11" t="n">
        <x:v>2</x:v>
      </x:c>
      <x:c r="Z1365" s="4" t="str">
        <x:v>https://blog.skyairline.com/parque-farellones/</x:v>
      </x:c>
      <x:c r="AA1365" s="4" t="str">
        <x:v>https://blog.skyairline.com/parque-farellones/</x:v>
      </x:c>
      <x:c r="AB1365" s="4" t="str">
        <x:v>Coincidencia URL</x:v>
      </x:c>
      <x:c r="AC1365" s="4" t="str">
        <x:v>Publicado hasta septiembre</x:v>
      </x:c>
      <x:c r="AD1365" s="4" t="str">
        <x:v>/parque-farellones/</x:v>
      </x:c>
      <x:c r="AE1365" s="4"/>
      <x:c r="AF1365" s="16" t="b">
        <x:v>0</x:v>
      </x:c>
    </x:row>
    <x:row r="1366" ht="44" customHeight="1">
      <x:c r="A1366" s="4" t="n">
        <x:v>4807</x:v>
      </x:c>
      <x:c r="B1366" s="4" t="str">
        <x:v>https://blog.skyairline.com/arriendo-ropa-nieve/</x:v>
      </x:c>
      <x:c r="C1366" s="9" t="str">
        <x:v>Consejos para el arriendo de ropa de nieve</x:v>
      </x:c>
      <x:c r="D1366" s="17" t="d">
        <x:v>2024-07-24T00:00:00.000Z</x:v>
      </x:c>
      <x:c r="E1366" s="17" t="d">
        <x:v>2024-07-24T00:00:00.000Z</x:v>
      </x:c>
      <x:c r="F1366" s="4" t="str">
        <x:v>Destinos, Planificación de Viaje</x:v>
      </x:c>
      <x:c r="G1366" s="11" t="n">
        <x:v>1122</x:v>
      </x:c>
      <x:c r="H1366" s="11" t="n">
        <x:v>200</x:v>
      </x:c>
      <x:c r="I1366" s="11" t="n">
        <x:v>1</x:v>
      </x:c>
      <x:c r="J1366" s="4" t="str">
        <x:v>https://blog.skyairline.com/arriendo-ropa-nieve/</x:v>
      </x:c>
      <x:c r="K1366" s="16" t="b">
        <x:v>0</x:v>
      </x:c>
      <x:c r="L1366" s="11" t="n">
        <x:v>0</x:v>
      </x:c>
      <x:c r="M1366" s="11" t="n">
        <x:v>3</x:v>
      </x:c>
      <x:c r="N1366" s="4"/>
      <x:c r="O1366" s="4"/>
      <x:c r="P1366" s="11" t="n">
        <x:v>1</x:v>
      </x:c>
      <x:c r="Q1366" s="11" t="n">
        <x:v>0</x:v>
      </x:c>
      <x:c r="R1366" s="11" t="str">
        <x:f>IF(OR(P1366="",Q1366=""),"",Q1366-P1366)</x:f>
      </x:c>
      <x:c r="S1366" s="13" t="str">
        <x:f>IF(OR(P1366="",Q1366="",P1366=0),"",((Q1366/30)/(P1366/31))-1)</x:f>
      </x:c>
      <x:c r="T1366" s="11" t="n">
        <x:v>36</x:v>
      </x:c>
      <x:c r="U1366" s="11" t="n">
        <x:v>47</x:v>
      </x:c>
      <x:c r="V1366" s="14" t="n">
        <x:v>0</x:v>
      </x:c>
      <x:c r="W1366" s="12" t="n">
        <x:v>15.46808510638298</x:v>
      </x:c>
      <x:c r="X1366" s="11"/>
      <x:c r="Y1366" s="11"/>
      <x:c r="Z1366" s="4" t="str">
        <x:v>https://blog.skyairline.com/arriendo-ropa-nieve/</x:v>
      </x:c>
      <x:c r="AA1366" s="4" t="str">
        <x:v>https://blog.skyairline.com/arriendo-ropa-nieve/</x:v>
      </x:c>
      <x:c r="AB1366" s="4" t="str">
        <x:v>Coincidencia URL</x:v>
      </x:c>
      <x:c r="AC1366" s="4" t="str">
        <x:v>Publicado hasta septiembre</x:v>
      </x:c>
      <x:c r="AD1366" s="4"/>
      <x:c r="AE1366" s="4"/>
      <x:c r="AF1366" s="16" t="b">
        <x:v>0</x:v>
      </x:c>
    </x:row>
    <x:row r="1367" ht="44" customHeight="1">
      <x:c r="A1367" s="4" t="n">
        <x:v>4828</x:v>
      </x:c>
      <x:c r="B1367" s="4" t="str">
        <x:v>https://blog.skyairline.com/invierno-brasil/</x:v>
      </x:c>
      <x:c r="C1367" s="9" t="str">
        <x:v>Invierno en Brasil: 5 destinos que puedes disfrutar en esta temporada</x:v>
      </x:c>
      <x:c r="D1367" s="17" t="d">
        <x:v>2024-07-27T00:00:00.000Z</x:v>
      </x:c>
      <x:c r="E1367" s="17" t="d">
        <x:v>2024-07-27T00:00:00.000Z</x:v>
      </x:c>
      <x:c r="F1367" s="4" t="str">
        <x:v>Destinos</x:v>
      </x:c>
      <x:c r="G1367" s="11" t="n">
        <x:v>1237</x:v>
      </x:c>
      <x:c r="H1367" s="11" t="n">
        <x:v>200</x:v>
      </x:c>
      <x:c r="I1367" s="11" t="n">
        <x:v>1</x:v>
      </x:c>
      <x:c r="J1367" s="4" t="str">
        <x:v>https://blog.skyairline.com/invierno-brasil/</x:v>
      </x:c>
      <x:c r="K1367" s="16" t="b">
        <x:v>0</x:v>
      </x:c>
      <x:c r="L1367" s="11" t="n">
        <x:v>0</x:v>
      </x:c>
      <x:c r="M1367" s="11" t="n">
        <x:v>3</x:v>
      </x:c>
      <x:c r="N1367" s="4"/>
      <x:c r="O1367" s="4"/>
      <x:c r="P1367" s="11" t="n">
        <x:v>0</x:v>
      </x:c>
      <x:c r="Q1367" s="11" t="n">
        <x:v>0</x:v>
      </x:c>
      <x:c r="R1367" s="11" t="str">
        <x:f>IF(OR(P1367="",Q1367=""),"",Q1367-P1367)</x:f>
      </x:c>
      <x:c r="S1367" s="13" t="str">
        <x:f>IF(OR(P1367="",Q1367="",P1367=0),"",((Q1367/30)/(P1367/31))-1)</x:f>
      </x:c>
      <x:c r="T1367" s="11" t="n">
        <x:v>242</x:v>
      </x:c>
      <x:c r="U1367" s="11" t="n">
        <x:v>190</x:v>
      </x:c>
      <x:c r="V1367" s="14" t="n">
        <x:v>0</x:v>
      </x:c>
      <x:c r="W1367" s="12" t="n">
        <x:v>11.336842105263157</x:v>
      </x:c>
      <x:c r="X1367" s="11" t="n">
        <x:v>1</x:v>
      </x:c>
      <x:c r="Y1367" s="11" t="n">
        <x:v>1</x:v>
      </x:c>
      <x:c r="Z1367" s="4" t="str">
        <x:v>https://blog.skyairline.com/invierno-brasil/</x:v>
      </x:c>
      <x:c r="AA1367" s="4" t="str">
        <x:v>https://blog.skyairline.com/invierno-brasil/</x:v>
      </x:c>
      <x:c r="AB1367" s="4" t="str">
        <x:v>Coincidencia URL</x:v>
      </x:c>
      <x:c r="AC1367" s="4" t="str">
        <x:v>Publicado hasta septiembre</x:v>
      </x:c>
      <x:c r="AD1367" s="4" t="str">
        <x:v>/invierno-brasil/</x:v>
      </x:c>
      <x:c r="AE1367" s="4"/>
      <x:c r="AF1367" s="16" t="b">
        <x:v>0</x:v>
      </x:c>
    </x:row>
    <x:row r="1368" ht="44" customHeight="1">
      <x:c r="A1368" s="4" t="n">
        <x:v>4834</x:v>
      </x:c>
      <x:c r="B1368" s="4" t="str">
        <x:v>https://blog.skyairline.com/que-hacer-lima-familia/</x:v>
      </x:c>
      <x:c r="C1368" s="9" t="str">
        <x:v>¿Buscas qué hacer en familia en Lima? ¡Toma estas 5 opciones!</x:v>
      </x:c>
      <x:c r="D1368" s="17" t="d">
        <x:v>2024-07-31T00:00:00.000Z</x:v>
      </x:c>
      <x:c r="E1368" s="17" t="d">
        <x:v>2024-07-31T00:00:00.000Z</x:v>
      </x:c>
      <x:c r="F1368" s="4" t="str">
        <x:v>Sin categoría</x:v>
      </x:c>
      <x:c r="G1368" s="11" t="n">
        <x:v>973</x:v>
      </x:c>
      <x:c r="H1368" s="11" t="n">
        <x:v>200</x:v>
      </x:c>
      <x:c r="I1368" s="11" t="n">
        <x:v>1</x:v>
      </x:c>
      <x:c r="J1368" s="4" t="str">
        <x:v>https://blog.skyairline.com/que-hacer-lima-familia/</x:v>
      </x:c>
      <x:c r="K1368" s="16" t="b">
        <x:v>0</x:v>
      </x:c>
      <x:c r="L1368" s="11" t="n">
        <x:v>0</x:v>
      </x:c>
      <x:c r="M1368" s="11" t="n">
        <x:v>3</x:v>
      </x:c>
      <x:c r="N1368" s="4"/>
      <x:c r="O1368" s="4"/>
      <x:c r="P1368" s="11" t="n">
        <x:v>3</x:v>
      </x:c>
      <x:c r="Q1368" s="11" t="n">
        <x:v>0</x:v>
      </x:c>
      <x:c r="R1368" s="11" t="str">
        <x:f>IF(OR(P1368="",Q1368=""),"",Q1368-P1368)</x:f>
      </x:c>
      <x:c r="S1368" s="13" t="str">
        <x:f>IF(OR(P1368="",Q1368="",P1368=0),"",((Q1368/30)/(P1368/31))-1)</x:f>
      </x:c>
      <x:c r="T1368" s="11" t="n">
        <x:v>88</x:v>
      </x:c>
      <x:c r="U1368" s="11" t="n">
        <x:v>134</x:v>
      </x:c>
      <x:c r="V1368" s="14" t="n">
        <x:v>0</x:v>
      </x:c>
      <x:c r="W1368" s="12" t="n">
        <x:v>12.880597014925373</x:v>
      </x:c>
      <x:c r="X1368" s="11"/>
      <x:c r="Y1368" s="11"/>
      <x:c r="Z1368" s="4" t="str">
        <x:v>https://blog.skyairline.com/que-hacer-lima-familia/</x:v>
      </x:c>
      <x:c r="AA1368" s="4" t="str">
        <x:v>https://blog.skyairline.com/que-hacer-lima-familia/</x:v>
      </x:c>
      <x:c r="AB1368" s="4" t="str">
        <x:v>Coincidencia URL</x:v>
      </x:c>
      <x:c r="AC1368" s="4" t="str">
        <x:v>Publicado hasta septiembre</x:v>
      </x:c>
      <x:c r="AD1368" s="4"/>
      <x:c r="AE1368" s="4"/>
      <x:c r="AF1368" s="16" t="b">
        <x:v>0</x:v>
      </x:c>
    </x:row>
    <x:row r="1369" ht="44" customHeight="1">
      <x:c r="A1369" s="4" t="n">
        <x:v>4840</x:v>
      </x:c>
      <x:c r="B1369" s="4" t="str">
        <x:v>https://blog.skyairline.com/comida-peruana/</x:v>
      </x:c>
      <x:c r="C1369" s="9" t="str">
        <x:v>Comida peruana: platos típicos que debes probar en tu próximo viaje</x:v>
      </x:c>
      <x:c r="D1369" s="17" t="d">
        <x:v>2026-01-06T00:00:00.000Z</x:v>
      </x:c>
      <x:c r="E1369" s="17" t="d">
        <x:v>2026-01-06T00:00:00.000Z</x:v>
      </x:c>
      <x:c r="F1369" s="4" t="str">
        <x:v>Destinos</x:v>
      </x:c>
      <x:c r="G1369" s="11" t="n">
        <x:v>1097</x:v>
      </x:c>
      <x:c r="H1369" s="11" t="n">
        <x:v>200</x:v>
      </x:c>
      <x:c r="I1369" s="11" t="n">
        <x:v>1</x:v>
      </x:c>
      <x:c r="J1369" s="4" t="str">
        <x:v>https://blog.skyairline.com/comida-peruana/</x:v>
      </x:c>
      <x:c r="K1369" s="16" t="b">
        <x:v>0</x:v>
      </x:c>
      <x:c r="L1369" s="11" t="n">
        <x:v>0</x:v>
      </x:c>
      <x:c r="M1369" s="11" t="n">
        <x:v>0</x:v>
      </x:c>
      <x:c r="N1369" s="4"/>
      <x:c r="O1369" s="4"/>
      <x:c r="P1369" s="11" t="n">
        <x:v>1</x:v>
      </x:c>
      <x:c r="Q1369" s="11" t="n">
        <x:v>0</x:v>
      </x:c>
      <x:c r="R1369" s="11" t="str">
        <x:f>IF(OR(P1369="",Q1369=""),"",Q1369-P1369)</x:f>
      </x:c>
      <x:c r="S1369" s="13" t="str">
        <x:f>IF(OR(P1369="",Q1369="",P1369=0),"",((Q1369/30)/(P1369/31))-1)</x:f>
      </x:c>
      <x:c r="T1369" s="11" t="n">
        <x:v>2698</x:v>
      </x:c>
      <x:c r="U1369" s="11" t="n">
        <x:v>436</x:v>
      </x:c>
      <x:c r="V1369" s="14" t="n">
        <x:v>0</x:v>
      </x:c>
      <x:c r="W1369" s="12" t="n">
        <x:v>27.85091743119266</x:v>
      </x:c>
      <x:c r="X1369" s="11"/>
      <x:c r="Y1369" s="11"/>
      <x:c r="Z1369" s="4" t="str">
        <x:v>https://blog.skyairline.com/comida-peruana/</x:v>
      </x:c>
      <x:c r="AA1369" s="4" t="str">
        <x:v>https://blog.skyairline.com/comida-peruana/</x:v>
      </x:c>
      <x:c r="AB1369" s="4" t="str">
        <x:v>Coincidencia URL</x:v>
      </x:c>
      <x:c r="AC1369" s="4" t="str">
        <x:v>Publicado hasta septiembre</x:v>
      </x:c>
      <x:c r="AD1369" s="4"/>
      <x:c r="AE1369" s="4"/>
      <x:c r="AF1369" s="16" t="b">
        <x:v>0</x:v>
      </x:c>
    </x:row>
    <x:row r="1370" ht="44" customHeight="1">
      <x:c r="A1370" s="4" t="n">
        <x:v>4851</x:v>
      </x:c>
      <x:c r="B1370" s="4" t="str">
        <x:v>https://blog.skyairline.com/cuales-son-los-mejores-destinos-para-viajar-en-familia/</x:v>
      </x:c>
      <x:c r="C1370" s="9" t="str">
        <x:v>¿Cuáles son los mejores destinos para viajar en familia?</x:v>
      </x:c>
      <x:c r="D1370" s="17" t="d">
        <x:v>2024-07-27T00:00:00.000Z</x:v>
      </x:c>
      <x:c r="E1370" s="17" t="d">
        <x:v>2024-07-27T00:00:00.000Z</x:v>
      </x:c>
      <x:c r="F1370" s="4" t="str">
        <x:v>Noticias</x:v>
      </x:c>
      <x:c r="G1370" s="11" t="n">
        <x:v>579</x:v>
      </x:c>
      <x:c r="H1370" s="11" t="n">
        <x:v>200</x:v>
      </x:c>
      <x:c r="I1370" s="11" t="n">
        <x:v>1</x:v>
      </x:c>
      <x:c r="J1370" s="4" t="str">
        <x:v>https://blog.skyairline.com/cuales-son-los-mejores-destinos-para-viajar-en-familia/</x:v>
      </x:c>
      <x:c r="K1370" s="16" t="b">
        <x:v>0</x:v>
      </x:c>
      <x:c r="L1370" s="11" t="n">
        <x:v>0</x:v>
      </x:c>
      <x:c r="M1370" s="11" t="n">
        <x:v>0</x:v>
      </x:c>
      <x:c r="N1370" s="4"/>
      <x:c r="O1370" s="4"/>
      <x:c r="P1370" s="11" t="n">
        <x:v>1</x:v>
      </x:c>
      <x:c r="Q1370" s="11" t="n">
        <x:v>0</x:v>
      </x:c>
      <x:c r="R1370" s="11" t="str">
        <x:f>IF(OR(P1370="",Q1370=""),"",Q1370-P1370)</x:f>
      </x:c>
      <x:c r="S1370" s="13" t="str">
        <x:f>IF(OR(P1370="",Q1370="",P1370=0),"",((Q1370/30)/(P1370/31))-1)</x:f>
      </x:c>
      <x:c r="T1370" s="11" t="n">
        <x:v>34</x:v>
      </x:c>
      <x:c r="U1370" s="11" t="n">
        <x:v>38</x:v>
      </x:c>
      <x:c r="V1370" s="14" t="n">
        <x:v>0</x:v>
      </x:c>
      <x:c r="W1370" s="12" t="n">
        <x:v>41.18421052631579</x:v>
      </x:c>
      <x:c r="X1370" s="11"/>
      <x:c r="Y1370" s="11"/>
      <x:c r="Z1370" s="4" t="str">
        <x:v>https://blog.skyairline.com/cuales-son-los-mejores-destinos-para-viajar-en-familia/</x:v>
      </x:c>
      <x:c r="AA1370" s="4" t="str">
        <x:v>https://blog.skyairline.com/cuales-son-los-mejores-destinos-para-viajar-en-familia/</x:v>
      </x:c>
      <x:c r="AB1370" s="4" t="str">
        <x:v>Coincidencia URL</x:v>
      </x:c>
      <x:c r="AC1370" s="4" t="str">
        <x:v>Publicado hasta septiembre</x:v>
      </x:c>
      <x:c r="AD1370" s="4"/>
      <x:c r="AE1370" s="4"/>
      <x:c r="AF1370" s="16" t="b">
        <x:v>0</x:v>
      </x:c>
    </x:row>
    <x:row r="1371" ht="44" customHeight="1">
      <x:c r="A1371" s="4" t="n">
        <x:v>4858</x:v>
      </x:c>
      <x:c r="B1371" s="4" t="str">
        <x:v>https://blog.skyairline.com/sky-incorpora-en-toda-su-flota-una-guia-de-informacion-en-braille-para-pasajeros-con-discapacidad-visual-2/</x:v>
      </x:c>
      <x:c r="C1371" s="9" t="str">
        <x:v>SKY incorpora en toda su flota una guía de información en braille para pasajeros con discapacidad visual</x:v>
      </x:c>
      <x:c r="D1371" s="17" t="d">
        <x:v>2024-07-30T00:00:00.000Z</x:v>
      </x:c>
      <x:c r="E1371" s="17" t="d">
        <x:v>2024-07-30T00:00:00.000Z</x:v>
      </x:c>
      <x:c r="F1371" s="4" t="str">
        <x:v>Compromiso SKY</x:v>
      </x:c>
      <x:c r="G1371" s="11" t="n">
        <x:v>509</x:v>
      </x:c>
      <x:c r="H1371" s="11" t="n">
        <x:v>200</x:v>
      </x:c>
      <x:c r="I1371" s="11" t="n">
        <x:v>1</x:v>
      </x:c>
      <x:c r="J1371" s="4" t="str">
        <x:v>https://blog.skyairline.com/sky-incorpora-en-toda-su-flota-una-guia-de-informacion-en-braille-para-pasajeros-con-discapacidad-visual-2/</x:v>
      </x:c>
      <x:c r="K1371" s="16" t="b">
        <x:v>0</x:v>
      </x:c>
      <x:c r="L1371" s="11" t="n">
        <x:v>0</x:v>
      </x:c>
      <x:c r="M1371" s="11" t="n">
        <x:v>0</x:v>
      </x:c>
      <x:c r="N1371" s="4" t="str">
        <x:v>T10</x:v>
      </x:c>
      <x:c r="O1371" s="4" t="str">
        <x:v>C05</x:v>
      </x:c>
      <x:c r="P1371" s="11" t="n">
        <x:v>0</x:v>
      </x:c>
      <x:c r="Q1371" s="11" t="n">
        <x:v>0</x:v>
      </x:c>
      <x:c r="R1371" s="11" t="str">
        <x:f>IF(OR(P1371="",Q1371=""),"",Q1371-P1371)</x:f>
      </x:c>
      <x:c r="S1371" s="13" t="str">
        <x:f>IF(OR(P1371="",Q1371="",P1371=0),"",((Q1371/30)/(P1371/31))-1)</x:f>
      </x:c>
      <x:c r="T1371" s="11" t="n">
        <x:v>31</x:v>
      </x:c>
      <x:c r="U1371" s="11" t="n">
        <x:v>17</x:v>
      </x:c>
      <x:c r="V1371" s="14" t="n">
        <x:v>0</x:v>
      </x:c>
      <x:c r="W1371" s="12" t="n">
        <x:v>6.176470588235294</x:v>
      </x:c>
      <x:c r="X1371" s="11"/>
      <x:c r="Y1371" s="11"/>
      <x:c r="Z1371" s="4" t="str">
        <x:v>https://blog.skyairline.com/sky-incorpora-en-toda-su-flota-una-guia-de-informacion-en-braille-para-pasajeros-con-discapacidad-visual-2/</x:v>
      </x:c>
      <x:c r="AA1371" s="4" t="str">
        <x:v>https://blog.skyairline.com/sky-incorpora-en-toda-su-flota-una-guia-de-informacion-en-braille-para-pasajeros-con-discapacidad-visual-2/</x:v>
      </x:c>
      <x:c r="AB1371" s="4" t="str">
        <x:v>Coincidencia URL</x:v>
      </x:c>
      <x:c r="AC1371" s="4" t="str">
        <x:v>Publicado hasta septiembre</x:v>
      </x:c>
      <x:c r="AD1371" s="4"/>
      <x:c r="AE1371" s="4"/>
      <x:c r="AF1371" s="16" t="b">
        <x:v>0</x:v>
      </x:c>
    </x:row>
    <x:row r="1372" ht="44" customHeight="1">
      <x:c r="A1372" s="4" t="n">
        <x:v>4864</x:v>
      </x:c>
      <x:c r="B1372" s="4" t="str">
        <x:v>https://blog.skyairline.com/esquiar-en-chile/</x:v>
      </x:c>
      <x:c r="C1372" s="9" t="str">
        <x:v>¿A dónde ir si quieres esquiar en Chile?</x:v>
      </x:c>
      <x:c r="D1372" s="17" t="d">
        <x:v>2024-08-03T00:00:00.000Z</x:v>
      </x:c>
      <x:c r="E1372" s="17" t="d">
        <x:v>2024-08-03T00:00:00.000Z</x:v>
      </x:c>
      <x:c r="F1372" s="4" t="str">
        <x:v>Sin categoría</x:v>
      </x:c>
      <x:c r="G1372" s="11" t="n">
        <x:v>1052</x:v>
      </x:c>
      <x:c r="H1372" s="11" t="n">
        <x:v>200</x:v>
      </x:c>
      <x:c r="I1372" s="11" t="n">
        <x:v>1</x:v>
      </x:c>
      <x:c r="J1372" s="4" t="str">
        <x:v>https://blog.skyairline.com/esquiar-en-chile/</x:v>
      </x:c>
      <x:c r="K1372" s="16" t="b">
        <x:v>0</x:v>
      </x:c>
      <x:c r="L1372" s="11" t="n">
        <x:v>0</x:v>
      </x:c>
      <x:c r="M1372" s="11" t="n">
        <x:v>5</x:v>
      </x:c>
      <x:c r="N1372" s="4"/>
      <x:c r="O1372" s="4"/>
      <x:c r="P1372" s="11" t="n">
        <x:v>0</x:v>
      </x:c>
      <x:c r="Q1372" s="11" t="n">
        <x:v>0</x:v>
      </x:c>
      <x:c r="R1372" s="11" t="str">
        <x:f>IF(OR(P1372="",Q1372=""),"",Q1372-P1372)</x:f>
      </x:c>
      <x:c r="S1372" s="13" t="str">
        <x:f>IF(OR(P1372="",Q1372="",P1372=0),"",((Q1372/30)/(P1372/31))-1)</x:f>
      </x:c>
      <x:c r="T1372" s="11" t="n">
        <x:v>201</x:v>
      </x:c>
      <x:c r="U1372" s="11" t="n">
        <x:v>86</x:v>
      </x:c>
      <x:c r="V1372" s="14" t="n">
        <x:v>0</x:v>
      </x:c>
      <x:c r="W1372" s="12" t="n">
        <x:v>15.767441860465116</x:v>
      </x:c>
      <x:c r="X1372" s="11"/>
      <x:c r="Y1372" s="11"/>
      <x:c r="Z1372" s="4" t="str">
        <x:v>https://blog.skyairline.com/esquiar-en-chile/</x:v>
      </x:c>
      <x:c r="AA1372" s="4" t="str">
        <x:v>https://blog.skyairline.com/esquiar-en-chile/</x:v>
      </x:c>
      <x:c r="AB1372" s="4" t="str">
        <x:v>Coincidencia URL</x:v>
      </x:c>
      <x:c r="AC1372" s="4" t="str">
        <x:v>Publicado hasta septiembre</x:v>
      </x:c>
      <x:c r="AD1372" s="4"/>
      <x:c r="AE1372" s="4"/>
      <x:c r="AF1372" s="16" t="b">
        <x:v>0</x:v>
      </x:c>
    </x:row>
    <x:row r="1373" ht="44" customHeight="1">
      <x:c r="A1373" s="4" t="n">
        <x:v>4868</x:v>
      </x:c>
      <x:c r="B1373" s="4" t="str">
        <x:v>https://blog.skyairline.com/conciertos-2025/</x:v>
      </x:c>
      <x:c r="C1373" s="9" t="str">
        <x:v>Conciertos 2025 en Latinoamérica: Eventos de la primera mitad del año</x:v>
      </x:c>
      <x:c r="D1373" s="17" t="d">
        <x:v>2025-06-05T00:00:00.000Z</x:v>
      </x:c>
      <x:c r="E1373" s="17" t="d">
        <x:v>2025-12-19T00:00:00.000Z</x:v>
      </x:c>
      <x:c r="F1373" s="4" t="str">
        <x:v>Planificación de Viaje</x:v>
      </x:c>
      <x:c r="G1373" s="11" t="n">
        <x:v>1192</x:v>
      </x:c>
      <x:c r="H1373" s="11" t="n">
        <x:v>200</x:v>
      </x:c>
      <x:c r="I1373" s="11" t="n">
        <x:v>1</x:v>
      </x:c>
      <x:c r="J1373" s="4" t="str">
        <x:v>https://blog.skyairline.com/conciertos-2025/</x:v>
      </x:c>
      <x:c r="K1373" s="16" t="b">
        <x:v>0</x:v>
      </x:c>
      <x:c r="L1373" s="11" t="n">
        <x:v>0</x:v>
      </x:c>
      <x:c r="M1373" s="11" t="n">
        <x:v>0</x:v>
      </x:c>
      <x:c r="N1373" s="4"/>
      <x:c r="O1373" s="4"/>
      <x:c r="P1373" s="11" t="n">
        <x:v>1</x:v>
      </x:c>
      <x:c r="Q1373" s="11" t="n">
        <x:v>0</x:v>
      </x:c>
      <x:c r="R1373" s="11" t="str">
        <x:f>IF(OR(P1373="",Q1373=""),"",Q1373-P1373)</x:f>
      </x:c>
      <x:c r="S1373" s="13" t="str">
        <x:f>IF(OR(P1373="",Q1373="",P1373=0),"",((Q1373/30)/(P1373/31))-1)</x:f>
      </x:c>
      <x:c r="T1373" s="11" t="n">
        <x:v>25</x:v>
      </x:c>
      <x:c r="U1373" s="11" t="n">
        <x:v>36</x:v>
      </x:c>
      <x:c r="V1373" s="14" t="n">
        <x:v>0</x:v>
      </x:c>
      <x:c r="W1373" s="12" t="n">
        <x:v>8.25</x:v>
      </x:c>
      <x:c r="X1373" s="11"/>
      <x:c r="Y1373" s="11"/>
      <x:c r="Z1373" s="4" t="str">
        <x:v>https://blog.skyairline.com/conciertos-2025/</x:v>
      </x:c>
      <x:c r="AA1373" s="4" t="str">
        <x:v>https://blog.skyairline.com/conciertos-2025/</x:v>
      </x:c>
      <x:c r="AB1373" s="4" t="str">
        <x:v>Coincidencia URL</x:v>
      </x:c>
      <x:c r="AC1373" s="4" t="str">
        <x:v>Publicado hasta septiembre</x:v>
      </x:c>
      <x:c r="AD1373" s="4"/>
      <x:c r="AE1373" s="4"/>
      <x:c r="AF1373" s="16" t="b">
        <x:v>0</x:v>
      </x:c>
    </x:row>
    <x:row r="1374" ht="44" customHeight="1">
      <x:c r="A1374" s="4" t="n">
        <x:v>4871</x:v>
      </x:c>
      <x:c r="B1374" s="4" t="str">
        <x:v>https://blog.skyairline.com/cuzco-machu-picchu/</x:v>
      </x:c>
      <x:c r="C1374" s="9" t="str">
        <x:v>Aprende cómo ir de Cuzco a Machu Picchu fácilmente</x:v>
      </x:c>
      <x:c r="D1374" s="17" t="d">
        <x:v>2024-08-08T00:00:00.000Z</x:v>
      </x:c>
      <x:c r="E1374" s="17" t="d">
        <x:v>2024-08-08T00:00:00.000Z</x:v>
      </x:c>
      <x:c r="F1374" s="4" t="str">
        <x:v>Destinos</x:v>
      </x:c>
      <x:c r="G1374" s="11" t="n">
        <x:v>1200</x:v>
      </x:c>
      <x:c r="H1374" s="11" t="n">
        <x:v>200</x:v>
      </x:c>
      <x:c r="I1374" s="11" t="n">
        <x:v>1</x:v>
      </x:c>
      <x:c r="J1374" s="4" t="str">
        <x:v>https://blog.skyairline.com/cuzco-machu-picchu/</x:v>
      </x:c>
      <x:c r="K1374" s="16" t="b">
        <x:v>0</x:v>
      </x:c>
      <x:c r="L1374" s="11" t="n">
        <x:v>0</x:v>
      </x:c>
      <x:c r="M1374" s="11" t="n">
        <x:v>4</x:v>
      </x:c>
      <x:c r="N1374" s="4"/>
      <x:c r="O1374" s="4"/>
      <x:c r="P1374" s="11" t="n">
        <x:v>0</x:v>
      </x:c>
      <x:c r="Q1374" s="11" t="n">
        <x:v>0</x:v>
      </x:c>
      <x:c r="R1374" s="11" t="str">
        <x:f>IF(OR(P1374="",Q1374=""),"",Q1374-P1374)</x:f>
      </x:c>
      <x:c r="S1374" s="13" t="str">
        <x:f>IF(OR(P1374="",Q1374="",P1374=0),"",((Q1374/30)/(P1374/31))-1)</x:f>
      </x:c>
      <x:c r="T1374" s="11" t="n">
        <x:v>388</x:v>
      </x:c>
      <x:c r="U1374" s="11" t="n">
        <x:v>184</x:v>
      </x:c>
      <x:c r="V1374" s="14" t="n">
        <x:v>0</x:v>
      </x:c>
      <x:c r="W1374" s="12" t="n">
        <x:v>34.82608695652174</x:v>
      </x:c>
      <x:c r="X1374" s="11"/>
      <x:c r="Y1374" s="11"/>
      <x:c r="Z1374" s="4" t="str">
        <x:v>https://blog.skyairline.com/cuzco-machu-picchu/</x:v>
      </x:c>
      <x:c r="AA1374" s="4" t="str">
        <x:v>https://blog.skyairline.com/cuzco-machu-picchu/</x:v>
      </x:c>
      <x:c r="AB1374" s="4" t="str">
        <x:v>Coincidencia URL</x:v>
      </x:c>
      <x:c r="AC1374" s="4" t="str">
        <x:v>Publicado hasta septiembre</x:v>
      </x:c>
      <x:c r="AD1374" s="4"/>
      <x:c r="AE1374" s="4"/>
      <x:c r="AF1374" s="16" t="b">
        <x:v>0</x:v>
      </x:c>
    </x:row>
    <x:row r="1375" ht="44" customHeight="1">
      <x:c r="A1375" s="4" t="n">
        <x:v>4886</x:v>
      </x:c>
      <x:c r="B1375" s="4" t="str">
        <x:v>https://blog.skyairline.com/equipaje-nieve/</x:v>
      </x:c>
      <x:c r="C1375" s="9" t="str">
        <x:v>¿Qué debe llevar un equipaje de nieve a prueba de fallas?</x:v>
      </x:c>
      <x:c r="D1375" s="17" t="d">
        <x:v>2024-08-16T00:00:00.000Z</x:v>
      </x:c>
      <x:c r="E1375" s="17" t="d">
        <x:v>2024-08-16T00:00:00.000Z</x:v>
      </x:c>
      <x:c r="F1375" s="4" t="str">
        <x:v>Planificación de Viaje</x:v>
      </x:c>
      <x:c r="G1375" s="11" t="n">
        <x:v>1094</x:v>
      </x:c>
      <x:c r="H1375" s="11" t="n">
        <x:v>200</x:v>
      </x:c>
      <x:c r="I1375" s="11" t="n">
        <x:v>1</x:v>
      </x:c>
      <x:c r="J1375" s="4" t="str">
        <x:v>https://blog.skyairline.com/equipaje-nieve/</x:v>
      </x:c>
      <x:c r="K1375" s="16" t="b">
        <x:v>0</x:v>
      </x:c>
      <x:c r="L1375" s="11" t="n">
        <x:v>0</x:v>
      </x:c>
      <x:c r="M1375" s="11" t="n">
        <x:v>3</x:v>
      </x:c>
      <x:c r="N1375" s="4"/>
      <x:c r="O1375" s="4"/>
      <x:c r="P1375" s="11" t="n">
        <x:v>6</x:v>
      </x:c>
      <x:c r="Q1375" s="11" t="n">
        <x:v>0</x:v>
      </x:c>
      <x:c r="R1375" s="11" t="str">
        <x:f>IF(OR(P1375="",Q1375=""),"",Q1375-P1375)</x:f>
      </x:c>
      <x:c r="S1375" s="13" t="str">
        <x:f>IF(OR(P1375="",Q1375="",P1375=0),"",((Q1375/30)/(P1375/31))-1)</x:f>
      </x:c>
      <x:c r="T1375" s="11" t="n">
        <x:v>258</x:v>
      </x:c>
      <x:c r="U1375" s="11" t="n">
        <x:v>116</x:v>
      </x:c>
      <x:c r="V1375" s="14" t="n">
        <x:v>0</x:v>
      </x:c>
      <x:c r="W1375" s="12" t="n">
        <x:v>6.155172413793103</x:v>
      </x:c>
      <x:c r="X1375" s="11" t="n">
        <x:v>1</x:v>
      </x:c>
      <x:c r="Y1375" s="11" t="n">
        <x:v>1</x:v>
      </x:c>
      <x:c r="Z1375" s="4" t="str">
        <x:v>https://blog.skyairline.com/equipaje-nieve/</x:v>
      </x:c>
      <x:c r="AA1375" s="4" t="str">
        <x:v>https://blog.skyairline.com/equipaje-nieve/</x:v>
      </x:c>
      <x:c r="AB1375" s="4" t="str">
        <x:v>Coincidencia URL</x:v>
      </x:c>
      <x:c r="AC1375" s="4" t="str">
        <x:v>Publicado hasta septiembre</x:v>
      </x:c>
      <x:c r="AD1375" s="4" t="str">
        <x:v>/equipaje-nieve/</x:v>
      </x:c>
      <x:c r="AE1375" s="4"/>
      <x:c r="AF1375" s="16" t="b">
        <x:v>0</x:v>
      </x:c>
    </x:row>
    <x:row r="1376" ht="44" customHeight="1">
      <x:c r="A1376" s="4" t="n">
        <x:v>4892</x:v>
      </x:c>
      <x:c r="B1376" s="4" t="str">
        <x:v>https://blog.skyairline.com/vacaciones-brasil/</x:v>
      </x:c>
      <x:c r="C1376" s="9" t="str">
        <x:v>Vacaciones en Brasil: ¿Qué hay además del carnaval?</x:v>
      </x:c>
      <x:c r="D1376" s="17" t="d">
        <x:v>2024-08-22T00:00:00.000Z</x:v>
      </x:c>
      <x:c r="E1376" s="17" t="d">
        <x:v>2024-08-22T00:00:00.000Z</x:v>
      </x:c>
      <x:c r="F1376" s="4" t="str">
        <x:v>Destinos</x:v>
      </x:c>
      <x:c r="G1376" s="11" t="n">
        <x:v>1045</x:v>
      </x:c>
      <x:c r="H1376" s="11" t="n">
        <x:v>200</x:v>
      </x:c>
      <x:c r="I1376" s="11" t="n">
        <x:v>1</x:v>
      </x:c>
      <x:c r="J1376" s="4" t="str">
        <x:v>https://blog.skyairline.com/vacaciones-brasil/</x:v>
      </x:c>
      <x:c r="K1376" s="16" t="b">
        <x:v>0</x:v>
      </x:c>
      <x:c r="L1376" s="11" t="n">
        <x:v>0</x:v>
      </x:c>
      <x:c r="M1376" s="11" t="n">
        <x:v>3</x:v>
      </x:c>
      <x:c r="N1376" s="4"/>
      <x:c r="O1376" s="4"/>
      <x:c r="P1376" s="11" t="n">
        <x:v>0</x:v>
      </x:c>
      <x:c r="Q1376" s="11" t="n">
        <x:v>0</x:v>
      </x:c>
      <x:c r="R1376" s="11" t="str">
        <x:f>IF(OR(P1376="",Q1376=""),"",Q1376-P1376)</x:f>
      </x:c>
      <x:c r="S1376" s="13" t="str">
        <x:f>IF(OR(P1376="",Q1376="",P1376=0),"",((Q1376/30)/(P1376/31))-1)</x:f>
      </x:c>
      <x:c r="T1376" s="11" t="n">
        <x:v>96</x:v>
      </x:c>
      <x:c r="U1376" s="11" t="n">
        <x:v>17</x:v>
      </x:c>
      <x:c r="V1376" s="14" t="n">
        <x:v>0</x:v>
      </x:c>
      <x:c r="W1376" s="12" t="n">
        <x:v>5.176470588235294</x:v>
      </x:c>
      <x:c r="X1376" s="11"/>
      <x:c r="Y1376" s="11"/>
      <x:c r="Z1376" s="4" t="str">
        <x:v>https://blog.skyairline.com/vacaciones-brasil/</x:v>
      </x:c>
      <x:c r="AA1376" s="4" t="str">
        <x:v>https://blog.skyairline.com/vacaciones-brasil/</x:v>
      </x:c>
      <x:c r="AB1376" s="4" t="str">
        <x:v>Coincidencia URL</x:v>
      </x:c>
      <x:c r="AC1376" s="4" t="str">
        <x:v>Publicado hasta septiembre</x:v>
      </x:c>
      <x:c r="AD1376" s="4"/>
      <x:c r="AE1376" s="4"/>
      <x:c r="AF1376" s="16" t="b">
        <x:v>0</x:v>
      </x:c>
    </x:row>
    <x:row r="1377" ht="44" customHeight="1">
      <x:c r="A1377" s="4" t="n">
        <x:v>4910</x:v>
      </x:c>
      <x:c r="B1377" s="4" t="str">
        <x:v>https://blog.skyairline.com/chapada-dos-veadeiros/</x:v>
      </x:c>
      <x:c r="C1377" s="9" t="str">
        <x:v>Parque nacional da Chapada dos Veadeiros: Actividades que puedes hacer allí</x:v>
      </x:c>
      <x:c r="D1377" s="17" t="d">
        <x:v>2024-08-20T00:00:00.000Z</x:v>
      </x:c>
      <x:c r="E1377" s="17" t="d">
        <x:v>2024-08-20T00:00:00.000Z</x:v>
      </x:c>
      <x:c r="F1377" s="4" t="str">
        <x:v>Destinos</x:v>
      </x:c>
      <x:c r="G1377" s="11" t="n">
        <x:v>980</x:v>
      </x:c>
      <x:c r="H1377" s="11" t="n">
        <x:v>200</x:v>
      </x:c>
      <x:c r="I1377" s="11" t="n">
        <x:v>1</x:v>
      </x:c>
      <x:c r="J1377" s="4" t="str">
        <x:v>https://blog.skyairline.com/chapada-dos-veadeiros/</x:v>
      </x:c>
      <x:c r="K1377" s="16" t="b">
        <x:v>0</x:v>
      </x:c>
      <x:c r="L1377" s="11" t="n">
        <x:v>0</x:v>
      </x:c>
      <x:c r="M1377" s="11" t="n">
        <x:v>3</x:v>
      </x:c>
      <x:c r="N1377" s="4"/>
      <x:c r="O1377" s="4"/>
      <x:c r="P1377" s="11" t="n">
        <x:v>0</x:v>
      </x:c>
      <x:c r="Q1377" s="11" t="n">
        <x:v>0</x:v>
      </x:c>
      <x:c r="R1377" s="11" t="str">
        <x:f>IF(OR(P1377="",Q1377=""),"",Q1377-P1377)</x:f>
      </x:c>
      <x:c r="S1377" s="13" t="str">
        <x:f>IF(OR(P1377="",Q1377="",P1377=0),"",((Q1377/30)/(P1377/31))-1)</x:f>
      </x:c>
      <x:c r="T1377" s="11" t="n">
        <x:v>25</x:v>
      </x:c>
      <x:c r="U1377" s="11" t="n">
        <x:v>16</x:v>
      </x:c>
      <x:c r="V1377" s="14" t="n">
        <x:v>0</x:v>
      </x:c>
      <x:c r="W1377" s="12" t="n">
        <x:v>29.125</x:v>
      </x:c>
      <x:c r="X1377" s="11"/>
      <x:c r="Y1377" s="11"/>
      <x:c r="Z1377" s="4" t="str">
        <x:v>https://blog.skyairline.com/chapada-dos-veadeiros/</x:v>
      </x:c>
      <x:c r="AA1377" s="4" t="str">
        <x:v>https://blog.skyairline.com/chapada-dos-veadeiros/</x:v>
      </x:c>
      <x:c r="AB1377" s="4" t="str">
        <x:v>Coincidencia URL</x:v>
      </x:c>
      <x:c r="AC1377" s="4" t="str">
        <x:v>Publicado hasta septiembre</x:v>
      </x:c>
      <x:c r="AD1377" s="4"/>
      <x:c r="AE1377" s="4"/>
      <x:c r="AF1377" s="16" t="b">
        <x:v>0</x:v>
      </x:c>
    </x:row>
    <x:row r="1378" ht="44" customHeight="1">
      <x:c r="A1378" s="4" t="n">
        <x:v>4931</x:v>
      </x:c>
      <x:c r="B1378" s="4" t="str">
        <x:v>https://blog.skyairline.com/sky-se-une-a-care-peru-para-facilitar-el-traslado-aereo-ante-desastres-naturales/</x:v>
      </x:c>
      <x:c r="C1378" s="9" t="str">
        <x:v>SKY se une a CARE Perú para facilitar el traslado aéreo ante desastres naturales</x:v>
      </x:c>
      <x:c r="D1378" s="17" t="d">
        <x:v>2024-08-26T00:00:00.000Z</x:v>
      </x:c>
      <x:c r="E1378" s="17" t="d">
        <x:v>2024-08-26T00:00:00.000Z</x:v>
      </x:c>
      <x:c r="F1378" s="4" t="str">
        <x:v>Compromiso SKY</x:v>
      </x:c>
      <x:c r="G1378" s="11" t="n">
        <x:v>507</x:v>
      </x:c>
      <x:c r="H1378" s="11" t="n">
        <x:v>200</x:v>
      </x:c>
      <x:c r="I1378" s="11" t="n">
        <x:v>1</x:v>
      </x:c>
      <x:c r="J1378" s="4" t="str">
        <x:v>https://blog.skyairline.com/sky-se-une-a-care-peru-para-facilitar-el-traslado-aereo-ante-desastres-naturales/</x:v>
      </x:c>
      <x:c r="K1378" s="16" t="b">
        <x:v>0</x:v>
      </x:c>
      <x:c r="L1378" s="11" t="n">
        <x:v>0</x:v>
      </x:c>
      <x:c r="M1378" s="11" t="n">
        <x:v>0</x:v>
      </x:c>
      <x:c r="N1378" s="4"/>
      <x:c r="O1378" s="4"/>
      <x:c r="P1378" s="11" t="n">
        <x:v>0</x:v>
      </x:c>
      <x:c r="Q1378" s="11" t="n">
        <x:v>0</x:v>
      </x:c>
      <x:c r="R1378" s="11" t="str">
        <x:f>IF(OR(P1378="",Q1378=""),"",Q1378-P1378)</x:f>
      </x:c>
      <x:c r="S1378" s="13" t="str">
        <x:f>IF(OR(P1378="",Q1378="",P1378=0),"",((Q1378/30)/(P1378/31))-1)</x:f>
      </x:c>
      <x:c r="T1378" s="11" t="n">
        <x:v>44</x:v>
      </x:c>
      <x:c r="U1378" s="11" t="n">
        <x:v>32</x:v>
      </x:c>
      <x:c r="V1378" s="14" t="n">
        <x:v>0</x:v>
      </x:c>
      <x:c r="W1378" s="12" t="n">
        <x:v>6.40625</x:v>
      </x:c>
      <x:c r="X1378" s="11"/>
      <x:c r="Y1378" s="11"/>
      <x:c r="Z1378" s="4" t="str">
        <x:v>https://blog.skyairline.com/sky-se-une-a-care-peru-para-facilitar-el-traslado-aereo-ante-desastres-naturales/</x:v>
      </x:c>
      <x:c r="AA1378" s="4" t="str">
        <x:v>https://blog.skyairline.com/sky-se-une-a-care-peru-para-facilitar-el-traslado-aereo-ante-desastres-naturales/</x:v>
      </x:c>
      <x:c r="AB1378" s="4" t="str">
        <x:v>Coincidencia URL</x:v>
      </x:c>
      <x:c r="AC1378" s="4" t="str">
        <x:v>Publicado hasta septiembre</x:v>
      </x:c>
      <x:c r="AD1378" s="4"/>
      <x:c r="AE1378" s="4"/>
      <x:c r="AF1378" s="16" t="b">
        <x:v>0</x:v>
      </x:c>
    </x:row>
    <x:row r="1379" ht="44" customHeight="1">
      <x:c r="A1379" s="4" t="n">
        <x:v>4937</x:v>
      </x:c>
      <x:c r="B1379" s="4" t="str">
        <x:v>https://blog.skyairline.com/sky-celebro-el-aniversario-de-arequipa-transportando-a-mas-de-6700-viajeros/</x:v>
      </x:c>
      <x:c r="C1379" s="9" t="str">
        <x:v>SKY celebró el aniversario de Arequipa transportando a más de 6,700 viajeros</x:v>
      </x:c>
      <x:c r="D1379" s="17" t="d">
        <x:v>2024-08-28T00:00:00.000Z</x:v>
      </x:c>
      <x:c r="E1379" s="17" t="d">
        <x:v>2024-08-28T00:00:00.000Z</x:v>
      </x:c>
      <x:c r="F1379" s="4" t="str">
        <x:v>Noticias</x:v>
      </x:c>
      <x:c r="G1379" s="11" t="n">
        <x:v>302</x:v>
      </x:c>
      <x:c r="H1379" s="11" t="n">
        <x:v>200</x:v>
      </x:c>
      <x:c r="I1379" s="11" t="n">
        <x:v>1</x:v>
      </x:c>
      <x:c r="J1379" s="4" t="str">
        <x:v>https://blog.skyairline.com/sky-celebro-el-aniversario-de-arequipa-transportando-a-mas-de-6700-viajeros/</x:v>
      </x:c>
      <x:c r="K1379" s="16" t="b">
        <x:v>0</x:v>
      </x:c>
      <x:c r="L1379" s="11" t="n">
        <x:v>0</x:v>
      </x:c>
      <x:c r="M1379" s="11" t="n">
        <x:v>0</x:v>
      </x:c>
      <x:c r="N1379" s="4"/>
      <x:c r="O1379" s="4"/>
      <x:c r="P1379" s="11" t="n">
        <x:v>0</x:v>
      </x:c>
      <x:c r="Q1379" s="11" t="n">
        <x:v>0</x:v>
      </x:c>
      <x:c r="R1379" s="11" t="str">
        <x:f>IF(OR(P1379="",Q1379=""),"",Q1379-P1379)</x:f>
      </x:c>
      <x:c r="S1379" s="13" t="str">
        <x:f>IF(OR(P1379="",Q1379="",P1379=0),"",((Q1379/30)/(P1379/31))-1)</x:f>
      </x:c>
      <x:c r="T1379" s="11" t="n">
        <x:v>2</x:v>
      </x:c>
      <x:c r="U1379" s="11" t="n">
        <x:v>4</x:v>
      </x:c>
      <x:c r="V1379" s="14" t="n">
        <x:v>0</x:v>
      </x:c>
      <x:c r="W1379" s="12" t="n">
        <x:v>2.75</x:v>
      </x:c>
      <x:c r="X1379" s="11"/>
      <x:c r="Y1379" s="11"/>
      <x:c r="Z1379" s="4" t="str">
        <x:v>https://blog.skyairline.com/sky-celebro-el-aniversario-de-arequipa-transportando-a-mas-de-6700-viajeros/</x:v>
      </x:c>
      <x:c r="AA1379" s="4" t="str">
        <x:v>https://blog.skyairline.com/sky-celebro-el-aniversario-de-arequipa-transportando-a-mas-de-6700-viajeros/</x:v>
      </x:c>
      <x:c r="AB1379" s="4" t="str">
        <x:v>Coincidencia URL</x:v>
      </x:c>
      <x:c r="AC1379" s="4" t="str">
        <x:v>Publicado hasta septiembre</x:v>
      </x:c>
      <x:c r="AD1379" s="4"/>
      <x:c r="AE1379" s="4"/>
      <x:c r="AF1379" s="16" t="b">
        <x:v>0</x:v>
      </x:c>
    </x:row>
    <x:row r="1380" ht="44" customHeight="1">
      <x:c r="A1380" s="4" t="n">
        <x:v>4943</x:v>
      </x:c>
      <x:c r="B1380" s="4" t="str">
        <x:v>https://blog.skyairline.com/mas-de-21-600-pasajeros-han-volado-desde-y-hacia-la-serena-durante-agosto/</x:v>
      </x:c>
      <x:c r="C1380" s="9" t="str">
        <x:v>Más de 21.600 pasajeros han volado desde y hacia la Serena durante agosto</x:v>
      </x:c>
      <x:c r="D1380" s="17" t="d">
        <x:v>2024-08-29T00:00:00.000Z</x:v>
      </x:c>
      <x:c r="E1380" s="17" t="d">
        <x:v>2024-08-29T00:00:00.000Z</x:v>
      </x:c>
      <x:c r="F1380" s="4" t="str">
        <x:v>Noticias</x:v>
      </x:c>
      <x:c r="G1380" s="11" t="n">
        <x:v>243</x:v>
      </x:c>
      <x:c r="H1380" s="11" t="n">
        <x:v>200</x:v>
      </x:c>
      <x:c r="I1380" s="11" t="n">
        <x:v>1</x:v>
      </x:c>
      <x:c r="J1380" s="4" t="str">
        <x:v>https://blog.skyairline.com/mas-de-21-600-pasajeros-han-volado-desde-y-hacia-la-serena-durante-agosto/</x:v>
      </x:c>
      <x:c r="K1380" s="16" t="b">
        <x:v>0</x:v>
      </x:c>
      <x:c r="L1380" s="11" t="n">
        <x:v>0</x:v>
      </x:c>
      <x:c r="M1380" s="11" t="n">
        <x:v>1</x:v>
      </x:c>
      <x:c r="N1380" s="4"/>
      <x:c r="O1380" s="4"/>
      <x:c r="P1380" s="11" t="n">
        <x:v>1</x:v>
      </x:c>
      <x:c r="Q1380" s="11" t="n">
        <x:v>0</x:v>
      </x:c>
      <x:c r="R1380" s="11" t="str">
        <x:f>IF(OR(P1380="",Q1380=""),"",Q1380-P1380)</x:f>
      </x:c>
      <x:c r="S1380" s="13" t="str">
        <x:f>IF(OR(P1380="",Q1380="",P1380=0),"",((Q1380/30)/(P1380/31))-1)</x:f>
      </x:c>
      <x:c r="T1380" s="11" t="n">
        <x:v>7</x:v>
      </x:c>
      <x:c r="U1380" s="11" t="n">
        <x:v>4</x:v>
      </x:c>
      <x:c r="V1380" s="14" t="n">
        <x:v>0</x:v>
      </x:c>
      <x:c r="W1380" s="12" t="n">
        <x:v>9.75</x:v>
      </x:c>
      <x:c r="X1380" s="11"/>
      <x:c r="Y1380" s="11"/>
      <x:c r="Z1380" s="4" t="str">
        <x:v>https://blog.skyairline.com/mas-de-21-600-pasajeros-han-volado-desde-y-hacia-la-serena-durante-agosto/</x:v>
      </x:c>
      <x:c r="AA1380" s="4" t="str">
        <x:v>https://blog.skyairline.com/mas-de-21-600-pasajeros-han-volado-desde-y-hacia-la-serena-durante-agosto/</x:v>
      </x:c>
      <x:c r="AB1380" s="4" t="str">
        <x:v>Coincidencia URL</x:v>
      </x:c>
      <x:c r="AC1380" s="4" t="str">
        <x:v>Publicado hasta septiembre</x:v>
      </x:c>
      <x:c r="AD1380" s="4"/>
      <x:c r="AE1380" s="4"/>
      <x:c r="AF1380" s="16" t="b">
        <x:v>0</x:v>
      </x:c>
    </x:row>
    <x:row r="1381" ht="44" customHeight="1">
      <x:c r="A1381" s="4" t="n">
        <x:v>4947</x:v>
      </x:c>
      <x:c r="B1381" s="4" t="str">
        <x:v>https://blog.skyairline.com/lima-rio-de-janeiro-y-buenos-aires-seran-algunos-de-los-destinos-favoritos-para-viajar-en-fiestas-patrias/</x:v>
      </x:c>
      <x:c r="C1381" s="9" t="str">
        <x:v>Lima, Río de Janeiro y Buenos Aires, serán algunos de los destinos favoritos para viajar en Fiestas Patrias</x:v>
      </x:c>
      <x:c r="D1381" s="17" t="d">
        <x:v>2024-08-31T00:00:00.000Z</x:v>
      </x:c>
      <x:c r="E1381" s="17" t="d">
        <x:v>2024-08-31T00:00:00.000Z</x:v>
      </x:c>
      <x:c r="F1381" s="4" t="str">
        <x:v>Noticias</x:v>
      </x:c>
      <x:c r="G1381" s="11" t="n">
        <x:v>442</x:v>
      </x:c>
      <x:c r="H1381" s="11" t="n">
        <x:v>200</x:v>
      </x:c>
      <x:c r="I1381" s="11" t="n">
        <x:v>1</x:v>
      </x:c>
      <x:c r="J1381" s="4" t="str">
        <x:v>https://blog.skyairline.com/lima-rio-de-janeiro-y-buenos-aires-seran-algunos-de-los-destinos-favoritos-para-viajar-en-fiestas-patrias/</x:v>
      </x:c>
      <x:c r="K1381" s="16" t="b">
        <x:v>0</x:v>
      </x:c>
      <x:c r="L1381" s="11" t="n">
        <x:v>0</x:v>
      </x:c>
      <x:c r="M1381" s="11" t="n">
        <x:v>0</x:v>
      </x:c>
      <x:c r="N1381" s="4"/>
      <x:c r="O1381" s="4"/>
      <x:c r="P1381" s="11" t="n">
        <x:v>0</x:v>
      </x:c>
      <x:c r="Q1381" s="11" t="n">
        <x:v>0</x:v>
      </x:c>
      <x:c r="R1381" s="11" t="str">
        <x:f>IF(OR(P1381="",Q1381=""),"",Q1381-P1381)</x:f>
      </x:c>
      <x:c r="S1381" s="13" t="str">
        <x:f>IF(OR(P1381="",Q1381="",P1381=0),"",((Q1381/30)/(P1381/31))-1)</x:f>
      </x:c>
      <x:c r="T1381" s="11" t="n">
        <x:v>7</x:v>
      </x:c>
      <x:c r="U1381" s="11" t="n">
        <x:v>5</x:v>
      </x:c>
      <x:c r="V1381" s="14" t="n">
        <x:v>0</x:v>
      </x:c>
      <x:c r="W1381" s="12" t="n">
        <x:v>13.2</x:v>
      </x:c>
      <x:c r="X1381" s="11"/>
      <x:c r="Y1381" s="11"/>
      <x:c r="Z1381" s="4" t="str">
        <x:v>https://blog.skyairline.com/lima-rio-de-janeiro-y-buenos-aires-seran-algunos-de-los-destinos-favoritos-para-viajar-en-fiestas-patrias/</x:v>
      </x:c>
      <x:c r="AA1381" s="4" t="str">
        <x:v>https://blog.skyairline.com/lima-rio-de-janeiro-y-buenos-aires-seran-algunos-de-los-destinos-favoritos-para-viajar-en-fiestas-patrias/</x:v>
      </x:c>
      <x:c r="AB1381" s="4" t="str">
        <x:v>Coincidencia URL</x:v>
      </x:c>
      <x:c r="AC1381" s="4" t="str">
        <x:v>Publicado hasta septiembre</x:v>
      </x:c>
      <x:c r="AD1381" s="4"/>
      <x:c r="AE1381" s="4"/>
      <x:c r="AF1381" s="16" t="b">
        <x:v>0</x:v>
      </x:c>
    </x:row>
    <x:row r="1382" ht="44" customHeight="1">
      <x:c r="A1382" s="4" t="n">
        <x:v>4966</x:v>
      </x:c>
      <x:c r="B1382" s="4" t="str">
        <x:v>https://blog.skyairline.com/que-hacer-en-calafate/</x:v>
      </x:c>
      <x:c r="C1382" s="9" t="str">
        <x:v>Guía sobre qué hacer en Calafate para no perder ni un minuto</x:v>
      </x:c>
      <x:c r="D1382" s="17" t="d">
        <x:v>2024-09-10T00:00:00.000Z</x:v>
      </x:c>
      <x:c r="E1382" s="17" t="d">
        <x:v>2024-09-10T00:00:00.000Z</x:v>
      </x:c>
      <x:c r="F1382" s="4" t="str">
        <x:v>Destinos</x:v>
      </x:c>
      <x:c r="G1382" s="11" t="n">
        <x:v>1139</x:v>
      </x:c>
      <x:c r="H1382" s="11" t="n">
        <x:v>200</x:v>
      </x:c>
      <x:c r="I1382" s="11" t="n">
        <x:v>1</x:v>
      </x:c>
      <x:c r="J1382" s="4" t="str">
        <x:v>https://blog.skyairline.com/que-hacer-en-calafate/</x:v>
      </x:c>
      <x:c r="K1382" s="16" t="b">
        <x:v>0</x:v>
      </x:c>
      <x:c r="L1382" s="11" t="n">
        <x:v>0</x:v>
      </x:c>
      <x:c r="M1382" s="11" t="n">
        <x:v>3</x:v>
      </x:c>
      <x:c r="N1382" s="4"/>
      <x:c r="O1382" s="4"/>
      <x:c r="P1382" s="11" t="n">
        <x:v>0</x:v>
      </x:c>
      <x:c r="Q1382" s="11" t="n">
        <x:v>0</x:v>
      </x:c>
      <x:c r="R1382" s="11" t="str">
        <x:f>IF(OR(P1382="",Q1382=""),"",Q1382-P1382)</x:f>
      </x:c>
      <x:c r="S1382" s="13" t="str">
        <x:f>IF(OR(P1382="",Q1382="",P1382=0),"",((Q1382/30)/(P1382/31))-1)</x:f>
      </x:c>
      <x:c r="T1382" s="11" t="n">
        <x:v>231</x:v>
      </x:c>
      <x:c r="U1382" s="11" t="n">
        <x:v>250</x:v>
      </x:c>
      <x:c r="V1382" s="14" t="n">
        <x:v>0</x:v>
      </x:c>
      <x:c r="W1382" s="12" t="n">
        <x:v>30.76</x:v>
      </x:c>
      <x:c r="X1382" s="11"/>
      <x:c r="Y1382" s="11"/>
      <x:c r="Z1382" s="4" t="str">
        <x:v>https://blog.skyairline.com/que-hacer-en-calafate/</x:v>
      </x:c>
      <x:c r="AA1382" s="4" t="str">
        <x:v>https://blog.skyairline.com/que-hacer-en-calafate/</x:v>
      </x:c>
      <x:c r="AB1382" s="4" t="str">
        <x:v>Coincidencia URL</x:v>
      </x:c>
      <x:c r="AC1382" s="4" t="str">
        <x:v>Publicado hasta septiembre</x:v>
      </x:c>
      <x:c r="AD1382" s="4"/>
      <x:c r="AE1382" s="4"/>
      <x:c r="AF1382" s="16" t="b">
        <x:v>0</x:v>
      </x:c>
    </x:row>
    <x:row r="1383" ht="44" customHeight="1">
      <x:c r="A1383" s="4" t="n">
        <x:v>4986</x:v>
      </x:c>
      <x:c r="B1383" s="4" t="str">
        <x:v>https://blog.skyairline.com/playas-de-montevideo/</x:v>
      </x:c>
      <x:c r="C1383" s="9" t="str">
        <x:v>Playas de Montevideo: Cuál escoger según tu estilo de viaje</x:v>
      </x:c>
      <x:c r="D1383" s="17" t="d">
        <x:v>2026-06-27T00:00:00.000Z</x:v>
      </x:c>
      <x:c r="E1383" s="17" t="d">
        <x:v>2026-06-25T00:00:00.000Z</x:v>
      </x:c>
      <x:c r="F1383" s="4" t="str">
        <x:v>Destinos</x:v>
      </x:c>
      <x:c r="G1383" s="11" t="n">
        <x:v>1077</x:v>
      </x:c>
      <x:c r="H1383" s="11" t="n">
        <x:v>200</x:v>
      </x:c>
      <x:c r="I1383" s="11" t="n">
        <x:v>1</x:v>
      </x:c>
      <x:c r="J1383" s="4" t="str">
        <x:v>https://blog.skyairline.com/playas-de-montevideo/</x:v>
      </x:c>
      <x:c r="K1383" s="16" t="b">
        <x:v>0</x:v>
      </x:c>
      <x:c r="L1383" s="11" t="n">
        <x:v>0</x:v>
      </x:c>
      <x:c r="M1383" s="11" t="n">
        <x:v>0</x:v>
      </x:c>
      <x:c r="N1383" s="4"/>
      <x:c r="O1383" s="4"/>
      <x:c r="P1383" s="11" t="n">
        <x:v>0</x:v>
      </x:c>
      <x:c r="Q1383" s="11" t="n">
        <x:v>0</x:v>
      </x:c>
      <x:c r="R1383" s="11" t="str">
        <x:f>IF(OR(P1383="",Q1383=""),"",Q1383-P1383)</x:f>
      </x:c>
      <x:c r="S1383" s="13" t="str">
        <x:f>IF(OR(P1383="",Q1383="",P1383=0),"",((Q1383/30)/(P1383/31))-1)</x:f>
      </x:c>
      <x:c r="T1383" s="11" t="n">
        <x:v>353</x:v>
      </x:c>
      <x:c r="U1383" s="11" t="n">
        <x:v>246</x:v>
      </x:c>
      <x:c r="V1383" s="14" t="n">
        <x:v>0</x:v>
      </x:c>
      <x:c r="W1383" s="12" t="n">
        <x:v>31.471544715447155</x:v>
      </x:c>
      <x:c r="X1383" s="11"/>
      <x:c r="Y1383" s="11"/>
      <x:c r="Z1383" s="4" t="str">
        <x:v>https://blog.skyairline.com/playas-de-montevideo/</x:v>
      </x:c>
      <x:c r="AA1383" s="4" t="str">
        <x:v>https://blog.skyairline.com/playas-de-montevideo/</x:v>
      </x:c>
      <x:c r="AB1383" s="4" t="str">
        <x:v>Coincidencia URL</x:v>
      </x:c>
      <x:c r="AC1383" s="4" t="str">
        <x:v>Publicado hasta septiembre</x:v>
      </x:c>
      <x:c r="AD1383" s="4"/>
      <x:c r="AE1383" s="4"/>
      <x:c r="AF1383" s="16" t="b">
        <x:v>0</x:v>
      </x:c>
    </x:row>
    <x:row r="1384" ht="44" customHeight="1">
      <x:c r="A1384" s="4" t="n">
        <x:v>4990</x:v>
      </x:c>
      <x:c r="B1384" s="4" t="str">
        <x:v>https://blog.skyairline.com/que-hacer-en-playa-del-carmen/</x:v>
      </x:c>
      <x:c r="C1384" s="9" t="str">
        <x:v>Descubre qué hacer en Playa Del Carmen</x:v>
      </x:c>
      <x:c r="D1384" s="17" t="d">
        <x:v>2024-09-14T00:00:00.000Z</x:v>
      </x:c>
      <x:c r="E1384" s="17" t="d">
        <x:v>2024-09-14T00:00:00.000Z</x:v>
      </x:c>
      <x:c r="F1384" s="4" t="str">
        <x:v>Destinos</x:v>
      </x:c>
      <x:c r="G1384" s="11" t="n">
        <x:v>1175</x:v>
      </x:c>
      <x:c r="H1384" s="11" t="n">
        <x:v>200</x:v>
      </x:c>
      <x:c r="I1384" s="11" t="n">
        <x:v>1</x:v>
      </x:c>
      <x:c r="J1384" s="4" t="str">
        <x:v>https://blog.skyairline.com/que-hacer-en-playa-del-carmen/</x:v>
      </x:c>
      <x:c r="K1384" s="16" t="b">
        <x:v>0</x:v>
      </x:c>
      <x:c r="L1384" s="11" t="n">
        <x:v>0</x:v>
      </x:c>
      <x:c r="M1384" s="11" t="n">
        <x:v>3</x:v>
      </x:c>
      <x:c r="N1384" s="4"/>
      <x:c r="O1384" s="4"/>
      <x:c r="P1384" s="11" t="n">
        <x:v>0</x:v>
      </x:c>
      <x:c r="Q1384" s="11" t="n">
        <x:v>0</x:v>
      </x:c>
      <x:c r="R1384" s="11" t="str">
        <x:f>IF(OR(P1384="",Q1384=""),"",Q1384-P1384)</x:f>
      </x:c>
      <x:c r="S1384" s="13" t="str">
        <x:f>IF(OR(P1384="",Q1384="",P1384=0),"",((Q1384/30)/(P1384/31))-1)</x:f>
      </x:c>
      <x:c r="T1384" s="11" t="n">
        <x:v>4</x:v>
      </x:c>
      <x:c r="U1384" s="11" t="n">
        <x:v>112</x:v>
      </x:c>
      <x:c r="V1384" s="14" t="n">
        <x:v>0</x:v>
      </x:c>
      <x:c r="W1384" s="12" t="n">
        <x:v>12.4375</x:v>
      </x:c>
      <x:c r="X1384" s="11"/>
      <x:c r="Y1384" s="11"/>
      <x:c r="Z1384" s="4" t="str">
        <x:v>https://blog.skyairline.com/que-hacer-en-playa-del-carmen/</x:v>
      </x:c>
      <x:c r="AA1384" s="4" t="str">
        <x:v>https://blog.skyairline.com/que-hacer-en-playa-del-carmen/</x:v>
      </x:c>
      <x:c r="AB1384" s="4" t="str">
        <x:v>Coincidencia URL</x:v>
      </x:c>
      <x:c r="AC1384" s="4" t="str">
        <x:v>Publicado hasta septiembre</x:v>
      </x:c>
      <x:c r="AD1384" s="4"/>
      <x:c r="AE1384" s="4"/>
      <x:c r="AF1384" s="16" t="b">
        <x:v>0</x:v>
      </x:c>
    </x:row>
    <x:row r="1385" ht="44" customHeight="1">
      <x:c r="A1385" s="4" t="n">
        <x:v>5035</x:v>
      </x:c>
      <x:c r="B1385" s="4" t="str">
        <x:v>https://blog.skyairline.com/belo-horizonte-brasil/</x:v>
      </x:c>
      <x:c r="C1385" s="9" t="str">
        <x:v> Belo Horizonte: la capital tecnológica de Brasil lista para recibirte</x:v>
      </x:c>
      <x:c r="D1385" s="17" t="d">
        <x:v>2025-06-26T00:00:00.000Z</x:v>
      </x:c>
      <x:c r="E1385" s="17" t="d">
        <x:v>2025-12-19T00:00:00.000Z</x:v>
      </x:c>
      <x:c r="F1385" s="4" t="str">
        <x:v>Destinos</x:v>
      </x:c>
      <x:c r="G1385" s="11" t="n">
        <x:v>1338</x:v>
      </x:c>
      <x:c r="H1385" s="11" t="n">
        <x:v>200</x:v>
      </x:c>
      <x:c r="I1385" s="11" t="n">
        <x:v>1</x:v>
      </x:c>
      <x:c r="J1385" s="4" t="str">
        <x:v>https://blog.skyairline.com/belo-horizonte-brasil/</x:v>
      </x:c>
      <x:c r="K1385" s="16" t="b">
        <x:v>0</x:v>
      </x:c>
      <x:c r="L1385" s="11" t="n">
        <x:v>0</x:v>
      </x:c>
      <x:c r="M1385" s="11" t="n">
        <x:v>4</x:v>
      </x:c>
      <x:c r="N1385" s="4"/>
      <x:c r="O1385" s="4"/>
      <x:c r="P1385" s="11" t="n">
        <x:v>4</x:v>
      </x:c>
      <x:c r="Q1385" s="11" t="n">
        <x:v>0</x:v>
      </x:c>
      <x:c r="R1385" s="11" t="str">
        <x:f>IF(OR(P1385="",Q1385=""),"",Q1385-P1385)</x:f>
      </x:c>
      <x:c r="S1385" s="13" t="str">
        <x:f>IF(OR(P1385="",Q1385="",P1385=0),"",((Q1385/30)/(P1385/31))-1)</x:f>
      </x:c>
      <x:c r="T1385" s="11" t="n">
        <x:v>705</x:v>
      </x:c>
      <x:c r="U1385" s="11" t="n">
        <x:v>365</x:v>
      </x:c>
      <x:c r="V1385" s="14" t="n">
        <x:v>0</x:v>
      </x:c>
      <x:c r="W1385" s="12" t="n">
        <x:v>14.386301369863014</x:v>
      </x:c>
      <x:c r="X1385" s="11"/>
      <x:c r="Y1385" s="11"/>
      <x:c r="Z1385" s="4" t="str">
        <x:v>https://blog.skyairline.com/belo-horizonte-brasil/</x:v>
      </x:c>
      <x:c r="AA1385" s="4" t="str">
        <x:v>https://blog.skyairline.com/belo-horizonte-brasil/</x:v>
      </x:c>
      <x:c r="AB1385" s="4" t="str">
        <x:v>Coincidencia URL</x:v>
      </x:c>
      <x:c r="AC1385" s="4" t="str">
        <x:v>Publicado hasta septiembre</x:v>
      </x:c>
      <x:c r="AD1385" s="4"/>
      <x:c r="AE1385" s="4"/>
      <x:c r="AF1385" s="16" t="b">
        <x:v>0</x:v>
      </x:c>
    </x:row>
    <x:row r="1386" ht="44" customHeight="1">
      <x:c r="A1386" s="4" t="n">
        <x:v>5044</x:v>
      </x:c>
      <x:c r="B1386" s="4" t="str">
        <x:v>https://blog.skyairline.com/radiografia-del-pasajero-de-sky-airline/</x:v>
      </x:c>
      <x:c r="C1386" s="9" t="str">
        <x:v>Radiografía del pasajero de SKY Airline: Mujeres fueron las que más viajaron durante el primer semestre de 2024: un 52% de las reservas fueron hechas por ellas:</x:v>
      </x:c>
      <x:c r="D1386" s="17" t="d">
        <x:v>2024-09-30T00:00:00.000Z</x:v>
      </x:c>
      <x:c r="E1386" s="17" t="d">
        <x:v>2024-09-30T00:00:00.000Z</x:v>
      </x:c>
      <x:c r="F1386" s="4" t="str">
        <x:v>Noticias</x:v>
      </x:c>
      <x:c r="G1386" s="11" t="n">
        <x:v>636</x:v>
      </x:c>
      <x:c r="H1386" s="11" t="n">
        <x:v>200</x:v>
      </x:c>
      <x:c r="I1386" s="11" t="n">
        <x:v>1</x:v>
      </x:c>
      <x:c r="J1386" s="4" t="str">
        <x:v>https://blog.skyairline.com/radiografia-del-pasajero-de-sky-airline/</x:v>
      </x:c>
      <x:c r="K1386" s="16" t="b">
        <x:v>0</x:v>
      </x:c>
      <x:c r="L1386" s="11" t="n">
        <x:v>0</x:v>
      </x:c>
      <x:c r="M1386" s="11" t="n">
        <x:v>0</x:v>
      </x:c>
      <x:c r="N1386" s="4"/>
      <x:c r="O1386" s="4"/>
      <x:c r="P1386" s="11" t="n">
        <x:v>0</x:v>
      </x:c>
      <x:c r="Q1386" s="11" t="n">
        <x:v>0</x:v>
      </x:c>
      <x:c r="R1386" s="11" t="str">
        <x:f>IF(OR(P1386="",Q1386=""),"",Q1386-P1386)</x:f>
      </x:c>
      <x:c r="S1386" s="13" t="str">
        <x:f>IF(OR(P1386="",Q1386="",P1386=0),"",((Q1386/30)/(P1386/31))-1)</x:f>
      </x:c>
      <x:c r="T1386" s="11" t="n">
        <x:v>51</x:v>
      </x:c>
      <x:c r="U1386" s="11" t="n">
        <x:v>27</x:v>
      </x:c>
      <x:c r="V1386" s="14" t="n">
        <x:v>0</x:v>
      </x:c>
      <x:c r="W1386" s="12" t="n">
        <x:v>8.62962962962963</x:v>
      </x:c>
      <x:c r="X1386" s="11"/>
      <x:c r="Y1386" s="11"/>
      <x:c r="Z1386" s="4" t="str">
        <x:v>https://blog.skyairline.com/radiografia-del-pasajero-de-sky-airline/</x:v>
      </x:c>
      <x:c r="AA1386" s="4" t="str">
        <x:v>https://blog.skyairline.com/radiografia-del-pasajero-de-sky-airline/</x:v>
      </x:c>
      <x:c r="AB1386" s="4" t="str">
        <x:v>Coincidencia URL</x:v>
      </x:c>
      <x:c r="AC1386" s="4" t="str">
        <x:v>Publicado hasta septiembre</x:v>
      </x:c>
      <x:c r="AD1386" s="4"/>
      <x:c r="AE1386" s="4"/>
      <x:c r="AF1386" s="16" t="b">
        <x:v>0</x:v>
      </x:c>
    </x:row>
    <x:row r="1387" ht="44" customHeight="1">
      <x:c r="A1387" s="4" t="n">
        <x:v>5054</x:v>
      </x:c>
      <x:c r="B1387" s="4" t="str">
        <x:v>https://blog.skyairline.com/sky-se-adelanta-a-este-cyber-monday-con-descuentos-desde-5-990-en-su-campana-sky-sale/</x:v>
      </x:c>
      <x:c r="C1387" s="9" t="str">
        <x:v>SKY se adelanta a este Cyber Monday con descuentos desde $5.990 en su campaña SKY Sale</x:v>
      </x:c>
      <x:c r="D1387" s="17" t="d">
        <x:v>2024-09-28T00:00:00.000Z</x:v>
      </x:c>
      <x:c r="E1387" s="17" t="d">
        <x:v>2024-09-28T00:00:00.000Z</x:v>
      </x:c>
      <x:c r="F1387" s="4" t="str">
        <x:v>Sin categoría</x:v>
      </x:c>
      <x:c r="G1387" s="11" t="n">
        <x:v>648</x:v>
      </x:c>
      <x:c r="H1387" s="11" t="n">
        <x:v>200</x:v>
      </x:c>
      <x:c r="I1387" s="11" t="n">
        <x:v>1</x:v>
      </x:c>
      <x:c r="J1387" s="4" t="str">
        <x:v>https://blog.skyairline.com/sky-se-adelanta-a-este-cyber-monday-con-descuentos-desde-5-990-en-su-campana-sky-sale/</x:v>
      </x:c>
      <x:c r="K1387" s="16" t="b">
        <x:v>0</x:v>
      </x:c>
      <x:c r="L1387" s="11" t="n">
        <x:v>0</x:v>
      </x:c>
      <x:c r="M1387" s="11" t="n">
        <x:v>0</x:v>
      </x:c>
      <x:c r="N1387" s="4"/>
      <x:c r="O1387" s="4"/>
      <x:c r="P1387" s="11" t="n">
        <x:v>0</x:v>
      </x:c>
      <x:c r="Q1387" s="11" t="n">
        <x:v>0</x:v>
      </x:c>
      <x:c r="R1387" s="11" t="str">
        <x:f>IF(OR(P1387="",Q1387=""),"",Q1387-P1387)</x:f>
      </x:c>
      <x:c r="S1387" s="13" t="str">
        <x:f>IF(OR(P1387="",Q1387="",P1387=0),"",((Q1387/30)/(P1387/31))-1)</x:f>
      </x:c>
      <x:c r="T1387" s="11" t="n">
        <x:v>54</x:v>
      </x:c>
      <x:c r="U1387" s="11" t="n">
        <x:v>136</x:v>
      </x:c>
      <x:c r="V1387" s="14" t="n">
        <x:v>0</x:v>
      </x:c>
      <x:c r="W1387" s="12" t="n">
        <x:v>9.286764705882353</x:v>
      </x:c>
      <x:c r="X1387" s="11"/>
      <x:c r="Y1387" s="11"/>
      <x:c r="Z1387" s="4" t="str">
        <x:v>https://blog.skyairline.com/sky-se-adelanta-a-este-cyber-monday-con-descuentos-desde-5-990-en-su-campana-sky-sale/</x:v>
      </x:c>
      <x:c r="AA1387" s="4" t="str">
        <x:v>https://blog.skyairline.com/sky-se-adelanta-a-este-cyber-monday-con-descuentos-desde-5-990-en-su-campana-sky-sale/</x:v>
      </x:c>
      <x:c r="AB1387" s="4" t="str">
        <x:v>Coincidencia URL</x:v>
      </x:c>
      <x:c r="AC1387" s="4" t="str">
        <x:v>Publicado hasta septiembre</x:v>
      </x:c>
      <x:c r="AD1387" s="4"/>
      <x:c r="AE1387" s="4"/>
      <x:c r="AF1387" s="16" t="b">
        <x:v>0</x:v>
      </x:c>
    </x:row>
    <x:row r="1388" ht="44" customHeight="1">
      <x:c r="A1388" s="4" t="n">
        <x:v>5059</x:v>
      </x:c>
      <x:c r="B1388" s="4" t="str">
        <x:v>https://blog.skyairline.com/turismo-gastronomico-los-3-destinos-mas-populares-en-peru/</x:v>
      </x:c>
      <x:c r="C1388" s="9" t="str">
        <x:v>Turismo gastronómico: los 3 destinos más populares en Perú</x:v>
      </x:c>
      <x:c r="D1388" s="17" t="d">
        <x:v>2024-09-30T00:00:00.000Z</x:v>
      </x:c>
      <x:c r="E1388" s="17" t="d">
        <x:v>2024-09-30T00:00:00.000Z</x:v>
      </x:c>
      <x:c r="F1388" s="4" t="str">
        <x:v>Noticias</x:v>
      </x:c>
      <x:c r="G1388" s="11" t="n">
        <x:v>747</x:v>
      </x:c>
      <x:c r="H1388" s="11" t="n">
        <x:v>200</x:v>
      </x:c>
      <x:c r="I1388" s="11" t="n">
        <x:v>1</x:v>
      </x:c>
      <x:c r="J1388" s="4" t="str">
        <x:v>https://blog.skyairline.com/turismo-gastronomico-los-3-destinos-mas-populares-en-peru/</x:v>
      </x:c>
      <x:c r="K1388" s="16" t="b">
        <x:v>0</x:v>
      </x:c>
      <x:c r="L1388" s="11" t="n">
        <x:v>0</x:v>
      </x:c>
      <x:c r="M1388" s="11" t="n">
        <x:v>0</x:v>
      </x:c>
      <x:c r="N1388" s="4"/>
      <x:c r="O1388" s="4"/>
      <x:c r="P1388" s="11" t="n">
        <x:v>0</x:v>
      </x:c>
      <x:c r="Q1388" s="11" t="n">
        <x:v>0</x:v>
      </x:c>
      <x:c r="R1388" s="11" t="str">
        <x:f>IF(OR(P1388="",Q1388=""),"",Q1388-P1388)</x:f>
      </x:c>
      <x:c r="S1388" s="13" t="str">
        <x:f>IF(OR(P1388="",Q1388="",P1388=0),"",((Q1388/30)/(P1388/31))-1)</x:f>
      </x:c>
      <x:c r="T1388" s="11" t="n">
        <x:v>69</x:v>
      </x:c>
      <x:c r="U1388" s="11" t="n">
        <x:v>44</x:v>
      </x:c>
      <x:c r="V1388" s="14" t="n">
        <x:v>0</x:v>
      </x:c>
      <x:c r="W1388" s="12" t="n">
        <x:v>19.931818181818183</x:v>
      </x:c>
      <x:c r="X1388" s="11" t="n">
        <x:v>4</x:v>
      </x:c>
      <x:c r="Y1388" s="11" t="n">
        <x:v>3</x:v>
      </x:c>
      <x:c r="Z1388" s="4" t="str">
        <x:v>https://blog.skyairline.com/turismo-gastronomico-los-3-destinos-mas-populares-en-peru/</x:v>
      </x:c>
      <x:c r="AA1388" s="4" t="str">
        <x:v>https://blog.skyairline.com/turismo-gastronomico-los-3-destinos-mas-populares-en-peru/</x:v>
      </x:c>
      <x:c r="AB1388" s="4" t="str">
        <x:v>Coincidencia URL</x:v>
      </x:c>
      <x:c r="AC1388" s="4" t="str">
        <x:v>Publicado hasta septiembre</x:v>
      </x:c>
      <x:c r="AD1388" s="4" t="str">
        <x:v>/turismo-gastronomico-los-3-destinos-mas-populares-en-peru/</x:v>
      </x:c>
      <x:c r="AE1388" s="4"/>
      <x:c r="AF1388" s="16" t="b">
        <x:v>0</x:v>
      </x:c>
    </x:row>
    <x:row r="1389" ht="44" customHeight="1">
      <x:c r="A1389" s="4" t="n">
        <x:v>5063</x:v>
      </x:c>
      <x:c r="B1389" s="4" t="str">
        <x:v>https://blog.skyairline.com/mas-presencia-femenina-en-la-industria-sky-alcanzo-el-124-de-mujeres-pilotos/</x:v>
      </x:c>
      <x:c r="C1389" s="9" t="str">
        <x:v>Más presencia femenina en la industria: SKY alcanzó el 12,4% de mujeres pilotos</x:v>
      </x:c>
      <x:c r="D1389" s="17" t="d">
        <x:v>2024-09-30T00:00:00.000Z</x:v>
      </x:c>
      <x:c r="E1389" s="17" t="d">
        <x:v>2024-09-30T00:00:00.000Z</x:v>
      </x:c>
      <x:c r="F1389" s="4" t="str">
        <x:v>Compromiso SKY</x:v>
      </x:c>
      <x:c r="G1389" s="11" t="n">
        <x:v>449</x:v>
      </x:c>
      <x:c r="H1389" s="11" t="n">
        <x:v>200</x:v>
      </x:c>
      <x:c r="I1389" s="11" t="n">
        <x:v>1</x:v>
      </x:c>
      <x:c r="J1389" s="4" t="str">
        <x:v>https://blog.skyairline.com/mas-presencia-femenina-en-la-industria-sky-alcanzo-el-124-de-mujeres-pilotos/</x:v>
      </x:c>
      <x:c r="K1389" s="16" t="b">
        <x:v>0</x:v>
      </x:c>
      <x:c r="L1389" s="11" t="n">
        <x:v>0</x:v>
      </x:c>
      <x:c r="M1389" s="11" t="n">
        <x:v>0</x:v>
      </x:c>
      <x:c r="N1389" s="4"/>
      <x:c r="O1389" s="4"/>
      <x:c r="P1389" s="11" t="n">
        <x:v>0</x:v>
      </x:c>
      <x:c r="Q1389" s="11" t="n">
        <x:v>0</x:v>
      </x:c>
      <x:c r="R1389" s="11" t="str">
        <x:f>IF(OR(P1389="",Q1389=""),"",Q1389-P1389)</x:f>
      </x:c>
      <x:c r="S1389" s="13" t="str">
        <x:f>IF(OR(P1389="",Q1389="",P1389=0),"",((Q1389/30)/(P1389/31))-1)</x:f>
      </x:c>
      <x:c r="T1389" s="11" t="n">
        <x:v>100</x:v>
      </x:c>
      <x:c r="U1389" s="11" t="n">
        <x:v>79</x:v>
      </x:c>
      <x:c r="V1389" s="14" t="n">
        <x:v>0</x:v>
      </x:c>
      <x:c r="W1389" s="12" t="n">
        <x:v>36.20253164556962</x:v>
      </x:c>
      <x:c r="X1389" s="11"/>
      <x:c r="Y1389" s="11"/>
      <x:c r="Z1389" s="4" t="str">
        <x:v>https://blog.skyairline.com/mas-presencia-femenina-en-la-industria-sky-alcanzo-el-124-de-mujeres-pilotos/</x:v>
      </x:c>
      <x:c r="AA1389" s="4" t="str">
        <x:v>https://blog.skyairline.com/mas-presencia-femenina-en-la-industria-sky-alcanzo-el-124-de-mujeres-pilotos/</x:v>
      </x:c>
      <x:c r="AB1389" s="4" t="str">
        <x:v>Coincidencia URL</x:v>
      </x:c>
      <x:c r="AC1389" s="4" t="str">
        <x:v>Publicado hasta septiembre</x:v>
      </x:c>
      <x:c r="AD1389" s="4"/>
      <x:c r="AE1389" s="4"/>
      <x:c r="AF1389" s="16" t="b">
        <x:v>0</x:v>
      </x:c>
    </x:row>
    <x:row r="1390" ht="44" customHeight="1">
      <x:c r="A1390" s="4" t="n">
        <x:v>5072</x:v>
      </x:c>
      <x:c r="B1390" s="4" t="str">
        <x:v>https://blog.skyairline.com/radiografia-de-nuestros-pasajeros-chile/</x:v>
      </x:c>
      <x:c r="C1390" s="9" t="str">
        <x:v>Radiografía de nuestros pasajeros: Mujeres fueron las que más viajaron durante el primer semestre de 2024: un 52% de las reservas fueron hechas por ellas</x:v>
      </x:c>
      <x:c r="D1390" s="17" t="d">
        <x:v>2024-10-04T00:00:00.000Z</x:v>
      </x:c>
      <x:c r="E1390" s="17" t="d">
        <x:v>2024-10-04T00:00:00.000Z</x:v>
      </x:c>
      <x:c r="F1390" s="4" t="str">
        <x:v>Sin categoría</x:v>
      </x:c>
      <x:c r="G1390" s="11" t="n">
        <x:v>620</x:v>
      </x:c>
      <x:c r="H1390" s="11" t="n">
        <x:v>200</x:v>
      </x:c>
      <x:c r="I1390" s="11" t="n">
        <x:v>1</x:v>
      </x:c>
      <x:c r="J1390" s="4" t="str">
        <x:v>https://blog.skyairline.com/radiografia-de-nuestros-pasajeros-chile/</x:v>
      </x:c>
      <x:c r="K1390" s="16" t="b">
        <x:v>0</x:v>
      </x:c>
      <x:c r="L1390" s="11" t="n">
        <x:v>0</x:v>
      </x:c>
      <x:c r="M1390" s="11" t="n">
        <x:v>0</x:v>
      </x:c>
      <x:c r="N1390" s="4"/>
      <x:c r="O1390" s="4"/>
      <x:c r="P1390" s="11" t="n">
        <x:v>1</x:v>
      </x:c>
      <x:c r="Q1390" s="11" t="n">
        <x:v>0</x:v>
      </x:c>
      <x:c r="R1390" s="11" t="str">
        <x:f>IF(OR(P1390="",Q1390=""),"",Q1390-P1390)</x:f>
      </x:c>
      <x:c r="S1390" s="13" t="str">
        <x:f>IF(OR(P1390="",Q1390="",P1390=0),"",((Q1390/30)/(P1390/31))-1)</x:f>
      </x:c>
      <x:c r="T1390" s="11" t="n">
        <x:v>10</x:v>
      </x:c>
      <x:c r="U1390" s="11" t="n">
        <x:v>4</x:v>
      </x:c>
      <x:c r="V1390" s="14" t="n">
        <x:v>0</x:v>
      </x:c>
      <x:c r="W1390" s="12" t="n">
        <x:v>5.75</x:v>
      </x:c>
      <x:c r="X1390" s="11"/>
      <x:c r="Y1390" s="11"/>
      <x:c r="Z1390" s="4" t="str">
        <x:v>https://blog.skyairline.com/radiografia-de-nuestros-pasajeros-chile/</x:v>
      </x:c>
      <x:c r="AA1390" s="4" t="str">
        <x:v>https://blog.skyairline.com/radiografia-de-nuestros-pasajeros-chile/</x:v>
      </x:c>
      <x:c r="AB1390" s="4" t="str">
        <x:v>Coincidencia URL</x:v>
      </x:c>
      <x:c r="AC1390" s="4" t="str">
        <x:v>Publicado hasta septiembre</x:v>
      </x:c>
      <x:c r="AD1390" s="4"/>
      <x:c r="AE1390" s="4"/>
      <x:c r="AF1390" s="16" t="b">
        <x:v>0</x:v>
      </x:c>
    </x:row>
    <x:row r="1391" ht="44" customHeight="1">
      <x:c r="A1391" s="4" t="n">
        <x:v>5092</x:v>
      </x:c>
      <x:c r="B1391" s="4" t="str">
        <x:v>https://blog.skyairline.com/castro-chile/</x:v>
      </x:c>
      <x:c r="C1391" s="9" t="str">
        <x:v>Conoce el archipiélago de Chiloé empezando por Castro, Chile</x:v>
      </x:c>
      <x:c r="D1391" s="17" t="d">
        <x:v>2024-10-02T00:00:00.000Z</x:v>
      </x:c>
      <x:c r="E1391" s="17" t="d">
        <x:v>2024-10-02T00:00:00.000Z</x:v>
      </x:c>
      <x:c r="F1391" s="4" t="str">
        <x:v>Destinos</x:v>
      </x:c>
      <x:c r="G1391" s="11" t="n">
        <x:v>1170</x:v>
      </x:c>
      <x:c r="H1391" s="11" t="n">
        <x:v>200</x:v>
      </x:c>
      <x:c r="I1391" s="11" t="n">
        <x:v>1</x:v>
      </x:c>
      <x:c r="J1391" s="4" t="str">
        <x:v>https://blog.skyairline.com/castro-chile/</x:v>
      </x:c>
      <x:c r="K1391" s="16" t="b">
        <x:v>0</x:v>
      </x:c>
      <x:c r="L1391" s="11" t="n">
        <x:v>0</x:v>
      </x:c>
      <x:c r="M1391" s="11" t="n">
        <x:v>3</x:v>
      </x:c>
      <x:c r="N1391" s="4"/>
      <x:c r="O1391" s="4"/>
      <x:c r="P1391" s="11" t="n">
        <x:v>1</x:v>
      </x:c>
      <x:c r="Q1391" s="11" t="n">
        <x:v>0</x:v>
      </x:c>
      <x:c r="R1391" s="11" t="str">
        <x:f>IF(OR(P1391="",Q1391=""),"",Q1391-P1391)</x:f>
      </x:c>
      <x:c r="S1391" s="13" t="str">
        <x:f>IF(OR(P1391="",Q1391="",P1391=0),"",((Q1391/30)/(P1391/31))-1)</x:f>
      </x:c>
      <x:c r="T1391" s="11" t="n">
        <x:v>191</x:v>
      </x:c>
      <x:c r="U1391" s="11" t="n">
        <x:v>110</x:v>
      </x:c>
      <x:c r="V1391" s="14" t="n">
        <x:v>0</x:v>
      </x:c>
      <x:c r="W1391" s="12" t="n">
        <x:v>17.40909090909091</x:v>
      </x:c>
      <x:c r="X1391" s="11"/>
      <x:c r="Y1391" s="11"/>
      <x:c r="Z1391" s="4" t="str">
        <x:v>https://blog.skyairline.com/castro-chile/</x:v>
      </x:c>
      <x:c r="AA1391" s="4" t="str">
        <x:v>https://blog.skyairline.com/castro-chile/</x:v>
      </x:c>
      <x:c r="AB1391" s="4" t="str">
        <x:v>Coincidencia URL</x:v>
      </x:c>
      <x:c r="AC1391" s="4" t="str">
        <x:v>Publicado hasta septiembre</x:v>
      </x:c>
      <x:c r="AD1391" s="4"/>
      <x:c r="AE1391" s="4"/>
      <x:c r="AF1391" s="16" t="b">
        <x:v>0</x:v>
      </x:c>
    </x:row>
    <x:row r="1392" ht="44" customHeight="1">
      <x:c r="A1392" s="4" t="n">
        <x:v>5135</x:v>
      </x:c>
      <x:c r="B1392" s="4" t="str">
        <x:v>https://blog.skyairline.com/parque-arqueologico-pisac/</x:v>
      </x:c>
      <x:c r="C1392" s="9" t="str">
        <x:v>Parque Arqueológico Pisac: guía de viaje</x:v>
      </x:c>
      <x:c r="D1392" s="17" t="d">
        <x:v>2024-10-10T00:00:00.000Z</x:v>
      </x:c>
      <x:c r="E1392" s="17" t="d">
        <x:v>2024-10-10T00:00:00.000Z</x:v>
      </x:c>
      <x:c r="F1392" s="4" t="str">
        <x:v>Destinos</x:v>
      </x:c>
      <x:c r="G1392" s="11" t="n">
        <x:v>1021</x:v>
      </x:c>
      <x:c r="H1392" s="11" t="n">
        <x:v>200</x:v>
      </x:c>
      <x:c r="I1392" s="11" t="n">
        <x:v>1</x:v>
      </x:c>
      <x:c r="J1392" s="4" t="str">
        <x:v>https://blog.skyairline.com/parque-arqueologico-pisac/</x:v>
      </x:c>
      <x:c r="K1392" s="16" t="b">
        <x:v>0</x:v>
      </x:c>
      <x:c r="L1392" s="11" t="n">
        <x:v>0</x:v>
      </x:c>
      <x:c r="M1392" s="11" t="n">
        <x:v>3</x:v>
      </x:c>
      <x:c r="N1392" s="4"/>
      <x:c r="O1392" s="4"/>
      <x:c r="P1392" s="11" t="n">
        <x:v>1</x:v>
      </x:c>
      <x:c r="Q1392" s="11" t="n">
        <x:v>0</x:v>
      </x:c>
      <x:c r="R1392" s="11" t="str">
        <x:f>IF(OR(P1392="",Q1392=""),"",Q1392-P1392)</x:f>
      </x:c>
      <x:c r="S1392" s="13" t="str">
        <x:f>IF(OR(P1392="",Q1392="",P1392=0),"",((Q1392/30)/(P1392/31))-1)</x:f>
      </x:c>
      <x:c r="T1392" s="11" t="n">
        <x:v>88</x:v>
      </x:c>
      <x:c r="U1392" s="11" t="n">
        <x:v>69</x:v>
      </x:c>
      <x:c r="V1392" s="14" t="n">
        <x:v>0</x:v>
      </x:c>
      <x:c r="W1392" s="12" t="n">
        <x:v>15.768115942028986</x:v>
      </x:c>
      <x:c r="X1392" s="11"/>
      <x:c r="Y1392" s="11"/>
      <x:c r="Z1392" s="4" t="str">
        <x:v>https://blog.skyairline.com/parque-arqueologico-pisac/</x:v>
      </x:c>
      <x:c r="AA1392" s="4" t="str">
        <x:v>https://blog.skyairline.com/parque-arqueologico-pisac/</x:v>
      </x:c>
      <x:c r="AB1392" s="4" t="str">
        <x:v>Coincidencia URL</x:v>
      </x:c>
      <x:c r="AC1392" s="4" t="str">
        <x:v>Publicado hasta septiembre</x:v>
      </x:c>
      <x:c r="AD1392" s="4"/>
      <x:c r="AE1392" s="4"/>
      <x:c r="AF1392" s="16" t="b">
        <x:v>0</x:v>
      </x:c>
    </x:row>
    <x:row r="1393" ht="44" customHeight="1">
      <x:c r="A1393" s="4" t="n">
        <x:v>5162</x:v>
      </x:c>
      <x:c r="B1393" s="4" t="str">
        <x:v>https://blog.skyairline.com/bariloche-en-verano/</x:v>
      </x:c>
      <x:c r="C1393" s="9" t="str">
        <x:v>Bariloche en verano: aventuras imperdibles y paisajes de ensueño</x:v>
      </x:c>
      <x:c r="D1393" s="17" t="d">
        <x:v>2024-10-18T00:00:00.000Z</x:v>
      </x:c>
      <x:c r="E1393" s="17" t="d">
        <x:v>2024-10-18T00:00:00.000Z</x:v>
      </x:c>
      <x:c r="F1393" s="4" t="str">
        <x:v>Bariloche, Destinos</x:v>
      </x:c>
      <x:c r="G1393" s="11" t="n">
        <x:v>2234</x:v>
      </x:c>
      <x:c r="H1393" s="11" t="n">
        <x:v>200</x:v>
      </x:c>
      <x:c r="I1393" s="11" t="n">
        <x:v>1</x:v>
      </x:c>
      <x:c r="J1393" s="4" t="str">
        <x:v>https://blog.skyairline.com/bariloche-en-verano/</x:v>
      </x:c>
      <x:c r="K1393" s="16" t="b">
        <x:v>0</x:v>
      </x:c>
      <x:c r="L1393" s="11" t="n">
        <x:v>0</x:v>
      </x:c>
      <x:c r="M1393" s="11" t="n">
        <x:v>3</x:v>
      </x:c>
      <x:c r="N1393" s="4"/>
      <x:c r="O1393" s="4"/>
      <x:c r="P1393" s="11" t="n">
        <x:v>0</x:v>
      </x:c>
      <x:c r="Q1393" s="11" t="n">
        <x:v>0</x:v>
      </x:c>
      <x:c r="R1393" s="11" t="str">
        <x:f>IF(OR(P1393="",Q1393=""),"",Q1393-P1393)</x:f>
      </x:c>
      <x:c r="S1393" s="13" t="str">
        <x:f>IF(OR(P1393="",Q1393="",P1393=0),"",((Q1393/30)/(P1393/31))-1)</x:f>
      </x:c>
      <x:c r="T1393" s="11" t="n">
        <x:v>147</x:v>
      </x:c>
      <x:c r="U1393" s="11" t="n">
        <x:v>96</x:v>
      </x:c>
      <x:c r="V1393" s="14" t="n">
        <x:v>0</x:v>
      </x:c>
      <x:c r="W1393" s="12" t="n">
        <x:v>26.177083333333332</x:v>
      </x:c>
      <x:c r="X1393" s="11"/>
      <x:c r="Y1393" s="11"/>
      <x:c r="Z1393" s="4" t="str">
        <x:v>https://blog.skyairline.com/bariloche-en-verano/</x:v>
      </x:c>
      <x:c r="AA1393" s="4" t="str">
        <x:v>https://blog.skyairline.com/bariloche-en-verano/</x:v>
      </x:c>
      <x:c r="AB1393" s="4" t="str">
        <x:v>Coincidencia URL</x:v>
      </x:c>
      <x:c r="AC1393" s="4" t="str">
        <x:v>Publicado hasta septiembre</x:v>
      </x:c>
      <x:c r="AD1393" s="4"/>
      <x:c r="AE1393" s="4"/>
      <x:c r="AF1393" s="16" t="b">
        <x:v>0</x:v>
      </x:c>
    </x:row>
    <x:row r="1394" ht="44" customHeight="1">
      <x:c r="A1394" s="4" t="n">
        <x:v>5184</x:v>
      </x:c>
      <x:c r="B1394" s="4" t="str">
        <x:v>https://blog.skyairline.com/sky-airline-rompe-record-con-10-millones-de-pasajeros-transportados-en-sus-5-anos-y-medio-en-peru/</x:v>
      </x:c>
      <x:c r="C1394" s="9" t="str">
        <x:v>SKY Airline rompe récord con 10 millones de pasajeros transportados en sus 5 años y medio en Perú</x:v>
      </x:c>
      <x:c r="D1394" s="17" t="d">
        <x:v>2024-10-27T00:00:00.000Z</x:v>
      </x:c>
      <x:c r="E1394" s="17" t="d">
        <x:v>2024-10-27T00:00:00.000Z</x:v>
      </x:c>
      <x:c r="F1394" s="4" t="str">
        <x:v>Noticias</x:v>
      </x:c>
      <x:c r="G1394" s="11" t="n">
        <x:v>512</x:v>
      </x:c>
      <x:c r="H1394" s="11" t="n">
        <x:v>200</x:v>
      </x:c>
      <x:c r="I1394" s="11" t="n">
        <x:v>1</x:v>
      </x:c>
      <x:c r="J1394" s="4" t="str">
        <x:v>https://blog.skyairline.com/sky-airline-rompe-record-con-10-millones-de-pasajeros-transportados-en-sus-5-anos-y-medio-en-peru/</x:v>
      </x:c>
      <x:c r="K1394" s="16" t="b">
        <x:v>0</x:v>
      </x:c>
      <x:c r="L1394" s="11" t="n">
        <x:v>0</x:v>
      </x:c>
      <x:c r="M1394" s="11" t="n">
        <x:v>0</x:v>
      </x:c>
      <x:c r="N1394" s="4"/>
      <x:c r="O1394" s="4"/>
      <x:c r="P1394" s="11" t="n">
        <x:v>1</x:v>
      </x:c>
      <x:c r="Q1394" s="11" t="n">
        <x:v>0</x:v>
      </x:c>
      <x:c r="R1394" s="11" t="str">
        <x:f>IF(OR(P1394="",Q1394=""),"",Q1394-P1394)</x:f>
      </x:c>
      <x:c r="S1394" s="13" t="str">
        <x:f>IF(OR(P1394="",Q1394="",P1394=0),"",((Q1394/30)/(P1394/31))-1)</x:f>
      </x:c>
      <x:c r="T1394" s="11" t="n">
        <x:v>44</x:v>
      </x:c>
      <x:c r="U1394" s="11" t="n">
        <x:v>43</x:v>
      </x:c>
      <x:c r="V1394" s="14" t="n">
        <x:v>0</x:v>
      </x:c>
      <x:c r="W1394" s="12" t="n">
        <x:v>6.186046511627907</x:v>
      </x:c>
      <x:c r="X1394" s="11"/>
      <x:c r="Y1394" s="11"/>
      <x:c r="Z1394" s="4" t="str">
        <x:v>https://blog.skyairline.com/sky-airline-rompe-record-con-10-millones-de-pasajeros-transportados-en-sus-5-anos-y-medio-en-peru/</x:v>
      </x:c>
      <x:c r="AA1394" s="4" t="str">
        <x:v>https://blog.skyairline.com/sky-airline-rompe-record-con-10-millones-de-pasajeros-transportados-en-sus-5-anos-y-medio-en-peru/</x:v>
      </x:c>
      <x:c r="AB1394" s="4" t="str">
        <x:v>Coincidencia URL</x:v>
      </x:c>
      <x:c r="AC1394" s="4" t="str">
        <x:v>Publicado hasta septiembre</x:v>
      </x:c>
      <x:c r="AD1394" s="4"/>
      <x:c r="AE1394" s="4"/>
      <x:c r="AF1394" s="16" t="b">
        <x:v>0</x:v>
      </x:c>
    </x:row>
    <x:row r="1395" ht="44" customHeight="1">
      <x:c r="A1395" s="4" t="n">
        <x:v>5190</x:v>
      </x:c>
      <x:c r="B1395" s="4" t="str">
        <x:v>https://blog.skyairline.com/sky-y-la-liga-contra-el-cancer-unen-fuerzas-para-prevenir-el-cancer-de-mama-en-regiones-de-peru/</x:v>
      </x:c>
      <x:c r="C1395" s="9" t="str">
        <x:v>SKY y la Liga Contra el Cáncer unen fuerzas para prevenir el Cáncer de Mama en regiones de Perú</x:v>
      </x:c>
      <x:c r="D1395" s="17" t="d">
        <x:v>2024-10-26T00:00:00.000Z</x:v>
      </x:c>
      <x:c r="E1395" s="17" t="d">
        <x:v>2024-10-26T00:00:00.000Z</x:v>
      </x:c>
      <x:c r="F1395" s="4" t="str">
        <x:v>Compromiso SKY</x:v>
      </x:c>
      <x:c r="G1395" s="11" t="n">
        <x:v>412</x:v>
      </x:c>
      <x:c r="H1395" s="11" t="n">
        <x:v>200</x:v>
      </x:c>
      <x:c r="I1395" s="11" t="n">
        <x:v>1</x:v>
      </x:c>
      <x:c r="J1395" s="4" t="str">
        <x:v>https://blog.skyairline.com/sky-y-la-liga-contra-el-cancer-unen-fuerzas-para-prevenir-el-cancer-de-mama-en-regiones-de-peru/</x:v>
      </x:c>
      <x:c r="K1395" s="16" t="b">
        <x:v>0</x:v>
      </x:c>
      <x:c r="L1395" s="11" t="n">
        <x:v>0</x:v>
      </x:c>
      <x:c r="M1395" s="11" t="n">
        <x:v>0</x:v>
      </x:c>
      <x:c r="N1395" s="4"/>
      <x:c r="O1395" s="4"/>
      <x:c r="P1395" s="11" t="n">
        <x:v>0</x:v>
      </x:c>
      <x:c r="Q1395" s="11" t="n">
        <x:v>0</x:v>
      </x:c>
      <x:c r="R1395" s="11" t="str">
        <x:f>IF(OR(P1395="",Q1395=""),"",Q1395-P1395)</x:f>
      </x:c>
      <x:c r="S1395" s="13" t="str">
        <x:f>IF(OR(P1395="",Q1395="",P1395=0),"",((Q1395/30)/(P1395/31))-1)</x:f>
      </x:c>
      <x:c r="T1395" s="11" t="n">
        <x:v>2</x:v>
      </x:c>
      <x:c r="U1395" s="11" t="n">
        <x:v>9</x:v>
      </x:c>
      <x:c r="V1395" s="14" t="n">
        <x:v>0</x:v>
      </x:c>
      <x:c r="W1395" s="12" t="n">
        <x:v>5.888888888888889</x:v>
      </x:c>
      <x:c r="X1395" s="11"/>
      <x:c r="Y1395" s="11"/>
      <x:c r="Z1395" s="4" t="str">
        <x:v>https://blog.skyairline.com/sky-y-la-liga-contra-el-cancer-unen-fuerzas-para-prevenir-el-cancer-de-mama-en-regiones-de-peru/</x:v>
      </x:c>
      <x:c r="AA1395" s="4" t="str">
        <x:v>https://blog.skyairline.com/sky-y-la-liga-contra-el-cancer-unen-fuerzas-para-prevenir-el-cancer-de-mama-en-regiones-de-peru/</x:v>
      </x:c>
      <x:c r="AB1395" s="4" t="str">
        <x:v>Coincidencia URL</x:v>
      </x:c>
      <x:c r="AC1395" s="4" t="str">
        <x:v>Publicado hasta septiembre</x:v>
      </x:c>
      <x:c r="AD1395" s="4"/>
      <x:c r="AE1395" s="4"/>
      <x:c r="AF1395" s="16" t="b">
        <x:v>0</x:v>
      </x:c>
    </x:row>
    <x:row r="1396" ht="44" customHeight="1">
      <x:c r="A1396" s="4" t="n">
        <x:v>5202</x:v>
      </x:c>
      <x:c r="B1396" s="4" t="str">
        <x:v>https://blog.skyairline.com/programa-de-fidelidad-de-sky-airline-alcanza-500-mil-usuarios-de-los-cuales-cerca-del-50-son-chilenos/</x:v>
      </x:c>
      <x:c r="C1396" s="9" t="str">
        <x:v>Programa de fidelidad de SKY Airline alcanza 500 mil usuarios, de los cuales cerca del 50% son chilenos</x:v>
      </x:c>
      <x:c r="D1396" s="17" t="d">
        <x:v>2024-11-01T00:00:00.000Z</x:v>
      </x:c>
      <x:c r="E1396" s="17" t="d">
        <x:v>2024-11-01T00:00:00.000Z</x:v>
      </x:c>
      <x:c r="F1396" s="4" t="str">
        <x:v>Sin categoría</x:v>
      </x:c>
      <x:c r="G1396" s="11" t="n">
        <x:v>288</x:v>
      </x:c>
      <x:c r="H1396" s="11" t="n">
        <x:v>200</x:v>
      </x:c>
      <x:c r="I1396" s="11" t="n">
        <x:v>1</x:v>
      </x:c>
      <x:c r="J1396" s="4" t="str">
        <x:v>https://blog.skyairline.com/programa-de-fidelidad-de-sky-airline-alcanza-500-mil-usuarios-de-los-cuales-cerca-del-50-son-chilenos/</x:v>
      </x:c>
      <x:c r="K1396" s="16" t="b">
        <x:v>0</x:v>
      </x:c>
      <x:c r="L1396" s="11" t="n">
        <x:v>0</x:v>
      </x:c>
      <x:c r="M1396" s="11" t="n">
        <x:v>0</x:v>
      </x:c>
      <x:c r="N1396" s="4"/>
      <x:c r="O1396" s="4"/>
      <x:c r="P1396" s="11" t="n">
        <x:v>1</x:v>
      </x:c>
      <x:c r="Q1396" s="11" t="n">
        <x:v>0</x:v>
      </x:c>
      <x:c r="R1396" s="11" t="str">
        <x:f>IF(OR(P1396="",Q1396=""),"",Q1396-P1396)</x:f>
      </x:c>
      <x:c r="S1396" s="13" t="str">
        <x:f>IF(OR(P1396="",Q1396="",P1396=0),"",((Q1396/30)/(P1396/31))-1)</x:f>
      </x:c>
      <x:c r="T1396" s="11" t="n">
        <x:v>260</x:v>
      </x:c>
      <x:c r="U1396" s="11" t="n">
        <x:v>372</x:v>
      </x:c>
      <x:c r="V1396" s="14" t="n">
        <x:v>0</x:v>
      </x:c>
      <x:c r="W1396" s="12" t="n">
        <x:v>11.045698924731182</x:v>
      </x:c>
      <x:c r="X1396" s="11" t="n">
        <x:v>1</x:v>
      </x:c>
      <x:c r="Y1396" s="11" t="n">
        <x:v>1</x:v>
      </x:c>
      <x:c r="Z1396" s="4" t="str">
        <x:v>https://blog.skyairline.com/programa-de-fidelidad-de-sky-airline-alcanza-500-mil-usuarios-de-los-cuales-cerca-del-50-son-chilenos/</x:v>
      </x:c>
      <x:c r="AA1396" s="4" t="str">
        <x:v>https://blog.skyairline.com/programa-de-fidelidad-de-sky-airline-alcanza-500-mil-usuarios-de-los-cuales-cerca-del-50-son-chilenos/</x:v>
      </x:c>
      <x:c r="AB1396" s="4" t="str">
        <x:v>Coincidencia URL</x:v>
      </x:c>
      <x:c r="AC1396" s="4" t="str">
        <x:v>Publicado hasta septiembre</x:v>
      </x:c>
      <x:c r="AD1396" s="4" t="str">
        <x:v>/programa-de-fidelidad-de-sky-airline-alcanza-500-mil-usuarios-de-los-cuales-cerca-del-50-son-chilenos/</x:v>
      </x:c>
      <x:c r="AE1396" s="4"/>
      <x:c r="AF1396" s="16" t="b">
        <x:v>0</x:v>
      </x:c>
    </x:row>
    <x:row r="1397" ht="44" customHeight="1">
      <x:c r="A1397" s="4" t="n">
        <x:v>5212</x:v>
      </x:c>
      <x:c r="B1397" s="4" t="str">
        <x:v>https://blog.skyairline.com/el-viaje-de-la-ranita-de-loa-sky-airline-transporto-a-la-especie-en-peligro-critico-de-extincion-rumbo-a-calama/</x:v>
      </x:c>
      <x:c r="C1397" s="9" t="str">
        <x:v>El viaje de la Ranita de Loa: SKY Airline transportó a la especie en peligro crítico de extinción rumbo a Calama</x:v>
      </x:c>
      <x:c r="D1397" s="17" t="d">
        <x:v>2024-11-03T00:00:00.000Z</x:v>
      </x:c>
      <x:c r="E1397" s="17" t="d">
        <x:v>2024-11-03T00:00:00.000Z</x:v>
      </x:c>
      <x:c r="F1397" s="4" t="str">
        <x:v>Compromiso SKY</x:v>
      </x:c>
      <x:c r="G1397" s="11" t="n">
        <x:v>306</x:v>
      </x:c>
      <x:c r="H1397" s="11" t="n">
        <x:v>200</x:v>
      </x:c>
      <x:c r="I1397" s="11" t="n">
        <x:v>1</x:v>
      </x:c>
      <x:c r="J1397" s="4" t="str">
        <x:v>https://blog.skyairline.com/el-viaje-de-la-ranita-de-loa-sky-airline-transporto-a-la-especie-en-peligro-critico-de-extincion-rumbo-a-calama/</x:v>
      </x:c>
      <x:c r="K1397" s="16" t="b">
        <x:v>0</x:v>
      </x:c>
      <x:c r="L1397" s="11" t="n">
        <x:v>0</x:v>
      </x:c>
      <x:c r="M1397" s="11" t="n">
        <x:v>0</x:v>
      </x:c>
      <x:c r="N1397" s="4"/>
      <x:c r="O1397" s="4"/>
      <x:c r="P1397" s="11" t="n">
        <x:v>0</x:v>
      </x:c>
      <x:c r="Q1397" s="11" t="n">
        <x:v>0</x:v>
      </x:c>
      <x:c r="R1397" s="11" t="str">
        <x:f>IF(OR(P1397="",Q1397=""),"",Q1397-P1397)</x:f>
      </x:c>
      <x:c r="S1397" s="13" t="str">
        <x:f>IF(OR(P1397="",Q1397="",P1397=0),"",((Q1397/30)/(P1397/31))-1)</x:f>
      </x:c>
      <x:c r="T1397" s="11" t="n">
        <x:v>3</x:v>
      </x:c>
      <x:c r="U1397" s="11" t="n">
        <x:v>7</x:v>
      </x:c>
      <x:c r="V1397" s="14" t="n">
        <x:v>0</x:v>
      </x:c>
      <x:c r="W1397" s="12" t="n">
        <x:v>6</x:v>
      </x:c>
      <x:c r="X1397" s="11"/>
      <x:c r="Y1397" s="11"/>
      <x:c r="Z1397" s="4" t="str">
        <x:v>https://blog.skyairline.com/el-viaje-de-la-ranita-de-loa-sky-airline-transporto-a-la-especie-en-peligro-critico-de-extincion-rumbo-a-calama/</x:v>
      </x:c>
      <x:c r="AA1397" s="4" t="str">
        <x:v>https://blog.skyairline.com/el-viaje-de-la-ranita-de-loa-sky-airline-transporto-a-la-especie-en-peligro-critico-de-extincion-rumbo-a-calama/</x:v>
      </x:c>
      <x:c r="AB1397" s="4" t="str">
        <x:v>Coincidencia URL</x:v>
      </x:c>
      <x:c r="AC1397" s="4" t="str">
        <x:v>Publicado hasta septiembre</x:v>
      </x:c>
      <x:c r="AD1397" s="4"/>
      <x:c r="AE1397" s="4"/>
      <x:c r="AF1397" s="16" t="b">
        <x:v>0</x:v>
      </x:c>
    </x:row>
    <x:row r="1398" ht="44" customHeight="1">
      <x:c r="A1398" s="4" t="n">
        <x:v>5258</x:v>
      </x:c>
      <x:c r="B1398" s="4" t="str">
        <x:v>https://blog.skyairline.com/tradiciones-ano-nuevo/</x:v>
      </x:c>
      <x:c r="C1398" s="9" t="str">
        <x:v>Descubre las tradiciones de Año Nuevo para empezar el año con buena energía</x:v>
      </x:c>
      <x:c r="D1398" s="17" t="d">
        <x:v>2024-10-31T00:00:00.000Z</x:v>
      </x:c>
      <x:c r="E1398" s="17" t="d">
        <x:v>2024-10-31T00:00:00.000Z</x:v>
      </x:c>
      <x:c r="F1398" s="4" t="str">
        <x:v>Planificación de Viaje</x:v>
      </x:c>
      <x:c r="G1398" s="11" t="n">
        <x:v>1001</x:v>
      </x:c>
      <x:c r="H1398" s="11" t="n">
        <x:v>200</x:v>
      </x:c>
      <x:c r="I1398" s="11" t="n">
        <x:v>1</x:v>
      </x:c>
      <x:c r="J1398" s="4" t="str">
        <x:v>https://blog.skyairline.com/tradiciones-ano-nuevo/</x:v>
      </x:c>
      <x:c r="K1398" s="16" t="b">
        <x:v>0</x:v>
      </x:c>
      <x:c r="L1398" s="11" t="n">
        <x:v>0</x:v>
      </x:c>
      <x:c r="M1398" s="11" t="n">
        <x:v>3</x:v>
      </x:c>
      <x:c r="N1398" s="4"/>
      <x:c r="O1398" s="4"/>
      <x:c r="P1398" s="11" t="n">
        <x:v>0</x:v>
      </x:c>
      <x:c r="Q1398" s="11" t="n">
        <x:v>0</x:v>
      </x:c>
      <x:c r="R1398" s="11" t="str">
        <x:f>IF(OR(P1398="",Q1398=""),"",Q1398-P1398)</x:f>
      </x:c>
      <x:c r="S1398" s="13" t="str">
        <x:f>IF(OR(P1398="",Q1398="",P1398=0),"",((Q1398/30)/(P1398/31))-1)</x:f>
      </x:c>
      <x:c r="T1398" s="11" t="n">
        <x:v>182</x:v>
      </x:c>
      <x:c r="U1398" s="11" t="n">
        <x:v>112</x:v>
      </x:c>
      <x:c r="V1398" s="14" t="n">
        <x:v>0</x:v>
      </x:c>
      <x:c r="W1398" s="12" t="n">
        <x:v>52.4375</x:v>
      </x:c>
      <x:c r="X1398" s="11"/>
      <x:c r="Y1398" s="11"/>
      <x:c r="Z1398" s="4" t="str">
        <x:v>https://blog.skyairline.com/tradiciones-ano-nuevo/</x:v>
      </x:c>
      <x:c r="AA1398" s="4" t="str">
        <x:v>https://blog.skyairline.com/tradiciones-ano-nuevo/</x:v>
      </x:c>
      <x:c r="AB1398" s="4" t="str">
        <x:v>Coincidencia URL</x:v>
      </x:c>
      <x:c r="AC1398" s="4" t="str">
        <x:v>Publicado hasta septiembre</x:v>
      </x:c>
      <x:c r="AD1398" s="4"/>
      <x:c r="AE1398" s="4"/>
      <x:c r="AF1398" s="16" t="b">
        <x:v>1</x:v>
      </x:c>
    </x:row>
    <x:row r="1399" ht="44" customHeight="1">
      <x:c r="A1399" s="4" t="n">
        <x:v>5262</x:v>
      </x:c>
      <x:c r="B1399" s="4" t="str">
        <x:v>https://blog.skyairline.com/fin-de-ano-en-cancun/</x:v>
      </x:c>
      <x:c r="C1399" s="9" t="str">
        <x:v>Despide el año en Cancún: ¡playa, fiesta y pura diversión!</x:v>
      </x:c>
      <x:c r="D1399" s="17" t="d">
        <x:v>2024-11-01T00:00:00.000Z</x:v>
      </x:c>
      <x:c r="E1399" s="17" t="d">
        <x:v>2024-11-01T00:00:00.000Z</x:v>
      </x:c>
      <x:c r="F1399" s="4" t="str">
        <x:v>Cancún, Destinos</x:v>
      </x:c>
      <x:c r="G1399" s="11" t="n">
        <x:v>996</x:v>
      </x:c>
      <x:c r="H1399" s="11" t="n">
        <x:v>200</x:v>
      </x:c>
      <x:c r="I1399" s="11" t="n">
        <x:v>1</x:v>
      </x:c>
      <x:c r="J1399" s="4" t="str">
        <x:v>https://blog.skyairline.com/fin-de-ano-en-cancun/</x:v>
      </x:c>
      <x:c r="K1399" s="16" t="b">
        <x:v>0</x:v>
      </x:c>
      <x:c r="L1399" s="11" t="n">
        <x:v>0</x:v>
      </x:c>
      <x:c r="M1399" s="11" t="n">
        <x:v>7</x:v>
      </x:c>
      <x:c r="N1399" s="4"/>
      <x:c r="O1399" s="4"/>
      <x:c r="P1399" s="11" t="n">
        <x:v>0</x:v>
      </x:c>
      <x:c r="Q1399" s="11" t="n">
        <x:v>0</x:v>
      </x:c>
      <x:c r="R1399" s="11" t="str">
        <x:f>IF(OR(P1399="",Q1399=""),"",Q1399-P1399)</x:f>
      </x:c>
      <x:c r="S1399" s="13" t="str">
        <x:f>IF(OR(P1399="",Q1399="",P1399=0),"",((Q1399/30)/(P1399/31))-1)</x:f>
      </x:c>
      <x:c r="T1399" s="11" t="n">
        <x:v>40</x:v>
      </x:c>
      <x:c r="U1399" s="11" t="n">
        <x:v>47</x:v>
      </x:c>
      <x:c r="V1399" s="14" t="n">
        <x:v>0</x:v>
      </x:c>
      <x:c r="W1399" s="12" t="n">
        <x:v>18.93617021276596</x:v>
      </x:c>
      <x:c r="X1399" s="11"/>
      <x:c r="Y1399" s="11"/>
      <x:c r="Z1399" s="4" t="str">
        <x:v>https://blog.skyairline.com/fin-de-ano-en-cancun/</x:v>
      </x:c>
      <x:c r="AA1399" s="4" t="str">
        <x:v>https://blog.skyairline.com/fin-de-ano-en-cancun/</x:v>
      </x:c>
      <x:c r="AB1399" s="4" t="str">
        <x:v>Coincidencia URL</x:v>
      </x:c>
      <x:c r="AC1399" s="4" t="str">
        <x:v>Publicado hasta septiembre</x:v>
      </x:c>
      <x:c r="AD1399" s="4"/>
      <x:c r="AE1399" s="4"/>
      <x:c r="AF1399" s="16" t="b">
        <x:v>1</x:v>
      </x:c>
    </x:row>
    <x:row r="1400" ht="44" customHeight="1">
      <x:c r="A1400" s="4" t="n">
        <x:v>5267</x:v>
      </x:c>
      <x:c r="B1400" s="4" t="str">
        <x:v>https://blog.skyairline.com/conciertos-en-diciembre-mexico/</x:v>
      </x:c>
      <x:c r="C1400" s="9" t="str">
        <x:v>Disfruta los mejores conciertos en diciembre en México</x:v>
      </x:c>
      <x:c r="D1400" s="17" t="d">
        <x:v>2024-11-02T00:00:00.000Z</x:v>
      </x:c>
      <x:c r="E1400" s="17" t="d">
        <x:v>2024-11-02T00:00:00.000Z</x:v>
      </x:c>
      <x:c r="F1400" s="4" t="str">
        <x:v>Cancún</x:v>
      </x:c>
      <x:c r="G1400" s="11" t="n">
        <x:v>1021</x:v>
      </x:c>
      <x:c r="H1400" s="11" t="n">
        <x:v>200</x:v>
      </x:c>
      <x:c r="I1400" s="11" t="n">
        <x:v>1</x:v>
      </x:c>
      <x:c r="J1400" s="4" t="str">
        <x:v>https://blog.skyairline.com/conciertos-en-diciembre-mexico/</x:v>
      </x:c>
      <x:c r="K1400" s="16" t="b">
        <x:v>0</x:v>
      </x:c>
      <x:c r="L1400" s="11" t="n">
        <x:v>0</x:v>
      </x:c>
      <x:c r="M1400" s="11" t="n">
        <x:v>3</x:v>
      </x:c>
      <x:c r="N1400" s="4"/>
      <x:c r="O1400" s="4"/>
      <x:c r="P1400" s="11" t="n">
        <x:v>0</x:v>
      </x:c>
      <x:c r="Q1400" s="11" t="n">
        <x:v>0</x:v>
      </x:c>
      <x:c r="R1400" s="11" t="str">
        <x:f>IF(OR(P1400="",Q1400=""),"",Q1400-P1400)</x:f>
      </x:c>
      <x:c r="S1400" s="13" t="str">
        <x:f>IF(OR(P1400="",Q1400="",P1400=0),"",((Q1400/30)/(P1400/31))-1)</x:f>
      </x:c>
      <x:c r="T1400" s="11" t="n">
        <x:v>23</x:v>
      </x:c>
      <x:c r="U1400" s="11" t="n">
        <x:v>18</x:v>
      </x:c>
      <x:c r="V1400" s="14" t="n">
        <x:v>0</x:v>
      </x:c>
      <x:c r="W1400" s="12" t="n">
        <x:v>11.833333333333334</x:v>
      </x:c>
      <x:c r="X1400" s="11"/>
      <x:c r="Y1400" s="11"/>
      <x:c r="Z1400" s="4" t="str">
        <x:v>https://blog.skyairline.com/conciertos-en-diciembre-mexico/</x:v>
      </x:c>
      <x:c r="AA1400" s="4" t="str">
        <x:v>https://blog.skyairline.com/conciertos-en-diciembre-mexico/</x:v>
      </x:c>
      <x:c r="AB1400" s="4" t="str">
        <x:v>Coincidencia URL</x:v>
      </x:c>
      <x:c r="AC1400" s="4" t="str">
        <x:v>Publicado hasta septiembre</x:v>
      </x:c>
      <x:c r="AD1400" s="4"/>
      <x:c r="AE1400" s="4"/>
      <x:c r="AF1400" s="16" t="b">
        <x:v>0</x:v>
      </x:c>
    </x:row>
    <x:row r="1401" ht="44" customHeight="1">
      <x:c r="A1401" s="4" t="n">
        <x:v>5276</x:v>
      </x:c>
      <x:c r="B1401" s="4" t="str">
        <x:v>https://blog.skyairline.com/museos-santiago/</x:v>
      </x:c>
      <x:c r="C1401" s="9" t="str">
        <x:v>Museos en Santiago que debes conocer</x:v>
      </x:c>
      <x:c r="D1401" s="17" t="d">
        <x:v>2024-11-05T00:00:00.000Z</x:v>
      </x:c>
      <x:c r="E1401" s="17" t="d">
        <x:v>2024-11-05T00:00:00.000Z</x:v>
      </x:c>
      <x:c r="F1401" s="4" t="str">
        <x:v>Destinos, Planificación de Viaje</x:v>
      </x:c>
      <x:c r="G1401" s="11" t="n">
        <x:v>1143</x:v>
      </x:c>
      <x:c r="H1401" s="11" t="n">
        <x:v>200</x:v>
      </x:c>
      <x:c r="I1401" s="11" t="n">
        <x:v>1</x:v>
      </x:c>
      <x:c r="J1401" s="4" t="str">
        <x:v>https://blog.skyairline.com/museos-santiago/</x:v>
      </x:c>
      <x:c r="K1401" s="16" t="b">
        <x:v>0</x:v>
      </x:c>
      <x:c r="L1401" s="11" t="n">
        <x:v>0</x:v>
      </x:c>
      <x:c r="M1401" s="11" t="n">
        <x:v>3</x:v>
      </x:c>
      <x:c r="N1401" s="4"/>
      <x:c r="O1401" s="4"/>
      <x:c r="P1401" s="11" t="n">
        <x:v>0</x:v>
      </x:c>
      <x:c r="Q1401" s="11" t="n">
        <x:v>0</x:v>
      </x:c>
      <x:c r="R1401" s="11" t="str">
        <x:f>IF(OR(P1401="",Q1401=""),"",Q1401-P1401)</x:f>
      </x:c>
      <x:c r="S1401" s="13" t="str">
        <x:f>IF(OR(P1401="",Q1401="",P1401=0),"",((Q1401/30)/(P1401/31))-1)</x:f>
      </x:c>
      <x:c r="T1401" s="11" t="n">
        <x:v>22</x:v>
      </x:c>
      <x:c r="U1401" s="11" t="n">
        <x:v>36</x:v>
      </x:c>
      <x:c r="V1401" s="14" t="n">
        <x:v>0</x:v>
      </x:c>
      <x:c r="W1401" s="12" t="n">
        <x:v>13.805555555555555</x:v>
      </x:c>
      <x:c r="X1401" s="11"/>
      <x:c r="Y1401" s="11"/>
      <x:c r="Z1401" s="4" t="str">
        <x:v>https://blog.skyairline.com/museos-santiago/</x:v>
      </x:c>
      <x:c r="AA1401" s="4" t="str">
        <x:v>https://blog.skyairline.com/museos-santiago/</x:v>
      </x:c>
      <x:c r="AB1401" s="4" t="str">
        <x:v>Coincidencia URL</x:v>
      </x:c>
      <x:c r="AC1401" s="4" t="str">
        <x:v>Publicado hasta septiembre</x:v>
      </x:c>
      <x:c r="AD1401" s="4"/>
      <x:c r="AE1401" s="4"/>
      <x:c r="AF1401" s="16" t="b">
        <x:v>0</x:v>
      </x:c>
    </x:row>
    <x:row r="1402" ht="44" customHeight="1">
      <x:c r="A1402" s="4" t="n">
        <x:v>5294</x:v>
      </x:c>
      <x:c r="B1402" s="4" t="str">
        <x:v>https://blog.skyairline.com/turismo-vivencial/</x:v>
      </x:c>
      <x:c r="C1402" s="9" t="str">
        <x:v>Turismo vivencial en Perú</x:v>
      </x:c>
      <x:c r="D1402" s="17" t="d">
        <x:v>2025-12-15T00:00:00.000Z</x:v>
      </x:c>
      <x:c r="E1402" s="17" t="d">
        <x:v>2025-12-15T00:00:00.000Z</x:v>
      </x:c>
      <x:c r="F1402" s="4" t="str">
        <x:v>Destinos</x:v>
      </x:c>
      <x:c r="G1402" s="11" t="n">
        <x:v>1063</x:v>
      </x:c>
      <x:c r="H1402" s="11" t="n">
        <x:v>200</x:v>
      </x:c>
      <x:c r="I1402" s="11" t="n">
        <x:v>1</x:v>
      </x:c>
      <x:c r="J1402" s="4" t="str">
        <x:v>https://blog.skyairline.com/turismo-vivencial/</x:v>
      </x:c>
      <x:c r="K1402" s="16" t="b">
        <x:v>0</x:v>
      </x:c>
      <x:c r="L1402" s="11" t="n">
        <x:v>0</x:v>
      </x:c>
      <x:c r="M1402" s="11" t="n">
        <x:v>0</x:v>
      </x:c>
      <x:c r="N1402" s="4"/>
      <x:c r="O1402" s="4"/>
      <x:c r="P1402" s="11" t="n">
        <x:v>0</x:v>
      </x:c>
      <x:c r="Q1402" s="11" t="n">
        <x:v>0</x:v>
      </x:c>
      <x:c r="R1402" s="11" t="str">
        <x:f>IF(OR(P1402="",Q1402=""),"",Q1402-P1402)</x:f>
      </x:c>
      <x:c r="S1402" s="13" t="str">
        <x:f>IF(OR(P1402="",Q1402="",P1402=0),"",((Q1402/30)/(P1402/31))-1)</x:f>
      </x:c>
      <x:c r="T1402" s="11" t="n">
        <x:v>27</x:v>
      </x:c>
      <x:c r="U1402" s="11" t="n">
        <x:v>14</x:v>
      </x:c>
      <x:c r="V1402" s="14" t="n">
        <x:v>0</x:v>
      </x:c>
      <x:c r="W1402" s="12" t="n">
        <x:v>11.071428571428571</x:v>
      </x:c>
      <x:c r="X1402" s="11"/>
      <x:c r="Y1402" s="11"/>
      <x:c r="Z1402" s="4" t="str">
        <x:v>https://blog.skyairline.com/turismo-vivencial/</x:v>
      </x:c>
      <x:c r="AA1402" s="4" t="str">
        <x:v>https://blog.skyairline.com/turismo-vivencial/</x:v>
      </x:c>
      <x:c r="AB1402" s="4" t="str">
        <x:v>Coincidencia URL</x:v>
      </x:c>
      <x:c r="AC1402" s="4" t="str">
        <x:v>Publicado hasta septiembre</x:v>
      </x:c>
      <x:c r="AD1402" s="4"/>
      <x:c r="AE1402" s="4"/>
      <x:c r="AF1402" s="16" t="b">
        <x:v>0</x:v>
      </x:c>
    </x:row>
    <x:row r="1403" ht="44" customHeight="1">
      <x:c r="A1403" s="4" t="n">
        <x:v>5297</x:v>
      </x:c>
      <x:c r="B1403" s="4" t="str">
        <x:v>https://blog.skyairline.com/tampa-que-hacer/</x:v>
      </x:c>
      <x:c r="C1403" s="9" t="str">
        <x:v>Descubre qué hacer en Tampa ¡Actividades para todos los gustos!</x:v>
      </x:c>
      <x:c r="D1403" s="17" t="d">
        <x:v>2024-11-08T00:00:00.000Z</x:v>
      </x:c>
      <x:c r="E1403" s="17" t="d">
        <x:v>2024-11-08T00:00:00.000Z</x:v>
      </x:c>
      <x:c r="F1403" s="4" t="str">
        <x:v>Sin categoría</x:v>
      </x:c>
      <x:c r="G1403" s="11" t="n">
        <x:v>1009</x:v>
      </x:c>
      <x:c r="H1403" s="11" t="n">
        <x:v>200</x:v>
      </x:c>
      <x:c r="I1403" s="11" t="n">
        <x:v>1</x:v>
      </x:c>
      <x:c r="J1403" s="4" t="str">
        <x:v>https://blog.skyairline.com/tampa-que-hacer/</x:v>
      </x:c>
      <x:c r="K1403" s="16" t="b">
        <x:v>0</x:v>
      </x:c>
      <x:c r="L1403" s="11" t="n">
        <x:v>0</x:v>
      </x:c>
      <x:c r="M1403" s="11" t="n">
        <x:v>3</x:v>
      </x:c>
      <x:c r="N1403" s="4"/>
      <x:c r="O1403" s="4"/>
      <x:c r="P1403" s="11" t="n">
        <x:v>1</x:v>
      </x:c>
      <x:c r="Q1403" s="11" t="n">
        <x:v>0</x:v>
      </x:c>
      <x:c r="R1403" s="11" t="str">
        <x:f>IF(OR(P1403="",Q1403=""),"",Q1403-P1403)</x:f>
      </x:c>
      <x:c r="S1403" s="13" t="str">
        <x:f>IF(OR(P1403="",Q1403="",P1403=0),"",((Q1403/30)/(P1403/31))-1)</x:f>
      </x:c>
      <x:c r="T1403" s="11" t="n">
        <x:v>106</x:v>
      </x:c>
      <x:c r="U1403" s="11" t="n">
        <x:v>175</x:v>
      </x:c>
      <x:c r="V1403" s="14" t="n">
        <x:v>0</x:v>
      </x:c>
      <x:c r="W1403" s="12" t="n">
        <x:v>31.17142857142857</x:v>
      </x:c>
      <x:c r="X1403" s="11"/>
      <x:c r="Y1403" s="11"/>
      <x:c r="Z1403" s="4" t="str">
        <x:v>https://blog.skyairline.com/tampa-que-hacer/</x:v>
      </x:c>
      <x:c r="AA1403" s="4" t="str">
        <x:v>https://blog.skyairline.com/tampa-que-hacer/</x:v>
      </x:c>
      <x:c r="AB1403" s="4" t="str">
        <x:v>Coincidencia URL</x:v>
      </x:c>
      <x:c r="AC1403" s="4" t="str">
        <x:v>Publicado hasta septiembre</x:v>
      </x:c>
      <x:c r="AD1403" s="4"/>
      <x:c r="AE1403" s="4"/>
      <x:c r="AF1403" s="16" t="b">
        <x:v>0</x:v>
      </x:c>
    </x:row>
    <x:row r="1404" ht="44" customHeight="1">
      <x:c r="A1404" s="4" t="n">
        <x:v>5390</x:v>
      </x:c>
      <x:c r="B1404" s="4" t="str">
        <x:v>https://blog.skyairline.com/glamping-buenos-aires/</x:v>
      </x:c>
      <x:c r="C1404" s="9" t="str">
        <x:v>Glamping en Buenos Aires: disfrutar la naturaleza con lujo</x:v>
      </x:c>
      <x:c r="D1404" s="17" t="d">
        <x:v>2024-11-29T00:00:00.000Z</x:v>
      </x:c>
      <x:c r="E1404" s="17" t="d">
        <x:v>2024-11-29T00:00:00.000Z</x:v>
      </x:c>
      <x:c r="F1404" s="4" t="str">
        <x:v>Buenos Aires, Destinos</x:v>
      </x:c>
      <x:c r="G1404" s="11" t="n">
        <x:v>1261</x:v>
      </x:c>
      <x:c r="H1404" s="11" t="n">
        <x:v>200</x:v>
      </x:c>
      <x:c r="I1404" s="11" t="n">
        <x:v>1</x:v>
      </x:c>
      <x:c r="J1404" s="4" t="str">
        <x:v>https://blog.skyairline.com/glamping-buenos-aires/</x:v>
      </x:c>
      <x:c r="K1404" s="16" t="b">
        <x:v>0</x:v>
      </x:c>
      <x:c r="L1404" s="11" t="n">
        <x:v>0</x:v>
      </x:c>
      <x:c r="M1404" s="11" t="n">
        <x:v>3</x:v>
      </x:c>
      <x:c r="N1404" s="4"/>
      <x:c r="O1404" s="4"/>
      <x:c r="P1404" s="11" t="n">
        <x:v>0</x:v>
      </x:c>
      <x:c r="Q1404" s="11" t="n">
        <x:v>0</x:v>
      </x:c>
      <x:c r="R1404" s="11" t="str">
        <x:f>IF(OR(P1404="",Q1404=""),"",Q1404-P1404)</x:f>
      </x:c>
      <x:c r="S1404" s="13" t="str">
        <x:f>IF(OR(P1404="",Q1404="",P1404=0),"",((Q1404/30)/(P1404/31))-1)</x:f>
      </x:c>
      <x:c r="T1404" s="11" t="n">
        <x:v>3</x:v>
      </x:c>
      <x:c r="U1404" s="11" t="n">
        <x:v>4</x:v>
      </x:c>
      <x:c r="V1404" s="14" t="n">
        <x:v>0</x:v>
      </x:c>
      <x:c r="W1404" s="12" t="n">
        <x:v>16.25</x:v>
      </x:c>
      <x:c r="X1404" s="11"/>
      <x:c r="Y1404" s="11"/>
      <x:c r="Z1404" s="4" t="str">
        <x:v>https://blog.skyairline.com/glamping-buenos-aires/</x:v>
      </x:c>
      <x:c r="AA1404" s="4" t="str">
        <x:v>https://blog.skyairline.com/glamping-buenos-aires/</x:v>
      </x:c>
      <x:c r="AB1404" s="4" t="str">
        <x:v>Coincidencia URL</x:v>
      </x:c>
      <x:c r="AC1404" s="4" t="str">
        <x:v>Publicado hasta septiembre</x:v>
      </x:c>
      <x:c r="AD1404" s="4"/>
      <x:c r="AE1404" s="4"/>
      <x:c r="AF1404" s="16" t="b">
        <x:v>0</x:v>
      </x:c>
    </x:row>
    <x:row r="1405" ht="44" customHeight="1">
      <x:c r="A1405" s="4" t="n">
        <x:v>5394</x:v>
      </x:c>
      <x:c r="B1405" s="4" t="str">
        <x:v>https://blog.skyairline.com/ruta-de-los-7-lagos/</x:v>
      </x:c>
      <x:c r="C1405" s="9" t="str">
        <x:v>Guía completa de la Ruta de los 7 lagos en la Patagonia argentina</x:v>
      </x:c>
      <x:c r="D1405" s="17" t="d">
        <x:v>2024-11-30T00:00:00.000Z</x:v>
      </x:c>
      <x:c r="E1405" s="17" t="d">
        <x:v>2024-11-30T00:00:00.000Z</x:v>
      </x:c>
      <x:c r="F1405" s="4" t="str">
        <x:v>Bariloche, Destinos</x:v>
      </x:c>
      <x:c r="G1405" s="11" t="n">
        <x:v>2114</x:v>
      </x:c>
      <x:c r="H1405" s="11" t="n">
        <x:v>200</x:v>
      </x:c>
      <x:c r="I1405" s="11" t="n">
        <x:v>1</x:v>
      </x:c>
      <x:c r="J1405" s="4" t="str">
        <x:v>https://blog.skyairline.com/ruta-de-los-7-lagos/</x:v>
      </x:c>
      <x:c r="K1405" s="16" t="b">
        <x:v>0</x:v>
      </x:c>
      <x:c r="L1405" s="11" t="n">
        <x:v>0</x:v>
      </x:c>
      <x:c r="M1405" s="11" t="n">
        <x:v>3</x:v>
      </x:c>
      <x:c r="N1405" s="4"/>
      <x:c r="O1405" s="4"/>
      <x:c r="P1405" s="11" t="n">
        <x:v>3</x:v>
      </x:c>
      <x:c r="Q1405" s="11" t="n">
        <x:v>0</x:v>
      </x:c>
      <x:c r="R1405" s="11" t="str">
        <x:f>IF(OR(P1405="",Q1405=""),"",Q1405-P1405)</x:f>
      </x:c>
      <x:c r="S1405" s="13" t="str">
        <x:f>IF(OR(P1405="",Q1405="",P1405=0),"",((Q1405/30)/(P1405/31))-1)</x:f>
      </x:c>
      <x:c r="T1405" s="11" t="n">
        <x:v>652</x:v>
      </x:c>
      <x:c r="U1405" s="11" t="n">
        <x:v>580</x:v>
      </x:c>
      <x:c r="V1405" s="14" t="n">
        <x:v>0</x:v>
      </x:c>
      <x:c r="W1405" s="12" t="n">
        <x:v>16.656896551724138</x:v>
      </x:c>
      <x:c r="X1405" s="11" t="n">
        <x:v>1</x:v>
      </x:c>
      <x:c r="Y1405" s="11" t="n">
        <x:v>1</x:v>
      </x:c>
      <x:c r="Z1405" s="4" t="str">
        <x:v>https://blog.skyairline.com/ruta-de-los-7-lagos/</x:v>
      </x:c>
      <x:c r="AA1405" s="4" t="str">
        <x:v>https://blog.skyairline.com/ruta-de-los-7-lagos/</x:v>
      </x:c>
      <x:c r="AB1405" s="4" t="str">
        <x:v>Coincidencia URL</x:v>
      </x:c>
      <x:c r="AC1405" s="4" t="str">
        <x:v>Publicado hasta septiembre</x:v>
      </x:c>
      <x:c r="AD1405" s="4" t="str">
        <x:v>/ruta-de-los-7-lagos/</x:v>
      </x:c>
      <x:c r="AE1405" s="4"/>
      <x:c r="AF1405" s="16" t="b">
        <x:v>0</x:v>
      </x:c>
    </x:row>
    <x:row r="1406" ht="44" customHeight="1">
      <x:c r="A1406" s="4" t="n">
        <x:v>5407</x:v>
      </x:c>
      <x:c r="B1406" s="4" t="str">
        <x:v>https://blog.skyairline.com/peru-sky-airline-proyecta-mas-de-206-mil-viajeros-para-las-fiestas-de-fin-de-ano/</x:v>
      </x:c>
      <x:c r="C1406" s="9" t="str">
        <x:v>Perú: SKY Airline proyecta más de 206 mil viajeros para las fiestas de fin de año</x:v>
      </x:c>
      <x:c r="D1406" s="17" t="d">
        <x:v>2024-12-04T00:00:00.000Z</x:v>
      </x:c>
      <x:c r="E1406" s="17" t="d">
        <x:v>2024-12-04T00:00:00.000Z</x:v>
      </x:c>
      <x:c r="F1406" s="4" t="str">
        <x:v>Sin categoría</x:v>
      </x:c>
      <x:c r="G1406" s="11" t="n">
        <x:v>665</x:v>
      </x:c>
      <x:c r="H1406" s="11" t="n">
        <x:v>200</x:v>
      </x:c>
      <x:c r="I1406" s="11" t="n">
        <x:v>1</x:v>
      </x:c>
      <x:c r="J1406" s="4" t="str">
        <x:v>https://blog.skyairline.com/peru-sky-airline-proyecta-mas-de-206-mil-viajeros-para-las-fiestas-de-fin-de-ano/</x:v>
      </x:c>
      <x:c r="K1406" s="16" t="b">
        <x:v>0</x:v>
      </x:c>
      <x:c r="L1406" s="11" t="n">
        <x:v>0</x:v>
      </x:c>
      <x:c r="M1406" s="11" t="n">
        <x:v>0</x:v>
      </x:c>
      <x:c r="N1406" s="4"/>
      <x:c r="O1406" s="4"/>
      <x:c r="P1406" s="11" t="n">
        <x:v>0</x:v>
      </x:c>
      <x:c r="Q1406" s="11" t="n">
        <x:v>0</x:v>
      </x:c>
      <x:c r="R1406" s="11" t="str">
        <x:f>IF(OR(P1406="",Q1406=""),"",Q1406-P1406)</x:f>
      </x:c>
      <x:c r="S1406" s="13" t="str">
        <x:f>IF(OR(P1406="",Q1406="",P1406=0),"",((Q1406/30)/(P1406/31))-1)</x:f>
      </x:c>
      <x:c r="T1406" s="11" t="n">
        <x:v>14</x:v>
      </x:c>
      <x:c r="U1406" s="11" t="n">
        <x:v>13</x:v>
      </x:c>
      <x:c r="V1406" s="14" t="n">
        <x:v>0</x:v>
      </x:c>
      <x:c r="W1406" s="12" t="n">
        <x:v>5.461538461538462</x:v>
      </x:c>
      <x:c r="X1406" s="11"/>
      <x:c r="Y1406" s="11"/>
      <x:c r="Z1406" s="4" t="str">
        <x:v>https://blog.skyairline.com/peru-sky-airline-proyecta-mas-de-206-mil-viajeros-para-las-fiestas-de-fin-de-ano/</x:v>
      </x:c>
      <x:c r="AA1406" s="4" t="str">
        <x:v>https://blog.skyairline.com/peru-sky-airline-proyecta-mas-de-206-mil-viajeros-para-las-fiestas-de-fin-de-ano/</x:v>
      </x:c>
      <x:c r="AB1406" s="4" t="str">
        <x:v>Coincidencia URL</x:v>
      </x:c>
      <x:c r="AC1406" s="4" t="str">
        <x:v>Publicado hasta septiembre</x:v>
      </x:c>
      <x:c r="AD1406" s="4"/>
      <x:c r="AE1406" s="4"/>
      <x:c r="AF1406" s="16" t="b">
        <x:v>0</x:v>
      </x:c>
    </x:row>
    <x:row r="1407" ht="44" customHeight="1">
      <x:c r="A1407" s="4" t="n">
        <x:v>5412</x:v>
      </x:c>
      <x:c r="B1407" s="4" t="str">
        <x:v>https://blog.skyairline.com/sky-airline-consigue-nuevamente/</x:v>
      </x:c>
      <x:c r="C1407" s="9" t="str">
        <x:v>SKY Airline consigue nuevamente la máxima calificación en seguridad operacional</x:v>
      </x:c>
      <x:c r="D1407" s="17" t="d">
        <x:v>2024-12-05T00:00:00.000Z</x:v>
      </x:c>
      <x:c r="E1407" s="17" t="d">
        <x:v>2024-12-05T00:00:00.000Z</x:v>
      </x:c>
      <x:c r="F1407" s="4" t="str">
        <x:v>Sin categoría</x:v>
      </x:c>
      <x:c r="G1407" s="11" t="n">
        <x:v>390</x:v>
      </x:c>
      <x:c r="H1407" s="11" t="n">
        <x:v>200</x:v>
      </x:c>
      <x:c r="I1407" s="11" t="n">
        <x:v>1</x:v>
      </x:c>
      <x:c r="J1407" s="4" t="str">
        <x:v>https://blog.skyairline.com/sky-airline-consigue-nuevamente/</x:v>
      </x:c>
      <x:c r="K1407" s="16" t="b">
        <x:v>0</x:v>
      </x:c>
      <x:c r="L1407" s="11" t="n">
        <x:v>0</x:v>
      </x:c>
      <x:c r="M1407" s="11" t="n">
        <x:v>0</x:v>
      </x:c>
      <x:c r="N1407" s="4" t="str">
        <x:v>T09</x:v>
      </x:c>
      <x:c r="O1407" s="4"/>
      <x:c r="P1407" s="11" t="n">
        <x:v>0</x:v>
      </x:c>
      <x:c r="Q1407" s="11" t="n">
        <x:v>0</x:v>
      </x:c>
      <x:c r="R1407" s="11" t="str">
        <x:f>IF(OR(P1407="",Q1407=""),"",Q1407-P1407)</x:f>
      </x:c>
      <x:c r="S1407" s="13" t="str">
        <x:f>IF(OR(P1407="",Q1407="",P1407=0),"",((Q1407/30)/(P1407/31))-1)</x:f>
      </x:c>
      <x:c r="T1407" s="11" t="n">
        <x:v>70</x:v>
      </x:c>
      <x:c r="U1407" s="11" t="n">
        <x:v>117</x:v>
      </x:c>
      <x:c r="V1407" s="14" t="n">
        <x:v>0</x:v>
      </x:c>
      <x:c r="W1407" s="12" t="n">
        <x:v>4.965811965811966</x:v>
      </x:c>
      <x:c r="X1407" s="11"/>
      <x:c r="Y1407" s="11"/>
      <x:c r="Z1407" s="4" t="str">
        <x:v>https://blog.skyairline.com/sky-airline-consigue-nuevamente/</x:v>
      </x:c>
      <x:c r="AA1407" s="4" t="str">
        <x:v>https://blog.skyairline.com/sky-airline-consigue-nuevamente/</x:v>
      </x:c>
      <x:c r="AB1407" s="4" t="str">
        <x:v>Coincidencia URL</x:v>
      </x:c>
      <x:c r="AC1407" s="4" t="str">
        <x:v>Publicado hasta septiembre</x:v>
      </x:c>
      <x:c r="AD1407" s="4"/>
      <x:c r="AE1407" s="4"/>
      <x:c r="AF1407" s="16" t="b">
        <x:v>0</x:v>
      </x:c>
    </x:row>
    <x:row r="1408" ht="44" customHeight="1">
      <x:c r="A1408" s="4" t="n">
        <x:v>5416</x:v>
      </x:c>
      <x:c r="B1408" s="4" t="str">
        <x:v>https://blog.skyairline.com/sky-y-promperu-se-unen-para-impulsar-el-turismo-peruano/</x:v>
      </x:c>
      <x:c r="C1408" s="9" t="str">
        <x:v>SKY y PROMPERÚ se unen para impulsar el turismo peruano</x:v>
      </x:c>
      <x:c r="D1408" s="17" t="d">
        <x:v>2024-12-05T00:00:00.000Z</x:v>
      </x:c>
      <x:c r="E1408" s="17" t="d">
        <x:v>2024-12-05T00:00:00.000Z</x:v>
      </x:c>
      <x:c r="F1408" s="4" t="str">
        <x:v>Sin categoría</x:v>
      </x:c>
      <x:c r="G1408" s="11" t="n">
        <x:v>245</x:v>
      </x:c>
      <x:c r="H1408" s="11" t="n">
        <x:v>200</x:v>
      </x:c>
      <x:c r="I1408" s="11" t="n">
        <x:v>1</x:v>
      </x:c>
      <x:c r="J1408" s="4" t="str">
        <x:v>https://blog.skyairline.com/sky-y-promperu-se-unen-para-impulsar-el-turismo-peruano/</x:v>
      </x:c>
      <x:c r="K1408" s="16" t="b">
        <x:v>0</x:v>
      </x:c>
      <x:c r="L1408" s="11" t="n">
        <x:v>0</x:v>
      </x:c>
      <x:c r="M1408" s="11" t="n">
        <x:v>0</x:v>
      </x:c>
      <x:c r="N1408" s="4"/>
      <x:c r="O1408" s="4"/>
      <x:c r="P1408" s="11" t="n">
        <x:v>0</x:v>
      </x:c>
      <x:c r="Q1408" s="11" t="n">
        <x:v>0</x:v>
      </x:c>
      <x:c r="R1408" s="11" t="str">
        <x:f>IF(OR(P1408="",Q1408=""),"",Q1408-P1408)</x:f>
      </x:c>
      <x:c r="S1408" s="13" t="str">
        <x:f>IF(OR(P1408="",Q1408="",P1408=0),"",((Q1408/30)/(P1408/31))-1)</x:f>
      </x:c>
      <x:c r="T1408" s="11" t="n">
        <x:v>25</x:v>
      </x:c>
      <x:c r="U1408" s="11" t="n">
        <x:v>2</x:v>
      </x:c>
      <x:c r="V1408" s="14" t="n">
        <x:v>0</x:v>
      </x:c>
      <x:c r="W1408" s="12" t="n">
        <x:v>6.5</x:v>
      </x:c>
      <x:c r="X1408" s="11"/>
      <x:c r="Y1408" s="11"/>
      <x:c r="Z1408" s="4" t="str">
        <x:v>https://blog.skyairline.com/sky-y-promperu-se-unen-para-impulsar-el-turismo-peruano/</x:v>
      </x:c>
      <x:c r="AA1408" s="4" t="str">
        <x:v>https://blog.skyairline.com/sky-y-promperu-se-unen-para-impulsar-el-turismo-peruano/</x:v>
      </x:c>
      <x:c r="AB1408" s="4" t="str">
        <x:v>Coincidencia URL</x:v>
      </x:c>
      <x:c r="AC1408" s="4" t="str">
        <x:v>Publicado hasta septiembre</x:v>
      </x:c>
      <x:c r="AD1408" s="4"/>
      <x:c r="AE1408" s="4"/>
      <x:c r="AF1408" s="16" t="b">
        <x:v>0</x:v>
      </x:c>
    </x:row>
    <x:row r="1409" ht="44" customHeight="1">
      <x:c r="A1409" s="4" t="n">
        <x:v>5439</x:v>
      </x:c>
      <x:c r="B1409" s="4" t="str">
        <x:v>https://blog.skyairline.com/sky-y-emprende-tu-mente-lanzan-el-primer-avion-de-las-pymes/</x:v>
      </x:c>
      <x:c r="C1409" s="9" t="str">
        <x:v>SKY y Emprende tu Mente lanzan el primer «Avión de las Pymes»</x:v>
      </x:c>
      <x:c r="D1409" s="17" t="d">
        <x:v>2024-12-06T00:00:00.000Z</x:v>
      </x:c>
      <x:c r="E1409" s="17" t="d">
        <x:v>2024-12-06T00:00:00.000Z</x:v>
      </x:c>
      <x:c r="F1409" s="4" t="str">
        <x:v>Sin categoría</x:v>
      </x:c>
      <x:c r="G1409" s="11" t="n">
        <x:v>402</x:v>
      </x:c>
      <x:c r="H1409" s="11" t="n">
        <x:v>200</x:v>
      </x:c>
      <x:c r="I1409" s="11" t="n">
        <x:v>1</x:v>
      </x:c>
      <x:c r="J1409" s="4" t="str">
        <x:v>https://blog.skyairline.com/sky-y-emprende-tu-mente-lanzan-el-primer-avion-de-las-pymes/</x:v>
      </x:c>
      <x:c r="K1409" s="16" t="b">
        <x:v>0</x:v>
      </x:c>
      <x:c r="L1409" s="11" t="n">
        <x:v>0</x:v>
      </x:c>
      <x:c r="M1409" s="11" t="n">
        <x:v>0</x:v>
      </x:c>
      <x:c r="N1409" s="4"/>
      <x:c r="O1409" s="4"/>
      <x:c r="P1409" s="11" t="n">
        <x:v>0</x:v>
      </x:c>
      <x:c r="Q1409" s="11" t="n">
        <x:v>0</x:v>
      </x:c>
      <x:c r="R1409" s="11" t="str">
        <x:f>IF(OR(P1409="",Q1409=""),"",Q1409-P1409)</x:f>
      </x:c>
      <x:c r="S1409" s="13" t="str">
        <x:f>IF(OR(P1409="",Q1409="",P1409=0),"",((Q1409/30)/(P1409/31))-1)</x:f>
      </x:c>
      <x:c r="T1409" s="11" t="n">
        <x:v>32</x:v>
      </x:c>
      <x:c r="U1409" s="11" t="n">
        <x:v>31</x:v>
      </x:c>
      <x:c r="V1409" s="14" t="n">
        <x:v>0</x:v>
      </x:c>
      <x:c r="W1409" s="12" t="n">
        <x:v>6.741935483870968</x:v>
      </x:c>
      <x:c r="X1409" s="11"/>
      <x:c r="Y1409" s="11"/>
      <x:c r="Z1409" s="4" t="str">
        <x:v>https://blog.skyairline.com/sky-y-emprende-tu-mente-lanzan-el-primer-avion-de-las-pymes/</x:v>
      </x:c>
      <x:c r="AA1409" s="4" t="str">
        <x:v>https://blog.skyairline.com/sky-y-emprende-tu-mente-lanzan-el-primer-avion-de-las-pymes/</x:v>
      </x:c>
      <x:c r="AB1409" s="4" t="str">
        <x:v>Coincidencia URL</x:v>
      </x:c>
      <x:c r="AC1409" s="4" t="str">
        <x:v>Publicado hasta septiembre</x:v>
      </x:c>
      <x:c r="AD1409" s="4"/>
      <x:c r="AE1409" s="4"/>
      <x:c r="AF1409" s="16" t="b">
        <x:v>0</x:v>
      </x:c>
    </x:row>
    <x:row r="1410" ht="44" customHeight="1">
      <x:c r="A1410" s="4" t="n">
        <x:v>5458</x:v>
      </x:c>
      <x:c r="B1410" s="4" t="str">
        <x:v>https://blog.skyairline.com/comida-tipica-de-argentina-2/</x:v>
      </x:c>
      <x:c r="C1410" s="9" t="str">
        <x:v>Comida típica de Argentina: 10 platos que deberías probar al menos una vez</x:v>
      </x:c>
      <x:c r="D1410" s="17" t="d">
        <x:v>2026-01-06T00:00:00.000Z</x:v>
      </x:c>
      <x:c r="E1410" s="17" t="d">
        <x:v>2026-01-06T00:00:00.000Z</x:v>
      </x:c>
      <x:c r="F1410" s="4" t="str">
        <x:v>Destinos</x:v>
      </x:c>
      <x:c r="G1410" s="11" t="n">
        <x:v>1132</x:v>
      </x:c>
      <x:c r="H1410" s="11" t="n">
        <x:v>200</x:v>
      </x:c>
      <x:c r="I1410" s="11" t="n">
        <x:v>1</x:v>
      </x:c>
      <x:c r="J1410" s="4" t="str">
        <x:v>https://blog.skyairline.com/comida-tipica-de-argentina-2/</x:v>
      </x:c>
      <x:c r="K1410" s="16" t="b">
        <x:v>0</x:v>
      </x:c>
      <x:c r="L1410" s="11" t="n">
        <x:v>0</x:v>
      </x:c>
      <x:c r="M1410" s="11" t="n">
        <x:v>0</x:v>
      </x:c>
      <x:c r="N1410" s="4"/>
      <x:c r="O1410" s="4"/>
      <x:c r="P1410" s="11" t="n">
        <x:v>4</x:v>
      </x:c>
      <x:c r="Q1410" s="11" t="n">
        <x:v>0</x:v>
      </x:c>
      <x:c r="R1410" s="11" t="str">
        <x:f>IF(OR(P1410="",Q1410=""),"",Q1410-P1410)</x:f>
      </x:c>
      <x:c r="S1410" s="13" t="str">
        <x:f>IF(OR(P1410="",Q1410="",P1410=0),"",((Q1410/30)/(P1410/31))-1)</x:f>
      </x:c>
      <x:c r="T1410" s="11" t="n">
        <x:v>1432</x:v>
      </x:c>
      <x:c r="U1410" s="11" t="n">
        <x:v>528</x:v>
      </x:c>
      <x:c r="V1410" s="14" t="n">
        <x:v>0</x:v>
      </x:c>
      <x:c r="W1410" s="12" t="n">
        <x:v>9.755681818181818</x:v>
      </x:c>
      <x:c r="X1410" s="11"/>
      <x:c r="Y1410" s="11"/>
      <x:c r="Z1410" s="4" t="str">
        <x:v>https://blog.skyairline.com/comida-tipica-de-argentina-2/</x:v>
      </x:c>
      <x:c r="AA1410" s="4" t="str">
        <x:v>https://blog.skyairline.com/comida-tipica-de-argentina-2/</x:v>
      </x:c>
      <x:c r="AB1410" s="4" t="str">
        <x:v>Coincidencia URL</x:v>
      </x:c>
      <x:c r="AC1410" s="4" t="str">
        <x:v>Publicado hasta septiembre</x:v>
      </x:c>
      <x:c r="AD1410" s="4"/>
      <x:c r="AE1410" s="4"/>
      <x:c r="AF1410" s="16" t="b">
        <x:v>0</x:v>
      </x:c>
    </x:row>
    <x:row r="1411" ht="44" customHeight="1">
      <x:c r="A1411" s="4" t="n">
        <x:v>5466</x:v>
      </x:c>
      <x:c r="B1411" s="4" t="str">
        <x:v>https://blog.skyairline.com/vacaciones-de-verano/</x:v>
      </x:c>
      <x:c r="C1411" s="9" t="str">
        <x:v>Vacaciones de verano: consejos y destinos para un viaje inolvidable</x:v>
      </x:c>
      <x:c r="D1411" s="17" t="d">
        <x:v>2024-12-13T00:00:00.000Z</x:v>
      </x:c>
      <x:c r="E1411" s="17" t="d">
        <x:v>2024-12-13T00:00:00.000Z</x:v>
      </x:c>
      <x:c r="F1411" s="4" t="str">
        <x:v>Destinos</x:v>
      </x:c>
      <x:c r="G1411" s="11" t="n">
        <x:v>1152</x:v>
      </x:c>
      <x:c r="H1411" s="11" t="n">
        <x:v>200</x:v>
      </x:c>
      <x:c r="I1411" s="11" t="n">
        <x:v>1</x:v>
      </x:c>
      <x:c r="J1411" s="4" t="str">
        <x:v>https://blog.skyairline.com/vacaciones-de-verano/</x:v>
      </x:c>
      <x:c r="K1411" s="16" t="b">
        <x:v>0</x:v>
      </x:c>
      <x:c r="L1411" s="11" t="n">
        <x:v>0</x:v>
      </x:c>
      <x:c r="M1411" s="11" t="n">
        <x:v>4</x:v>
      </x:c>
      <x:c r="N1411" s="4"/>
      <x:c r="O1411" s="4"/>
      <x:c r="P1411" s="11" t="n">
        <x:v>0</x:v>
      </x:c>
      <x:c r="Q1411" s="11" t="n">
        <x:v>0</x:v>
      </x:c>
      <x:c r="R1411" s="11" t="str">
        <x:f>IF(OR(P1411="",Q1411=""),"",Q1411-P1411)</x:f>
      </x:c>
      <x:c r="S1411" s="13" t="str">
        <x:f>IF(OR(P1411="",Q1411="",P1411=0),"",((Q1411/30)/(P1411/31))-1)</x:f>
      </x:c>
      <x:c r="T1411" s="11" t="n">
        <x:v>128</x:v>
      </x:c>
      <x:c r="U1411" s="11" t="n">
        <x:v>72</x:v>
      </x:c>
      <x:c r="V1411" s="14" t="n">
        <x:v>0</x:v>
      </x:c>
      <x:c r="W1411" s="12" t="n">
        <x:v>14.98611111111111</x:v>
      </x:c>
      <x:c r="X1411" s="11"/>
      <x:c r="Y1411" s="11"/>
      <x:c r="Z1411" s="4" t="str">
        <x:v>https://blog.skyairline.com/vacaciones-de-verano/</x:v>
      </x:c>
      <x:c r="AA1411" s="4" t="str">
        <x:v>https://blog.skyairline.com/vacaciones-de-verano/</x:v>
      </x:c>
      <x:c r="AB1411" s="4" t="str">
        <x:v>Coincidencia URL</x:v>
      </x:c>
      <x:c r="AC1411" s="4" t="str">
        <x:v>Publicado hasta septiembre</x:v>
      </x:c>
      <x:c r="AD1411" s="4"/>
      <x:c r="AE1411" s="4"/>
      <x:c r="AF1411" s="16" t="b">
        <x:v>0</x:v>
      </x:c>
    </x:row>
    <x:row r="1412" ht="44" customHeight="1">
      <x:c r="A1412" s="4" t="n">
        <x:v>5470</x:v>
      </x:c>
      <x:c r="B1412" s="4" t="str">
        <x:v>https://blog.skyairline.com/navidad-en-buenos-aires/</x:v>
      </x:c>
      <x:c r="C1412" s="9" t="str">
        <x:v>Navidad en Buenos Aires: cómo disfrutar de las fiestas en la ciudad</x:v>
      </x:c>
      <x:c r="D1412" s="17" t="d">
        <x:v>2024-12-14T00:00:00.000Z</x:v>
      </x:c>
      <x:c r="E1412" s="17" t="d">
        <x:v>2024-12-14T00:00:00.000Z</x:v>
      </x:c>
      <x:c r="F1412" s="4" t="str">
        <x:v>Buenos Aires</x:v>
      </x:c>
      <x:c r="G1412" s="11" t="n">
        <x:v>2138</x:v>
      </x:c>
      <x:c r="H1412" s="11" t="n">
        <x:v>200</x:v>
      </x:c>
      <x:c r="I1412" s="11" t="n">
        <x:v>1</x:v>
      </x:c>
      <x:c r="J1412" s="4" t="str">
        <x:v>https://blog.skyairline.com/navidad-en-buenos-aires/</x:v>
      </x:c>
      <x:c r="K1412" s="16" t="b">
        <x:v>0</x:v>
      </x:c>
      <x:c r="L1412" s="11" t="n">
        <x:v>0</x:v>
      </x:c>
      <x:c r="M1412" s="11" t="n">
        <x:v>3</x:v>
      </x:c>
      <x:c r="N1412" s="4"/>
      <x:c r="O1412" s="4"/>
      <x:c r="P1412" s="11" t="n">
        <x:v>1</x:v>
      </x:c>
      <x:c r="Q1412" s="11" t="n">
        <x:v>0</x:v>
      </x:c>
      <x:c r="R1412" s="11" t="str">
        <x:f>IF(OR(P1412="",Q1412=""),"",Q1412-P1412)</x:f>
      </x:c>
      <x:c r="S1412" s="13" t="str">
        <x:f>IF(OR(P1412="",Q1412="",P1412=0),"",((Q1412/30)/(P1412/31))-1)</x:f>
      </x:c>
      <x:c r="T1412" s="11" t="n">
        <x:v>129</x:v>
      </x:c>
      <x:c r="U1412" s="11" t="n">
        <x:v>104</x:v>
      </x:c>
      <x:c r="V1412" s="14" t="n">
        <x:v>0</x:v>
      </x:c>
      <x:c r="W1412" s="12" t="n">
        <x:v>12.471153846153847</x:v>
      </x:c>
      <x:c r="X1412" s="11" t="n">
        <x:v>1</x:v>
      </x:c>
      <x:c r="Y1412" s="11" t="n">
        <x:v>1</x:v>
      </x:c>
      <x:c r="Z1412" s="4" t="str">
        <x:v>https://blog.skyairline.com/navidad-en-buenos-aires/</x:v>
      </x:c>
      <x:c r="AA1412" s="4" t="str">
        <x:v>https://blog.skyairline.com/navidad-en-buenos-aires/</x:v>
      </x:c>
      <x:c r="AB1412" s="4" t="str">
        <x:v>Coincidencia URL</x:v>
      </x:c>
      <x:c r="AC1412" s="4" t="str">
        <x:v>Publicado hasta septiembre</x:v>
      </x:c>
      <x:c r="AD1412" s="4" t="str">
        <x:v>/navidad-en-buenos-aires/</x:v>
      </x:c>
      <x:c r="AE1412" s="4"/>
      <x:c r="AF1412" s="16" t="b">
        <x:v>0</x:v>
      </x:c>
    </x:row>
    <x:row r="1413" ht="44" customHeight="1">
      <x:c r="A1413" s="4" t="n">
        <x:v>5492</x:v>
      </x:c>
      <x:c r="B1413" s="4" t="str">
        <x:v>https://blog.skyairline.com/boda-en-cancun/</x:v>
      </x:c>
      <x:c r="C1413" s="9" t="str">
        <x:v>Descubre qué debes hacer para tener tu boda en Cancún</x:v>
      </x:c>
      <x:c r="D1413" s="17" t="d">
        <x:v>2024-12-18T00:00:00.000Z</x:v>
      </x:c>
      <x:c r="E1413" s="17" t="d">
        <x:v>2024-12-18T00:00:00.000Z</x:v>
      </x:c>
      <x:c r="F1413" s="4" t="str">
        <x:v>Cancún, Destinos</x:v>
      </x:c>
      <x:c r="G1413" s="11" t="n">
        <x:v>1234</x:v>
      </x:c>
      <x:c r="H1413" s="11" t="n">
        <x:v>200</x:v>
      </x:c>
      <x:c r="I1413" s="11" t="n">
        <x:v>1</x:v>
      </x:c>
      <x:c r="J1413" s="4" t="str">
        <x:v>https://blog.skyairline.com/boda-en-cancun/</x:v>
      </x:c>
      <x:c r="K1413" s="16" t="b">
        <x:v>0</x:v>
      </x:c>
      <x:c r="L1413" s="11" t="n">
        <x:v>0</x:v>
      </x:c>
      <x:c r="M1413" s="11" t="n">
        <x:v>3</x:v>
      </x:c>
      <x:c r="N1413" s="4"/>
      <x:c r="O1413" s="4"/>
      <x:c r="P1413" s="11" t="n">
        <x:v>2</x:v>
      </x:c>
      <x:c r="Q1413" s="11" t="n">
        <x:v>0</x:v>
      </x:c>
      <x:c r="R1413" s="11" t="str">
        <x:f>IF(OR(P1413="",Q1413=""),"",Q1413-P1413)</x:f>
      </x:c>
      <x:c r="S1413" s="13" t="str">
        <x:f>IF(OR(P1413="",Q1413="",P1413=0),"",((Q1413/30)/(P1413/31))-1)</x:f>
      </x:c>
      <x:c r="T1413" s="11" t="n">
        <x:v>133</x:v>
      </x:c>
      <x:c r="U1413" s="11" t="n">
        <x:v>72</x:v>
      </x:c>
      <x:c r="V1413" s="14" t="n">
        <x:v>0</x:v>
      </x:c>
      <x:c r="W1413" s="12" t="n">
        <x:v>24.541666666666668</x:v>
      </x:c>
      <x:c r="X1413" s="11"/>
      <x:c r="Y1413" s="11"/>
      <x:c r="Z1413" s="4" t="str">
        <x:v>https://blog.skyairline.com/boda-en-cancun/</x:v>
      </x:c>
      <x:c r="AA1413" s="4" t="str">
        <x:v>https://blog.skyairline.com/boda-en-cancun/</x:v>
      </x:c>
      <x:c r="AB1413" s="4" t="str">
        <x:v>Coincidencia URL</x:v>
      </x:c>
      <x:c r="AC1413" s="4" t="str">
        <x:v>Publicado hasta septiembre</x:v>
      </x:c>
      <x:c r="AD1413" s="4"/>
      <x:c r="AE1413" s="4"/>
      <x:c r="AF1413" s="16" t="b">
        <x:v>0</x:v>
      </x:c>
    </x:row>
    <x:row r="1414" ht="44" customHeight="1">
      <x:c r="A1414" s="4" t="n">
        <x:v>5535</x:v>
      </x:c>
      <x:c r="B1414" s="4" t="str">
        <x:v>https://blog.skyairline.com/sky-y-air-europa-firman-acuerdo-interlineal-para-conectar-pasajeros-entre-europa-y-mas-de-30-destinos-en-latinoamerica/</x:v>
      </x:c>
      <x:c r="C1414" s="9" t="str">
        <x:v>SKY y Air Europa firman acuerdo interlineal para conectar pasajeros entre Europa y más de 30 destinos en Latinoamérica</x:v>
      </x:c>
      <x:c r="D1414" s="17" t="d">
        <x:v>2024-12-30T00:00:00.000Z</x:v>
      </x:c>
      <x:c r="E1414" s="17" t="d">
        <x:v>2024-12-30T00:00:00.000Z</x:v>
      </x:c>
      <x:c r="F1414" s="4" t="str">
        <x:v>Sin categoría</x:v>
      </x:c>
      <x:c r="G1414" s="11" t="n">
        <x:v>410</x:v>
      </x:c>
      <x:c r="H1414" s="11" t="n">
        <x:v>200</x:v>
      </x:c>
      <x:c r="I1414" s="11" t="n">
        <x:v>1</x:v>
      </x:c>
      <x:c r="J1414" s="4" t="str">
        <x:v>https://blog.skyairline.com/sky-y-air-europa-firman-acuerdo-interlineal-para-conectar-pasajeros-entre-europa-y-mas-de-30-destinos-en-latinoamerica/</x:v>
      </x:c>
      <x:c r="K1414" s="16" t="b">
        <x:v>0</x:v>
      </x:c>
      <x:c r="L1414" s="11" t="n">
        <x:v>0</x:v>
      </x:c>
      <x:c r="M1414" s="11" t="n">
        <x:v>0</x:v>
      </x:c>
      <x:c r="N1414" s="4" t="str">
        <x:v>T08</x:v>
      </x:c>
      <x:c r="O1414" s="4" t="str">
        <x:v>C04</x:v>
      </x:c>
      <x:c r="P1414" s="11" t="n">
        <x:v>0</x:v>
      </x:c>
      <x:c r="Q1414" s="11" t="n">
        <x:v>0</x:v>
      </x:c>
      <x:c r="R1414" s="11" t="str">
        <x:f>IF(OR(P1414="",Q1414=""),"",Q1414-P1414)</x:f>
      </x:c>
      <x:c r="S1414" s="13" t="str">
        <x:f>IF(OR(P1414="",Q1414="",P1414=0),"",((Q1414/30)/(P1414/31))-1)</x:f>
      </x:c>
      <x:c r="T1414" s="11" t="n">
        <x:v>44</x:v>
      </x:c>
      <x:c r="U1414" s="11" t="n">
        <x:v>52</x:v>
      </x:c>
      <x:c r="V1414" s="14" t="n">
        <x:v>0</x:v>
      </x:c>
      <x:c r="W1414" s="12" t="n">
        <x:v>7.346153846153846</x:v>
      </x:c>
      <x:c r="X1414" s="11"/>
      <x:c r="Y1414" s="11"/>
      <x:c r="Z1414" s="4" t="str">
        <x:v>https://blog.skyairline.com/sky-y-air-europa-firman-acuerdo-interlineal-para-conectar-pasajeros-entre-europa-y-mas-de-30-destinos-en-latinoamerica/</x:v>
      </x:c>
      <x:c r="AA1414" s="4" t="str">
        <x:v>https://blog.skyairline.com/sky-y-air-europa-firman-acuerdo-interlineal-para-conectar-pasajeros-entre-europa-y-mas-de-30-destinos-en-latinoamerica/</x:v>
      </x:c>
      <x:c r="AB1414" s="4" t="str">
        <x:v>Coincidencia URL</x:v>
      </x:c>
      <x:c r="AC1414" s="4" t="str">
        <x:v>Publicado hasta septiembre</x:v>
      </x:c>
      <x:c r="AD1414" s="4"/>
      <x:c r="AE1414" s="4"/>
      <x:c r="AF1414" s="16" t="b">
        <x:v>0</x:v>
      </x:c>
    </x:row>
    <x:row r="1415" ht="44" customHeight="1">
      <x:c r="A1415" s="4" t="n">
        <x:v>5542</x:v>
      </x:c>
      <x:c r="B1415" s="4" t="str">
        <x:v>https://blog.skyairline.com/sky-y-correos-de-chile-cumplieron-el-sueno-de-volar-a-ninos-y-ninas-de-la-fundacion-nuestros-hijos/</x:v>
      </x:c>
      <x:c r="C1415" s="9" t="str">
        <x:v>SKY Y CORREOS DE CHILE CUMPLIERON EL SUEÑO DE VOLAR A NIÑOS Y NIÑAS DE LA FUNDACIÓN NUESTROS HIJOS</x:v>
      </x:c>
      <x:c r="D1415" s="17" t="d">
        <x:v>2025-01-02T00:00:00.000Z</x:v>
      </x:c>
      <x:c r="E1415" s="17" t="d">
        <x:v>2025-01-02T00:00:00.000Z</x:v>
      </x:c>
      <x:c r="F1415" s="4" t="str">
        <x:v>Sin categoría</x:v>
      </x:c>
      <x:c r="G1415" s="11" t="n">
        <x:v>367</x:v>
      </x:c>
      <x:c r="H1415" s="11" t="n">
        <x:v>200</x:v>
      </x:c>
      <x:c r="I1415" s="11" t="n">
        <x:v>1</x:v>
      </x:c>
      <x:c r="J1415" s="4" t="str">
        <x:v>https://blog.skyairline.com/sky-y-correos-de-chile-cumplieron-el-sueno-de-volar-a-ninos-y-ninas-de-la-fundacion-nuestros-hijos/</x:v>
      </x:c>
      <x:c r="K1415" s="16" t="b">
        <x:v>0</x:v>
      </x:c>
      <x:c r="L1415" s="11" t="n">
        <x:v>0</x:v>
      </x:c>
      <x:c r="M1415" s="11" t="n">
        <x:v>0</x:v>
      </x:c>
      <x:c r="N1415" s="4"/>
      <x:c r="O1415" s="4"/>
      <x:c r="P1415" s="11" t="n">
        <x:v>0</x:v>
      </x:c>
      <x:c r="Q1415" s="11" t="n">
        <x:v>0</x:v>
      </x:c>
      <x:c r="R1415" s="11" t="str">
        <x:f>IF(OR(P1415="",Q1415=""),"",Q1415-P1415)</x:f>
      </x:c>
      <x:c r="S1415" s="13" t="str">
        <x:f>IF(OR(P1415="",Q1415="",P1415=0),"",((Q1415/30)/(P1415/31))-1)</x:f>
      </x:c>
      <x:c r="T1415" s="11" t="n">
        <x:v>14</x:v>
      </x:c>
      <x:c r="U1415" s="11" t="n">
        <x:v>14</x:v>
      </x:c>
      <x:c r="V1415" s="14" t="n">
        <x:v>0</x:v>
      </x:c>
      <x:c r="W1415" s="12" t="n">
        <x:v>6.071428571428571</x:v>
      </x:c>
      <x:c r="X1415" s="11"/>
      <x:c r="Y1415" s="11"/>
      <x:c r="Z1415" s="4" t="str">
        <x:v>https://blog.skyairline.com/sky-y-correos-de-chile-cumplieron-el-sueno-de-volar-a-ninos-y-ninas-de-la-fundacion-nuestros-hijos/</x:v>
      </x:c>
      <x:c r="AA1415" s="4" t="str">
        <x:v>https://blog.skyairline.com/sky-y-correos-de-chile-cumplieron-el-sueno-de-volar-a-ninos-y-ninas-de-la-fundacion-nuestros-hijos/</x:v>
      </x:c>
      <x:c r="AB1415" s="4" t="str">
        <x:v>Coincidencia URL</x:v>
      </x:c>
      <x:c r="AC1415" s="4" t="str">
        <x:v>Publicado hasta septiembre</x:v>
      </x:c>
      <x:c r="AD1415" s="4"/>
      <x:c r="AE1415" s="4"/>
      <x:c r="AF1415" s="16" t="b">
        <x:v>0</x:v>
      </x:c>
    </x:row>
    <x:row r="1416" ht="44" customHeight="1">
      <x:c r="A1416" s="4" t="n">
        <x:v>5555</x:v>
      </x:c>
      <x:c r="B1416" s="4" t="str">
        <x:v>https://blog.skyairline.com/sky-airline-cumple-10-anos-de-operacion-en-brasil-y-celebra-mas-de-2-millones-de-pasajeros-transportados/</x:v>
      </x:c>
      <x:c r="C1416" s="9" t="str">
        <x:v>SKY Airline cumple 10 años de operación en Brasil y celebra más de 2 millones de pasajeros transportados</x:v>
      </x:c>
      <x:c r="D1416" s="17" t="d">
        <x:v>2025-01-01T00:00:00.000Z</x:v>
      </x:c>
      <x:c r="E1416" s="17" t="d">
        <x:v>2025-01-01T00:00:00.000Z</x:v>
      </x:c>
      <x:c r="F1416" s="4" t="str">
        <x:v>Sin categoría</x:v>
      </x:c>
      <x:c r="G1416" s="11" t="n">
        <x:v>432</x:v>
      </x:c>
      <x:c r="H1416" s="11" t="n">
        <x:v>200</x:v>
      </x:c>
      <x:c r="I1416" s="11" t="n">
        <x:v>1</x:v>
      </x:c>
      <x:c r="J1416" s="4" t="str">
        <x:v>https://blog.skyairline.com/sky-airline-cumple-10-anos-de-operacion-en-brasil-y-celebra-mas-de-2-millones-de-pasajeros-transportados/</x:v>
      </x:c>
      <x:c r="K1416" s="16" t="b">
        <x:v>0</x:v>
      </x:c>
      <x:c r="L1416" s="11" t="n">
        <x:v>0</x:v>
      </x:c>
      <x:c r="M1416" s="11" t="n">
        <x:v>0</x:v>
      </x:c>
      <x:c r="N1416" s="4"/>
      <x:c r="O1416" s="4"/>
      <x:c r="P1416" s="11"/>
      <x:c r="Q1416" s="11" t="n">
        <x:v>0</x:v>
      </x:c>
      <x:c r="R1416" s="11" t="str">
        <x:f>IF(OR(P1416="",Q1416=""),"",Q1416-P1416)</x:f>
      </x:c>
      <x:c r="S1416" s="13" t="str">
        <x:f>IF(OR(P1416="",Q1416="",P1416=0),"",((Q1416/30)/(P1416/31))-1)</x:f>
      </x:c>
      <x:c r="T1416" s="11"/>
      <x:c r="U1416" s="11" t="n">
        <x:v>15</x:v>
      </x:c>
      <x:c r="V1416" s="14" t="n">
        <x:v>0</x:v>
      </x:c>
      <x:c r="W1416" s="12" t="n">
        <x:v>2.8</x:v>
      </x:c>
      <x:c r="X1416" s="11"/>
      <x:c r="Y1416" s="11"/>
      <x:c r="Z1416" s="4"/>
      <x:c r="AA1416" s="4" t="str">
        <x:v>https://blog.skyairline.com/sky-airline-cumple-10-anos-de-operacion-en-brasil-y-celebra-mas-de-2-millones-de-pasajeros-transportados/</x:v>
      </x:c>
      <x:c r="AB1416" s="4" t="str">
        <x:v>Coincidencia URL</x:v>
      </x:c>
      <x:c r="AC1416" s="4" t="str">
        <x:v>Publicado hasta septiembre</x:v>
      </x:c>
      <x:c r="AD1416" s="4"/>
      <x:c r="AE1416" s="4"/>
      <x:c r="AF1416" s="16" t="b">
        <x:v>0</x:v>
      </x:c>
    </x:row>
    <x:row r="1417" ht="44" customHeight="1">
      <x:c r="A1417" s="4" t="n">
        <x:v>5583</x:v>
      </x:c>
      <x:c r="B1417" s="4" t="str">
        <x:v>https://blog.skyairline.com/que-hacer-en-sao-paulo-si-vienes-desde-santiago/</x:v>
      </x:c>
      <x:c r="C1417" s="9" t="str">
        <x:v>¿Qué hacer en São Paulo si vienes desde Santiago?</x:v>
      </x:c>
      <x:c r="D1417" s="17" t="d">
        <x:v>2025-02-02T00:00:00.000Z</x:v>
      </x:c>
      <x:c r="E1417" s="17" t="d">
        <x:v>2025-02-02T00:00:00.000Z</x:v>
      </x:c>
      <x:c r="F1417" s="4" t="str">
        <x:v>Sin categoría</x:v>
      </x:c>
      <x:c r="G1417" s="11" t="n">
        <x:v>1194</x:v>
      </x:c>
      <x:c r="H1417" s="11" t="n">
        <x:v>200</x:v>
      </x:c>
      <x:c r="I1417" s="11" t="n">
        <x:v>1</x:v>
      </x:c>
      <x:c r="J1417" s="4" t="str">
        <x:v>https://blog.skyairline.com/que-hacer-en-sao-paulo-si-vienes-desde-santiago/</x:v>
      </x:c>
      <x:c r="K1417" s="16" t="b">
        <x:v>0</x:v>
      </x:c>
      <x:c r="L1417" s="11" t="n">
        <x:v>0</x:v>
      </x:c>
      <x:c r="M1417" s="11" t="n">
        <x:v>3</x:v>
      </x:c>
      <x:c r="N1417" s="4"/>
      <x:c r="O1417" s="4"/>
      <x:c r="P1417" s="11" t="n">
        <x:v>0</x:v>
      </x:c>
      <x:c r="Q1417" s="11" t="n">
        <x:v>0</x:v>
      </x:c>
      <x:c r="R1417" s="11" t="str">
        <x:f>IF(OR(P1417="",Q1417=""),"",Q1417-P1417)</x:f>
      </x:c>
      <x:c r="S1417" s="13" t="str">
        <x:f>IF(OR(P1417="",Q1417="",P1417=0),"",((Q1417/30)/(P1417/31))-1)</x:f>
      </x:c>
      <x:c r="T1417" s="11" t="n">
        <x:v>4</x:v>
      </x:c>
      <x:c r="U1417" s="11" t="n">
        <x:v>2</x:v>
      </x:c>
      <x:c r="V1417" s="14" t="n">
        <x:v>0</x:v>
      </x:c>
      <x:c r="W1417" s="12" t="n">
        <x:v>4.5</x:v>
      </x:c>
      <x:c r="X1417" s="11"/>
      <x:c r="Y1417" s="11"/>
      <x:c r="Z1417" s="4" t="str">
        <x:v>https://blog.skyairline.com/que-hacer-en-sao-paulo-si-vienes-desde-santiago/</x:v>
      </x:c>
      <x:c r="AA1417" s="4" t="str">
        <x:v>https://blog.skyairline.com/que-hacer-en-sao-paulo-si-vienes-desde-santiago/</x:v>
      </x:c>
      <x:c r="AB1417" s="4" t="str">
        <x:v>Coincidencia URL</x:v>
      </x:c>
      <x:c r="AC1417" s="4" t="str">
        <x:v>Publicado hasta septiembre</x:v>
      </x:c>
      <x:c r="AD1417" s="4"/>
      <x:c r="AE1417" s="4"/>
      <x:c r="AF1417" s="16" t="b">
        <x:v>0</x:v>
      </x:c>
    </x:row>
    <x:row r="1418" ht="44" customHeight="1">
      <x:c r="A1418" s="4" t="n">
        <x:v>5586</x:v>
      </x:c>
      <x:c r="B1418" s="4" t="str">
        <x:v>https://blog.skyairline.com/que-hacer-en-el-centro-de-el-calafate/</x:v>
      </x:c>
      <x:c r="C1418" s="9" t="str">
        <x:v>¿Qué hacer en el centro de El Calafate?</x:v>
      </x:c>
      <x:c r="D1418" s="17" t="d">
        <x:v>2025-02-03T00:00:00.000Z</x:v>
      </x:c>
      <x:c r="E1418" s="17" t="d">
        <x:v>2025-02-03T00:00:00.000Z</x:v>
      </x:c>
      <x:c r="F1418" s="4" t="str">
        <x:v>Sin categoría</x:v>
      </x:c>
      <x:c r="G1418" s="11" t="n">
        <x:v>2085</x:v>
      </x:c>
      <x:c r="H1418" s="11" t="n">
        <x:v>200</x:v>
      </x:c>
      <x:c r="I1418" s="11" t="n">
        <x:v>1</x:v>
      </x:c>
      <x:c r="J1418" s="4" t="str">
        <x:v>https://blog.skyairline.com/que-hacer-en-el-centro-de-el-calafate/</x:v>
      </x:c>
      <x:c r="K1418" s="16" t="b">
        <x:v>0</x:v>
      </x:c>
      <x:c r="L1418" s="11" t="n">
        <x:v>0</x:v>
      </x:c>
      <x:c r="M1418" s="11" t="n">
        <x:v>3</x:v>
      </x:c>
      <x:c r="N1418" s="4"/>
      <x:c r="O1418" s="4"/>
      <x:c r="P1418" s="11" t="n">
        <x:v>0</x:v>
      </x:c>
      <x:c r="Q1418" s="11" t="n">
        <x:v>0</x:v>
      </x:c>
      <x:c r="R1418" s="11" t="str">
        <x:f>IF(OR(P1418="",Q1418=""),"",Q1418-P1418)</x:f>
      </x:c>
      <x:c r="S1418" s="13" t="str">
        <x:f>IF(OR(P1418="",Q1418="",P1418=0),"",((Q1418/30)/(P1418/31))-1)</x:f>
      </x:c>
      <x:c r="T1418" s="11" t="n">
        <x:v>209</x:v>
      </x:c>
      <x:c r="U1418" s="11" t="n">
        <x:v>186</x:v>
      </x:c>
      <x:c r="V1418" s="14" t="n">
        <x:v>0</x:v>
      </x:c>
      <x:c r="W1418" s="12" t="n">
        <x:v>34.67204301075269</x:v>
      </x:c>
      <x:c r="X1418" s="11" t="n">
        <x:v>2</x:v>
      </x:c>
      <x:c r="Y1418" s="11" t="n">
        <x:v>1</x:v>
      </x:c>
      <x:c r="Z1418" s="4" t="str">
        <x:v>https://blog.skyairline.com/que-hacer-en-el-centro-de-el-calafate/</x:v>
      </x:c>
      <x:c r="AA1418" s="4" t="str">
        <x:v>https://blog.skyairline.com/que-hacer-en-el-centro-de-el-calafate/</x:v>
      </x:c>
      <x:c r="AB1418" s="4" t="str">
        <x:v>Coincidencia URL</x:v>
      </x:c>
      <x:c r="AC1418" s="4" t="str">
        <x:v>Publicado hasta septiembre</x:v>
      </x:c>
      <x:c r="AD1418" s="4" t="str">
        <x:v>/que-hacer-en-el-centro-de-el-calafate/</x:v>
      </x:c>
      <x:c r="AE1418" s="4"/>
      <x:c r="AF1418" s="16" t="b">
        <x:v>0</x:v>
      </x:c>
    </x:row>
    <x:row r="1419" ht="44" customHeight="1">
      <x:c r="A1419" s="4" t="n">
        <x:v>5589</x:v>
      </x:c>
      <x:c r="B1419" s="4" t="str">
        <x:v>https://blog.skyairline.com/que-es-la-tasa-de-embarque-y-por-que-es-obligatoria/</x:v>
      </x:c>
      <x:c r="C1419" s="9" t="str">
        <x:v>Provincia de Tierra del Fuego: la zona más austral de Chile</x:v>
      </x:c>
      <x:c r="D1419" s="17" t="d">
        <x:v>2025-02-04T00:00:00.000Z</x:v>
      </x:c>
      <x:c r="E1419" s="17" t="d">
        <x:v>2025-02-04T00:00:00.000Z</x:v>
      </x:c>
      <x:c r="F1419" s="4" t="str">
        <x:v>Sin categoría</x:v>
      </x:c>
      <x:c r="G1419" s="11" t="n">
        <x:v>1212</x:v>
      </x:c>
      <x:c r="H1419" s="11" t="n">
        <x:v>200</x:v>
      </x:c>
      <x:c r="I1419" s="11" t="n">
        <x:v>1</x:v>
      </x:c>
      <x:c r="J1419" s="4" t="str">
        <x:v>https://blog.skyairline.com/que-es-la-tasa-de-embarque-y-por-que-es-obligatoria/</x:v>
      </x:c>
      <x:c r="K1419" s="16" t="b">
        <x:v>0</x:v>
      </x:c>
      <x:c r="L1419" s="11" t="n">
        <x:v>0</x:v>
      </x:c>
      <x:c r="M1419" s="11" t="n">
        <x:v>3</x:v>
      </x:c>
      <x:c r="N1419" s="4"/>
      <x:c r="O1419" s="4"/>
      <x:c r="P1419" s="11" t="n">
        <x:v>1</x:v>
      </x:c>
      <x:c r="Q1419" s="11" t="n">
        <x:v>0</x:v>
      </x:c>
      <x:c r="R1419" s="11" t="str">
        <x:f>IF(OR(P1419="",Q1419=""),"",Q1419-P1419)</x:f>
      </x:c>
      <x:c r="S1419" s="13" t="str">
        <x:f>IF(OR(P1419="",Q1419="",P1419=0),"",((Q1419/30)/(P1419/31))-1)</x:f>
      </x:c>
      <x:c r="T1419" s="11" t="n">
        <x:v>577</x:v>
      </x:c>
      <x:c r="U1419" s="11" t="n">
        <x:v>163</x:v>
      </x:c>
      <x:c r="V1419" s="14" t="n">
        <x:v>0</x:v>
      </x:c>
      <x:c r="W1419" s="12" t="n">
        <x:v>11.846625766871165</x:v>
      </x:c>
      <x:c r="X1419" s="11" t="n">
        <x:v>1</x:v>
      </x:c>
      <x:c r="Y1419" s="11" t="n">
        <x:v>1</x:v>
      </x:c>
      <x:c r="Z1419" s="4" t="str">
        <x:v>https://blog.skyairline.com/que-es-la-tasa-de-embarque-y-por-que-es-obligatoria/</x:v>
      </x:c>
      <x:c r="AA1419" s="4" t="str">
        <x:v>https://blog.skyairline.com/que-es-la-tasa-de-embarque-y-por-que-es-obligatoria/</x:v>
      </x:c>
      <x:c r="AB1419" s="4" t="str">
        <x:v>Coincidencia URL</x:v>
      </x:c>
      <x:c r="AC1419" s="4" t="str">
        <x:v>Publicado hasta septiembre</x:v>
      </x:c>
      <x:c r="AD1419" s="4" t="str">
        <x:v>/que-es-la-tasa-de-embarque-y-por-que-es-obligatoria/</x:v>
      </x:c>
      <x:c r="AE1419" s="4"/>
      <x:c r="AF1419" s="16" t="b">
        <x:v>0</x:v>
      </x:c>
    </x:row>
    <x:row r="1420" ht="44" customHeight="1">
      <x:c r="A1420" s="4" t="n">
        <x:v>5609</x:v>
      </x:c>
      <x:c r="B1420" s="4" t="str">
        <x:v>https://blog.skyairline.com/el-valle-del-elqui-en-la-serena-que-tiene-de-especial/</x:v>
      </x:c>
      <x:c r="C1420" s="9" t="str">
        <x:v>El Valle del Elqui en La Serena: ¿qué tiene de especial?</x:v>
      </x:c>
      <x:c r="D1420" s="17" t="d">
        <x:v>2025-02-09T00:00:00.000Z</x:v>
      </x:c>
      <x:c r="E1420" s="17" t="d">
        <x:v>2025-02-09T00:00:00.000Z</x:v>
      </x:c>
      <x:c r="F1420" s="4" t="str">
        <x:v>Sin categoría</x:v>
      </x:c>
      <x:c r="G1420" s="11" t="n">
        <x:v>1139</x:v>
      </x:c>
      <x:c r="H1420" s="11" t="n">
        <x:v>200</x:v>
      </x:c>
      <x:c r="I1420" s="11" t="n">
        <x:v>1</x:v>
      </x:c>
      <x:c r="J1420" s="4" t="str">
        <x:v>https://blog.skyairline.com/el-valle-del-elqui-en-la-serena-que-tiene-de-especial/</x:v>
      </x:c>
      <x:c r="K1420" s="16" t="b">
        <x:v>0</x:v>
      </x:c>
      <x:c r="L1420" s="11" t="n">
        <x:v>0</x:v>
      </x:c>
      <x:c r="M1420" s="11" t="n">
        <x:v>3</x:v>
      </x:c>
      <x:c r="N1420" s="4"/>
      <x:c r="O1420" s="4"/>
      <x:c r="P1420" s="11" t="n">
        <x:v>0</x:v>
      </x:c>
      <x:c r="Q1420" s="11" t="n">
        <x:v>0</x:v>
      </x:c>
      <x:c r="R1420" s="11" t="str">
        <x:f>IF(OR(P1420="",Q1420=""),"",Q1420-P1420)</x:f>
      </x:c>
      <x:c r="S1420" s="13" t="str">
        <x:f>IF(OR(P1420="",Q1420="",P1420=0),"",((Q1420/30)/(P1420/31))-1)</x:f>
      </x:c>
      <x:c r="T1420" s="11" t="n">
        <x:v>44</x:v>
      </x:c>
      <x:c r="U1420" s="11" t="n">
        <x:v>131</x:v>
      </x:c>
      <x:c r="V1420" s="14" t="n">
        <x:v>0</x:v>
      </x:c>
      <x:c r="W1420" s="12" t="n">
        <x:v>30.198473282442748</x:v>
      </x:c>
      <x:c r="X1420" s="11"/>
      <x:c r="Y1420" s="11"/>
      <x:c r="Z1420" s="4" t="str">
        <x:v>https://blog.skyairline.com/el-valle-del-elqui-en-la-serena-que-tiene-de-especial/</x:v>
      </x:c>
      <x:c r="AA1420" s="4" t="str">
        <x:v>https://blog.skyairline.com/el-valle-del-elqui-en-la-serena-que-tiene-de-especial/</x:v>
      </x:c>
      <x:c r="AB1420" s="4" t="str">
        <x:v>Coincidencia URL</x:v>
      </x:c>
      <x:c r="AC1420" s="4" t="str">
        <x:v>Publicado hasta septiembre</x:v>
      </x:c>
      <x:c r="AD1420" s="4"/>
      <x:c r="AE1420" s="4"/>
      <x:c r="AF1420" s="16" t="b">
        <x:v>0</x:v>
      </x:c>
    </x:row>
    <x:row r="1421" ht="44" customHeight="1">
      <x:c r="A1421" s="4" t="n">
        <x:v>5612</x:v>
      </x:c>
      <x:c r="B1421" s="4" t="str">
        <x:v>https://blog.skyairline.com/descubre-urca-en-rio-de-janeiro-el-barrio-del-pan-de-azucar/</x:v>
      </x:c>
      <x:c r="C1421" s="9" t="str">
        <x:v>Descubre Urca en Río de Janeiro: el barrio del Pan de Azúcar</x:v>
      </x:c>
      <x:c r="D1421" s="17" t="d">
        <x:v>2025-02-10T00:00:00.000Z</x:v>
      </x:c>
      <x:c r="E1421" s="17" t="d">
        <x:v>2025-02-10T00:00:00.000Z</x:v>
      </x:c>
      <x:c r="F1421" s="4" t="str">
        <x:v>Sin categoría</x:v>
      </x:c>
      <x:c r="G1421" s="11" t="n">
        <x:v>2112</x:v>
      </x:c>
      <x:c r="H1421" s="11" t="n">
        <x:v>200</x:v>
      </x:c>
      <x:c r="I1421" s="11" t="n">
        <x:v>1</x:v>
      </x:c>
      <x:c r="J1421" s="4" t="str">
        <x:v>https://blog.skyairline.com/descubre-urca-en-rio-de-janeiro-el-barrio-del-pan-de-azucar/</x:v>
      </x:c>
      <x:c r="K1421" s="16" t="b">
        <x:v>0</x:v>
      </x:c>
      <x:c r="L1421" s="11" t="n">
        <x:v>0</x:v>
      </x:c>
      <x:c r="M1421" s="11" t="n">
        <x:v>3</x:v>
      </x:c>
      <x:c r="N1421" s="4"/>
      <x:c r="O1421" s="4"/>
      <x:c r="P1421" s="11" t="n">
        <x:v>0</x:v>
      </x:c>
      <x:c r="Q1421" s="11" t="n">
        <x:v>0</x:v>
      </x:c>
      <x:c r="R1421" s="11" t="str">
        <x:f>IF(OR(P1421="",Q1421=""),"",Q1421-P1421)</x:f>
      </x:c>
      <x:c r="S1421" s="13" t="str">
        <x:f>IF(OR(P1421="",Q1421="",P1421=0),"",((Q1421/30)/(P1421/31))-1)</x:f>
      </x:c>
      <x:c r="T1421" s="11" t="n">
        <x:v>205</x:v>
      </x:c>
      <x:c r="U1421" s="11" t="n">
        <x:v>126</x:v>
      </x:c>
      <x:c r="V1421" s="14" t="n">
        <x:v>0</x:v>
      </x:c>
      <x:c r="W1421" s="12" t="n">
        <x:v>14.912698412698413</x:v>
      </x:c>
      <x:c r="X1421" s="11"/>
      <x:c r="Y1421" s="11"/>
      <x:c r="Z1421" s="4" t="str">
        <x:v>https://blog.skyairline.com/descubre-urca-en-rio-de-janeiro-el-barrio-del-pan-de-azucar/</x:v>
      </x:c>
      <x:c r="AA1421" s="4" t="str">
        <x:v>https://blog.skyairline.com/descubre-urca-en-rio-de-janeiro-el-barrio-del-pan-de-azucar/</x:v>
      </x:c>
      <x:c r="AB1421" s="4" t="str">
        <x:v>Coincidencia URL</x:v>
      </x:c>
      <x:c r="AC1421" s="4" t="str">
        <x:v>Publicado hasta septiembre</x:v>
      </x:c>
      <x:c r="AD1421" s="4"/>
      <x:c r="AE1421" s="4"/>
      <x:c r="AF1421" s="16" t="b">
        <x:v>0</x:v>
      </x:c>
    </x:row>
    <x:row r="1422" ht="44" customHeight="1">
      <x:c r="A1422" s="4" t="n">
        <x:v>5616</x:v>
      </x:c>
      <x:c r="B1422" s="4" t="str">
        <x:v>https://blog.skyairline.com/descubre-la-catarata-palacala-y-como-llegar-a-ella/</x:v>
      </x:c>
      <x:c r="C1422" s="9" t="str">
        <x:v>Descubre la Catarata Palacala y cómo llegar a ella</x:v>
      </x:c>
      <x:c r="D1422" s="17" t="d">
        <x:v>2025-02-11T00:00:00.000Z</x:v>
      </x:c>
      <x:c r="E1422" s="17" t="d">
        <x:v>2025-02-11T00:00:00.000Z</x:v>
      </x:c>
      <x:c r="F1422" s="4" t="str">
        <x:v>Sin categoría</x:v>
      </x:c>
      <x:c r="G1422" s="11" t="n">
        <x:v>1103</x:v>
      </x:c>
      <x:c r="H1422" s="11" t="n">
        <x:v>200</x:v>
      </x:c>
      <x:c r="I1422" s="11" t="n">
        <x:v>1</x:v>
      </x:c>
      <x:c r="J1422" s="4" t="str">
        <x:v>https://blog.skyairline.com/descubre-la-catarata-palacala-y-como-llegar-a-ella/</x:v>
      </x:c>
      <x:c r="K1422" s="16" t="b">
        <x:v>0</x:v>
      </x:c>
      <x:c r="L1422" s="11" t="n">
        <x:v>0</x:v>
      </x:c>
      <x:c r="M1422" s="11" t="n">
        <x:v>3</x:v>
      </x:c>
      <x:c r="N1422" s="4"/>
      <x:c r="O1422" s="4"/>
      <x:c r="P1422" s="11" t="n">
        <x:v>0</x:v>
      </x:c>
      <x:c r="Q1422" s="11" t="n">
        <x:v>0</x:v>
      </x:c>
      <x:c r="R1422" s="11" t="str">
        <x:f>IF(OR(P1422="",Q1422=""),"",Q1422-P1422)</x:f>
      </x:c>
      <x:c r="S1422" s="13" t="str">
        <x:f>IF(OR(P1422="",Q1422="",P1422=0),"",((Q1422/30)/(P1422/31))-1)</x:f>
      </x:c>
      <x:c r="T1422" s="11" t="n">
        <x:v>548</x:v>
      </x:c>
      <x:c r="U1422" s="11" t="n">
        <x:v>12</x:v>
      </x:c>
      <x:c r="V1422" s="14" t="n">
        <x:v>0</x:v>
      </x:c>
      <x:c r="W1422" s="12" t="n">
        <x:v>9.916666666666666</x:v>
      </x:c>
      <x:c r="X1422" s="11"/>
      <x:c r="Y1422" s="11"/>
      <x:c r="Z1422" s="4" t="str">
        <x:v>https://blog.skyairline.com/descubre-la-catarata-palacala-y-como-llegar-a-ella/</x:v>
      </x:c>
      <x:c r="AA1422" s="4" t="str">
        <x:v>https://blog.skyairline.com/descubre-la-catarata-palacala-y-como-llegar-a-ella/</x:v>
      </x:c>
      <x:c r="AB1422" s="4" t="str">
        <x:v>Coincidencia URL</x:v>
      </x:c>
      <x:c r="AC1422" s="4" t="str">
        <x:v>Publicado hasta septiembre</x:v>
      </x:c>
      <x:c r="AD1422" s="4"/>
      <x:c r="AE1422" s="4"/>
      <x:c r="AF1422" s="16" t="b">
        <x:v>0</x:v>
      </x:c>
    </x:row>
    <x:row r="1423" ht="44" customHeight="1">
      <x:c r="A1423" s="4" t="n">
        <x:v>5626</x:v>
      </x:c>
      <x:c r="B1423" s="4" t="str">
        <x:v>https://blog.skyairline.com/cosas-que-puedes-visitar-viajando-desde-puerto-montt-a-cochamo/</x:v>
      </x:c>
      <x:c r="C1423" s="9" t="str">
        <x:v>Cosas que puedes visitar viajando desde Puerto Montt a Cochamo</x:v>
      </x:c>
      <x:c r="D1423" s="17" t="d">
        <x:v>2025-02-14T00:00:00.000Z</x:v>
      </x:c>
      <x:c r="E1423" s="17" t="d">
        <x:v>2025-02-14T00:00:00.000Z</x:v>
      </x:c>
      <x:c r="F1423" s="4" t="str">
        <x:v>Sin categoría</x:v>
      </x:c>
      <x:c r="G1423" s="11" t="n">
        <x:v>1071</x:v>
      </x:c>
      <x:c r="H1423" s="11" t="n">
        <x:v>200</x:v>
      </x:c>
      <x:c r="I1423" s="11" t="n">
        <x:v>1</x:v>
      </x:c>
      <x:c r="J1423" s="4" t="str">
        <x:v>https://blog.skyairline.com/cosas-que-puedes-visitar-viajando-desde-puerto-montt-a-cochamo/</x:v>
      </x:c>
      <x:c r="K1423" s="16" t="b">
        <x:v>0</x:v>
      </x:c>
      <x:c r="L1423" s="11" t="n">
        <x:v>0</x:v>
      </x:c>
      <x:c r="M1423" s="11" t="n">
        <x:v>3</x:v>
      </x:c>
      <x:c r="N1423" s="4"/>
      <x:c r="O1423" s="4"/>
      <x:c r="P1423" s="11" t="n">
        <x:v>1</x:v>
      </x:c>
      <x:c r="Q1423" s="11" t="n">
        <x:v>0</x:v>
      </x:c>
      <x:c r="R1423" s="11" t="str">
        <x:f>IF(OR(P1423="",Q1423=""),"",Q1423-P1423)</x:f>
      </x:c>
      <x:c r="S1423" s="13" t="str">
        <x:f>IF(OR(P1423="",Q1423="",P1423=0),"",((Q1423/30)/(P1423/31))-1)</x:f>
      </x:c>
      <x:c r="T1423" s="11" t="n">
        <x:v>181</x:v>
      </x:c>
      <x:c r="U1423" s="11" t="n">
        <x:v>231</x:v>
      </x:c>
      <x:c r="V1423" s="14" t="n">
        <x:v>0</x:v>
      </x:c>
      <x:c r="W1423" s="12" t="n">
        <x:v>14.367965367965368</x:v>
      </x:c>
      <x:c r="X1423" s="11"/>
      <x:c r="Y1423" s="11"/>
      <x:c r="Z1423" s="4" t="str">
        <x:v>https://blog.skyairline.com/cosas-que-puedes-visitar-viajando-desde-puerto-montt-a-cochamo/</x:v>
      </x:c>
      <x:c r="AA1423" s="4" t="str">
        <x:v>https://blog.skyairline.com/cosas-que-puedes-visitar-viajando-desde-puerto-montt-a-cochamo
https://blog.skyairline.com/cosas-que-puedes-visitar-viajando-desde-puerto-montt-a-cochamo/</x:v>
      </x:c>
      <x:c r="AB1423" s="4" t="str">
        <x:v>Alias slash agregado</x:v>
      </x:c>
      <x:c r="AC1423" s="4" t="str">
        <x:v>Publicado hasta septiembre</x:v>
      </x:c>
      <x:c r="AD1423" s="4"/>
      <x:c r="AE1423" s="4"/>
      <x:c r="AF1423" s="16" t="b">
        <x:v>0</x:v>
      </x:c>
    </x:row>
    <x:row r="1424" ht="44" customHeight="1">
      <x:c r="A1424" s="4" t="n">
        <x:v>5633</x:v>
      </x:c>
      <x:c r="B1424" s="4" t="str">
        <x:v>https://blog.skyairline.com/cosas-que-hacer-en-castro-chile-para-2025/</x:v>
      </x:c>
      <x:c r="C1424" s="9" t="str">
        <x:v>Cosas que hacer en Castro, Chile para 2025</x:v>
      </x:c>
      <x:c r="D1424" s="17" t="d">
        <x:v>2025-02-16T00:00:00.000Z</x:v>
      </x:c>
      <x:c r="E1424" s="17" t="d">
        <x:v>2025-02-16T00:00:00.000Z</x:v>
      </x:c>
      <x:c r="F1424" s="4" t="str">
        <x:v>Sin categoría</x:v>
      </x:c>
      <x:c r="G1424" s="11" t="n">
        <x:v>1071</x:v>
      </x:c>
      <x:c r="H1424" s="11" t="n">
        <x:v>200</x:v>
      </x:c>
      <x:c r="I1424" s="11" t="n">
        <x:v>1</x:v>
      </x:c>
      <x:c r="J1424" s="4" t="str">
        <x:v>https://blog.skyairline.com/cosas-que-hacer-en-castro-chile-para-2025/</x:v>
      </x:c>
      <x:c r="K1424" s="16" t="b">
        <x:v>0</x:v>
      </x:c>
      <x:c r="L1424" s="11" t="n">
        <x:v>0</x:v>
      </x:c>
      <x:c r="M1424" s="11" t="n">
        <x:v>3</x:v>
      </x:c>
      <x:c r="N1424" s="4"/>
      <x:c r="O1424" s="4"/>
      <x:c r="P1424" s="11" t="n">
        <x:v>1</x:v>
      </x:c>
      <x:c r="Q1424" s="11" t="n">
        <x:v>0</x:v>
      </x:c>
      <x:c r="R1424" s="11" t="str">
        <x:f>IF(OR(P1424="",Q1424=""),"",Q1424-P1424)</x:f>
      </x:c>
      <x:c r="S1424" s="13" t="str">
        <x:f>IF(OR(P1424="",Q1424="",P1424=0),"",((Q1424/30)/(P1424/31))-1)</x:f>
      </x:c>
      <x:c r="T1424" s="11" t="n">
        <x:v>294</x:v>
      </x:c>
      <x:c r="U1424" s="11" t="n">
        <x:v>228</x:v>
      </x:c>
      <x:c r="V1424" s="14" t="n">
        <x:v>0</x:v>
      </x:c>
      <x:c r="W1424" s="12" t="n">
        <x:v>17.017543859649123</x:v>
      </x:c>
      <x:c r="X1424" s="11"/>
      <x:c r="Y1424" s="11"/>
      <x:c r="Z1424" s="4" t="str">
        <x:v>https://blog.skyairline.com/cosas-que-hacer-en-castro-chile-para-2025/</x:v>
      </x:c>
      <x:c r="AA1424" s="4" t="str">
        <x:v>https://blog.skyairline.com/cosas-que-hacer-en-castro-chile-para-2025/</x:v>
      </x:c>
      <x:c r="AB1424" s="4" t="str">
        <x:v>Coincidencia URL</x:v>
      </x:c>
      <x:c r="AC1424" s="4" t="str">
        <x:v>Publicado hasta septiembre</x:v>
      </x:c>
      <x:c r="AD1424" s="4"/>
      <x:c r="AE1424" s="4"/>
      <x:c r="AF1424" s="16" t="b">
        <x:v>0</x:v>
      </x:c>
    </x:row>
    <x:row r="1425" ht="44" customHeight="1">
      <x:c r="A1425" s="4" t="n">
        <x:v>5658</x:v>
      </x:c>
      <x:c r="B1425" s="4" t="str">
        <x:v>https://blog.skyairline.com/vuelos-baratos-a-cancun-como-encontrar-las-mejores-ofertas/</x:v>
      </x:c>
      <x:c r="C1425" s="9" t="str">
        <x:v>Vuelos baratos a Cancún: cómo encontrar las mejores ofertas</x:v>
      </x:c>
      <x:c r="D1425" s="17" t="d">
        <x:v>2025-02-23T00:00:00.000Z</x:v>
      </x:c>
      <x:c r="E1425" s="17" t="d">
        <x:v>2025-02-23T00:00:00.000Z</x:v>
      </x:c>
      <x:c r="F1425" s="4" t="str">
        <x:v>Sin categoría</x:v>
      </x:c>
      <x:c r="G1425" s="11" t="n">
        <x:v>1078</x:v>
      </x:c>
      <x:c r="H1425" s="11" t="n">
        <x:v>200</x:v>
      </x:c>
      <x:c r="I1425" s="11" t="n">
        <x:v>1</x:v>
      </x:c>
      <x:c r="J1425" s="4" t="str">
        <x:v>https://blog.skyairline.com/vuelos-baratos-a-cancun-como-encontrar-las-mejores-ofertas/</x:v>
      </x:c>
      <x:c r="K1425" s="16" t="b">
        <x:v>0</x:v>
      </x:c>
      <x:c r="L1425" s="11" t="n">
        <x:v>0</x:v>
      </x:c>
      <x:c r="M1425" s="11" t="n">
        <x:v>2</x:v>
      </x:c>
      <x:c r="N1425" s="4"/>
      <x:c r="O1425" s="4"/>
      <x:c r="P1425" s="11" t="n">
        <x:v>0</x:v>
      </x:c>
      <x:c r="Q1425" s="11" t="n">
        <x:v>0</x:v>
      </x:c>
      <x:c r="R1425" s="11" t="str">
        <x:f>IF(OR(P1425="",Q1425=""),"",Q1425-P1425)</x:f>
      </x:c>
      <x:c r="S1425" s="13" t="str">
        <x:f>IF(OR(P1425="",Q1425="",P1425=0),"",((Q1425/30)/(P1425/31))-1)</x:f>
      </x:c>
      <x:c r="T1425" s="11" t="n">
        <x:v>258</x:v>
      </x:c>
      <x:c r="U1425" s="11" t="n">
        <x:v>682</x:v>
      </x:c>
      <x:c r="V1425" s="14" t="n">
        <x:v>0</x:v>
      </x:c>
      <x:c r="W1425" s="12" t="n">
        <x:v>9.436950146627566</x:v>
      </x:c>
      <x:c r="X1425" s="11" t="n">
        <x:v>1</x:v>
      </x:c>
      <x:c r="Y1425" s="11" t="n">
        <x:v>1</x:v>
      </x:c>
      <x:c r="Z1425" s="4" t="str">
        <x:v>https://blog.skyairline.com/vuelos-baratos-a-cancun-como-encontrar-las-mejores-ofertas/</x:v>
      </x:c>
      <x:c r="AA1425" s="4" t="str">
        <x:v>https://blog.skyairline.com/vuelos-baratos-a-cancun-como-encontrar-las-mejores-ofertas/</x:v>
      </x:c>
      <x:c r="AB1425" s="4" t="str">
        <x:v>Coincidencia URL</x:v>
      </x:c>
      <x:c r="AC1425" s="4" t="str">
        <x:v>Publicado hasta septiembre</x:v>
      </x:c>
      <x:c r="AD1425" s="4" t="str">
        <x:v>/vuelos-baratos-a-cancun-como-encontrar-las-mejores-ofertas/</x:v>
      </x:c>
      <x:c r="AE1425" s="4"/>
      <x:c r="AF1425" s="16" t="b">
        <x:v>0</x:v>
      </x:c>
    </x:row>
    <x:row r="1426" ht="44" customHeight="1">
      <x:c r="A1426" s="4" t="n">
        <x:v>5664</x:v>
      </x:c>
      <x:c r="B1426" s="4" t="str">
        <x:v>https://blog.skyairline.com/5-panoramas-en-pucon-para-no-perderte-con-tu-familia/</x:v>
      </x:c>
      <x:c r="C1426" s="9" t="str">
        <x:v>5 panoramas en Pucón para no perderte con tu familia</x:v>
      </x:c>
      <x:c r="D1426" s="17" t="d">
        <x:v>2025-02-25T00:00:00.000Z</x:v>
      </x:c>
      <x:c r="E1426" s="17" t="d">
        <x:v>2025-02-25T00:00:00.000Z</x:v>
      </x:c>
      <x:c r="F1426" s="4" t="str">
        <x:v>Sin categoría</x:v>
      </x:c>
      <x:c r="G1426" s="11" t="n">
        <x:v>1064</x:v>
      </x:c>
      <x:c r="H1426" s="11" t="n">
        <x:v>200</x:v>
      </x:c>
      <x:c r="I1426" s="11" t="n">
        <x:v>1</x:v>
      </x:c>
      <x:c r="J1426" s="4" t="str">
        <x:v>https://blog.skyairline.com/5-panoramas-en-pucon-para-no-perderte-con-tu-familia/</x:v>
      </x:c>
      <x:c r="K1426" s="16" t="b">
        <x:v>0</x:v>
      </x:c>
      <x:c r="L1426" s="11" t="n">
        <x:v>0</x:v>
      </x:c>
      <x:c r="M1426" s="11" t="n">
        <x:v>3</x:v>
      </x:c>
      <x:c r="N1426" s="4"/>
      <x:c r="O1426" s="4"/>
      <x:c r="P1426" s="11" t="n">
        <x:v>0</x:v>
      </x:c>
      <x:c r="Q1426" s="11" t="n">
        <x:v>0</x:v>
      </x:c>
      <x:c r="R1426" s="11" t="str">
        <x:f>IF(OR(P1426="",Q1426=""),"",Q1426-P1426)</x:f>
      </x:c>
      <x:c r="S1426" s="13" t="str">
        <x:f>IF(OR(P1426="",Q1426="",P1426=0),"",((Q1426/30)/(P1426/31))-1)</x:f>
      </x:c>
      <x:c r="T1426" s="11" t="n">
        <x:v>69</x:v>
      </x:c>
      <x:c r="U1426" s="11" t="n">
        <x:v>25</x:v>
      </x:c>
      <x:c r="V1426" s="14" t="n">
        <x:v>0</x:v>
      </x:c>
      <x:c r="W1426" s="12" t="n">
        <x:v>17.56</x:v>
      </x:c>
      <x:c r="X1426" s="11"/>
      <x:c r="Y1426" s="11"/>
      <x:c r="Z1426" s="4" t="str">
        <x:v>https://blog.skyairline.com/5-panoramas-en-pucon-para-no-perderte-con-tu-familia/</x:v>
      </x:c>
      <x:c r="AA1426" s="4" t="str">
        <x:v>https://blog.skyairline.com/5-panoramas-en-pucon-para-no-perderte-con-tu-familia/</x:v>
      </x:c>
      <x:c r="AB1426" s="4" t="str">
        <x:v>Coincidencia URL</x:v>
      </x:c>
      <x:c r="AC1426" s="4" t="str">
        <x:v>Publicado hasta septiembre</x:v>
      </x:c>
      <x:c r="AD1426" s="4"/>
      <x:c r="AE1426" s="4"/>
      <x:c r="AF1426" s="16" t="b">
        <x:v>0</x:v>
      </x:c>
    </x:row>
    <x:row r="1427" ht="44" customHeight="1">
      <x:c r="A1427" s="4" t="n">
        <x:v>5668</x:v>
      </x:c>
      <x:c r="B1427" s="4" t="str">
        <x:v>https://blog.skyairline.com/5-viajes-al-sur-de-chile-que-no-puedes-dejar-de-hacer/</x:v>
      </x:c>
      <x:c r="C1427" s="9" t="str">
        <x:v>5 viajes al sur de Chile que no puedes dejar de hacer</x:v>
      </x:c>
      <x:c r="D1427" s="17" t="d">
        <x:v>2025-02-26T00:00:00.000Z</x:v>
      </x:c>
      <x:c r="E1427" s="17" t="d">
        <x:v>2025-02-26T00:00:00.000Z</x:v>
      </x:c>
      <x:c r="F1427" s="4" t="str">
        <x:v>Sin categoría</x:v>
      </x:c>
      <x:c r="G1427" s="11" t="n">
        <x:v>1191</x:v>
      </x:c>
      <x:c r="H1427" s="11" t="n">
        <x:v>200</x:v>
      </x:c>
      <x:c r="I1427" s="11" t="n">
        <x:v>1</x:v>
      </x:c>
      <x:c r="J1427" s="4" t="str">
        <x:v>https://blog.skyairline.com/5-viajes-al-sur-de-chile-que-no-puedes-dejar-de-hacer/</x:v>
      </x:c>
      <x:c r="K1427" s="16" t="b">
        <x:v>0</x:v>
      </x:c>
      <x:c r="L1427" s="11" t="n">
        <x:v>0</x:v>
      </x:c>
      <x:c r="M1427" s="11" t="n">
        <x:v>3</x:v>
      </x:c>
      <x:c r="N1427" s="4"/>
      <x:c r="O1427" s="4"/>
      <x:c r="P1427" s="11" t="n">
        <x:v>1</x:v>
      </x:c>
      <x:c r="Q1427" s="11" t="n">
        <x:v>0</x:v>
      </x:c>
      <x:c r="R1427" s="11" t="str">
        <x:f>IF(OR(P1427="",Q1427=""),"",Q1427-P1427)</x:f>
      </x:c>
      <x:c r="S1427" s="13" t="str">
        <x:f>IF(OR(P1427="",Q1427="",P1427=0),"",((Q1427/30)/(P1427/31))-1)</x:f>
      </x:c>
      <x:c r="T1427" s="11" t="n">
        <x:v>418</x:v>
      </x:c>
      <x:c r="U1427" s="11" t="n">
        <x:v>271</x:v>
      </x:c>
      <x:c r="V1427" s="14" t="n">
        <x:v>0</x:v>
      </x:c>
      <x:c r="W1427" s="12" t="n">
        <x:v>17.321033210332104</x:v>
      </x:c>
      <x:c r="X1427" s="11" t="n">
        <x:v>1</x:v>
      </x:c>
      <x:c r="Y1427" s="11" t="n">
        <x:v>1</x:v>
      </x:c>
      <x:c r="Z1427" s="4" t="str">
        <x:v>https://blog.skyairline.com/5-viajes-al-sur-de-chile-que-no-puedes-dejar-de-hacer/</x:v>
      </x:c>
      <x:c r="AA1427" s="4" t="str">
        <x:v>https://blog.skyairline.com/5-viajes-al-sur-de-chile-que-no-puedes-dejar-de-hacer/</x:v>
      </x:c>
      <x:c r="AB1427" s="4" t="str">
        <x:v>Coincidencia URL</x:v>
      </x:c>
      <x:c r="AC1427" s="4" t="str">
        <x:v>Publicado hasta septiembre</x:v>
      </x:c>
      <x:c r="AD1427" s="4" t="str">
        <x:v>/5-viajes-al-sur-de-chile-que-no-puedes-dejar-de-hacer/</x:v>
      </x:c>
      <x:c r="AE1427" s="4"/>
      <x:c r="AF1427" s="16" t="b">
        <x:v>0</x:v>
      </x:c>
    </x:row>
    <x:row r="1428" ht="44" customHeight="1">
      <x:c r="A1428" s="4" t="n">
        <x:v>5671</x:v>
      </x:c>
      <x:c r="B1428" s="4" t="str">
        <x:v>https://blog.skyairline.com/7-termas-cerca-de-pucon-que-no-puedes-dejar-de-visitar/</x:v>
      </x:c>
      <x:c r="C1428" s="9" t="str">
        <x:v>7 termas cerca de Pucón que no puedes dejar de visitar</x:v>
      </x:c>
      <x:c r="D1428" s="17" t="d">
        <x:v>2025-02-27T00:00:00.000Z</x:v>
      </x:c>
      <x:c r="E1428" s="17" t="d">
        <x:v>2025-02-27T00:00:00.000Z</x:v>
      </x:c>
      <x:c r="F1428" s="4" t="str">
        <x:v>Sin categoría</x:v>
      </x:c>
      <x:c r="G1428" s="11" t="n">
        <x:v>1006</x:v>
      </x:c>
      <x:c r="H1428" s="11" t="n">
        <x:v>200</x:v>
      </x:c>
      <x:c r="I1428" s="11" t="n">
        <x:v>1</x:v>
      </x:c>
      <x:c r="J1428" s="4" t="str">
        <x:v>https://blog.skyairline.com/7-termas-cerca-de-pucon-que-no-puedes-dejar-de-visitar/</x:v>
      </x:c>
      <x:c r="K1428" s="16" t="b">
        <x:v>0</x:v>
      </x:c>
      <x:c r="L1428" s="11" t="n">
        <x:v>0</x:v>
      </x:c>
      <x:c r="M1428" s="11" t="n">
        <x:v>3</x:v>
      </x:c>
      <x:c r="N1428" s="4"/>
      <x:c r="O1428" s="4"/>
      <x:c r="P1428" s="11" t="n">
        <x:v>1</x:v>
      </x:c>
      <x:c r="Q1428" s="11" t="n">
        <x:v>0</x:v>
      </x:c>
      <x:c r="R1428" s="11" t="str">
        <x:f>IF(OR(P1428="",Q1428=""),"",Q1428-P1428)</x:f>
      </x:c>
      <x:c r="S1428" s="13" t="str">
        <x:f>IF(OR(P1428="",Q1428="",P1428=0),"",((Q1428/30)/(P1428/31))-1)</x:f>
      </x:c>
      <x:c r="T1428" s="11" t="n">
        <x:v>328</x:v>
      </x:c>
      <x:c r="U1428" s="11" t="n">
        <x:v>199</x:v>
      </x:c>
      <x:c r="V1428" s="14" t="n">
        <x:v>0</x:v>
      </x:c>
      <x:c r="W1428" s="12" t="n">
        <x:v>30.753768844221106</x:v>
      </x:c>
      <x:c r="X1428" s="11" t="n">
        <x:v>1</x:v>
      </x:c>
      <x:c r="Y1428" s="11" t="n">
        <x:v>1</x:v>
      </x:c>
      <x:c r="Z1428" s="4" t="str">
        <x:v>https://blog.skyairline.com/7-termas-cerca-de-pucon-que-no-puedes-dejar-de-visitar/</x:v>
      </x:c>
      <x:c r="AA1428" s="4" t="str">
        <x:v>https://blog.skyairline.com/7-termas-cerca-de-pucon-que-no-puedes-dejar-de-visitar/</x:v>
      </x:c>
      <x:c r="AB1428" s="4" t="str">
        <x:v>Coincidencia URL</x:v>
      </x:c>
      <x:c r="AC1428" s="4" t="str">
        <x:v>Publicado hasta septiembre</x:v>
      </x:c>
      <x:c r="AD1428" s="4" t="str">
        <x:v>/7-termas-cerca-de-pucon-que-no-puedes-dejar-de-visitar/</x:v>
      </x:c>
      <x:c r="AE1428" s="4"/>
      <x:c r="AF1428" s="16" t="b">
        <x:v>0</x:v>
      </x:c>
    </x:row>
    <x:row r="1429" ht="44" customHeight="1">
      <x:c r="A1429" s="4" t="n">
        <x:v>5674</x:v>
      </x:c>
      <x:c r="B1429" s="4" t="str">
        <x:v>https://blog.skyairline.com/actividades-en-iquique-que-no-puedes-dejar-de-hacer/</x:v>
      </x:c>
      <x:c r="C1429" s="9" t="str">
        <x:v>Actividades en Iquique que no puedes dejar de hacer</x:v>
      </x:c>
      <x:c r="D1429" s="17" t="d">
        <x:v>2025-02-28T00:00:00.000Z</x:v>
      </x:c>
      <x:c r="E1429" s="17" t="d">
        <x:v>2025-02-28T00:00:00.000Z</x:v>
      </x:c>
      <x:c r="F1429" s="4" t="str">
        <x:v>Sin categoría</x:v>
      </x:c>
      <x:c r="G1429" s="11" t="n">
        <x:v>1058</x:v>
      </x:c>
      <x:c r="H1429" s="11" t="n">
        <x:v>200</x:v>
      </x:c>
      <x:c r="I1429" s="11" t="n">
        <x:v>1</x:v>
      </x:c>
      <x:c r="J1429" s="4" t="str">
        <x:v>https://blog.skyairline.com/actividades-en-iquique-que-no-puedes-dejar-de-hacer/</x:v>
      </x:c>
      <x:c r="K1429" s="16" t="b">
        <x:v>0</x:v>
      </x:c>
      <x:c r="L1429" s="11" t="n">
        <x:v>0</x:v>
      </x:c>
      <x:c r="M1429" s="11" t="n">
        <x:v>3</x:v>
      </x:c>
      <x:c r="N1429" s="4"/>
      <x:c r="O1429" s="4"/>
      <x:c r="P1429" s="11" t="n">
        <x:v>1</x:v>
      </x:c>
      <x:c r="Q1429" s="11" t="n">
        <x:v>0</x:v>
      </x:c>
      <x:c r="R1429" s="11" t="str">
        <x:f>IF(OR(P1429="",Q1429=""),"",Q1429-P1429)</x:f>
      </x:c>
      <x:c r="S1429" s="13" t="str">
        <x:f>IF(OR(P1429="",Q1429="",P1429=0),"",((Q1429/30)/(P1429/31))-1)</x:f>
      </x:c>
      <x:c r="T1429" s="11" t="n">
        <x:v>39</x:v>
      </x:c>
      <x:c r="U1429" s="11" t="n">
        <x:v>22</x:v>
      </x:c>
      <x:c r="V1429" s="14" t="n">
        <x:v>0</x:v>
      </x:c>
      <x:c r="W1429" s="12" t="n">
        <x:v>25.272727272727273</x:v>
      </x:c>
      <x:c r="X1429" s="11" t="n">
        <x:v>3</x:v>
      </x:c>
      <x:c r="Y1429" s="11" t="n">
        <x:v>3</x:v>
      </x:c>
      <x:c r="Z1429" s="4" t="str">
        <x:v>https://blog.skyairline.com/actividades-en-iquique-que-no-puedes-dejar-de-hacer/</x:v>
      </x:c>
      <x:c r="AA1429" s="4" t="str">
        <x:v>https://blog.skyairline.com/actividades-en-iquique-que-no-puedes-dejar-de-hacer/</x:v>
      </x:c>
      <x:c r="AB1429" s="4" t="str">
        <x:v>Coincidencia URL</x:v>
      </x:c>
      <x:c r="AC1429" s="4" t="str">
        <x:v>Publicado hasta septiembre</x:v>
      </x:c>
      <x:c r="AD1429" s="4" t="str">
        <x:v>/actividades-en-iquique-que-no-puedes-dejar-de-hacer/</x:v>
      </x:c>
      <x:c r="AE1429" s="4"/>
      <x:c r="AF1429" s="16" t="b">
        <x:v>0</x:v>
      </x:c>
    </x:row>
    <x:row r="1430" ht="44" customHeight="1">
      <x:c r="A1430" s="4" t="n">
        <x:v>5702</x:v>
      </x:c>
      <x:c r="B1430" s="4" t="str">
        <x:v>https://blog.skyairline.com/sky-y-ami-chile-firmaron-una-alianza-para-fomentar-la-mitilicultura-en-el-pais/</x:v>
      </x:c>
      <x:c r="C1430" s="9" t="str">
        <x:v>SKY y AMI Chile firmaron una alianza para fomentar la mitilicultura en el país</x:v>
      </x:c>
      <x:c r="D1430" s="17" t="d">
        <x:v>2025-02-03T00:00:00.000Z</x:v>
      </x:c>
      <x:c r="E1430" s="17" t="d">
        <x:v>2025-02-03T00:00:00.000Z</x:v>
      </x:c>
      <x:c r="F1430" s="4" t="str">
        <x:v>Sin categoría</x:v>
      </x:c>
      <x:c r="G1430" s="11" t="n">
        <x:v>222</x:v>
      </x:c>
      <x:c r="H1430" s="11" t="n">
        <x:v>200</x:v>
      </x:c>
      <x:c r="I1430" s="11" t="n">
        <x:v>1</x:v>
      </x:c>
      <x:c r="J1430" s="4" t="str">
        <x:v>https://blog.skyairline.com/sky-y-ami-chile-firmaron-una-alianza-para-fomentar-la-mitilicultura-en-el-pais/</x:v>
      </x:c>
      <x:c r="K1430" s="16" t="b">
        <x:v>0</x:v>
      </x:c>
      <x:c r="L1430" s="11" t="n">
        <x:v>0</x:v>
      </x:c>
      <x:c r="M1430" s="11" t="n">
        <x:v>0</x:v>
      </x:c>
      <x:c r="N1430" s="4"/>
      <x:c r="O1430" s="4"/>
      <x:c r="P1430" s="11" t="n">
        <x:v>0</x:v>
      </x:c>
      <x:c r="Q1430" s="11" t="n">
        <x:v>0</x:v>
      </x:c>
      <x:c r="R1430" s="11" t="str">
        <x:f>IF(OR(P1430="",Q1430=""),"",Q1430-P1430)</x:f>
      </x:c>
      <x:c r="S1430" s="13" t="str">
        <x:f>IF(OR(P1430="",Q1430="",P1430=0),"",((Q1430/30)/(P1430/31))-1)</x:f>
      </x:c>
      <x:c r="T1430" s="11" t="n">
        <x:v>4</x:v>
      </x:c>
      <x:c r="U1430" s="11" t="n">
        <x:v>2</x:v>
      </x:c>
      <x:c r="V1430" s="14" t="n">
        <x:v>0</x:v>
      </x:c>
      <x:c r="W1430" s="12" t="n">
        <x:v>5</x:v>
      </x:c>
      <x:c r="X1430" s="11"/>
      <x:c r="Y1430" s="11"/>
      <x:c r="Z1430" s="4" t="str">
        <x:v>https://blog.skyairline.com/sky-y-ami-chile-firmaron-una-alianza-para-fomentar-la-mitilicultura-en-el-pais/</x:v>
      </x:c>
      <x:c r="AA1430" s="4" t="str">
        <x:v>https://blog.skyairline.com/sky-y-ami-chile-firmaron-una-alianza-para-fomentar-la-mitilicultura-en-el-pais/</x:v>
      </x:c>
      <x:c r="AB1430" s="4" t="str">
        <x:v>Coincidencia URL</x:v>
      </x:c>
      <x:c r="AC1430" s="4" t="str">
        <x:v>Publicado hasta septiembre</x:v>
      </x:c>
      <x:c r="AD1430" s="4"/>
      <x:c r="AE1430" s="4"/>
      <x:c r="AF1430" s="16" t="b">
        <x:v>0</x:v>
      </x:c>
    </x:row>
    <x:row r="1431" ht="44" customHeight="1">
      <x:c r="A1431" s="4" t="n">
        <x:v>5707</x:v>
      </x:c>
      <x:c r="B1431" s="4" t="str">
        <x:v>https://blog.skyairline.com/sky-airline-evito-la-emision-de-mas-de-315-mil-toneladas-de-co2-durante-el-2024/</x:v>
      </x:c>
      <x:c r="C1431" s="9" t="str">
        <x:v>SKY Airline evitó la emisión de más de 315 mil toneladas de CO2 durante el 2024</x:v>
      </x:c>
      <x:c r="D1431" s="17" t="d">
        <x:v>2025-02-03T00:00:00.000Z</x:v>
      </x:c>
      <x:c r="E1431" s="17" t="d">
        <x:v>2025-02-03T00:00:00.000Z</x:v>
      </x:c>
      <x:c r="F1431" s="4" t="str">
        <x:v>Sin categoría</x:v>
      </x:c>
      <x:c r="G1431" s="11" t="n">
        <x:v>446</x:v>
      </x:c>
      <x:c r="H1431" s="11" t="n">
        <x:v>200</x:v>
      </x:c>
      <x:c r="I1431" s="11" t="n">
        <x:v>1</x:v>
      </x:c>
      <x:c r="J1431" s="4" t="str">
        <x:v>https://blog.skyairline.com/sky-airline-evito-la-emision-de-mas-de-315-mil-toneladas-de-co2-durante-el-2024/</x:v>
      </x:c>
      <x:c r="K1431" s="16" t="b">
        <x:v>0</x:v>
      </x:c>
      <x:c r="L1431" s="11" t="n">
        <x:v>0</x:v>
      </x:c>
      <x:c r="M1431" s="11" t="n">
        <x:v>0</x:v>
      </x:c>
      <x:c r="N1431" s="4" t="str">
        <x:v>T07</x:v>
      </x:c>
      <x:c r="O1431" s="4"/>
      <x:c r="P1431" s="11" t="n">
        <x:v>0</x:v>
      </x:c>
      <x:c r="Q1431" s="11" t="n">
        <x:v>0</x:v>
      </x:c>
      <x:c r="R1431" s="11" t="str">
        <x:f>IF(OR(P1431="",Q1431=""),"",Q1431-P1431)</x:f>
      </x:c>
      <x:c r="S1431" s="13" t="str">
        <x:f>IF(OR(P1431="",Q1431="",P1431=0),"",((Q1431/30)/(P1431/31))-1)</x:f>
      </x:c>
      <x:c r="T1431" s="11" t="n">
        <x:v>4</x:v>
      </x:c>
      <x:c r="U1431" s="11" t="n">
        <x:v>4</x:v>
      </x:c>
      <x:c r="V1431" s="14" t="n">
        <x:v>0</x:v>
      </x:c>
      <x:c r="W1431" s="12" t="n">
        <x:v>4.25</x:v>
      </x:c>
      <x:c r="X1431" s="11" t="n">
        <x:v>1</x:v>
      </x:c>
      <x:c r="Y1431" s="11" t="n">
        <x:v>1</x:v>
      </x:c>
      <x:c r="Z1431" s="4" t="str">
        <x:v>https://blog.skyairline.com/sky-airline-evito-la-emision-de-mas-de-315-mil-toneladas-de-co2-durante-el-2024/</x:v>
      </x:c>
      <x:c r="AA1431" s="4" t="str">
        <x:v>https://blog.skyairline.com/sky-airline-evito-la-emision-de-mas-de-315-mil-toneladas-de-co2-durante-el-2024/</x:v>
      </x:c>
      <x:c r="AB1431" s="4" t="str">
        <x:v>Coincidencia URL</x:v>
      </x:c>
      <x:c r="AC1431" s="4" t="str">
        <x:v>Publicado hasta septiembre</x:v>
      </x:c>
      <x:c r="AD1431" s="4" t="str">
        <x:v>/sky-airline-evito-la-emision-de-mas-de-315-mil-toneladas-de-co2-durante-el-2024/</x:v>
      </x:c>
      <x:c r="AE1431" s="4"/>
      <x:c r="AF1431" s="16" t="b">
        <x:v>0</x:v>
      </x:c>
    </x:row>
    <x:row r="1432" ht="44" customHeight="1">
      <x:c r="A1432" s="4" t="n">
        <x:v>5712</x:v>
      </x:c>
      <x:c r="B1432" s="4" t="str">
        <x:v>https://blog.skyairline.com/segun-un-balance-de-sky-santiago-y-punta-cana-entre-los-destinos-internacionales-mas-visitados-desde-lima-en-el-2024/</x:v>
      </x:c>
      <x:c r="C1432" s="9" t="str">
        <x:v>Según un balance de SKY: Santiago y Punta Cana, entre los destinos internacionales más visitados desde Lima en el 2024</x:v>
      </x:c>
      <x:c r="D1432" s="17" t="d">
        <x:v>2025-02-05T00:00:00.000Z</x:v>
      </x:c>
      <x:c r="E1432" s="17" t="d">
        <x:v>2025-02-05T00:00:00.000Z</x:v>
      </x:c>
      <x:c r="F1432" s="4" t="str">
        <x:v>Noticias, Sin categoría</x:v>
      </x:c>
      <x:c r="G1432" s="11" t="n">
        <x:v>814</x:v>
      </x:c>
      <x:c r="H1432" s="11" t="n">
        <x:v>200</x:v>
      </x:c>
      <x:c r="I1432" s="11" t="n">
        <x:v>1</x:v>
      </x:c>
      <x:c r="J1432" s="4" t="str">
        <x:v>https://blog.skyairline.com/segun-un-balance-de-sky-santiago-y-punta-cana-entre-los-destinos-internacionales-mas-visitados-desde-lima-en-el-2024/</x:v>
      </x:c>
      <x:c r="K1432" s="16" t="b">
        <x:v>0</x:v>
      </x:c>
      <x:c r="L1432" s="11" t="n">
        <x:v>0</x:v>
      </x:c>
      <x:c r="M1432" s="11" t="n">
        <x:v>0</x:v>
      </x:c>
      <x:c r="N1432" s="4"/>
      <x:c r="O1432" s="4"/>
      <x:c r="P1432" s="11" t="n">
        <x:v>0</x:v>
      </x:c>
      <x:c r="Q1432" s="11" t="n">
        <x:v>0</x:v>
      </x:c>
      <x:c r="R1432" s="11" t="str">
        <x:f>IF(OR(P1432="",Q1432=""),"",Q1432-P1432)</x:f>
      </x:c>
      <x:c r="S1432" s="13" t="str">
        <x:f>IF(OR(P1432="",Q1432="",P1432=0),"",((Q1432/30)/(P1432/31))-1)</x:f>
      </x:c>
      <x:c r="T1432" s="11" t="n">
        <x:v>41</x:v>
      </x:c>
      <x:c r="U1432" s="11" t="n">
        <x:v>31</x:v>
      </x:c>
      <x:c r="V1432" s="14" t="n">
        <x:v>0</x:v>
      </x:c>
      <x:c r="W1432" s="12" t="n">
        <x:v>11.387096774193548</x:v>
      </x:c>
      <x:c r="X1432" s="11"/>
      <x:c r="Y1432" s="11"/>
      <x:c r="Z1432" s="4" t="str">
        <x:v>https://blog.skyairline.com/segun-un-balance-de-sky-santiago-y-punta-cana-entre-los-destinos-internacionales-mas-visitados-desde-lima-en-el-2024/</x:v>
      </x:c>
      <x:c r="AA1432" s="4" t="str">
        <x:v>https://blog.skyairline.com/segun-un-balance-de-sky-santiago-y-punta-cana-entre-los-destinos-internacionales-mas-visitados-desde-lima-en-el-2024/</x:v>
      </x:c>
      <x:c r="AB1432" s="4" t="str">
        <x:v>Coincidencia URL</x:v>
      </x:c>
      <x:c r="AC1432" s="4" t="str">
        <x:v>Publicado hasta septiembre</x:v>
      </x:c>
      <x:c r="AD1432" s="4"/>
      <x:c r="AE1432" s="4"/>
      <x:c r="AF1432" s="16" t="b">
        <x:v>0</x:v>
      </x:c>
    </x:row>
    <x:row r="1433" ht="44" customHeight="1">
      <x:c r="A1433" s="4" t="n">
        <x:v>5717</x:v>
      </x:c>
      <x:c r="B1433" s="4" t="str">
        <x:v>https://blog.skyairline.com/lugares-turisticos-3/</x:v>
      </x:c>
      <x:c r="C1433" s="9" t="str">
        <x:v>4 Lugares turísticos donde puedes sumergirte en la cultura local Peruana</x:v>
      </x:c>
      <x:c r="D1433" s="17" t="d">
        <x:v>2025-12-15T00:00:00.000Z</x:v>
      </x:c>
      <x:c r="E1433" s="17" t="d">
        <x:v>2025-12-15T00:00:00.000Z</x:v>
      </x:c>
      <x:c r="F1433" s="4" t="str">
        <x:v>Planificación de Viaje</x:v>
      </x:c>
      <x:c r="G1433" s="11" t="n">
        <x:v>996</x:v>
      </x:c>
      <x:c r="H1433" s="11" t="n">
        <x:v>200</x:v>
      </x:c>
      <x:c r="I1433" s="11" t="n">
        <x:v>1</x:v>
      </x:c>
      <x:c r="J1433" s="4" t="str">
        <x:v>https://blog.skyairline.com/lugares-turisticos-3/</x:v>
      </x:c>
      <x:c r="K1433" s="16" t="b">
        <x:v>0</x:v>
      </x:c>
      <x:c r="L1433" s="11" t="n">
        <x:v>0</x:v>
      </x:c>
      <x:c r="M1433" s="11" t="n">
        <x:v>0</x:v>
      </x:c>
      <x:c r="N1433" s="4"/>
      <x:c r="O1433" s="4"/>
      <x:c r="P1433" s="11" t="n">
        <x:v>0</x:v>
      </x:c>
      <x:c r="Q1433" s="11" t="n">
        <x:v>0</x:v>
      </x:c>
      <x:c r="R1433" s="11" t="str">
        <x:f>IF(OR(P1433="",Q1433=""),"",Q1433-P1433)</x:f>
      </x:c>
      <x:c r="S1433" s="13" t="str">
        <x:f>IF(OR(P1433="",Q1433="",P1433=0),"",((Q1433/30)/(P1433/31))-1)</x:f>
      </x:c>
      <x:c r="T1433" s="11" t="n">
        <x:v>8</x:v>
      </x:c>
      <x:c r="U1433" s="11" t="n">
        <x:v>12</x:v>
      </x:c>
      <x:c r="V1433" s="14" t="n">
        <x:v>0</x:v>
      </x:c>
      <x:c r="W1433" s="12" t="n">
        <x:v>8.333333333333332</x:v>
      </x:c>
      <x:c r="X1433" s="11"/>
      <x:c r="Y1433" s="11"/>
      <x:c r="Z1433" s="4" t="str">
        <x:v>https://blog.skyairline.com/lugares-turisticos-3/</x:v>
      </x:c>
      <x:c r="AA1433" s="4" t="str">
        <x:v>https://blog.skyairline.com/lugares-turisticos-3/</x:v>
      </x:c>
      <x:c r="AB1433" s="4" t="str">
        <x:v>Coincidencia URL</x:v>
      </x:c>
      <x:c r="AC1433" s="4" t="str">
        <x:v>Publicado hasta septiembre</x:v>
      </x:c>
      <x:c r="AD1433" s="4"/>
      <x:c r="AE1433" s="4"/>
      <x:c r="AF1433" s="16" t="b">
        <x:v>0</x:v>
      </x:c>
    </x:row>
    <x:row r="1434" ht="44" customHeight="1">
      <x:c r="A1434" s="4" t="n">
        <x:v>5724</x:v>
      </x:c>
      <x:c r="B1434" s="4" t="str">
        <x:v>https://blog.skyairline.com/que-tienen-en-comun-los-lugares-turisticos-al-norte-de-chile/</x:v>
      </x:c>
      <x:c r="C1434" s="9" t="str">
        <x:v>¿Qué tienen en común los lugares turísticos al norte de Chile?</x:v>
      </x:c>
      <x:c r="D1434" s="17" t="d">
        <x:v>2025-01-24T00:00:00.000Z</x:v>
      </x:c>
      <x:c r="E1434" s="17" t="d">
        <x:v>2025-01-24T00:00:00.000Z</x:v>
      </x:c>
      <x:c r="F1434" s="4" t="str">
        <x:v>Sin categoría</x:v>
      </x:c>
      <x:c r="G1434" s="11" t="n">
        <x:v>1080</x:v>
      </x:c>
      <x:c r="H1434" s="11" t="n">
        <x:v>200</x:v>
      </x:c>
      <x:c r="I1434" s="11" t="n">
        <x:v>1</x:v>
      </x:c>
      <x:c r="J1434" s="4" t="str">
        <x:v>https://blog.skyairline.com/que-tienen-en-comun-los-lugares-turisticos-al-norte-de-chile/</x:v>
      </x:c>
      <x:c r="K1434" s="16" t="b">
        <x:v>0</x:v>
      </x:c>
      <x:c r="L1434" s="11" t="n">
        <x:v>0</x:v>
      </x:c>
      <x:c r="M1434" s="11" t="n">
        <x:v>3</x:v>
      </x:c>
      <x:c r="N1434" s="4"/>
      <x:c r="O1434" s="4"/>
      <x:c r="P1434" s="11" t="n">
        <x:v>0</x:v>
      </x:c>
      <x:c r="Q1434" s="11" t="n">
        <x:v>0</x:v>
      </x:c>
      <x:c r="R1434" s="11" t="str">
        <x:f>IF(OR(P1434="",Q1434=""),"",Q1434-P1434)</x:f>
      </x:c>
      <x:c r="S1434" s="13" t="str">
        <x:f>IF(OR(P1434="",Q1434="",P1434=0),"",((Q1434/30)/(P1434/31))-1)</x:f>
      </x:c>
      <x:c r="T1434" s="11" t="n">
        <x:v>781</x:v>
      </x:c>
      <x:c r="U1434" s="11" t="n">
        <x:v>411</x:v>
      </x:c>
      <x:c r="V1434" s="14" t="n">
        <x:v>0</x:v>
      </x:c>
      <x:c r="W1434" s="12" t="n">
        <x:v>4.255474452554744</x:v>
      </x:c>
      <x:c r="X1434" s="11" t="n">
        <x:v>1</x:v>
      </x:c>
      <x:c r="Y1434" s="11" t="n">
        <x:v>1</x:v>
      </x:c>
      <x:c r="Z1434" s="4" t="str">
        <x:v>https://blog.skyairline.com/que-tienen-en-comun-los-lugares-turisticos-al-norte-de-chile/</x:v>
      </x:c>
      <x:c r="AA1434" s="4" t="str">
        <x:v>https://blog.skyairline.com/que-tienen-en-comun-los-lugares-turisticos-al-norte-de-chile/</x:v>
      </x:c>
      <x:c r="AB1434" s="4" t="str">
        <x:v>Coincidencia URL</x:v>
      </x:c>
      <x:c r="AC1434" s="4" t="str">
        <x:v>Publicado hasta septiembre</x:v>
      </x:c>
      <x:c r="AD1434" s="4" t="str">
        <x:v>/que-tienen-en-comun-los-lugares-turisticos-al-norte-de-chile/</x:v>
      </x:c>
      <x:c r="AE1434" s="4"/>
      <x:c r="AF1434" s="16" t="b">
        <x:v>0</x:v>
      </x:c>
    </x:row>
    <x:row r="1435" ht="44" customHeight="1">
      <x:c r="A1435" s="4" t="n">
        <x:v>5728</x:v>
      </x:c>
      <x:c r="B1435" s="4" t="str">
        <x:v>https://blog.skyairline.com/sky-airline-evito-la-emision-de-mas-de-315-mil-toneladas-de-co2-durante-el-2024-2/</x:v>
      </x:c>
      <x:c r="C1435" s="9" t="str">
        <x:v>SKY Airline evitó la emisión de más de 315 mil toneladas de CO2 durante el 2024</x:v>
      </x:c>
      <x:c r="D1435" s="17" t="d">
        <x:v>2025-02-06T00:00:00.000Z</x:v>
      </x:c>
      <x:c r="E1435" s="17" t="d">
        <x:v>2025-02-06T00:00:00.000Z</x:v>
      </x:c>
      <x:c r="F1435" s="4" t="str">
        <x:v>Sin categoría</x:v>
      </x:c>
      <x:c r="G1435" s="11" t="n">
        <x:v>446</x:v>
      </x:c>
      <x:c r="H1435" s="11" t="n">
        <x:v>200</x:v>
      </x:c>
      <x:c r="I1435" s="11" t="n">
        <x:v>1</x:v>
      </x:c>
      <x:c r="J1435" s="4" t="str">
        <x:v>https://blog.skyairline.com/sky-airline-evito-la-emision-de-mas-de-315-mil-toneladas-de-co2-durante-el-2024-2/</x:v>
      </x:c>
      <x:c r="K1435" s="16" t="b">
        <x:v>0</x:v>
      </x:c>
      <x:c r="L1435" s="11" t="n">
        <x:v>0</x:v>
      </x:c>
      <x:c r="M1435" s="11" t="n">
        <x:v>0</x:v>
      </x:c>
      <x:c r="N1435" s="4" t="str">
        <x:v>T07</x:v>
      </x:c>
      <x:c r="O1435" s="4"/>
      <x:c r="P1435" s="11" t="n">
        <x:v>0</x:v>
      </x:c>
      <x:c r="Q1435" s="11" t="n">
        <x:v>0</x:v>
      </x:c>
      <x:c r="R1435" s="11" t="str">
        <x:f>IF(OR(P1435="",Q1435=""),"",Q1435-P1435)</x:f>
      </x:c>
      <x:c r="S1435" s="13" t="str">
        <x:f>IF(OR(P1435="",Q1435="",P1435=0),"",((Q1435/30)/(P1435/31))-1)</x:f>
      </x:c>
      <x:c r="T1435" s="11" t="n">
        <x:v>86</x:v>
      </x:c>
      <x:c r="U1435" s="11" t="n">
        <x:v>166</x:v>
      </x:c>
      <x:c r="V1435" s="14" t="n">
        <x:v>0</x:v>
      </x:c>
      <x:c r="W1435" s="12" t="n">
        <x:v>6.373493975903615</x:v>
      </x:c>
      <x:c r="X1435" s="11" t="n">
        <x:v>1</x:v>
      </x:c>
      <x:c r="Y1435" s="11" t="n">
        <x:v>1</x:v>
      </x:c>
      <x:c r="Z1435" s="4" t="str">
        <x:v>https://blog.skyairline.com/sky-airline-evito-la-emision-de-mas-de-315-mil-toneladas-de-co2-durante-el-2024-2/</x:v>
      </x:c>
      <x:c r="AA1435" s="4" t="str">
        <x:v>https://blog.skyairline.com/sky-airline-evito-la-emision-de-mas-de-315-mil-toneladas-de-co2-durante-el-2024-2/</x:v>
      </x:c>
      <x:c r="AB1435" s="4" t="str">
        <x:v>Coincidencia URL</x:v>
      </x:c>
      <x:c r="AC1435" s="4" t="str">
        <x:v>Publicado hasta septiembre</x:v>
      </x:c>
      <x:c r="AD1435" s="4" t="str">
        <x:v>/sky-airline-evito-la-emision-de-mas-de-315-mil-toneladas-de-co2-durante-el-2024-2/</x:v>
      </x:c>
      <x:c r="AE1435" s="4"/>
      <x:c r="AF1435" s="16" t="b">
        <x:v>0</x:v>
      </x:c>
    </x:row>
    <x:row r="1436" ht="44" customHeight="1">
      <x:c r="A1436" s="4" t="n">
        <x:v>5835</x:v>
      </x:c>
      <x:c r="B1436" s="4" t="str">
        <x:v>https://blog.skyairline.com/lago-mas-grande-de-chile/</x:v>
      </x:c>
      <x:c r="C1436" s="9" t="str">
        <x:v>¿Cuál es el lago más grande de Chile y qué puedes hacer allí?</x:v>
      </x:c>
      <x:c r="D1436" s="17" t="d">
        <x:v>2025-03-25T00:00:00.000Z</x:v>
      </x:c>
      <x:c r="E1436" s="17" t="d">
        <x:v>2026-01-19T00:00:00.000Z</x:v>
      </x:c>
      <x:c r="F1436" s="4" t="str">
        <x:v>Planificación de Viaje</x:v>
      </x:c>
      <x:c r="G1436" s="11" t="n">
        <x:v>1104</x:v>
      </x:c>
      <x:c r="H1436" s="11" t="n">
        <x:v>200</x:v>
      </x:c>
      <x:c r="I1436" s="11" t="n">
        <x:v>1</x:v>
      </x:c>
      <x:c r="J1436" s="4" t="str">
        <x:v>https://blog.skyairline.com/lago-mas-grande-de-chile/</x:v>
      </x:c>
      <x:c r="K1436" s="16" t="b">
        <x:v>0</x:v>
      </x:c>
      <x:c r="L1436" s="11" t="n">
        <x:v>0</x:v>
      </x:c>
      <x:c r="M1436" s="11" t="n">
        <x:v>0</x:v>
      </x:c>
      <x:c r="N1436" s="4"/>
      <x:c r="O1436" s="4"/>
      <x:c r="P1436" s="11" t="n">
        <x:v>8</x:v>
      </x:c>
      <x:c r="Q1436" s="11" t="n">
        <x:v>0</x:v>
      </x:c>
      <x:c r="R1436" s="11" t="str">
        <x:f>IF(OR(P1436="",Q1436=""),"",Q1436-P1436)</x:f>
      </x:c>
      <x:c r="S1436" s="13" t="str">
        <x:f>IF(OR(P1436="",Q1436="",P1436=0),"",((Q1436/30)/(P1436/31))-1)</x:f>
      </x:c>
      <x:c r="T1436" s="11" t="n">
        <x:v>2205</x:v>
      </x:c>
      <x:c r="U1436" s="11" t="n">
        <x:v>1178</x:v>
      </x:c>
      <x:c r="V1436" s="14" t="n">
        <x:v>0</x:v>
      </x:c>
      <x:c r="W1436" s="12" t="n">
        <x:v>9.915959252971138</x:v>
      </x:c>
      <x:c r="X1436" s="11"/>
      <x:c r="Y1436" s="11"/>
      <x:c r="Z1436" s="4" t="str">
        <x:v>https://blog.skyairline.com/lago-mas-grande-de-chile/</x:v>
      </x:c>
      <x:c r="AA1436" s="4" t="str">
        <x:v>https://blog.skyairline.com/lago-mas-grande-de-chile
https://blog.skyairline.com/lago-mas-grande-de-chile/</x:v>
      </x:c>
      <x:c r="AB1436" s="4" t="str">
        <x:v>Alias slash agregado</x:v>
      </x:c>
      <x:c r="AC1436" s="4" t="str">
        <x:v>Publicado hasta septiembre</x:v>
      </x:c>
      <x:c r="AD1436" s="4"/>
      <x:c r="AE1436" s="4"/>
      <x:c r="AF1436" s="16" t="b">
        <x:v>0</x:v>
      </x:c>
    </x:row>
    <x:row r="1437" ht="44" customHeight="1">
      <x:c r="A1437" s="4" t="n">
        <x:v>5850</x:v>
      </x:c>
      <x:c r="B1437" s="4" t="str">
        <x:v>https://blog.skyairline.com/donde-ir-en-las-vacaciones-de-invierno-en-chile-5-destinos-imperdibles/</x:v>
      </x:c>
      <x:c r="C1437" s="9" t="str">
        <x:v>Dónde ir en las vacaciones de invierno en Chile: 5 destinos imperdibles</x:v>
      </x:c>
      <x:c r="D1437" s="17" t="d">
        <x:v>2025-10-29T00:00:00.000Z</x:v>
      </x:c>
      <x:c r="E1437" s="17" t="d">
        <x:v>2026-01-12T00:00:00.000Z</x:v>
      </x:c>
      <x:c r="F1437" s="4" t="str">
        <x:v>Destinos</x:v>
      </x:c>
      <x:c r="G1437" s="11" t="n">
        <x:v>1052</x:v>
      </x:c>
      <x:c r="H1437" s="11" t="n">
        <x:v>200</x:v>
      </x:c>
      <x:c r="I1437" s="11" t="n">
        <x:v>1</x:v>
      </x:c>
      <x:c r="J1437" s="4" t="str">
        <x:v>https://blog.skyairline.com/donde-ir-en-las-vacaciones-de-invierno-en-chile-5-destinos-imperdibles/</x:v>
      </x:c>
      <x:c r="K1437" s="16" t="b">
        <x:v>0</x:v>
      </x:c>
      <x:c r="L1437" s="11" t="n">
        <x:v>0</x:v>
      </x:c>
      <x:c r="M1437" s="11" t="n">
        <x:v>0</x:v>
      </x:c>
      <x:c r="N1437" s="4"/>
      <x:c r="O1437" s="4"/>
      <x:c r="P1437" s="11" t="n">
        <x:v>2</x:v>
      </x:c>
      <x:c r="Q1437" s="11" t="n">
        <x:v>0</x:v>
      </x:c>
      <x:c r="R1437" s="11" t="str">
        <x:f>IF(OR(P1437="",Q1437=""),"",Q1437-P1437)</x:f>
      </x:c>
      <x:c r="S1437" s="13" t="str">
        <x:f>IF(OR(P1437="",Q1437="",P1437=0),"",((Q1437/30)/(P1437/31))-1)</x:f>
      </x:c>
      <x:c r="T1437" s="11" t="n">
        <x:v>187</x:v>
      </x:c>
      <x:c r="U1437" s="11" t="n">
        <x:v>260</x:v>
      </x:c>
      <x:c r="V1437" s="14" t="n">
        <x:v>0</x:v>
      </x:c>
      <x:c r="W1437" s="12" t="n">
        <x:v>6.9653846153846155</x:v>
      </x:c>
      <x:c r="X1437" s="11" t="n">
        <x:v>2</x:v>
      </x:c>
      <x:c r="Y1437" s="11" t="n">
        <x:v>3</x:v>
      </x:c>
      <x:c r="Z1437" s="4" t="str">
        <x:v>https://blog.skyairline.com/donde-ir-en-las-vacaciones-de-invierno-en-chile-5-destinos-imperdibles/</x:v>
      </x:c>
      <x:c r="AA1437" s="4" t="str">
        <x:v>https://blog.skyairline.com/donde-ir-en-las-vacaciones-de-invierno-en-chile-5-destinos-imperdibles
https://blog.skyairline.com/donde-ir-en-las-vacaciones-de-invierno-en-chile-5-destinos-imperdibles/</x:v>
      </x:c>
      <x:c r="AB1437" s="4" t="str">
        <x:v>Alias slash agregado</x:v>
      </x:c>
      <x:c r="AC1437" s="4" t="str">
        <x:v>Publicado hasta septiembre</x:v>
      </x:c>
      <x:c r="AD1437" s="4" t="str">
        <x:v>/donde-ir-en-las-vacaciones-de-invierno-en-chile-5-destinos-imperdibles/</x:v>
      </x:c>
      <x:c r="AE1437" s="4"/>
      <x:c r="AF1437" s="16" t="b">
        <x:v>0</x:v>
      </x:c>
    </x:row>
    <x:row r="1438" ht="44" customHeight="1">
      <x:c r="A1438" s="4" t="n">
        <x:v>5869</x:v>
      </x:c>
      <x:c r="B1438" s="4" t="str">
        <x:v>https://blog.skyairline.com/cuando-comienza-el-otono-en-chile/</x:v>
      </x:c>
      <x:c r="C1438" s="9" t="str">
        <x:v>¿Cuándo comienza el otoño en Chile y qué hacer en esta época?</x:v>
      </x:c>
      <x:c r="D1438" s="17" t="d">
        <x:v>2025-06-11T00:00:00.000Z</x:v>
      </x:c>
      <x:c r="E1438" s="17" t="d">
        <x:v>2026-01-19T00:00:00.000Z</x:v>
      </x:c>
      <x:c r="F1438" s="4" t="str">
        <x:v>Planificación de Viaje</x:v>
      </x:c>
      <x:c r="G1438" s="11" t="n">
        <x:v>912</x:v>
      </x:c>
      <x:c r="H1438" s="11" t="n">
        <x:v>200</x:v>
      </x:c>
      <x:c r="I1438" s="11" t="n">
        <x:v>1</x:v>
      </x:c>
      <x:c r="J1438" s="4" t="str">
        <x:v>https://blog.skyairline.com/cuando-comienza-el-otono-en-chile/</x:v>
      </x:c>
      <x:c r="K1438" s="16" t="b">
        <x:v>0</x:v>
      </x:c>
      <x:c r="L1438" s="11" t="n">
        <x:v>0</x:v>
      </x:c>
      <x:c r="M1438" s="11" t="n">
        <x:v>3</x:v>
      </x:c>
      <x:c r="N1438" s="4"/>
      <x:c r="O1438" s="4"/>
      <x:c r="P1438" s="11" t="n">
        <x:v>1</x:v>
      </x:c>
      <x:c r="Q1438" s="11" t="n">
        <x:v>0</x:v>
      </x:c>
      <x:c r="R1438" s="11" t="str">
        <x:f>IF(OR(P1438="",Q1438=""),"",Q1438-P1438)</x:f>
      </x:c>
      <x:c r="S1438" s="13" t="str">
        <x:f>IF(OR(P1438="",Q1438="",P1438=0),"",((Q1438/30)/(P1438/31))-1)</x:f>
      </x:c>
      <x:c r="T1438" s="11" t="n">
        <x:v>1080</x:v>
      </x:c>
      <x:c r="U1438" s="11" t="n">
        <x:v>510</x:v>
      </x:c>
      <x:c r="V1438" s="14" t="n">
        <x:v>0</x:v>
      </x:c>
      <x:c r="W1438" s="12" t="n">
        <x:v>13.619607843137254</x:v>
      </x:c>
      <x:c r="X1438" s="11"/>
      <x:c r="Y1438" s="11"/>
      <x:c r="Z1438" s="4" t="str">
        <x:v>https://blog.skyairline.com/cuando-comienza-el-otono-en-chile/</x:v>
      </x:c>
      <x:c r="AA1438" s="4" t="str">
        <x:v>https://blog.skyairline.com/cuando-comienza-el-otono-en-chile/</x:v>
      </x:c>
      <x:c r="AB1438" s="4" t="str">
        <x:v>Coincidencia URL</x:v>
      </x:c>
      <x:c r="AC1438" s="4" t="str">
        <x:v>Publicado hasta septiembre</x:v>
      </x:c>
      <x:c r="AD1438" s="4"/>
      <x:c r="AE1438" s="4"/>
      <x:c r="AF1438" s="16" t="b">
        <x:v>0</x:v>
      </x:c>
    </x:row>
    <x:row r="1439" ht="44" customHeight="1">
      <x:c r="A1439" s="4" t="n">
        <x:v>5872</x:v>
      </x:c>
      <x:c r="B1439" s="4" t="str">
        <x:v>https://blog.skyairline.com/rutas-de-los-pioneros/</x:v>
      </x:c>
      <x:c r="C1439" s="9" t="str">
        <x:v>Rutas de Los Pioneros: ¿qué es y dónde se encuentra?</x:v>
      </x:c>
      <x:c r="D1439" s="17" t="d">
        <x:v>2025-10-04T00:00:00.000Z</x:v>
      </x:c>
      <x:c r="E1439" s="17" t="d">
        <x:v>2026-01-12T00:00:00.000Z</x:v>
      </x:c>
      <x:c r="F1439" s="4" t="str">
        <x:v>Destinos</x:v>
      </x:c>
      <x:c r="G1439" s="11" t="n">
        <x:v>1207</x:v>
      </x:c>
      <x:c r="H1439" s="11" t="n">
        <x:v>200</x:v>
      </x:c>
      <x:c r="I1439" s="11" t="n">
        <x:v>1</x:v>
      </x:c>
      <x:c r="J1439" s="4" t="str">
        <x:v>https://blog.skyairline.com/rutas-de-los-pioneros/</x:v>
      </x:c>
      <x:c r="K1439" s="16" t="b">
        <x:v>0</x:v>
      </x:c>
      <x:c r="L1439" s="11" t="n">
        <x:v>0</x:v>
      </x:c>
      <x:c r="M1439" s="11" t="n">
        <x:v>2</x:v>
      </x:c>
      <x:c r="N1439" s="4"/>
      <x:c r="O1439" s="4"/>
      <x:c r="P1439" s="11" t="n">
        <x:v>0</x:v>
      </x:c>
      <x:c r="Q1439" s="11" t="n">
        <x:v>0</x:v>
      </x:c>
      <x:c r="R1439" s="11" t="str">
        <x:f>IF(OR(P1439="",Q1439=""),"",Q1439-P1439)</x:f>
      </x:c>
      <x:c r="S1439" s="13" t="str">
        <x:f>IF(OR(P1439="",Q1439="",P1439=0),"",((Q1439/30)/(P1439/31))-1)</x:f>
      </x:c>
      <x:c r="T1439" s="11" t="n">
        <x:v>188</x:v>
      </x:c>
      <x:c r="U1439" s="11" t="n">
        <x:v>170</x:v>
      </x:c>
      <x:c r="V1439" s="14" t="n">
        <x:v>0</x:v>
      </x:c>
      <x:c r="W1439" s="12" t="n">
        <x:v>7.976470588235294</x:v>
      </x:c>
      <x:c r="X1439" s="11"/>
      <x:c r="Y1439" s="11"/>
      <x:c r="Z1439" s="4" t="str">
        <x:v>https://blog.skyairline.com/rutas-de-los-pioneros/</x:v>
      </x:c>
      <x:c r="AA1439" s="4" t="str">
        <x:v>https://blog.skyairline.com/rutas-de-los-pioneros/</x:v>
      </x:c>
      <x:c r="AB1439" s="4" t="str">
        <x:v>Coincidencia URL</x:v>
      </x:c>
      <x:c r="AC1439" s="4" t="str">
        <x:v>Publicado hasta septiembre</x:v>
      </x:c>
      <x:c r="AD1439" s="4"/>
      <x:c r="AE1439" s="4"/>
      <x:c r="AF1439" s="16" t="b">
        <x:v>0</x:v>
      </x:c>
    </x:row>
    <x:row r="1440" ht="44" customHeight="1">
      <x:c r="A1440" s="4" t="n">
        <x:v>5900</x:v>
      </x:c>
      <x:c r="B1440" s="4" t="str">
        <x:v>https://blog.skyairline.com/laguna-san-jorge-ubicacion-y-como-visitarla-con-sky/</x:v>
      </x:c>
      <x:c r="C1440" s="9" t="str">
        <x:v>Laguna San Jorge: ubicación y cómo visitarla con SKY</x:v>
      </x:c>
      <x:c r="D1440" s="17" t="d">
        <x:v>2025-07-11T00:00:00.000Z</x:v>
      </x:c>
      <x:c r="E1440" s="17" t="d">
        <x:v>2026-01-08T00:00:00.000Z</x:v>
      </x:c>
      <x:c r="F1440" s="4" t="str">
        <x:v>Destinos</x:v>
      </x:c>
      <x:c r="G1440" s="11" t="n">
        <x:v>1116</x:v>
      </x:c>
      <x:c r="H1440" s="11" t="n">
        <x:v>200</x:v>
      </x:c>
      <x:c r="I1440" s="11" t="n">
        <x:v>1</x:v>
      </x:c>
      <x:c r="J1440" s="4" t="str">
        <x:v>https://blog.skyairline.com/laguna-san-jorge-ubicacion-y-como-visitarla-con-sky/</x:v>
      </x:c>
      <x:c r="K1440" s="16" t="b">
        <x:v>0</x:v>
      </x:c>
      <x:c r="L1440" s="11" t="n">
        <x:v>0</x:v>
      </x:c>
      <x:c r="M1440" s="11" t="n">
        <x:v>0</x:v>
      </x:c>
      <x:c r="N1440" s="4"/>
      <x:c r="O1440" s="4"/>
      <x:c r="P1440" s="11" t="n">
        <x:v>0</x:v>
      </x:c>
      <x:c r="Q1440" s="11" t="n">
        <x:v>0</x:v>
      </x:c>
      <x:c r="R1440" s="11" t="str">
        <x:f>IF(OR(P1440="",Q1440=""),"",Q1440-P1440)</x:f>
      </x:c>
      <x:c r="S1440" s="13" t="str">
        <x:f>IF(OR(P1440="",Q1440="",P1440=0),"",((Q1440/30)/(P1440/31))-1)</x:f>
      </x:c>
      <x:c r="T1440" s="11" t="n">
        <x:v>164</x:v>
      </x:c>
      <x:c r="U1440" s="11" t="n">
        <x:v>157</x:v>
      </x:c>
      <x:c r="V1440" s="14" t="n">
        <x:v>0</x:v>
      </x:c>
      <x:c r="W1440" s="12" t="n">
        <x:v>8.210191082802549</x:v>
      </x:c>
      <x:c r="X1440" s="11"/>
      <x:c r="Y1440" s="11"/>
      <x:c r="Z1440" s="4" t="str">
        <x:v>https://blog.skyairline.com/laguna-san-jorge-ubicacion-y-como-visitarla-con-sky/</x:v>
      </x:c>
      <x:c r="AA1440" s="4" t="str">
        <x:v>https://blog.skyairline.com/laguna-san-jorge-ubicacion-y-como-visitarla-con-sky/</x:v>
      </x:c>
      <x:c r="AB1440" s="4" t="str">
        <x:v>Coincidencia URL</x:v>
      </x:c>
      <x:c r="AC1440" s="4" t="str">
        <x:v>Publicado hasta septiembre</x:v>
      </x:c>
      <x:c r="AD1440" s="4"/>
      <x:c r="AE1440" s="4"/>
      <x:c r="AF1440" s="16" t="b">
        <x:v>0</x:v>
      </x:c>
    </x:row>
    <x:row r="1441" ht="44" customHeight="1">
      <x:c r="A1441" s="4" t="n">
        <x:v>5909</x:v>
      </x:c>
      <x:c r="B1441" s="4" t="str">
        <x:v>https://blog.skyairline.com/playas-virgenes-en-chile-las-mejores-para-desconectarte/</x:v>
      </x:c>
      <x:c r="C1441" s="9" t="str">
        <x:v>Playas vírgenes en Chile: las mejores para desconectarte</x:v>
      </x:c>
      <x:c r="D1441" s="17" t="d">
        <x:v>2025-07-14T00:00:00.000Z</x:v>
      </x:c>
      <x:c r="E1441" s="17" t="d">
        <x:v>2026-01-08T00:00:00.000Z</x:v>
      </x:c>
      <x:c r="F1441" s="4" t="str">
        <x:v>Destinos, Sin categoría</x:v>
      </x:c>
      <x:c r="G1441" s="11" t="n">
        <x:v>1073</x:v>
      </x:c>
      <x:c r="H1441" s="11" t="n">
        <x:v>200</x:v>
      </x:c>
      <x:c r="I1441" s="11" t="n">
        <x:v>1</x:v>
      </x:c>
      <x:c r="J1441" s="4" t="str">
        <x:v>https://blog.skyairline.com/playas-virgenes-en-chile-las-mejores-para-desconectarte/</x:v>
      </x:c>
      <x:c r="K1441" s="16" t="b">
        <x:v>0</x:v>
      </x:c>
      <x:c r="L1441" s="11" t="n">
        <x:v>0</x:v>
      </x:c>
      <x:c r="M1441" s="11" t="n">
        <x:v>0</x:v>
      </x:c>
      <x:c r="N1441" s="4"/>
      <x:c r="O1441" s="4"/>
      <x:c r="P1441" s="11" t="n">
        <x:v>0</x:v>
      </x:c>
      <x:c r="Q1441" s="11" t="n">
        <x:v>0</x:v>
      </x:c>
      <x:c r="R1441" s="11" t="str">
        <x:f>IF(OR(P1441="",Q1441=""),"",Q1441-P1441)</x:f>
      </x:c>
      <x:c r="S1441" s="13" t="str">
        <x:f>IF(OR(P1441="",Q1441="",P1441=0),"",((Q1441/30)/(P1441/31))-1)</x:f>
      </x:c>
      <x:c r="T1441" s="11" t="n">
        <x:v>83</x:v>
      </x:c>
      <x:c r="U1441" s="11" t="n">
        <x:v>71</x:v>
      </x:c>
      <x:c r="V1441" s="14" t="n">
        <x:v>0</x:v>
      </x:c>
      <x:c r="W1441" s="12" t="n">
        <x:v>9.47887323943662</x:v>
      </x:c>
      <x:c r="X1441" s="11"/>
      <x:c r="Y1441" s="11"/>
      <x:c r="Z1441" s="4" t="str">
        <x:v>https://blog.skyairline.com/playas-virgenes-en-chile-las-mejores-para-desconectarte/</x:v>
      </x:c>
      <x:c r="AA1441" s="4" t="str">
        <x:v>https://blog.skyairline.com/playas-virgenes-en-chile-las-mejores-para-desconectarte/</x:v>
      </x:c>
      <x:c r="AB1441" s="4" t="str">
        <x:v>Coincidencia URL</x:v>
      </x:c>
      <x:c r="AC1441" s="4" t="str">
        <x:v>Publicado hasta septiembre</x:v>
      </x:c>
      <x:c r="AD1441" s="4"/>
      <x:c r="AE1441" s="4"/>
      <x:c r="AF1441" s="16" t="b">
        <x:v>0</x:v>
      </x:c>
    </x:row>
    <x:row r="1442" ht="44" customHeight="1">
      <x:c r="A1442" s="4" t="n">
        <x:v>5915</x:v>
      </x:c>
      <x:c r="B1442" s="4" t="str">
        <x:v>https://blog.skyairline.com/que-es-el-sargazo-y-como-afecta-a-las-playas-del-caribe/</x:v>
      </x:c>
      <x:c r="C1442" s="9" t="str">
        <x:v>¿Qué es el sargazo y cómo afecta a las playas del Caribe?</x:v>
      </x:c>
      <x:c r="D1442" s="17" t="d">
        <x:v>2025-07-16T00:00:00.000Z</x:v>
      </x:c>
      <x:c r="E1442" s="17" t="d">
        <x:v>2026-01-08T00:00:00.000Z</x:v>
      </x:c>
      <x:c r="F1442" s="4" t="str">
        <x:v>Destinos</x:v>
      </x:c>
      <x:c r="G1442" s="11" t="n">
        <x:v>1213</x:v>
      </x:c>
      <x:c r="H1442" s="11" t="n">
        <x:v>200</x:v>
      </x:c>
      <x:c r="I1442" s="11" t="n">
        <x:v>1</x:v>
      </x:c>
      <x:c r="J1442" s="4" t="str">
        <x:v>https://blog.skyairline.com/que-es-el-sargazo-y-como-afecta-a-las-playas-del-caribe/</x:v>
      </x:c>
      <x:c r="K1442" s="16" t="b">
        <x:v>0</x:v>
      </x:c>
      <x:c r="L1442" s="11" t="n">
        <x:v>0</x:v>
      </x:c>
      <x:c r="M1442" s="11" t="n">
        <x:v>9</x:v>
      </x:c>
      <x:c r="N1442" s="4"/>
      <x:c r="O1442" s="4"/>
      <x:c r="P1442" s="11" t="n">
        <x:v>1</x:v>
      </x:c>
      <x:c r="Q1442" s="11" t="n">
        <x:v>0</x:v>
      </x:c>
      <x:c r="R1442" s="11" t="str">
        <x:f>IF(OR(P1442="",Q1442=""),"",Q1442-P1442)</x:f>
      </x:c>
      <x:c r="S1442" s="13" t="str">
        <x:f>IF(OR(P1442="",Q1442="",P1442=0),"",((Q1442/30)/(P1442/31))-1)</x:f>
      </x:c>
      <x:c r="T1442" s="11" t="n">
        <x:v>231</x:v>
      </x:c>
      <x:c r="U1442" s="11" t="n">
        <x:v>102</x:v>
      </x:c>
      <x:c r="V1442" s="14" t="n">
        <x:v>0</x:v>
      </x:c>
      <x:c r="W1442" s="12" t="n">
        <x:v>47.11764705882353</x:v>
      </x:c>
      <x:c r="X1442" s="11"/>
      <x:c r="Y1442" s="11"/>
      <x:c r="Z1442" s="4" t="str">
        <x:v>https://blog.skyairline.com/que-es-el-sargazo-y-como-afecta-a-las-playas-del-caribe/</x:v>
      </x:c>
      <x:c r="AA1442" s="4" t="str">
        <x:v>https://blog.skyairline.com/que-es-el-sargazo-y-como-afecta-a-las-playas-del-caribe/</x:v>
      </x:c>
      <x:c r="AB1442" s="4" t="str">
        <x:v>Coincidencia URL</x:v>
      </x:c>
      <x:c r="AC1442" s="4" t="str">
        <x:v>Publicado hasta septiembre</x:v>
      </x:c>
      <x:c r="AD1442" s="4"/>
      <x:c r="AE1442" s="4"/>
      <x:c r="AF1442" s="16" t="b">
        <x:v>0</x:v>
      </x:c>
    </x:row>
    <x:row r="1443" ht="44" customHeight="1">
      <x:c r="A1443" s="4" t="n">
        <x:v>5926</x:v>
      </x:c>
      <x:c r="B1443" s="4" t="str">
        <x:v>https://blog.skyairline.com/termas-de-ralun-aguas-termales-en-medio-de-la-naturaleza/</x:v>
      </x:c>
      <x:c r="C1443" s="9" t="str">
        <x:v>Termas de Ralún: aguas termales en medio de la naturaleza</x:v>
      </x:c>
      <x:c r="D1443" s="17" t="d">
        <x:v>2025-10-19T00:00:00.000Z</x:v>
      </x:c>
      <x:c r="E1443" s="17" t="d">
        <x:v>2026-01-12T00:00:00.000Z</x:v>
      </x:c>
      <x:c r="F1443" s="4" t="str">
        <x:v>Destinos</x:v>
      </x:c>
      <x:c r="G1443" s="11" t="n">
        <x:v>1219</x:v>
      </x:c>
      <x:c r="H1443" s="11" t="n">
        <x:v>200</x:v>
      </x:c>
      <x:c r="I1443" s="11" t="n">
        <x:v>1</x:v>
      </x:c>
      <x:c r="J1443" s="4" t="str">
        <x:v>https://blog.skyairline.com/termas-de-ralun-aguas-termales-en-medio-de-la-naturaleza/</x:v>
      </x:c>
      <x:c r="K1443" s="16" t="b">
        <x:v>0</x:v>
      </x:c>
      <x:c r="L1443" s="11" t="n">
        <x:v>0</x:v>
      </x:c>
      <x:c r="M1443" s="11" t="n">
        <x:v>0</x:v>
      </x:c>
      <x:c r="N1443" s="4"/>
      <x:c r="O1443" s="4"/>
      <x:c r="P1443" s="11" t="n">
        <x:v>6</x:v>
      </x:c>
      <x:c r="Q1443" s="11" t="n">
        <x:v>0</x:v>
      </x:c>
      <x:c r="R1443" s="11" t="str">
        <x:f>IF(OR(P1443="",Q1443=""),"",Q1443-P1443)</x:f>
      </x:c>
      <x:c r="S1443" s="13" t="str">
        <x:f>IF(OR(P1443="",Q1443="",P1443=0),"",((Q1443/30)/(P1443/31))-1)</x:f>
      </x:c>
      <x:c r="T1443" s="11" t="n">
        <x:v>553</x:v>
      </x:c>
      <x:c r="U1443" s="11" t="n">
        <x:v>454</x:v>
      </x:c>
      <x:c r="V1443" s="14" t="n">
        <x:v>0</x:v>
      </x:c>
      <x:c r="W1443" s="12" t="n">
        <x:v>9.103524229074889</x:v>
      </x:c>
      <x:c r="X1443" s="11" t="n">
        <x:v>1</x:v>
      </x:c>
      <x:c r="Y1443" s="11" t="n">
        <x:v>1</x:v>
      </x:c>
      <x:c r="Z1443" s="4" t="str">
        <x:v>https://blog.skyairline.com/termas-de-ralun-aguas-termales-en-medio-de-la-naturaleza/</x:v>
      </x:c>
      <x:c r="AA1443" s="4" t="str">
        <x:v>https://blog.skyairline.com/termas-de-ralun-aguas-termales-en-medio-de-la-naturaleza/</x:v>
      </x:c>
      <x:c r="AB1443" s="4" t="str">
        <x:v>Coincidencia URL</x:v>
      </x:c>
      <x:c r="AC1443" s="4" t="str">
        <x:v>Publicado hasta septiembre</x:v>
      </x:c>
      <x:c r="AD1443" s="4" t="str">
        <x:v>/termas-de-ralun-aguas-termales-en-medio-de-la-naturaleza/</x:v>
      </x:c>
      <x:c r="AE1443" s="4"/>
      <x:c r="AF1443" s="16" t="b">
        <x:v>0</x:v>
      </x:c>
    </x:row>
    <x:row r="1444" ht="44" customHeight="1">
      <x:c r="A1444" s="4" t="n">
        <x:v>5933</x:v>
      </x:c>
      <x:c r="B1444" s="4" t="str">
        <x:v>https://blog.skyairline.com/sky-firma-acuerdo-interlineal-con-tap-para-conectar-pasajeros-de-europa-con-las-capitales-de-chile-y-peru-via-brasil/</x:v>
      </x:c>
      <x:c r="C1444" s="9" t="str">
        <x:v>SKY firma acuerdo interlineal con TAP para conectar pasajeros de Europa con las capitales de Chile y Perú, vía Brasil.</x:v>
      </x:c>
      <x:c r="D1444" s="17" t="d">
        <x:v>2025-04-02T00:00:00.000Z</x:v>
      </x:c>
      <x:c r="E1444" s="17" t="d">
        <x:v>2025-04-02T00:00:00.000Z</x:v>
      </x:c>
      <x:c r="F1444" s="4" t="str">
        <x:v>Noticias</x:v>
      </x:c>
      <x:c r="G1444" s="11" t="n">
        <x:v>735</x:v>
      </x:c>
      <x:c r="H1444" s="11" t="n">
        <x:v>200</x:v>
      </x:c>
      <x:c r="I1444" s="11" t="n">
        <x:v>1</x:v>
      </x:c>
      <x:c r="J1444" s="4" t="str">
        <x:v>https://blog.skyairline.com/sky-firma-acuerdo-interlineal-con-tap-para-conectar-pasajeros-de-europa-con-las-capitales-de-chile-y-peru-via-brasil/</x:v>
      </x:c>
      <x:c r="K1444" s="16" t="b">
        <x:v>0</x:v>
      </x:c>
      <x:c r="L1444" s="11" t="n">
        <x:v>0</x:v>
      </x:c>
      <x:c r="M1444" s="11" t="n">
        <x:v>0</x:v>
      </x:c>
      <x:c r="N1444" s="4"/>
      <x:c r="O1444" s="4"/>
      <x:c r="P1444" s="11" t="n">
        <x:v>2</x:v>
      </x:c>
      <x:c r="Q1444" s="11" t="n">
        <x:v>0</x:v>
      </x:c>
      <x:c r="R1444" s="11" t="str">
        <x:f>IF(OR(P1444="",Q1444=""),"",Q1444-P1444)</x:f>
      </x:c>
      <x:c r="S1444" s="13" t="str">
        <x:f>IF(OR(P1444="",Q1444="",P1444=0),"",((Q1444/30)/(P1444/31))-1)</x:f>
      </x:c>
      <x:c r="T1444" s="11" t="n">
        <x:v>120</x:v>
      </x:c>
      <x:c r="U1444" s="11" t="n">
        <x:v>84</x:v>
      </x:c>
      <x:c r="V1444" s="14" t="n">
        <x:v>0</x:v>
      </x:c>
      <x:c r="W1444" s="12" t="n">
        <x:v>6.714285714285714</x:v>
      </x:c>
      <x:c r="X1444" s="11"/>
      <x:c r="Y1444" s="11"/>
      <x:c r="Z1444" s="4" t="str">
        <x:v>https://blog.skyairline.com/sky-firma-acuerdo-interlineal-con-tap-para-conectar-pasajeros-de-europa-con-las-capitales-de-chile-y-peru-via-brasil/</x:v>
      </x:c>
      <x:c r="AA1444" s="4" t="str">
        <x:v>https://blog.skyairline.com/sky-firma-acuerdo-interlineal-con-tap-para-conectar-pasajeros-de-europa-con-las-capitales-de-chile-y-peru-via-brasil/</x:v>
      </x:c>
      <x:c r="AB1444" s="4" t="str">
        <x:v>Coincidencia URL</x:v>
      </x:c>
      <x:c r="AC1444" s="4" t="str">
        <x:v>Publicado hasta septiembre</x:v>
      </x:c>
      <x:c r="AD1444" s="4"/>
      <x:c r="AE1444" s="4"/>
      <x:c r="AF1444" s="16" t="b">
        <x:v>0</x:v>
      </x:c>
    </x:row>
    <x:row r="1445" ht="44" customHeight="1">
      <x:c r="A1445" s="4" t="n">
        <x:v>5936</x:v>
      </x:c>
      <x:c r="B1445" s="4" t="str">
        <x:v>https://blog.skyairline.com/puerto-montt-calama-y-antofagasta-entre-los-destinos-favoritos-para-semana-santa-2025/</x:v>
      </x:c>
      <x:c r="C1445" s="9" t="str">
        <x:v>Puerto Montt, Calama y Antofagasta entre los destinos favoritos para Semana Santa 2025</x:v>
      </x:c>
      <x:c r="D1445" s="17" t="d">
        <x:v>2025-04-02T00:00:00.000Z</x:v>
      </x:c>
      <x:c r="E1445" s="17" t="d">
        <x:v>2025-04-02T00:00:00.000Z</x:v>
      </x:c>
      <x:c r="F1445" s="4" t="str">
        <x:v>Noticias</x:v>
      </x:c>
      <x:c r="G1445" s="11" t="n">
        <x:v>497</x:v>
      </x:c>
      <x:c r="H1445" s="11" t="n">
        <x:v>200</x:v>
      </x:c>
      <x:c r="I1445" s="11" t="n">
        <x:v>1</x:v>
      </x:c>
      <x:c r="J1445" s="4" t="str">
        <x:v>https://blog.skyairline.com/puerto-montt-calama-y-antofagasta-entre-los-destinos-favoritos-para-semana-santa-2025/</x:v>
      </x:c>
      <x:c r="K1445" s="16" t="b">
        <x:v>0</x:v>
      </x:c>
      <x:c r="L1445" s="11" t="n">
        <x:v>0</x:v>
      </x:c>
      <x:c r="M1445" s="11" t="n">
        <x:v>0</x:v>
      </x:c>
      <x:c r="N1445" s="4"/>
      <x:c r="O1445" s="4"/>
      <x:c r="P1445" s="11" t="n">
        <x:v>0</x:v>
      </x:c>
      <x:c r="Q1445" s="11" t="n">
        <x:v>0</x:v>
      </x:c>
      <x:c r="R1445" s="11" t="str">
        <x:f>IF(OR(P1445="",Q1445=""),"",Q1445-P1445)</x:f>
      </x:c>
      <x:c r="S1445" s="13" t="str">
        <x:f>IF(OR(P1445="",Q1445="",P1445=0),"",((Q1445/30)/(P1445/31))-1)</x:f>
      </x:c>
      <x:c r="T1445" s="11" t="n">
        <x:v>6</x:v>
      </x:c>
      <x:c r="U1445" s="11" t="n">
        <x:v>3</x:v>
      </x:c>
      <x:c r="V1445" s="14" t="n">
        <x:v>0</x:v>
      </x:c>
      <x:c r="W1445" s="12" t="n">
        <x:v>7</x:v>
      </x:c>
      <x:c r="X1445" s="11" t="n">
        <x:v>21</x:v>
      </x:c>
      <x:c r="Y1445" s="11" t="n">
        <x:v>24</x:v>
      </x:c>
      <x:c r="Z1445" s="4" t="str">
        <x:v>https://blog.skyairline.com/puerto-montt-calama-y-antofagasta-entre-los-destinos-favoritos-para-semana-santa-2025/</x:v>
      </x:c>
      <x:c r="AA1445" s="4" t="str">
        <x:v>https://blog.skyairline.com/puerto-montt-calama-y-antofagasta-entre-los-destinos-favoritos-para-semana-santa-2025/</x:v>
      </x:c>
      <x:c r="AB1445" s="4" t="str">
        <x:v>Coincidencia URL</x:v>
      </x:c>
      <x:c r="AC1445" s="4" t="str">
        <x:v>Publicado hasta septiembre</x:v>
      </x:c>
      <x:c r="AD1445" s="4" t="str">
        <x:v>/puerto-montt-calama-y-antofagasta-entre-los-destinos-favoritos-para-semana-santa-2025/</x:v>
      </x:c>
      <x:c r="AE1445" s="4"/>
      <x:c r="AF1445" s="16" t="b">
        <x:v>0</x:v>
      </x:c>
    </x:row>
    <x:row r="1446" ht="44" customHeight="1">
      <x:c r="A1446" s="4" t="n">
        <x:v>5938</x:v>
      </x:c>
      <x:c r="B1446" s="4" t="str">
        <x:v>https://blog.skyairline.com/claudio-bravo-inicio-en-punta-arenas-su-gira-de-despedida-que-incluira-entrenamientos-deportivos-en-todo-chile/</x:v>
      </x:c>
      <x:c r="C1446" s="9" t="str">
        <x:v>Claudio Bravo inició en Punta Arenas su gira de despedida que incluirá entrenamientos deportivos en todo Chile</x:v>
      </x:c>
      <x:c r="D1446" s="17" t="d">
        <x:v>2025-04-02T00:00:00.000Z</x:v>
      </x:c>
      <x:c r="E1446" s="17" t="d">
        <x:v>2025-04-02T00:00:00.000Z</x:v>
      </x:c>
      <x:c r="F1446" s="4" t="str">
        <x:v>Noticias</x:v>
      </x:c>
      <x:c r="G1446" s="11" t="n">
        <x:v>681</x:v>
      </x:c>
      <x:c r="H1446" s="11" t="n">
        <x:v>200</x:v>
      </x:c>
      <x:c r="I1446" s="11" t="n">
        <x:v>1</x:v>
      </x:c>
      <x:c r="J1446" s="4" t="str">
        <x:v>https://blog.skyairline.com/claudio-bravo-inicio-en-punta-arenas-su-gira-de-despedida-que-incluira-entrenamientos-deportivos-en-todo-chile/</x:v>
      </x:c>
      <x:c r="K1446" s="16" t="b">
        <x:v>0</x:v>
      </x:c>
      <x:c r="L1446" s="11" t="n">
        <x:v>0</x:v>
      </x:c>
      <x:c r="M1446" s="11" t="n">
        <x:v>0</x:v>
      </x:c>
      <x:c r="N1446" s="4"/>
      <x:c r="O1446" s="4"/>
      <x:c r="P1446" s="11" t="n">
        <x:v>0</x:v>
      </x:c>
      <x:c r="Q1446" s="11" t="n">
        <x:v>0</x:v>
      </x:c>
      <x:c r="R1446" s="11" t="str">
        <x:f>IF(OR(P1446="",Q1446=""),"",Q1446-P1446)</x:f>
      </x:c>
      <x:c r="S1446" s="13" t="str">
        <x:f>IF(OR(P1446="",Q1446="",P1446=0),"",((Q1446/30)/(P1446/31))-1)</x:f>
      </x:c>
      <x:c r="T1446" s="11" t="n">
        <x:v>13</x:v>
      </x:c>
      <x:c r="U1446" s="11" t="n">
        <x:v>6</x:v>
      </x:c>
      <x:c r="V1446" s="14" t="n">
        <x:v>0</x:v>
      </x:c>
      <x:c r="W1446" s="12" t="n">
        <x:v>6.666666666666667</x:v>
      </x:c>
      <x:c r="X1446" s="11"/>
      <x:c r="Y1446" s="11"/>
      <x:c r="Z1446" s="4" t="str">
        <x:v>https://blog.skyairline.com/claudio-bravo-inicio-en-punta-arenas-su-gira-de-despedida-que-incluira-entrenamientos-deportivos-en-todo-chile/</x:v>
      </x:c>
      <x:c r="AA1446" s="4" t="str">
        <x:v>https://blog.skyairline.com/claudio-bravo-inicio-en-punta-arenas-su-gira-de-despedida-que-incluira-entrenamientos-deportivos-en-todo-chile/</x:v>
      </x:c>
      <x:c r="AB1446" s="4" t="str">
        <x:v>Coincidencia URL</x:v>
      </x:c>
      <x:c r="AC1446" s="4" t="str">
        <x:v>Publicado hasta septiembre</x:v>
      </x:c>
      <x:c r="AD1446" s="4"/>
      <x:c r="AE1446" s="4"/>
      <x:c r="AF1446" s="16" t="b">
        <x:v>0</x:v>
      </x:c>
    </x:row>
    <x:row r="1447" ht="44" customHeight="1">
      <x:c r="A1447" s="4" t="n">
        <x:v>5953</x:v>
      </x:c>
      <x:c r="B1447" s="4" t="str">
        <x:v>https://blog.skyairline.com/descubre-la-amazonia-peruana-con-la-nueva-ruta-de-sky-cusco-puerto-maldonado/</x:v>
      </x:c>
      <x:c r="C1447" s="9" t="str">
        <x:v>Descubre la Amazonía peruana con la nueva ruta de SKY: Cusco-Puerto Maldonado</x:v>
      </x:c>
      <x:c r="D1447" s="17" t="d">
        <x:v>2025-04-02T00:00:00.000Z</x:v>
      </x:c>
      <x:c r="E1447" s="17" t="d">
        <x:v>2025-04-02T00:00:00.000Z</x:v>
      </x:c>
      <x:c r="F1447" s="4" t="str">
        <x:v>Noticias</x:v>
      </x:c>
      <x:c r="G1447" s="11" t="n">
        <x:v>728</x:v>
      </x:c>
      <x:c r="H1447" s="11" t="n">
        <x:v>200</x:v>
      </x:c>
      <x:c r="I1447" s="11" t="n">
        <x:v>1</x:v>
      </x:c>
      <x:c r="J1447" s="4" t="str">
        <x:v>https://blog.skyairline.com/descubre-la-amazonia-peruana-con-la-nueva-ruta-de-sky-cusco-puerto-maldonado/</x:v>
      </x:c>
      <x:c r="K1447" s="16" t="b">
        <x:v>0</x:v>
      </x:c>
      <x:c r="L1447" s="11" t="n">
        <x:v>0</x:v>
      </x:c>
      <x:c r="M1447" s="11" t="n">
        <x:v>0</x:v>
      </x:c>
      <x:c r="N1447" s="4"/>
      <x:c r="O1447" s="4"/>
      <x:c r="P1447" s="11" t="n">
        <x:v>0</x:v>
      </x:c>
      <x:c r="Q1447" s="11" t="n">
        <x:v>0</x:v>
      </x:c>
      <x:c r="R1447" s="11" t="str">
        <x:f>IF(OR(P1447="",Q1447=""),"",Q1447-P1447)</x:f>
      </x:c>
      <x:c r="S1447" s="13" t="str">
        <x:f>IF(OR(P1447="",Q1447="",P1447=0),"",((Q1447/30)/(P1447/31))-1)</x:f>
      </x:c>
      <x:c r="T1447" s="11" t="n">
        <x:v>58</x:v>
      </x:c>
      <x:c r="U1447" s="11" t="n">
        <x:v>49</x:v>
      </x:c>
      <x:c r="V1447" s="14" t="n">
        <x:v>0</x:v>
      </x:c>
      <x:c r="W1447" s="12" t="n">
        <x:v>7.673469387755102</x:v>
      </x:c>
      <x:c r="X1447" s="11"/>
      <x:c r="Y1447" s="11"/>
      <x:c r="Z1447" s="4" t="str">
        <x:v>https://blog.skyairline.com/descubre-la-amazonia-peruana-con-la-nueva-ruta-de-sky-cusco-puerto-maldonado/</x:v>
      </x:c>
      <x:c r="AA1447" s="4" t="str">
        <x:v>https://blog.skyairline.com/descubre-la-amazonia-peruana-con-la-nueva-ruta-de-sky-cusco-puerto-maldonado/</x:v>
      </x:c>
      <x:c r="AB1447" s="4" t="str">
        <x:v>Coincidencia URL</x:v>
      </x:c>
      <x:c r="AC1447" s="4" t="str">
        <x:v>Publicado hasta septiembre</x:v>
      </x:c>
      <x:c r="AD1447" s="4"/>
      <x:c r="AE1447" s="4"/>
      <x:c r="AF1447" s="16" t="b">
        <x:v>0</x:v>
      </x:c>
    </x:row>
    <x:row r="1448" ht="44" customHeight="1">
      <x:c r="A1448" s="4" t="n">
        <x:v>5975</x:v>
      </x:c>
      <x:c r="B1448" s="4" t="str">
        <x:v>https://blog.skyairline.com/comida-tipica-mexico/</x:v>
      </x:c>
      <x:c r="C1448" s="9" t="str">
        <x:v>Comida típica de México: ¿qué pedir en tu visita?</x:v>
      </x:c>
      <x:c r="D1448" s="17" t="d">
        <x:v>2025-11-27T00:00:00.000Z</x:v>
      </x:c>
      <x:c r="E1448" s="17" t="d">
        <x:v>2026-01-19T00:00:00.000Z</x:v>
      </x:c>
      <x:c r="F1448" s="4" t="str">
        <x:v>Cultura</x:v>
      </x:c>
      <x:c r="G1448" s="11" t="n">
        <x:v>1227</x:v>
      </x:c>
      <x:c r="H1448" s="11" t="n">
        <x:v>200</x:v>
      </x:c>
      <x:c r="I1448" s="11" t="n">
        <x:v>1</x:v>
      </x:c>
      <x:c r="J1448" s="4" t="str">
        <x:v>https://blog.skyairline.com/comida-tipica-mexico/</x:v>
      </x:c>
      <x:c r="K1448" s="16" t="b">
        <x:v>0</x:v>
      </x:c>
      <x:c r="L1448" s="11" t="n">
        <x:v>0</x:v>
      </x:c>
      <x:c r="M1448" s="11" t="n">
        <x:v>0</x:v>
      </x:c>
      <x:c r="N1448" s="4"/>
      <x:c r="O1448" s="4"/>
      <x:c r="P1448" s="11" t="n">
        <x:v>0</x:v>
      </x:c>
      <x:c r="Q1448" s="11" t="n">
        <x:v>0</x:v>
      </x:c>
      <x:c r="R1448" s="11" t="str">
        <x:f>IF(OR(P1448="",Q1448=""),"",Q1448-P1448)</x:f>
      </x:c>
      <x:c r="S1448" s="13" t="str">
        <x:f>IF(OR(P1448="",Q1448="",P1448=0),"",((Q1448/30)/(P1448/31))-1)</x:f>
      </x:c>
      <x:c r="T1448" s="11" t="n">
        <x:v>96</x:v>
      </x:c>
      <x:c r="U1448" s="11" t="n">
        <x:v>54</x:v>
      </x:c>
      <x:c r="V1448" s="14" t="n">
        <x:v>0</x:v>
      </x:c>
      <x:c r="W1448" s="12" t="n">
        <x:v>10.537037037037036</x:v>
      </x:c>
      <x:c r="X1448" s="11"/>
      <x:c r="Y1448" s="11"/>
      <x:c r="Z1448" s="4" t="str">
        <x:v>https://blog.skyairline.com/comida-tipica-mexico/</x:v>
      </x:c>
      <x:c r="AA1448" s="4" t="str">
        <x:v>https://blog.skyairline.com/comida-tipica-mexico/</x:v>
      </x:c>
      <x:c r="AB1448" s="4" t="str">
        <x:v>Coincidencia URL</x:v>
      </x:c>
      <x:c r="AC1448" s="4" t="str">
        <x:v>Publicado hasta septiembre</x:v>
      </x:c>
      <x:c r="AD1448" s="4"/>
      <x:c r="AE1448" s="4"/>
      <x:c r="AF1448" s="16" t="b">
        <x:v>0</x:v>
      </x:c>
    </x:row>
    <x:row r="1449" ht="44" customHeight="1">
      <x:c r="A1449" s="4" t="n">
        <x:v>5983</x:v>
      </x:c>
      <x:c r="B1449" s="4" t="str">
        <x:v>https://blog.skyairline.com/alto-el-loa-un-destino-desconocido-en-el-norte-de-chile/</x:v>
      </x:c>
      <x:c r="C1449" s="9" t="str">
        <x:v>Alto El Loa: un destino desconocido en el norte de Chile</x:v>
      </x:c>
      <x:c r="D1449" s="17" t="d">
        <x:v>2025-04-29T00:00:00.000Z</x:v>
      </x:c>
      <x:c r="E1449" s="17" t="d">
        <x:v>2025-04-29T00:00:00.000Z</x:v>
      </x:c>
      <x:c r="F1449" s="4" t="str">
        <x:v>Destinos</x:v>
      </x:c>
      <x:c r="G1449" s="11" t="n">
        <x:v>993</x:v>
      </x:c>
      <x:c r="H1449" s="11" t="n">
        <x:v>200</x:v>
      </x:c>
      <x:c r="I1449" s="11" t="n">
        <x:v>1</x:v>
      </x:c>
      <x:c r="J1449" s="4" t="str">
        <x:v>https://blog.skyairline.com/alto-el-loa-un-destino-desconocido-en-el-norte-de-chile/</x:v>
      </x:c>
      <x:c r="K1449" s="16" t="b">
        <x:v>0</x:v>
      </x:c>
      <x:c r="L1449" s="11" t="n">
        <x:v>0</x:v>
      </x:c>
      <x:c r="M1449" s="11" t="n">
        <x:v>0</x:v>
      </x:c>
      <x:c r="N1449" s="4"/>
      <x:c r="O1449" s="4"/>
      <x:c r="P1449" s="11" t="n">
        <x:v>0</x:v>
      </x:c>
      <x:c r="Q1449" s="11" t="n">
        <x:v>0</x:v>
      </x:c>
      <x:c r="R1449" s="11" t="str">
        <x:f>IF(OR(P1449="",Q1449=""),"",Q1449-P1449)</x:f>
      </x:c>
      <x:c r="S1449" s="13" t="str">
        <x:f>IF(OR(P1449="",Q1449="",P1449=0),"",((Q1449/30)/(P1449/31))-1)</x:f>
      </x:c>
      <x:c r="T1449" s="11" t="n">
        <x:v>462</x:v>
      </x:c>
      <x:c r="U1449" s="11" t="n">
        <x:v>155</x:v>
      </x:c>
      <x:c r="V1449" s="14" t="n">
        <x:v>0</x:v>
      </x:c>
      <x:c r="W1449" s="12" t="n">
        <x:v>9.296774193548387</x:v>
      </x:c>
      <x:c r="X1449" s="11" t="n">
        <x:v>2</x:v>
      </x:c>
      <x:c r="Y1449" s="11" t="n">
        <x:v>2</x:v>
      </x:c>
      <x:c r="Z1449" s="4" t="str">
        <x:v>https://blog.skyairline.com/alto-el-loa-un-destino-desconocido-en-el-norte-de-chile/</x:v>
      </x:c>
      <x:c r="AA1449" s="4" t="str">
        <x:v>https://blog.skyairline.com/alto-el-loa-un-destino-desconocido-en-el-norte-de-chile/</x:v>
      </x:c>
      <x:c r="AB1449" s="4" t="str">
        <x:v>Coincidencia URL</x:v>
      </x:c>
      <x:c r="AC1449" s="4" t="str">
        <x:v>Publicado hasta septiembre</x:v>
      </x:c>
      <x:c r="AD1449" s="4" t="str">
        <x:v>/alto-el-loa-un-destino-desconocido-en-el-norte-de-chile/</x:v>
      </x:c>
      <x:c r="AE1449" s="4"/>
      <x:c r="AF1449" s="16" t="b">
        <x:v>0</x:v>
      </x:c>
    </x:row>
    <x:row r="1450" ht="44" customHeight="1">
      <x:c r="A1450" s="4" t="n">
        <x:v>6022</x:v>
      </x:c>
      <x:c r="B1450" s="4" t="str">
        <x:v>https://blog.skyairline.com/estadio-centenario-de-uruguay-un-recinto-historico-para-tu-visita-futbolera/</x:v>
      </x:c>
      <x:c r="C1450" s="9" t="str">
        <x:v>Estadio Centenario de Uruguay: un recinto histórico para tu visita futbolera</x:v>
      </x:c>
      <x:c r="D1450" s="17" t="d">
        <x:v>2025-05-10T00:00:00.000Z</x:v>
      </x:c>
      <x:c r="E1450" s="17" t="d">
        <x:v>2025-05-10T00:00:00.000Z</x:v>
      </x:c>
      <x:c r="F1450" s="4" t="str">
        <x:v>Destinos</x:v>
      </x:c>
      <x:c r="G1450" s="11" t="n">
        <x:v>987</x:v>
      </x:c>
      <x:c r="H1450" s="11" t="n">
        <x:v>200</x:v>
      </x:c>
      <x:c r="I1450" s="11" t="n">
        <x:v>1</x:v>
      </x:c>
      <x:c r="J1450" s="4" t="str">
        <x:v>https://blog.skyairline.com/estadio-centenario-de-uruguay-un-recinto-historico-para-tu-visita-futbolera/</x:v>
      </x:c>
      <x:c r="K1450" s="16" t="b">
        <x:v>0</x:v>
      </x:c>
      <x:c r="L1450" s="11" t="n">
        <x:v>0</x:v>
      </x:c>
      <x:c r="M1450" s="11" t="n">
        <x:v>3</x:v>
      </x:c>
      <x:c r="N1450" s="4"/>
      <x:c r="O1450" s="4"/>
      <x:c r="P1450" s="11" t="n">
        <x:v>0</x:v>
      </x:c>
      <x:c r="Q1450" s="11" t="n">
        <x:v>0</x:v>
      </x:c>
      <x:c r="R1450" s="11" t="str">
        <x:f>IF(OR(P1450="",Q1450=""),"",Q1450-P1450)</x:f>
      </x:c>
      <x:c r="S1450" s="13" t="str">
        <x:f>IF(OR(P1450="",Q1450="",P1450=0),"",((Q1450/30)/(P1450/31))-1)</x:f>
      </x:c>
      <x:c r="T1450" s="11" t="n">
        <x:v>54</x:v>
      </x:c>
      <x:c r="U1450" s="11" t="n">
        <x:v>95</x:v>
      </x:c>
      <x:c r="V1450" s="14" t="n">
        <x:v>0</x:v>
      </x:c>
      <x:c r="W1450" s="12" t="n">
        <x:v>38.48421052631579</x:v>
      </x:c>
      <x:c r="X1450" s="11"/>
      <x:c r="Y1450" s="11"/>
      <x:c r="Z1450" s="4" t="str">
        <x:v>https://blog.skyairline.com/estadio-centenario-de-uruguay-un-recinto-historico-para-tu-visita-futbolera/</x:v>
      </x:c>
      <x:c r="AA1450" s="4" t="str">
        <x:v>https://blog.skyairline.com/estadio-centenario-de-uruguay-un-recinto-historico-para-tu-visita-futbolera/</x:v>
      </x:c>
      <x:c r="AB1450" s="4" t="str">
        <x:v>Coincidencia URL</x:v>
      </x:c>
      <x:c r="AC1450" s="4" t="str">
        <x:v>Publicado hasta septiembre</x:v>
      </x:c>
      <x:c r="AD1450" s="4"/>
      <x:c r="AE1450" s="4"/>
      <x:c r="AF1450" s="16" t="b">
        <x:v>0</x:v>
      </x:c>
    </x:row>
    <x:row r="1451" ht="44" customHeight="1">
      <x:c r="A1451" s="4" t="n">
        <x:v>6037</x:v>
      </x:c>
      <x:c r="B1451" s="4" t="str">
        <x:v>https://blog.skyairline.com/cual-es-el-pais-mas-seguro-del-mundo-para-viajar-dentro-de-latinoamerica/</x:v>
      </x:c>
      <x:c r="C1451" s="9" t="str">
        <x:v>¿Cuál es el país más seguro del mundo para viajar dentro de Latinoamérica?</x:v>
      </x:c>
      <x:c r="D1451" s="17" t="d">
        <x:v>2025-05-15T00:00:00.000Z</x:v>
      </x:c>
      <x:c r="E1451" s="17" t="d">
        <x:v>2025-05-15T00:00:00.000Z</x:v>
      </x:c>
      <x:c r="F1451" s="4" t="str">
        <x:v>Destinos</x:v>
      </x:c>
      <x:c r="G1451" s="11" t="n">
        <x:v>1278</x:v>
      </x:c>
      <x:c r="H1451" s="11" t="n">
        <x:v>200</x:v>
      </x:c>
      <x:c r="I1451" s="11" t="n">
        <x:v>1</x:v>
      </x:c>
      <x:c r="J1451" s="4" t="str">
        <x:v>https://blog.skyairline.com/cual-es-el-pais-mas-seguro-del-mundo-para-viajar-dentro-de-latinoamerica/</x:v>
      </x:c>
      <x:c r="K1451" s="16" t="b">
        <x:v>0</x:v>
      </x:c>
      <x:c r="L1451" s="11" t="n">
        <x:v>0</x:v>
      </x:c>
      <x:c r="M1451" s="11" t="n">
        <x:v>5</x:v>
      </x:c>
      <x:c r="N1451" s="4"/>
      <x:c r="O1451" s="4"/>
      <x:c r="P1451" s="11" t="n">
        <x:v>0</x:v>
      </x:c>
      <x:c r="Q1451" s="11" t="n">
        <x:v>0</x:v>
      </x:c>
      <x:c r="R1451" s="11" t="str">
        <x:f>IF(OR(P1451="",Q1451=""),"",Q1451-P1451)</x:f>
      </x:c>
      <x:c r="S1451" s="13" t="str">
        <x:f>IF(OR(P1451="",Q1451="",P1451=0),"",((Q1451/30)/(P1451/31))-1)</x:f>
      </x:c>
      <x:c r="T1451" s="11" t="n">
        <x:v>163</x:v>
      </x:c>
      <x:c r="U1451" s="11" t="n">
        <x:v>72</x:v>
      </x:c>
      <x:c r="V1451" s="14" t="n">
        <x:v>0</x:v>
      </x:c>
      <x:c r="W1451" s="12" t="n">
        <x:v>12.680555555555555</x:v>
      </x:c>
      <x:c r="X1451" s="11"/>
      <x:c r="Y1451" s="11"/>
      <x:c r="Z1451" s="4" t="str">
        <x:v>https://blog.skyairline.com/cual-es-el-pais-mas-seguro-del-mundo-para-viajar-dentro-de-latinoamerica/</x:v>
      </x:c>
      <x:c r="AA1451" s="4" t="str">
        <x:v>https://blog.skyairline.com/cual-es-el-pais-mas-seguro-del-mundo-para-viajar-dentro-de-latinoamerica/</x:v>
      </x:c>
      <x:c r="AB1451" s="4" t="str">
        <x:v>Coincidencia URL</x:v>
      </x:c>
      <x:c r="AC1451" s="4" t="str">
        <x:v>Publicado hasta septiembre</x:v>
      </x:c>
      <x:c r="AD1451" s="4"/>
      <x:c r="AE1451" s="4"/>
      <x:c r="AF1451" s="16" t="b">
        <x:v>0</x:v>
      </x:c>
    </x:row>
    <x:row r="1452" ht="44" customHeight="1">
      <x:c r="A1452" s="4" t="n">
        <x:v>6071</x:v>
      </x:c>
      <x:c r="B1452" s="4" t="str">
        <x:v>https://blog.skyairline.com/sky-transporto-mas-de-15-millones-de-pasajeros-desde-sus-inicios-de-operaciones-en-peru/</x:v>
      </x:c>
      <x:c r="C1452" s="9" t="str">
        <x:v>SKY TRANSPORTÓ MÁS DE 15 MILLONES DE PASAJEROS DESDE SUS INICIOS DE OPERACIONES EN PERÚ</x:v>
      </x:c>
      <x:c r="D1452" s="17" t="d">
        <x:v>2025-05-05T00:00:00.000Z</x:v>
      </x:c>
      <x:c r="E1452" s="17" t="d">
        <x:v>2025-05-05T00:00:00.000Z</x:v>
      </x:c>
      <x:c r="F1452" s="4" t="str">
        <x:v>Noticias</x:v>
      </x:c>
      <x:c r="G1452" s="11" t="n">
        <x:v>470</x:v>
      </x:c>
      <x:c r="H1452" s="11" t="n">
        <x:v>200</x:v>
      </x:c>
      <x:c r="I1452" s="11" t="n">
        <x:v>1</x:v>
      </x:c>
      <x:c r="J1452" s="4" t="str">
        <x:v>https://blog.skyairline.com/sky-transporto-mas-de-15-millones-de-pasajeros-desde-sus-inicios-de-operaciones-en-peru/</x:v>
      </x:c>
      <x:c r="K1452" s="16" t="b">
        <x:v>0</x:v>
      </x:c>
      <x:c r="L1452" s="11" t="n">
        <x:v>0</x:v>
      </x:c>
      <x:c r="M1452" s="11" t="n">
        <x:v>0</x:v>
      </x:c>
      <x:c r="N1452" s="4"/>
      <x:c r="O1452" s="4"/>
      <x:c r="P1452" s="11" t="n">
        <x:v>0</x:v>
      </x:c>
      <x:c r="Q1452" s="11" t="n">
        <x:v>0</x:v>
      </x:c>
      <x:c r="R1452" s="11" t="str">
        <x:f>IF(OR(P1452="",Q1452=""),"",Q1452-P1452)</x:f>
      </x:c>
      <x:c r="S1452" s="13" t="str">
        <x:f>IF(OR(P1452="",Q1452="",P1452=0),"",((Q1452/30)/(P1452/31))-1)</x:f>
      </x:c>
      <x:c r="T1452" s="11" t="n">
        <x:v>84</x:v>
      </x:c>
      <x:c r="U1452" s="11" t="n">
        <x:v>98</x:v>
      </x:c>
      <x:c r="V1452" s="14" t="n">
        <x:v>0</x:v>
      </x:c>
      <x:c r="W1452" s="12" t="n">
        <x:v>4.8061224489795915</x:v>
      </x:c>
      <x:c r="X1452" s="11"/>
      <x:c r="Y1452" s="11"/>
      <x:c r="Z1452" s="4" t="str">
        <x:v>https://blog.skyairline.com/sky-transporto-mas-de-15-millones-de-pasajeros-desde-sus-inicios-de-operaciones-en-peru/</x:v>
      </x:c>
      <x:c r="AA1452" s="4" t="str">
        <x:v>https://blog.skyairline.com/sky-transporto-mas-de-15-millones-de-pasajeros-desde-sus-inicios-de-operaciones-en-peru/</x:v>
      </x:c>
      <x:c r="AB1452" s="4" t="str">
        <x:v>Coincidencia URL</x:v>
      </x:c>
      <x:c r="AC1452" s="4" t="str">
        <x:v>Publicado hasta septiembre</x:v>
      </x:c>
      <x:c r="AD1452" s="4"/>
      <x:c r="AE1452" s="4"/>
      <x:c r="AF1452" s="16" t="b">
        <x:v>0</x:v>
      </x:c>
    </x:row>
    <x:row r="1453" ht="44" customHeight="1">
      <x:c r="A1453" s="4" t="n">
        <x:v>6085</x:v>
      </x:c>
      <x:c r="B1453" s="4" t="str">
        <x:v>https://blog.skyairline.com/transportamos-a-mas-de-30-mil-pasajeros-en-feriado-largo-por-el-dia-del-trabajador/</x:v>
      </x:c>
      <x:c r="C1453" s="9" t="str">
        <x:v>Transportamos a más de 30 mil pasajeros en feriado largo por el día del trabajador</x:v>
      </x:c>
      <x:c r="D1453" s="17" t="d">
        <x:v>2025-05-06T00:00:00.000Z</x:v>
      </x:c>
      <x:c r="E1453" s="17" t="d">
        <x:v>2025-05-06T00:00:00.000Z</x:v>
      </x:c>
      <x:c r="F1453" s="4" t="str">
        <x:v>Sin categoría</x:v>
      </x:c>
      <x:c r="G1453" s="11" t="n">
        <x:v>521</x:v>
      </x:c>
      <x:c r="H1453" s="11" t="n">
        <x:v>200</x:v>
      </x:c>
      <x:c r="I1453" s="11" t="n">
        <x:v>1</x:v>
      </x:c>
      <x:c r="J1453" s="4" t="str">
        <x:v>https://blog.skyairline.com/transportamos-a-mas-de-30-mil-pasajeros-en-feriado-largo-por-el-dia-del-trabajador/</x:v>
      </x:c>
      <x:c r="K1453" s="16" t="b">
        <x:v>0</x:v>
      </x:c>
      <x:c r="L1453" s="11" t="n">
        <x:v>0</x:v>
      </x:c>
      <x:c r="M1453" s="11" t="n">
        <x:v>0</x:v>
      </x:c>
      <x:c r="N1453" s="4"/>
      <x:c r="O1453" s="4"/>
      <x:c r="P1453" s="11" t="n">
        <x:v>0</x:v>
      </x:c>
      <x:c r="Q1453" s="11" t="n">
        <x:v>0</x:v>
      </x:c>
      <x:c r="R1453" s="11" t="str">
        <x:f>IF(OR(P1453="",Q1453=""),"",Q1453-P1453)</x:f>
      </x:c>
      <x:c r="S1453" s="13" t="str">
        <x:f>IF(OR(P1453="",Q1453="",P1453=0),"",((Q1453/30)/(P1453/31))-1)</x:f>
      </x:c>
      <x:c r="T1453" s="11" t="n">
        <x:v>3</x:v>
      </x:c>
      <x:c r="U1453" s="11" t="n">
        <x:v>139</x:v>
      </x:c>
      <x:c r="V1453" s="14" t="n">
        <x:v>0</x:v>
      </x:c>
      <x:c r="W1453" s="12" t="n">
        <x:v>6.35251798561151</x:v>
      </x:c>
      <x:c r="X1453" s="11"/>
      <x:c r="Y1453" s="11"/>
      <x:c r="Z1453" s="4" t="str">
        <x:v>https://blog.skyairline.com/transportamos-a-mas-de-30-mil-pasajeros-en-feriado-largo-por-el-dia-del-trabajador/</x:v>
      </x:c>
      <x:c r="AA1453" s="4" t="str">
        <x:v>https://blog.skyairline.com/transportamos-a-mas-de-30-mil-pasajeros-en-feriado-largo-por-el-dia-del-trabajador/</x:v>
      </x:c>
      <x:c r="AB1453" s="4" t="str">
        <x:v>Coincidencia URL</x:v>
      </x:c>
      <x:c r="AC1453" s="4" t="str">
        <x:v>Publicado hasta septiembre</x:v>
      </x:c>
      <x:c r="AD1453" s="4"/>
      <x:c r="AE1453" s="4"/>
      <x:c r="AF1453" s="16" t="b">
        <x:v>0</x:v>
      </x:c>
    </x:row>
    <x:row r="1454" ht="44" customHeight="1">
      <x:c r="A1454" s="4" t="n">
        <x:v>6135</x:v>
      </x:c>
      <x:c r="B1454" s="4" t="str">
        <x:v>https://blog.skyairline.com/mirador-de-volcanes-en-chile-los-mejores-puntos-panoramicos/</x:v>
      </x:c>
      <x:c r="C1454" s="9" t="str">
        <x:v>Mirador de volcanes en Chile: los mejores puntos panorámicos</x:v>
      </x:c>
      <x:c r="D1454" s="17" t="d">
        <x:v>2025-07-30T00:00:00.000Z</x:v>
      </x:c>
      <x:c r="E1454" s="17" t="d">
        <x:v>2026-01-08T00:00:00.000Z</x:v>
      </x:c>
      <x:c r="F1454" s="4" t="str">
        <x:v>Destinos</x:v>
      </x:c>
      <x:c r="G1454" s="11" t="n">
        <x:v>1105</x:v>
      </x:c>
      <x:c r="H1454" s="11" t="n">
        <x:v>200</x:v>
      </x:c>
      <x:c r="I1454" s="11" t="n">
        <x:v>1</x:v>
      </x:c>
      <x:c r="J1454" s="4" t="str">
        <x:v>https://blog.skyairline.com/mirador-de-volcanes-en-chile-los-mejores-puntos-panoramicos/</x:v>
      </x:c>
      <x:c r="K1454" s="16" t="b">
        <x:v>0</x:v>
      </x:c>
      <x:c r="L1454" s="11" t="n">
        <x:v>0</x:v>
      </x:c>
      <x:c r="M1454" s="11" t="n">
        <x:v>0</x:v>
      </x:c>
      <x:c r="N1454" s="4"/>
      <x:c r="O1454" s="4"/>
      <x:c r="P1454" s="11" t="n">
        <x:v>0</x:v>
      </x:c>
      <x:c r="Q1454" s="11" t="n">
        <x:v>0</x:v>
      </x:c>
      <x:c r="R1454" s="11" t="str">
        <x:f>IF(OR(P1454="",Q1454=""),"",Q1454-P1454)</x:f>
      </x:c>
      <x:c r="S1454" s="13" t="str">
        <x:f>IF(OR(P1454="",Q1454="",P1454=0),"",((Q1454/30)/(P1454/31))-1)</x:f>
      </x:c>
      <x:c r="T1454" s="11" t="n">
        <x:v>123</x:v>
      </x:c>
      <x:c r="U1454" s="11" t="n">
        <x:v>141</x:v>
      </x:c>
      <x:c r="V1454" s="14" t="n">
        <x:v>0</x:v>
      </x:c>
      <x:c r="W1454" s="12" t="n">
        <x:v>11.879432624113475</x:v>
      </x:c>
      <x:c r="X1454" s="11"/>
      <x:c r="Y1454" s="11"/>
      <x:c r="Z1454" s="4" t="str">
        <x:v>https://blog.skyairline.com/mirador-de-volcanes-en-chile-los-mejores-puntos-panoramicos/</x:v>
      </x:c>
      <x:c r="AA1454" s="4" t="str">
        <x:v>https://blog.skyairline.com/mirador-de-volcanes-en-chile-los-mejores-puntos-panoramicos/</x:v>
      </x:c>
      <x:c r="AB1454" s="4" t="str">
        <x:v>Coincidencia URL</x:v>
      </x:c>
      <x:c r="AC1454" s="4" t="str">
        <x:v>Publicado hasta septiembre</x:v>
      </x:c>
      <x:c r="AD1454" s="4"/>
      <x:c r="AE1454" s="4"/>
      <x:c r="AF1454" s="16" t="b">
        <x:v>0</x:v>
      </x:c>
    </x:row>
    <x:row r="1455" ht="44" customHeight="1">
      <x:c r="A1455" s="4" t="n">
        <x:v>6144</x:v>
      </x:c>
      <x:c r="B1455" s="4" t="str">
        <x:v>https://blog.skyairline.com/playas-de-republica-dominicana-las-mejores-para-disfrutar-del-caribe/</x:v>
      </x:c>
      <x:c r="C1455" s="9" t="str">
        <x:v>Playas de República Dominicana: las mejores para disfrutar del Caribe</x:v>
      </x:c>
      <x:c r="D1455" s="17" t="d">
        <x:v>2025-06-02T00:00:00.000Z</x:v>
      </x:c>
      <x:c r="E1455" s="17" t="d">
        <x:v>2025-06-02T00:00:00.000Z</x:v>
      </x:c>
      <x:c r="F1455" s="4" t="str">
        <x:v>Planificación de Viaje</x:v>
      </x:c>
      <x:c r="G1455" s="11" t="n">
        <x:v>1079</x:v>
      </x:c>
      <x:c r="H1455" s="11" t="n">
        <x:v>200</x:v>
      </x:c>
      <x:c r="I1455" s="11" t="n">
        <x:v>1</x:v>
      </x:c>
      <x:c r="J1455" s="4" t="str">
        <x:v>https://blog.skyairline.com/playas-de-republica-dominicana-las-mejores-para-disfrutar-del-caribe/</x:v>
      </x:c>
      <x:c r="K1455" s="16" t="b">
        <x:v>0</x:v>
      </x:c>
      <x:c r="L1455" s="11" t="n">
        <x:v>0</x:v>
      </x:c>
      <x:c r="M1455" s="11" t="n">
        <x:v>0</x:v>
      </x:c>
      <x:c r="N1455" s="4"/>
      <x:c r="O1455" s="4"/>
      <x:c r="P1455" s="11" t="n">
        <x:v>4</x:v>
      </x:c>
      <x:c r="Q1455" s="11" t="n">
        <x:v>0</x:v>
      </x:c>
      <x:c r="R1455" s="11" t="str">
        <x:f>IF(OR(P1455="",Q1455=""),"",Q1455-P1455)</x:f>
      </x:c>
      <x:c r="S1455" s="13" t="str">
        <x:f>IF(OR(P1455="",Q1455="",P1455=0),"",((Q1455/30)/(P1455/31))-1)</x:f>
      </x:c>
      <x:c r="T1455" s="11" t="n">
        <x:v>1095</x:v>
      </x:c>
      <x:c r="U1455" s="11" t="n">
        <x:v>344</x:v>
      </x:c>
      <x:c r="V1455" s="14" t="n">
        <x:v>0</x:v>
      </x:c>
      <x:c r="W1455" s="12" t="n">
        <x:v>23.197674418604652</x:v>
      </x:c>
      <x:c r="X1455" s="11"/>
      <x:c r="Y1455" s="11"/>
      <x:c r="Z1455" s="4" t="str">
        <x:v>https://blog.skyairline.com/playas-de-republica-dominicana-las-mejores-para-disfrutar-del-caribe/</x:v>
      </x:c>
      <x:c r="AA1455" s="4" t="str">
        <x:v>https://blog.skyairline.com/playas-de-republica-dominicana-las-mejores-para-disfrutar-del-caribe
https://blog.skyairline.com/playas-de-republica-dominicana-las-mejores-para-disfrutar-del-caribe/</x:v>
      </x:c>
      <x:c r="AB1455" s="4" t="str">
        <x:v>Alias slash agregado</x:v>
      </x:c>
      <x:c r="AC1455" s="4" t="str">
        <x:v>Publicado hasta septiembre</x:v>
      </x:c>
      <x:c r="AD1455" s="4"/>
      <x:c r="AE1455" s="4"/>
      <x:c r="AF1455" s="16" t="b">
        <x:v>0</x:v>
      </x:c>
    </x:row>
    <x:row r="1456" ht="44" customHeight="1">
      <x:c r="A1456" s="4" t="n">
        <x:v>6162</x:v>
      </x:c>
      <x:c r="B1456" s="4" t="str">
        <x:v>https://blog.skyairline.com/lluvias-en-el-sur-de-chile-cuando-viajar-y-que-esperar/</x:v>
      </x:c>
      <x:c r="C1456" s="9" t="str">
        <x:v>Lluvias en el sur de Chile: cuándo viajar y qué esperar</x:v>
      </x:c>
      <x:c r="D1456" s="17" t="d">
        <x:v>2025-06-08T00:00:00.000Z</x:v>
      </x:c>
      <x:c r="E1456" s="17" t="d">
        <x:v>2025-06-08T00:00:00.000Z</x:v>
      </x:c>
      <x:c r="F1456" s="4" t="str">
        <x:v>Destinos</x:v>
      </x:c>
      <x:c r="G1456" s="11" t="n">
        <x:v>1130</x:v>
      </x:c>
      <x:c r="H1456" s="11" t="n">
        <x:v>200</x:v>
      </x:c>
      <x:c r="I1456" s="11" t="n">
        <x:v>1</x:v>
      </x:c>
      <x:c r="J1456" s="4" t="str">
        <x:v>https://blog.skyairline.com/lluvias-en-el-sur-de-chile-cuando-viajar-y-que-esperar/</x:v>
      </x:c>
      <x:c r="K1456" s="16" t="b">
        <x:v>0</x:v>
      </x:c>
      <x:c r="L1456" s="11" t="n">
        <x:v>0</x:v>
      </x:c>
      <x:c r="M1456" s="11" t="n">
        <x:v>0</x:v>
      </x:c>
      <x:c r="N1456" s="4"/>
      <x:c r="O1456" s="4"/>
      <x:c r="P1456" s="11" t="n">
        <x:v>3</x:v>
      </x:c>
      <x:c r="Q1456" s="11" t="n">
        <x:v>0</x:v>
      </x:c>
      <x:c r="R1456" s="11" t="str">
        <x:f>IF(OR(P1456="",Q1456=""),"",Q1456-P1456)</x:f>
      </x:c>
      <x:c r="S1456" s="13" t="str">
        <x:f>IF(OR(P1456="",Q1456="",P1456=0),"",((Q1456/30)/(P1456/31))-1)</x:f>
      </x:c>
      <x:c r="T1456" s="11" t="n">
        <x:v>1877</x:v>
      </x:c>
      <x:c r="U1456" s="11" t="n">
        <x:v>504</x:v>
      </x:c>
      <x:c r="V1456" s="14" t="n">
        <x:v>0</x:v>
      </x:c>
      <x:c r="W1456" s="12" t="n">
        <x:v>5.0813492063492065</x:v>
      </x:c>
      <x:c r="X1456" s="11"/>
      <x:c r="Y1456" s="11"/>
      <x:c r="Z1456" s="4" t="str">
        <x:v>https://blog.skyairline.com/lluvias-en-el-sur-de-chile-cuando-viajar-y-que-esperar/</x:v>
      </x:c>
      <x:c r="AA1456" s="4" t="str">
        <x:v>https://blog.skyairline.com/lluvias-en-el-sur-de-chile-cuando-viajar-y-que-esperar/</x:v>
      </x:c>
      <x:c r="AB1456" s="4" t="str">
        <x:v>Coincidencia URL</x:v>
      </x:c>
      <x:c r="AC1456" s="4" t="str">
        <x:v>Publicado hasta septiembre</x:v>
      </x:c>
      <x:c r="AD1456" s="4"/>
      <x:c r="AE1456" s="4"/>
      <x:c r="AF1456" s="16" t="b">
        <x:v>0</x:v>
      </x:c>
    </x:row>
    <x:row r="1457" ht="44" customHeight="1">
      <x:c r="A1457" s="4" t="n">
        <x:v>6172</x:v>
      </x:c>
      <x:c r="B1457" s="4" t="str">
        <x:v>https://blog.skyairline.com/dia-del-turismo-andino-conoce-los-mejores-destinos-de-la-sierra-sur-del-peru/</x:v>
      </x:c>
      <x:c r="C1457" s="9" t="str">
        <x:v>Día del Turismo Andino: Conoce los mejores destinos de la sierra sur del Perú</x:v>
      </x:c>
      <x:c r="D1457" s="17" t="d">
        <x:v>2025-10-09T00:00:00.000Z</x:v>
      </x:c>
      <x:c r="E1457" s="17" t="d">
        <x:v>2026-01-12T00:00:00.000Z</x:v>
      </x:c>
      <x:c r="F1457" s="4" t="str">
        <x:v>Noticias, Sin categoría</x:v>
      </x:c>
      <x:c r="G1457" s="11" t="n">
        <x:v>600</x:v>
      </x:c>
      <x:c r="H1457" s="11" t="n">
        <x:v>200</x:v>
      </x:c>
      <x:c r="I1457" s="11" t="n">
        <x:v>1</x:v>
      </x:c>
      <x:c r="J1457" s="4" t="str">
        <x:v>https://blog.skyairline.com/dia-del-turismo-andino-conoce-los-mejores-destinos-de-la-sierra-sur-del-peru/</x:v>
      </x:c>
      <x:c r="K1457" s="16" t="b">
        <x:v>0</x:v>
      </x:c>
      <x:c r="L1457" s="11" t="n">
        <x:v>0</x:v>
      </x:c>
      <x:c r="M1457" s="11" t="n">
        <x:v>0</x:v>
      </x:c>
      <x:c r="N1457" s="4"/>
      <x:c r="O1457" s="4"/>
      <x:c r="P1457" s="11" t="n">
        <x:v>0</x:v>
      </x:c>
      <x:c r="Q1457" s="11" t="n">
        <x:v>0</x:v>
      </x:c>
      <x:c r="R1457" s="11" t="str">
        <x:f>IF(OR(P1457="",Q1457=""),"",Q1457-P1457)</x:f>
      </x:c>
      <x:c r="S1457" s="13" t="str">
        <x:f>IF(OR(P1457="",Q1457="",P1457=0),"",((Q1457/30)/(P1457/31))-1)</x:f>
      </x:c>
      <x:c r="T1457" s="11" t="n">
        <x:v>8</x:v>
      </x:c>
      <x:c r="U1457" s="11" t="n">
        <x:v>6</x:v>
      </x:c>
      <x:c r="V1457" s="14" t="n">
        <x:v>0</x:v>
      </x:c>
      <x:c r="W1457" s="12" t="n">
        <x:v>29.5</x:v>
      </x:c>
      <x:c r="X1457" s="11"/>
      <x:c r="Y1457" s="11"/>
      <x:c r="Z1457" s="4" t="str">
        <x:v>https://blog.skyairline.com/dia-del-turismo-andino-conoce-los-mejores-destinos-de-la-sierra-sur-del-peru/</x:v>
      </x:c>
      <x:c r="AA1457" s="4" t="str">
        <x:v>https://blog.skyairline.com/dia-del-turismo-andino-conoce-los-mejores-destinos-de-la-sierra-sur-del-peru/</x:v>
      </x:c>
      <x:c r="AB1457" s="4" t="str">
        <x:v>Coincidencia URL</x:v>
      </x:c>
      <x:c r="AC1457" s="4" t="str">
        <x:v>Publicado hasta septiembre</x:v>
      </x:c>
      <x:c r="AD1457" s="4"/>
      <x:c r="AE1457" s="4"/>
      <x:c r="AF1457" s="16" t="b">
        <x:v>0</x:v>
      </x:c>
    </x:row>
    <x:row r="1458" ht="44" customHeight="1">
      <x:c r="A1458" s="4" t="n">
        <x:v>6175</x:v>
      </x:c>
      <x:c r="B1458" s="4" t="str">
        <x:v>https://blog.skyairline.com/cien-madres-en-cabina-sky-peru-impulsa-politicas-que-concilian-maternidad-y-aviacion/</x:v>
      </x:c>
      <x:c r="C1458" s="9" t="str">
        <x:v>Cien madres en cabina: SKY Perú impulsa políticas que concilian maternidad y aviación</x:v>
      </x:c>
      <x:c r="D1458" s="17" t="d">
        <x:v>2025-06-09T00:00:00.000Z</x:v>
      </x:c>
      <x:c r="E1458" s="17" t="d">
        <x:v>2025-06-09T00:00:00.000Z</x:v>
      </x:c>
      <x:c r="F1458" s="4" t="str">
        <x:v>Noticias</x:v>
      </x:c>
      <x:c r="G1458" s="11" t="n">
        <x:v>462</x:v>
      </x:c>
      <x:c r="H1458" s="11" t="n">
        <x:v>200</x:v>
      </x:c>
      <x:c r="I1458" s="11" t="n">
        <x:v>1</x:v>
      </x:c>
      <x:c r="J1458" s="4" t="str">
        <x:v>https://blog.skyairline.com/cien-madres-en-cabina-sky-peru-impulsa-politicas-que-concilian-maternidad-y-aviacion/</x:v>
      </x:c>
      <x:c r="K1458" s="16" t="b">
        <x:v>0</x:v>
      </x:c>
      <x:c r="L1458" s="11" t="n">
        <x:v>0</x:v>
      </x:c>
      <x:c r="M1458" s="11" t="n">
        <x:v>0</x:v>
      </x:c>
      <x:c r="N1458" s="4"/>
      <x:c r="O1458" s="4"/>
      <x:c r="P1458" s="11" t="n">
        <x:v>4</x:v>
      </x:c>
      <x:c r="Q1458" s="11" t="n">
        <x:v>0</x:v>
      </x:c>
      <x:c r="R1458" s="11" t="str">
        <x:f>IF(OR(P1458="",Q1458=""),"",Q1458-P1458)</x:f>
      </x:c>
      <x:c r="S1458" s="13" t="str">
        <x:f>IF(OR(P1458="",Q1458="",P1458=0),"",((Q1458/30)/(P1458/31))-1)</x:f>
      </x:c>
      <x:c r="T1458" s="11" t="n">
        <x:v>116</x:v>
      </x:c>
      <x:c r="U1458" s="11" t="n">
        <x:v>123</x:v>
      </x:c>
      <x:c r="V1458" s="14" t="n">
        <x:v>0</x:v>
      </x:c>
      <x:c r="W1458" s="12" t="n">
        <x:v>7.195121951219512</x:v>
      </x:c>
      <x:c r="X1458" s="11"/>
      <x:c r="Y1458" s="11"/>
      <x:c r="Z1458" s="4" t="str">
        <x:v>https://blog.skyairline.com/cien-madres-en-cabina-sky-peru-impulsa-politicas-que-concilian-maternidad-y-aviacion/</x:v>
      </x:c>
      <x:c r="AA1458" s="4" t="str">
        <x:v>https://blog.skyairline.com/cien-madres-en-cabina-sky-peru-impulsa-politicas-que-concilian-maternidad-y-aviacion/</x:v>
      </x:c>
      <x:c r="AB1458" s="4" t="str">
        <x:v>Coincidencia URL</x:v>
      </x:c>
      <x:c r="AC1458" s="4" t="str">
        <x:v>Publicado hasta septiembre</x:v>
      </x:c>
      <x:c r="AD1458" s="4"/>
      <x:c r="AE1458" s="4"/>
      <x:c r="AF1458" s="16" t="b">
        <x:v>0</x:v>
      </x:c>
    </x:row>
    <x:row r="1459" ht="44" customHeight="1">
      <x:c r="A1459" s="4" t="n">
        <x:v>6184</x:v>
      </x:c>
      <x:c r="B1459" s="4" t="str">
        <x:v>https://blog.skyairline.com/claudio-bravo-y-entrenamiento-para-futuros-arqueros-en-iquique/</x:v>
      </x:c>
      <x:c r="C1459" s="9" t="str">
        <x:v>Claudio Bravo y su entrenamiento para futuros arqueros en Iquique</x:v>
      </x:c>
      <x:c r="D1459" s="17" t="d">
        <x:v>2025-06-09T00:00:00.000Z</x:v>
      </x:c>
      <x:c r="E1459" s="17" t="d">
        <x:v>2025-06-09T00:00:00.000Z</x:v>
      </x:c>
      <x:c r="F1459" s="4" t="str">
        <x:v>Noticias</x:v>
      </x:c>
      <x:c r="G1459" s="11" t="n">
        <x:v>576</x:v>
      </x:c>
      <x:c r="H1459" s="11" t="n">
        <x:v>200</x:v>
      </x:c>
      <x:c r="I1459" s="11" t="n">
        <x:v>1</x:v>
      </x:c>
      <x:c r="J1459" s="4" t="str">
        <x:v>https://blog.skyairline.com/claudio-bravo-y-entrenamiento-para-futuros-arqueros-en-iquique/</x:v>
      </x:c>
      <x:c r="K1459" s="16" t="b">
        <x:v>0</x:v>
      </x:c>
      <x:c r="L1459" s="11" t="n">
        <x:v>0</x:v>
      </x:c>
      <x:c r="M1459" s="11" t="n">
        <x:v>0</x:v>
      </x:c>
      <x:c r="N1459" s="4"/>
      <x:c r="O1459" s="4"/>
      <x:c r="P1459" s="11" t="n">
        <x:v>0</x:v>
      </x:c>
      <x:c r="Q1459" s="11" t="n">
        <x:v>0</x:v>
      </x:c>
      <x:c r="R1459" s="11" t="str">
        <x:f>IF(OR(P1459="",Q1459=""),"",Q1459-P1459)</x:f>
      </x:c>
      <x:c r="S1459" s="13" t="str">
        <x:f>IF(OR(P1459="",Q1459="",P1459=0),"",((Q1459/30)/(P1459/31))-1)</x:f>
      </x:c>
      <x:c r="T1459" s="11" t="n">
        <x:v>8</x:v>
      </x:c>
      <x:c r="U1459" s="11" t="n">
        <x:v>6</x:v>
      </x:c>
      <x:c r="V1459" s="14" t="n">
        <x:v>0</x:v>
      </x:c>
      <x:c r="W1459" s="12" t="n">
        <x:v>8.5</x:v>
      </x:c>
      <x:c r="X1459" s="11"/>
      <x:c r="Y1459" s="11"/>
      <x:c r="Z1459" s="4" t="str">
        <x:v>https://blog.skyairline.com/claudio-bravo-y-entrenamiento-para-futuros-arqueros-en-iquique/</x:v>
      </x:c>
      <x:c r="AA1459" s="4" t="str">
        <x:v>https://blog.skyairline.com/claudio-bravo-y-entrenamiento-para-futuros-arqueros-en-iquique/</x:v>
      </x:c>
      <x:c r="AB1459" s="4" t="str">
        <x:v>Coincidencia URL</x:v>
      </x:c>
      <x:c r="AC1459" s="4" t="str">
        <x:v>Publicado hasta septiembre</x:v>
      </x:c>
      <x:c r="AD1459" s="4"/>
      <x:c r="AE1459" s="4"/>
      <x:c r="AF1459" s="16" t="b">
        <x:v>0</x:v>
      </x:c>
    </x:row>
    <x:row r="1460" ht="44" customHeight="1">
      <x:c r="A1460" s="4" t="n">
        <x:v>6200</x:v>
      </x:c>
      <x:c r="B1460" s="4" t="str">
        <x:v>https://blog.skyairline.com/salmones-de-chile-donde-te-puedes-comer-el-pescado-mas-fresco-del-pais/</x:v>
      </x:c>
      <x:c r="C1460" s="9" t="str">
        <x:v>Salmones de Chile: ¿dónde te puedes comer el pescado más fresco del país?</x:v>
      </x:c>
      <x:c r="D1460" s="17" t="d">
        <x:v>2025-06-11T00:00:00.000Z</x:v>
      </x:c>
      <x:c r="E1460" s="17" t="d">
        <x:v>2025-06-11T00:00:00.000Z</x:v>
      </x:c>
      <x:c r="F1460" s="4" t="str">
        <x:v>Planificación de Viaje</x:v>
      </x:c>
      <x:c r="G1460" s="11" t="n">
        <x:v>1126</x:v>
      </x:c>
      <x:c r="H1460" s="11" t="n">
        <x:v>200</x:v>
      </x:c>
      <x:c r="I1460" s="11" t="n">
        <x:v>1</x:v>
      </x:c>
      <x:c r="J1460" s="4" t="str">
        <x:v>https://blog.skyairline.com/salmones-de-chile-donde-te-puedes-comer-el-pescado-mas-fresco-del-pais/</x:v>
      </x:c>
      <x:c r="K1460" s="16" t="b">
        <x:v>0</x:v>
      </x:c>
      <x:c r="L1460" s="11" t="n">
        <x:v>0</x:v>
      </x:c>
      <x:c r="M1460" s="11" t="n">
        <x:v>0</x:v>
      </x:c>
      <x:c r="N1460" s="4"/>
      <x:c r="O1460" s="4"/>
      <x:c r="P1460" s="11" t="n">
        <x:v>1</x:v>
      </x:c>
      <x:c r="Q1460" s="11" t="n">
        <x:v>0</x:v>
      </x:c>
      <x:c r="R1460" s="11" t="str">
        <x:f>IF(OR(P1460="",Q1460=""),"",Q1460-P1460)</x:f>
      </x:c>
      <x:c r="S1460" s="13" t="str">
        <x:f>IF(OR(P1460="",Q1460="",P1460=0),"",((Q1460/30)/(P1460/31))-1)</x:f>
      </x:c>
      <x:c r="T1460" s="11" t="n">
        <x:v>257</x:v>
      </x:c>
      <x:c r="U1460" s="11" t="n">
        <x:v>216</x:v>
      </x:c>
      <x:c r="V1460" s="14" t="n">
        <x:v>0</x:v>
      </x:c>
      <x:c r="W1460" s="12" t="n">
        <x:v>9.606481481481481</x:v>
      </x:c>
      <x:c r="X1460" s="11"/>
      <x:c r="Y1460" s="11"/>
      <x:c r="Z1460" s="4" t="str">
        <x:v>https://blog.skyairline.com/salmones-de-chile-donde-te-puedes-comer-el-pescado-mas-fresco-del-pais/</x:v>
      </x:c>
      <x:c r="AA1460" s="4" t="str">
        <x:v>https://blog.skyairline.com/salmones-de-chile-donde-te-puedes-comer-el-pescado-mas-fresco-del-pais/</x:v>
      </x:c>
      <x:c r="AB1460" s="4" t="str">
        <x:v>Coincidencia URL</x:v>
      </x:c>
      <x:c r="AC1460" s="4" t="str">
        <x:v>Publicado hasta septiembre</x:v>
      </x:c>
      <x:c r="AD1460" s="4"/>
      <x:c r="AE1460" s="4"/>
      <x:c r="AF1460" s="16" t="b">
        <x:v>0</x:v>
      </x:c>
    </x:row>
    <x:row r="1461" ht="44" customHeight="1">
      <x:c r="A1461" s="4" t="n">
        <x:v>6206</x:v>
      </x:c>
      <x:c r="B1461" s="4" t="str">
        <x:v>https://blog.skyairline.com/marejadas-en-iquique-que-son-y-como-afectan-a-las-playas/</x:v>
      </x:c>
      <x:c r="C1461" s="9" t="str">
        <x:v>Marejadas en Iquique: qué son y cómo afectan a las playas</x:v>
      </x:c>
      <x:c r="D1461" s="17" t="d">
        <x:v>2025-06-13T00:00:00.000Z</x:v>
      </x:c>
      <x:c r="E1461" s="17" t="d">
        <x:v>2025-06-13T00:00:00.000Z</x:v>
      </x:c>
      <x:c r="F1461" s="4" t="str">
        <x:v>Planificación de Viaje</x:v>
      </x:c>
      <x:c r="G1461" s="11" t="n">
        <x:v>1027</x:v>
      </x:c>
      <x:c r="H1461" s="11" t="n">
        <x:v>200</x:v>
      </x:c>
      <x:c r="I1461" s="11" t="n">
        <x:v>1</x:v>
      </x:c>
      <x:c r="J1461" s="4" t="str">
        <x:v>https://blog.skyairline.com/marejadas-en-iquique-que-son-y-como-afectan-a-las-playas/</x:v>
      </x:c>
      <x:c r="K1461" s="16" t="b">
        <x:v>0</x:v>
      </x:c>
      <x:c r="L1461" s="11" t="n">
        <x:v>0</x:v>
      </x:c>
      <x:c r="M1461" s="11" t="n">
        <x:v>0</x:v>
      </x:c>
      <x:c r="N1461" s="4"/>
      <x:c r="O1461" s="4"/>
      <x:c r="P1461" s="11" t="n">
        <x:v>0</x:v>
      </x:c>
      <x:c r="Q1461" s="11" t="n">
        <x:v>0</x:v>
      </x:c>
      <x:c r="R1461" s="11" t="str">
        <x:f>IF(OR(P1461="",Q1461=""),"",Q1461-P1461)</x:f>
      </x:c>
      <x:c r="S1461" s="13" t="str">
        <x:f>IF(OR(P1461="",Q1461="",P1461=0),"",((Q1461/30)/(P1461/31))-1)</x:f>
      </x:c>
      <x:c r="T1461" s="11" t="n">
        <x:v>149</x:v>
      </x:c>
      <x:c r="U1461" s="11" t="n">
        <x:v>89</x:v>
      </x:c>
      <x:c r="V1461" s="14" t="n">
        <x:v>0</x:v>
      </x:c>
      <x:c r="W1461" s="12" t="n">
        <x:v>9.134831460674157</x:v>
      </x:c>
      <x:c r="X1461" s="11" t="n">
        <x:v>1</x:v>
      </x:c>
      <x:c r="Y1461" s="11" t="n">
        <x:v>1</x:v>
      </x:c>
      <x:c r="Z1461" s="4" t="str">
        <x:v>https://blog.skyairline.com/marejadas-en-iquique-que-son-y-como-afectan-a-las-playas/</x:v>
      </x:c>
      <x:c r="AA1461" s="4" t="str">
        <x:v>https://blog.skyairline.com/marejadas-en-iquique-que-son-y-como-afectan-a-las-playas/</x:v>
      </x:c>
      <x:c r="AB1461" s="4" t="str">
        <x:v>Coincidencia URL</x:v>
      </x:c>
      <x:c r="AC1461" s="4" t="str">
        <x:v>Publicado hasta septiembre</x:v>
      </x:c>
      <x:c r="AD1461" s="4" t="str">
        <x:v>/marejadas-en-iquique-que-son-y-como-afectan-a-las-playas/</x:v>
      </x:c>
      <x:c r="AE1461" s="4"/>
      <x:c r="AF1461" s="16" t="b">
        <x:v>0</x:v>
      </x:c>
    </x:row>
    <x:row r="1462" ht="44" customHeight="1">
      <x:c r="A1462" s="4" t="n">
        <x:v>6209</x:v>
      </x:c>
      <x:c r="B1462" s="4" t="str">
        <x:v>https://blog.skyairline.com/parque-hornopiren-que-ver-y-como-llegar/</x:v>
      </x:c>
      <x:c r="C1462" s="9" t="str">
        <x:v>Parque Hornopirén: qué ver y cómo llegar</x:v>
      </x:c>
      <x:c r="D1462" s="17" t="d">
        <x:v>2025-06-14T00:00:00.000Z</x:v>
      </x:c>
      <x:c r="E1462" s="17" t="d">
        <x:v>2025-06-14T00:00:00.000Z</x:v>
      </x:c>
      <x:c r="F1462" s="4" t="str">
        <x:v>Planificación de Viaje</x:v>
      </x:c>
      <x:c r="G1462" s="11" t="n">
        <x:v>1126</x:v>
      </x:c>
      <x:c r="H1462" s="11" t="n">
        <x:v>200</x:v>
      </x:c>
      <x:c r="I1462" s="11" t="n">
        <x:v>1</x:v>
      </x:c>
      <x:c r="J1462" s="4" t="str">
        <x:v>https://blog.skyairline.com/parque-hornopiren-que-ver-y-como-llegar/</x:v>
      </x:c>
      <x:c r="K1462" s="16" t="b">
        <x:v>0</x:v>
      </x:c>
      <x:c r="L1462" s="11" t="n">
        <x:v>0</x:v>
      </x:c>
      <x:c r="M1462" s="11" t="n">
        <x:v>4</x:v>
      </x:c>
      <x:c r="N1462" s="4"/>
      <x:c r="O1462" s="4"/>
      <x:c r="P1462" s="11" t="n">
        <x:v>1</x:v>
      </x:c>
      <x:c r="Q1462" s="11" t="n">
        <x:v>0</x:v>
      </x:c>
      <x:c r="R1462" s="11" t="str">
        <x:f>IF(OR(P1462="",Q1462=""),"",Q1462-P1462)</x:f>
      </x:c>
      <x:c r="S1462" s="13" t="str">
        <x:f>IF(OR(P1462="",Q1462="",P1462=0),"",((Q1462/30)/(P1462/31))-1)</x:f>
      </x:c>
      <x:c r="T1462" s="11" t="n">
        <x:v>232</x:v>
      </x:c>
      <x:c r="U1462" s="11" t="n">
        <x:v>173</x:v>
      </x:c>
      <x:c r="V1462" s="14" t="n">
        <x:v>0</x:v>
      </x:c>
      <x:c r="W1462" s="12" t="n">
        <x:v>18.13294797687861</x:v>
      </x:c>
      <x:c r="X1462" s="11"/>
      <x:c r="Y1462" s="11"/>
      <x:c r="Z1462" s="4" t="str">
        <x:v>https://blog.skyairline.com/parque-hornopiren-que-ver-y-como-llegar/</x:v>
      </x:c>
      <x:c r="AA1462" s="4" t="str">
        <x:v>https://blog.skyairline.com/parque-hornopiren-que-ver-y-como-llegar/</x:v>
      </x:c>
      <x:c r="AB1462" s="4" t="str">
        <x:v>Coincidencia URL</x:v>
      </x:c>
      <x:c r="AC1462" s="4" t="str">
        <x:v>Publicado hasta septiembre</x:v>
      </x:c>
      <x:c r="AD1462" s="4"/>
      <x:c r="AE1462" s="4"/>
      <x:c r="AF1462" s="16" t="b">
        <x:v>0</x:v>
      </x:c>
    </x:row>
    <x:row r="1463" ht="44" customHeight="1">
      <x:c r="A1463" s="4" t="n">
        <x:v>6213</x:v>
      </x:c>
      <x:c r="B1463" s="4" t="str">
        <x:v>https://blog.skyairline.com/lugares-turisticos-de-iquique-que-hacer-y-que-ver/</x:v>
      </x:c>
      <x:c r="C1463" s="9" t="str">
        <x:v>Lugares turísticos de Iquique: qué hacer y qué ver</x:v>
      </x:c>
      <x:c r="D1463" s="17" t="d">
        <x:v>2025-06-15T00:00:00.000Z</x:v>
      </x:c>
      <x:c r="E1463" s="17" t="d">
        <x:v>2025-06-15T00:00:00.000Z</x:v>
      </x:c>
      <x:c r="F1463" s="4" t="str">
        <x:v>Planificación de Viaje</x:v>
      </x:c>
      <x:c r="G1463" s="11" t="n">
        <x:v>1099</x:v>
      </x:c>
      <x:c r="H1463" s="11" t="n">
        <x:v>200</x:v>
      </x:c>
      <x:c r="I1463" s="11" t="n">
        <x:v>1</x:v>
      </x:c>
      <x:c r="J1463" s="4" t="str">
        <x:v>https://blog.skyairline.com/lugares-turisticos-de-iquique-que-hacer-y-que-ver/</x:v>
      </x:c>
      <x:c r="K1463" s="16" t="b">
        <x:v>0</x:v>
      </x:c>
      <x:c r="L1463" s="11" t="n">
        <x:v>0</x:v>
      </x:c>
      <x:c r="M1463" s="11" t="n">
        <x:v>0</x:v>
      </x:c>
      <x:c r="N1463" s="4"/>
      <x:c r="O1463" s="4"/>
      <x:c r="P1463" s="11" t="n">
        <x:v>2</x:v>
      </x:c>
      <x:c r="Q1463" s="11" t="n">
        <x:v>0</x:v>
      </x:c>
      <x:c r="R1463" s="11" t="str">
        <x:f>IF(OR(P1463="",Q1463=""),"",Q1463-P1463)</x:f>
      </x:c>
      <x:c r="S1463" s="13" t="str">
        <x:f>IF(OR(P1463="",Q1463="",P1463=0),"",((Q1463/30)/(P1463/31))-1)</x:f>
      </x:c>
      <x:c r="T1463" s="11" t="n">
        <x:v>521</x:v>
      </x:c>
      <x:c r="U1463" s="11" t="n">
        <x:v>221</x:v>
      </x:c>
      <x:c r="V1463" s="14" t="n">
        <x:v>0</x:v>
      </x:c>
      <x:c r="W1463" s="12" t="n">
        <x:v>16.316742081447963</x:v>
      </x:c>
      <x:c r="X1463" s="11"/>
      <x:c r="Y1463" s="11"/>
      <x:c r="Z1463" s="4" t="str">
        <x:v>https://blog.skyairline.com/lugares-turisticos-de-iquique-que-hacer-y-que-ver/</x:v>
      </x:c>
      <x:c r="AA1463" s="4" t="str">
        <x:v>https://blog.skyairline.com/lugares-turisticos-de-iquique-que-hacer-y-que-ver/</x:v>
      </x:c>
      <x:c r="AB1463" s="4" t="str">
        <x:v>Coincidencia URL</x:v>
      </x:c>
      <x:c r="AC1463" s="4" t="str">
        <x:v>Publicado hasta septiembre</x:v>
      </x:c>
      <x:c r="AD1463" s="4"/>
      <x:c r="AE1463" s="4"/>
      <x:c r="AF1463" s="16" t="b">
        <x:v>0</x:v>
      </x:c>
    </x:row>
    <x:row r="1464" ht="44" customHeight="1">
      <x:c r="A1464" s="4" t="n">
        <x:v>6216</x:v>
      </x:c>
      <x:c r="B1464" s="4" t="str">
        <x:v>https://blog.skyairline.com/rutas-en-chile-los-mejores-recorridos-para-explorar-el-pais/</x:v>
      </x:c>
      <x:c r="C1464" s="9" t="str">
        <x:v>Rutas en Chile: los mejores recorridos para explorar el país</x:v>
      </x:c>
      <x:c r="D1464" s="17" t="d">
        <x:v>2025-06-16T00:00:00.000Z</x:v>
      </x:c>
      <x:c r="E1464" s="17" t="d">
        <x:v>2025-06-16T00:00:00.000Z</x:v>
      </x:c>
      <x:c r="F1464" s="4" t="str">
        <x:v>Planificación de Viaje</x:v>
      </x:c>
      <x:c r="G1464" s="11" t="n">
        <x:v>1127</x:v>
      </x:c>
      <x:c r="H1464" s="11" t="n">
        <x:v>200</x:v>
      </x:c>
      <x:c r="I1464" s="11" t="n">
        <x:v>1</x:v>
      </x:c>
      <x:c r="J1464" s="4" t="str">
        <x:v>https://blog.skyairline.com/rutas-en-chile-los-mejores-recorridos-para-explorar-el-pais/</x:v>
      </x:c>
      <x:c r="K1464" s="16" t="b">
        <x:v>0</x:v>
      </x:c>
      <x:c r="L1464" s="11" t="n">
        <x:v>0</x:v>
      </x:c>
      <x:c r="M1464" s="11" t="n">
        <x:v>0</x:v>
      </x:c>
      <x:c r="N1464" s="4"/>
      <x:c r="O1464" s="4"/>
      <x:c r="P1464" s="11" t="n">
        <x:v>0</x:v>
      </x:c>
      <x:c r="Q1464" s="11" t="n">
        <x:v>0</x:v>
      </x:c>
      <x:c r="R1464" s="11" t="str">
        <x:f>IF(OR(P1464="",Q1464=""),"",Q1464-P1464)</x:f>
      </x:c>
      <x:c r="S1464" s="13" t="str">
        <x:f>IF(OR(P1464="",Q1464="",P1464=0),"",((Q1464/30)/(P1464/31))-1)</x:f>
      </x:c>
      <x:c r="T1464" s="11" t="n">
        <x:v>187</x:v>
      </x:c>
      <x:c r="U1464" s="11" t="n">
        <x:v>162</x:v>
      </x:c>
      <x:c r="V1464" s="14" t="n">
        <x:v>0</x:v>
      </x:c>
      <x:c r="W1464" s="12" t="n">
        <x:v>23.22222222222222</x:v>
      </x:c>
      <x:c r="X1464" s="11"/>
      <x:c r="Y1464" s="11"/>
      <x:c r="Z1464" s="4" t="str">
        <x:v>https://blog.skyairline.com/rutas-en-chile-los-mejores-recorridos-para-explorar-el-pais/</x:v>
      </x:c>
      <x:c r="AA1464" s="4" t="str">
        <x:v>https://blog.skyairline.com/rutas-en-chile-los-mejores-recorridos-para-explorar-el-pais/</x:v>
      </x:c>
      <x:c r="AB1464" s="4" t="str">
        <x:v>Coincidencia URL</x:v>
      </x:c>
      <x:c r="AC1464" s="4" t="str">
        <x:v>Publicado hasta septiembre</x:v>
      </x:c>
      <x:c r="AD1464" s="4"/>
      <x:c r="AE1464" s="4"/>
      <x:c r="AF1464" s="16" t="b">
        <x:v>0</x:v>
      </x:c>
    </x:row>
    <x:row r="1465" ht="44" customHeight="1">
      <x:c r="A1465" s="4" t="n">
        <x:v>6229</x:v>
      </x:c>
      <x:c r="B1465" s="4" t="str">
        <x:v>https://blog.skyairline.com/altura-del-aconcagua/</x:v>
      </x:c>
      <x:c r="C1465" s="9" t="str">
        <x:v>¿Cómo lidiar con la altura del Aconcagua durante tu aventura?</x:v>
      </x:c>
      <x:c r="D1465" s="17" t="d">
        <x:v>2025-06-20T00:00:00.000Z</x:v>
      </x:c>
      <x:c r="E1465" s="17" t="d">
        <x:v>2025-06-20T00:00:00.000Z</x:v>
      </x:c>
      <x:c r="F1465" s="4" t="str">
        <x:v>Planificación de Viaje</x:v>
      </x:c>
      <x:c r="G1465" s="11" t="n">
        <x:v>1098</x:v>
      </x:c>
      <x:c r="H1465" s="11" t="n">
        <x:v>200</x:v>
      </x:c>
      <x:c r="I1465" s="11" t="n">
        <x:v>1</x:v>
      </x:c>
      <x:c r="J1465" s="4" t="str">
        <x:v>https://blog.skyairline.com/altura-del-aconcagua/</x:v>
      </x:c>
      <x:c r="K1465" s="16" t="b">
        <x:v>0</x:v>
      </x:c>
      <x:c r="L1465" s="11" t="n">
        <x:v>0</x:v>
      </x:c>
      <x:c r="M1465" s="11" t="n">
        <x:v>0</x:v>
      </x:c>
      <x:c r="N1465" s="4"/>
      <x:c r="O1465" s="4"/>
      <x:c r="P1465" s="11" t="n">
        <x:v>1</x:v>
      </x:c>
      <x:c r="Q1465" s="11" t="n">
        <x:v>0</x:v>
      </x:c>
      <x:c r="R1465" s="11" t="str">
        <x:f>IF(OR(P1465="",Q1465=""),"",Q1465-P1465)</x:f>
      </x:c>
      <x:c r="S1465" s="13" t="str">
        <x:f>IF(OR(P1465="",Q1465="",P1465=0),"",((Q1465/30)/(P1465/31))-1)</x:f>
      </x:c>
      <x:c r="T1465" s="11" t="n">
        <x:v>431</x:v>
      </x:c>
      <x:c r="U1465" s="11" t="n">
        <x:v>132</x:v>
      </x:c>
      <x:c r="V1465" s="14" t="n">
        <x:v>0</x:v>
      </x:c>
      <x:c r="W1465" s="12" t="n">
        <x:v>10.045454545454545</x:v>
      </x:c>
      <x:c r="X1465" s="11"/>
      <x:c r="Y1465" s="11"/>
      <x:c r="Z1465" s="4" t="str">
        <x:v>https://blog.skyairline.com/altura-del-aconcagua/</x:v>
      </x:c>
      <x:c r="AA1465" s="4" t="str">
        <x:v>https://blog.skyairline.com/altura-del-aconcagua/</x:v>
      </x:c>
      <x:c r="AB1465" s="4" t="str">
        <x:v>Coincidencia URL</x:v>
      </x:c>
      <x:c r="AC1465" s="4" t="str">
        <x:v>Publicado hasta septiembre</x:v>
      </x:c>
      <x:c r="AD1465" s="4"/>
      <x:c r="AE1465" s="4"/>
      <x:c r="AF1465" s="16" t="b">
        <x:v>0</x:v>
      </x:c>
    </x:row>
    <x:row r="1466" ht="44" customHeight="1">
      <x:c r="A1466" s="4" t="n">
        <x:v>6261</x:v>
      </x:c>
      <x:c r="B1466" s="4" t="str">
        <x:v>https://blog.skyairline.com/viaje-con-amigos/</x:v>
      </x:c>
      <x:c r="C1466" s="9" t="str">
        <x:v>Viaje con amigos: consejos para pasarla bien sin discusiones</x:v>
      </x:c>
      <x:c r="D1466" s="17" t="d">
        <x:v>2025-06-29T00:00:00.000Z</x:v>
      </x:c>
      <x:c r="E1466" s="17" t="d">
        <x:v>2025-06-29T00:00:00.000Z</x:v>
      </x:c>
      <x:c r="F1466" s="4" t="str">
        <x:v>Planificación de Viaje</x:v>
      </x:c>
      <x:c r="G1466" s="11" t="n">
        <x:v>1117</x:v>
      </x:c>
      <x:c r="H1466" s="11" t="n">
        <x:v>200</x:v>
      </x:c>
      <x:c r="I1466" s="11" t="n">
        <x:v>1</x:v>
      </x:c>
      <x:c r="J1466" s="4" t="str">
        <x:v>https://blog.skyairline.com/viaje-con-amigos/</x:v>
      </x:c>
      <x:c r="K1466" s="16" t="b">
        <x:v>0</x:v>
      </x:c>
      <x:c r="L1466" s="11" t="n">
        <x:v>0</x:v>
      </x:c>
      <x:c r="M1466" s="11" t="n">
        <x:v>0</x:v>
      </x:c>
      <x:c r="N1466" s="4"/>
      <x:c r="O1466" s="4"/>
      <x:c r="P1466" s="11" t="n">
        <x:v>1</x:v>
      </x:c>
      <x:c r="Q1466" s="11" t="n">
        <x:v>0</x:v>
      </x:c>
      <x:c r="R1466" s="11" t="str">
        <x:f>IF(OR(P1466="",Q1466=""),"",Q1466-P1466)</x:f>
      </x:c>
      <x:c r="S1466" s="13" t="str">
        <x:f>IF(OR(P1466="",Q1466="",P1466=0),"",((Q1466/30)/(P1466/31))-1)</x:f>
      </x:c>
      <x:c r="T1466" s="11" t="n">
        <x:v>89</x:v>
      </x:c>
      <x:c r="U1466" s="11" t="n">
        <x:v>31</x:v>
      </x:c>
      <x:c r="V1466" s="14" t="n">
        <x:v>0</x:v>
      </x:c>
      <x:c r="W1466" s="12" t="n">
        <x:v>8.419354838709676</x:v>
      </x:c>
      <x:c r="X1466" s="11"/>
      <x:c r="Y1466" s="11"/>
      <x:c r="Z1466" s="4" t="str">
        <x:v>https://blog.skyairline.com/viaje-con-amigos/</x:v>
      </x:c>
      <x:c r="AA1466" s="4" t="str">
        <x:v>https://blog.skyairline.com/viaje-con-amigos/</x:v>
      </x:c>
      <x:c r="AB1466" s="4" t="str">
        <x:v>Coincidencia URL</x:v>
      </x:c>
      <x:c r="AC1466" s="4" t="str">
        <x:v>Publicado hasta septiembre</x:v>
      </x:c>
      <x:c r="AD1466" s="4"/>
      <x:c r="AE1466" s="4"/>
      <x:c r="AF1466" s="16" t="b">
        <x:v>0</x:v>
      </x:c>
    </x:row>
    <x:row r="1467" ht="44" customHeight="1">
      <x:c r="A1467" s="4" t="n">
        <x:v>6276</x:v>
      </x:c>
      <x:c r="B1467" s="4" t="str">
        <x:v>https://blog.skyairline.com/huaraz/</x:v>
      </x:c>
      <x:c r="C1467" s="9" t="str">
        <x:v>Imperdibles turísticos en Huaraz al norte de Perú</x:v>
      </x:c>
      <x:c r="D1467" s="17" t="d">
        <x:v>2025-07-04T00:00:00.000Z</x:v>
      </x:c>
      <x:c r="E1467" s="17" t="d">
        <x:v>2025-07-04T00:00:00.000Z</x:v>
      </x:c>
      <x:c r="F1467" s="4" t="str">
        <x:v>Destinos</x:v>
      </x:c>
      <x:c r="G1467" s="11" t="n">
        <x:v>1260</x:v>
      </x:c>
      <x:c r="H1467" s="11" t="n">
        <x:v>200</x:v>
      </x:c>
      <x:c r="I1467" s="11" t="n">
        <x:v>1</x:v>
      </x:c>
      <x:c r="J1467" s="4" t="str">
        <x:v>https://blog.skyairline.com/huaraz/</x:v>
      </x:c>
      <x:c r="K1467" s="16" t="b">
        <x:v>0</x:v>
      </x:c>
      <x:c r="L1467" s="11" t="n">
        <x:v>0</x:v>
      </x:c>
      <x:c r="M1467" s="11" t="n">
        <x:v>4</x:v>
      </x:c>
      <x:c r="N1467" s="4"/>
      <x:c r="O1467" s="4"/>
      <x:c r="P1467" s="11" t="n">
        <x:v>1</x:v>
      </x:c>
      <x:c r="Q1467" s="11" t="n">
        <x:v>0</x:v>
      </x:c>
      <x:c r="R1467" s="11" t="str">
        <x:f>IF(OR(P1467="",Q1467=""),"",Q1467-P1467)</x:f>
      </x:c>
      <x:c r="S1467" s="13" t="str">
        <x:f>IF(OR(P1467="",Q1467="",P1467=0),"",((Q1467/30)/(P1467/31))-1)</x:f>
      </x:c>
      <x:c r="T1467" s="11" t="n">
        <x:v>181</x:v>
      </x:c>
      <x:c r="U1467" s="11" t="n">
        <x:v>88</x:v>
      </x:c>
      <x:c r="V1467" s="14" t="n">
        <x:v>0</x:v>
      </x:c>
      <x:c r="W1467" s="12" t="n">
        <x:v>7.954545454545454</x:v>
      </x:c>
      <x:c r="X1467" s="11"/>
      <x:c r="Y1467" s="11"/>
      <x:c r="Z1467" s="4" t="str">
        <x:v>https://blog.skyairline.com/huaraz/</x:v>
      </x:c>
      <x:c r="AA1467" s="4" t="str">
        <x:v>https://blog.skyairline.com/huaraz/</x:v>
      </x:c>
      <x:c r="AB1467" s="4" t="str">
        <x:v>Coincidencia URL</x:v>
      </x:c>
      <x:c r="AC1467" s="4" t="str">
        <x:v>Publicado hasta septiembre</x:v>
      </x:c>
      <x:c r="AD1467" s="4"/>
      <x:c r="AE1467" s="4"/>
      <x:c r="AF1467" s="16" t="b">
        <x:v>0</x:v>
      </x:c>
    </x:row>
    <x:row r="1468" ht="44" customHeight="1">
      <x:c r="A1468" s="4" t="n">
        <x:v>6330</x:v>
      </x:c>
      <x:c r="B1468" s="4" t="str">
        <x:v>https://blog.skyairline.com/luna-de-miel-en-chile/</x:v>
      </x:c>
      <x:c r="C1468" s="9" t="str">
        <x:v>Ideas románticas para tu luna de miel en Chile</x:v>
      </x:c>
      <x:c r="D1468" s="17" t="d">
        <x:v>2025-07-16T00:00:00.000Z</x:v>
      </x:c>
      <x:c r="E1468" s="17" t="d">
        <x:v>2025-07-16T00:00:00.000Z</x:v>
      </x:c>
      <x:c r="F1468" s="4" t="str">
        <x:v>Destinos</x:v>
      </x:c>
      <x:c r="G1468" s="11" t="n">
        <x:v>995</x:v>
      </x:c>
      <x:c r="H1468" s="11" t="n">
        <x:v>200</x:v>
      </x:c>
      <x:c r="I1468" s="11" t="n">
        <x:v>1</x:v>
      </x:c>
      <x:c r="J1468" s="4" t="str">
        <x:v>https://blog.skyairline.com/luna-de-miel-en-chile/</x:v>
      </x:c>
      <x:c r="K1468" s="16" t="b">
        <x:v>0</x:v>
      </x:c>
      <x:c r="L1468" s="11" t="n">
        <x:v>0</x:v>
      </x:c>
      <x:c r="M1468" s="11" t="n">
        <x:v>3</x:v>
      </x:c>
      <x:c r="N1468" s="4"/>
      <x:c r="O1468" s="4"/>
      <x:c r="P1468" s="11" t="n">
        <x:v>3</x:v>
      </x:c>
      <x:c r="Q1468" s="11" t="n">
        <x:v>0</x:v>
      </x:c>
      <x:c r="R1468" s="11" t="str">
        <x:f>IF(OR(P1468="",Q1468=""),"",Q1468-P1468)</x:f>
      </x:c>
      <x:c r="S1468" s="13" t="str">
        <x:f>IF(OR(P1468="",Q1468="",P1468=0),"",((Q1468/30)/(P1468/31))-1)</x:f>
      </x:c>
      <x:c r="T1468" s="11" t="n">
        <x:v>533</x:v>
      </x:c>
      <x:c r="U1468" s="11" t="n">
        <x:v>411</x:v>
      </x:c>
      <x:c r="V1468" s="14" t="n">
        <x:v>0</x:v>
      </x:c>
      <x:c r="W1468" s="12" t="n">
        <x:v>34.29683698296837</x:v>
      </x:c>
      <x:c r="X1468" s="11" t="n">
        <x:v>1</x:v>
      </x:c>
      <x:c r="Y1468" s="11" t="n">
        <x:v>1</x:v>
      </x:c>
      <x:c r="Z1468" s="4" t="str">
        <x:v>https://blog.skyairline.com/luna-de-miel-en-chile/</x:v>
      </x:c>
      <x:c r="AA1468" s="4" t="str">
        <x:v>https://blog.skyairline.com/luna-de-miel-en-chile/</x:v>
      </x:c>
      <x:c r="AB1468" s="4" t="str">
        <x:v>Coincidencia URL</x:v>
      </x:c>
      <x:c r="AC1468" s="4" t="str">
        <x:v>Publicado hasta septiembre</x:v>
      </x:c>
      <x:c r="AD1468" s="4" t="str">
        <x:v>/luna-de-miel-en-chile/</x:v>
      </x:c>
      <x:c r="AE1468" s="4"/>
      <x:c r="AF1468" s="16" t="b">
        <x:v>0</x:v>
      </x:c>
    </x:row>
    <x:row r="1469" ht="44" customHeight="1">
      <x:c r="A1469" s="4" t="n">
        <x:v>6349</x:v>
      </x:c>
      <x:c r="B1469" s="4" t="str">
        <x:v>https://blog.skyairline.com/cueva-del-milodon/</x:v>
      </x:c>
      <x:c r="C1469" s="9" t="str">
        <x:v>Visita la histórica cueva del Milodón y revive el pasado prehistórico</x:v>
      </x:c>
      <x:c r="D1469" s="17" t="d">
        <x:v>2025-07-21T00:00:00.000Z</x:v>
      </x:c>
      <x:c r="E1469" s="17" t="d">
        <x:v>2025-07-21T00:00:00.000Z</x:v>
      </x:c>
      <x:c r="F1469" s="4" t="str">
        <x:v>Destinos</x:v>
      </x:c>
      <x:c r="G1469" s="11" t="n">
        <x:v>1029</x:v>
      </x:c>
      <x:c r="H1469" s="11" t="n">
        <x:v>200</x:v>
      </x:c>
      <x:c r="I1469" s="11" t="n">
        <x:v>1</x:v>
      </x:c>
      <x:c r="J1469" s="4" t="str">
        <x:v>https://blog.skyairline.com/cueva-del-milodon/</x:v>
      </x:c>
      <x:c r="K1469" s="16" t="b">
        <x:v>0</x:v>
      </x:c>
      <x:c r="L1469" s="11" t="n">
        <x:v>0</x:v>
      </x:c>
      <x:c r="M1469" s="11" t="n">
        <x:v>3</x:v>
      </x:c>
      <x:c r="N1469" s="4"/>
      <x:c r="O1469" s="4"/>
      <x:c r="P1469" s="11" t="n">
        <x:v>0</x:v>
      </x:c>
      <x:c r="Q1469" s="11" t="n">
        <x:v>0</x:v>
      </x:c>
      <x:c r="R1469" s="11" t="str">
        <x:f>IF(OR(P1469="",Q1469=""),"",Q1469-P1469)</x:f>
      </x:c>
      <x:c r="S1469" s="13" t="str">
        <x:f>IF(OR(P1469="",Q1469="",P1469=0),"",((Q1469/30)/(P1469/31))-1)</x:f>
      </x:c>
      <x:c r="T1469" s="11" t="n">
        <x:v>108</x:v>
      </x:c>
      <x:c r="U1469" s="11" t="n">
        <x:v>80</x:v>
      </x:c>
      <x:c r="V1469" s="14" t="n">
        <x:v>0</x:v>
      </x:c>
      <x:c r="W1469" s="12" t="n">
        <x:v>14.525</x:v>
      </x:c>
      <x:c r="X1469" s="11"/>
      <x:c r="Y1469" s="11"/>
      <x:c r="Z1469" s="4" t="str">
        <x:v>https://blog.skyairline.com/cueva-del-milodon/</x:v>
      </x:c>
      <x:c r="AA1469" s="4" t="str">
        <x:v>https://blog.skyairline.com/cueva-del-milodon/</x:v>
      </x:c>
      <x:c r="AB1469" s="4" t="str">
        <x:v>Coincidencia URL</x:v>
      </x:c>
      <x:c r="AC1469" s="4" t="str">
        <x:v>Publicado hasta septiembre</x:v>
      </x:c>
      <x:c r="AD1469" s="4"/>
      <x:c r="AE1469" s="4"/>
      <x:c r="AF1469" s="16" t="b">
        <x:v>0</x:v>
      </x:c>
    </x:row>
    <x:row r="1470" ht="44" customHeight="1">
      <x:c r="A1470" s="4" t="n">
        <x:v>6386</x:v>
      </x:c>
      <x:c r="B1470" s="4" t="str">
        <x:v>https://blog.skyairline.com/pinguinos-de-humboldt/</x:v>
      </x:c>
      <x:c r="C1470" s="9" t="str">
        <x:v>Dónde ver a los pingüinos de Humboldt en su hábitat natural</x:v>
      </x:c>
      <x:c r="D1470" s="17" t="d">
        <x:v>2025-08-01T00:00:00.000Z</x:v>
      </x:c>
      <x:c r="E1470" s="17" t="d">
        <x:v>2025-08-01T00:00:00.000Z</x:v>
      </x:c>
      <x:c r="F1470" s="4" t="str">
        <x:v>Destinos</x:v>
      </x:c>
      <x:c r="G1470" s="11" t="n">
        <x:v>1089</x:v>
      </x:c>
      <x:c r="H1470" s="11" t="n">
        <x:v>200</x:v>
      </x:c>
      <x:c r="I1470" s="11" t="n">
        <x:v>1</x:v>
      </x:c>
      <x:c r="J1470" s="4" t="str">
        <x:v>https://blog.skyairline.com/pinguinos-de-humboldt/</x:v>
      </x:c>
      <x:c r="K1470" s="16" t="b">
        <x:v>0</x:v>
      </x:c>
      <x:c r="L1470" s="11" t="n">
        <x:v>0</x:v>
      </x:c>
      <x:c r="M1470" s="11" t="n">
        <x:v>2</x:v>
      </x:c>
      <x:c r="N1470" s="4"/>
      <x:c r="O1470" s="4"/>
      <x:c r="P1470" s="11" t="n">
        <x:v>0</x:v>
      </x:c>
      <x:c r="Q1470" s="11" t="n">
        <x:v>0</x:v>
      </x:c>
      <x:c r="R1470" s="11" t="str">
        <x:f>IF(OR(P1470="",Q1470=""),"",Q1470-P1470)</x:f>
      </x:c>
      <x:c r="S1470" s="13" t="str">
        <x:f>IF(OR(P1470="",Q1470="",P1470=0),"",((Q1470/30)/(P1470/31))-1)</x:f>
      </x:c>
      <x:c r="T1470" s="11" t="n">
        <x:v>144</x:v>
      </x:c>
      <x:c r="U1470" s="11" t="n">
        <x:v>131</x:v>
      </x:c>
      <x:c r="V1470" s="14" t="n">
        <x:v>0</x:v>
      </x:c>
      <x:c r="W1470" s="12" t="n">
        <x:v>12.076335877862595</x:v>
      </x:c>
      <x:c r="X1470" s="11" t="n">
        <x:v>1</x:v>
      </x:c>
      <x:c r="Y1470" s="11" t="n">
        <x:v>1</x:v>
      </x:c>
      <x:c r="Z1470" s="4" t="str">
        <x:v>https://blog.skyairline.com/pinguinos-de-humboldt/</x:v>
      </x:c>
      <x:c r="AA1470" s="4" t="str">
        <x:v>https://blog.skyairline.com/pinguinos-de-humboldt/</x:v>
      </x:c>
      <x:c r="AB1470" s="4" t="str">
        <x:v>Coincidencia URL</x:v>
      </x:c>
      <x:c r="AC1470" s="4" t="str">
        <x:v>Publicado hasta septiembre</x:v>
      </x:c>
      <x:c r="AD1470" s="4" t="str">
        <x:v>/pinguinos-de-humboldt/</x:v>
      </x:c>
      <x:c r="AE1470" s="4"/>
      <x:c r="AF1470" s="16" t="b">
        <x:v>0</x:v>
      </x:c>
    </x:row>
    <x:row r="1471" ht="44" customHeight="1">
      <x:c r="A1471" s="4" t="n">
        <x:v>6389</x:v>
      </x:c>
      <x:c r="B1471" s="4" t="str">
        <x:v>https://blog.skyairline.com/laguna-del-huemul/</x:v>
      </x:c>
      <x:c r="C1471" s="9" t="str">
        <x:v>Explora la mágica laguna del Huemul entre montañas</x:v>
      </x:c>
      <x:c r="D1471" s="17" t="d">
        <x:v>2025-08-02T00:00:00.000Z</x:v>
      </x:c>
      <x:c r="E1471" s="17" t="d">
        <x:v>2025-08-02T00:00:00.000Z</x:v>
      </x:c>
      <x:c r="F1471" s="4" t="str">
        <x:v>Destinos</x:v>
      </x:c>
      <x:c r="G1471" s="11" t="n">
        <x:v>1060</x:v>
      </x:c>
      <x:c r="H1471" s="11" t="n">
        <x:v>200</x:v>
      </x:c>
      <x:c r="I1471" s="11" t="n">
        <x:v>1</x:v>
      </x:c>
      <x:c r="J1471" s="4" t="str">
        <x:v>https://blog.skyairline.com/laguna-del-huemul/</x:v>
      </x:c>
      <x:c r="K1471" s="16" t="b">
        <x:v>0</x:v>
      </x:c>
      <x:c r="L1471" s="11" t="n">
        <x:v>0</x:v>
      </x:c>
      <x:c r="M1471" s="11" t="n">
        <x:v>2</x:v>
      </x:c>
      <x:c r="N1471" s="4"/>
      <x:c r="O1471" s="4"/>
      <x:c r="P1471" s="11" t="n">
        <x:v>0</x:v>
      </x:c>
      <x:c r="Q1471" s="11" t="n">
        <x:v>0</x:v>
      </x:c>
      <x:c r="R1471" s="11" t="str">
        <x:f>IF(OR(P1471="",Q1471=""),"",Q1471-P1471)</x:f>
      </x:c>
      <x:c r="S1471" s="13" t="str">
        <x:f>IF(OR(P1471="",Q1471="",P1471=0),"",((Q1471/30)/(P1471/31))-1)</x:f>
      </x:c>
      <x:c r="T1471" s="11" t="n">
        <x:v>75</x:v>
      </x:c>
      <x:c r="U1471" s="11" t="n">
        <x:v>22</x:v>
      </x:c>
      <x:c r="V1471" s="14" t="n">
        <x:v>0</x:v>
      </x:c>
      <x:c r="W1471" s="12" t="n">
        <x:v>8.772727272727273</x:v>
      </x:c>
      <x:c r="X1471" s="11"/>
      <x:c r="Y1471" s="11"/>
      <x:c r="Z1471" s="4" t="str">
        <x:v>https://blog.skyairline.com/laguna-del-huemul/</x:v>
      </x:c>
      <x:c r="AA1471" s="4" t="str">
        <x:v>https://blog.skyairline.com/laguna-del-huemul/</x:v>
      </x:c>
      <x:c r="AB1471" s="4" t="str">
        <x:v>Coincidencia URL</x:v>
      </x:c>
      <x:c r="AC1471" s="4" t="str">
        <x:v>Publicado hasta septiembre</x:v>
      </x:c>
      <x:c r="AD1471" s="4"/>
      <x:c r="AE1471" s="4"/>
      <x:c r="AF1471" s="16" t="b">
        <x:v>0</x:v>
      </x:c>
    </x:row>
    <x:row r="1472" ht="44" customHeight="1">
      <x:c r="A1472" s="4" t="n">
        <x:v>6401</x:v>
      </x:c>
      <x:c r="B1472" s="4" t="str">
        <x:v>https://blog.skyairline.com/santa-lucia-en-el-caribe/</x:v>
      </x:c>
      <x:c r="C1472" s="9" t="str">
        <x:v>Descubre por qué Santa Lucía en el Caribe es una joya poco explorada</x:v>
      </x:c>
      <x:c r="D1472" s="17" t="d">
        <x:v>2025-08-05T00:00:00.000Z</x:v>
      </x:c>
      <x:c r="E1472" s="17" t="d">
        <x:v>2025-08-05T00:00:00.000Z</x:v>
      </x:c>
      <x:c r="F1472" s="4" t="str">
        <x:v>Destinos</x:v>
      </x:c>
      <x:c r="G1472" s="11" t="n">
        <x:v>1031</x:v>
      </x:c>
      <x:c r="H1472" s="11" t="n">
        <x:v>200</x:v>
      </x:c>
      <x:c r="I1472" s="11" t="n">
        <x:v>1</x:v>
      </x:c>
      <x:c r="J1472" s="4" t="str">
        <x:v>https://blog.skyairline.com/santa-lucia-en-el-caribe/</x:v>
      </x:c>
      <x:c r="K1472" s="16" t="b">
        <x:v>0</x:v>
      </x:c>
      <x:c r="L1472" s="11" t="n">
        <x:v>0</x:v>
      </x:c>
      <x:c r="M1472" s="11" t="n">
        <x:v>3</x:v>
      </x:c>
      <x:c r="N1472" s="4"/>
      <x:c r="O1472" s="4"/>
      <x:c r="P1472" s="11" t="n">
        <x:v>1</x:v>
      </x:c>
      <x:c r="Q1472" s="11" t="n">
        <x:v>0</x:v>
      </x:c>
      <x:c r="R1472" s="11" t="str">
        <x:f>IF(OR(P1472="",Q1472=""),"",Q1472-P1472)</x:f>
      </x:c>
      <x:c r="S1472" s="13" t="str">
        <x:f>IF(OR(P1472="",Q1472="",P1472=0),"",((Q1472/30)/(P1472/31))-1)</x:f>
      </x:c>
      <x:c r="T1472" s="11" t="n">
        <x:v>162</x:v>
      </x:c>
      <x:c r="U1472" s="11" t="n">
        <x:v>73</x:v>
      </x:c>
      <x:c r="V1472" s="14" t="n">
        <x:v>0</x:v>
      </x:c>
      <x:c r="W1472" s="12" t="n">
        <x:v>28.589041095890412</x:v>
      </x:c>
      <x:c r="X1472" s="11"/>
      <x:c r="Y1472" s="11"/>
      <x:c r="Z1472" s="4" t="str">
        <x:v>https://blog.skyairline.com/santa-lucia-en-el-caribe/</x:v>
      </x:c>
      <x:c r="AA1472" s="4" t="str">
        <x:v>https://blog.skyairline.com/santa-lucia-en-el-caribe/</x:v>
      </x:c>
      <x:c r="AB1472" s="4" t="str">
        <x:v>Coincidencia URL</x:v>
      </x:c>
      <x:c r="AC1472" s="4" t="str">
        <x:v>Publicado hasta septiembre</x:v>
      </x:c>
      <x:c r="AD1472" s="4"/>
      <x:c r="AE1472" s="4"/>
      <x:c r="AF1472" s="16" t="b">
        <x:v>0</x:v>
      </x:c>
    </x:row>
    <x:row r="1473" ht="44" customHeight="1">
      <x:c r="A1473" s="4" t="n">
        <x:v>6436</x:v>
      </x:c>
      <x:c r="B1473" s="4" t="str">
        <x:v>https://blog.skyairline.com/sky-celebra-24-anos-en-la-aviacion-y-6-en-peru-consolidando-su-presencia-en-la-region/</x:v>
      </x:c>
      <x:c r="C1473" s="9" t="str">
        <x:v>SKY celebra 24 años en la aviación y 6 en Perú, consolidando su presencia en la región</x:v>
      </x:c>
      <x:c r="D1473" s="17" t="d">
        <x:v>2025-07-18T00:00:00.000Z</x:v>
      </x:c>
      <x:c r="E1473" s="17" t="d">
        <x:v>2025-07-18T00:00:00.000Z</x:v>
      </x:c>
      <x:c r="F1473" s="4" t="str">
        <x:v>Noticias</x:v>
      </x:c>
      <x:c r="G1473" s="11" t="n">
        <x:v>460</x:v>
      </x:c>
      <x:c r="H1473" s="11" t="n">
        <x:v>200</x:v>
      </x:c>
      <x:c r="I1473" s="11" t="n">
        <x:v>1</x:v>
      </x:c>
      <x:c r="J1473" s="4" t="str">
        <x:v>https://blog.skyairline.com/sky-celebra-24-anos-en-la-aviacion-y-6-en-peru-consolidando-su-presencia-en-la-region/</x:v>
      </x:c>
      <x:c r="K1473" s="16" t="b">
        <x:v>0</x:v>
      </x:c>
      <x:c r="L1473" s="11" t="n">
        <x:v>0</x:v>
      </x:c>
      <x:c r="M1473" s="11" t="n">
        <x:v>0</x:v>
      </x:c>
      <x:c r="N1473" s="4"/>
      <x:c r="O1473" s="4"/>
      <x:c r="P1473" s="11" t="n">
        <x:v>0</x:v>
      </x:c>
      <x:c r="Q1473" s="11" t="n">
        <x:v>0</x:v>
      </x:c>
      <x:c r="R1473" s="11" t="str">
        <x:f>IF(OR(P1473="",Q1473=""),"",Q1473-P1473)</x:f>
      </x:c>
      <x:c r="S1473" s="13" t="str">
        <x:f>IF(OR(P1473="",Q1473="",P1473=0),"",((Q1473/30)/(P1473/31))-1)</x:f>
      </x:c>
      <x:c r="T1473" s="11" t="n">
        <x:v>159</x:v>
      </x:c>
      <x:c r="U1473" s="11" t="n">
        <x:v>184</x:v>
      </x:c>
      <x:c r="V1473" s="14" t="n">
        <x:v>0</x:v>
      </x:c>
      <x:c r="W1473" s="12" t="n">
        <x:v>9.434782608695652</x:v>
      </x:c>
      <x:c r="X1473" s="11" t="n">
        <x:v>1</x:v>
      </x:c>
      <x:c r="Y1473" s="11" t="n">
        <x:v>2</x:v>
      </x:c>
      <x:c r="Z1473" s="4" t="str">
        <x:v>https://blog.skyairline.com/sky-celebra-24-anos-en-la-aviacion-y-6-en-peru-consolidando-su-presencia-en-la-region/</x:v>
      </x:c>
      <x:c r="AA1473" s="4" t="str">
        <x:v>https://blog.skyairline.com/sky-celebra-24-anos-en-la-aviacion-y-6-en-peru-consolidando-su-presencia-en-la-region/</x:v>
      </x:c>
      <x:c r="AB1473" s="4" t="str">
        <x:v>Coincidencia URL</x:v>
      </x:c>
      <x:c r="AC1473" s="4" t="str">
        <x:v>Publicado hasta septiembre</x:v>
      </x:c>
      <x:c r="AD1473" s="4" t="str">
        <x:v>/sky-celebra-24-anos-en-la-aviacion-y-6-en-peru-consolidando-su-presencia-en-la-region/</x:v>
      </x:c>
      <x:c r="AE1473" s="4"/>
      <x:c r="AF1473" s="16" t="b">
        <x:v>0</x:v>
      </x:c>
    </x:row>
    <x:row r="1474" ht="44" customHeight="1">
      <x:c r="A1474" s="4" t="n">
        <x:v>6449</x:v>
      </x:c>
      <x:c r="B1474" s="4" t="str">
        <x:v>https://blog.skyairline.com/playa-renaca/</x:v>
      </x:c>
      <x:c r="C1474" s="9" t="str">
        <x:v>Disfruta del sol y la vibra de playa Reñaca todo el año</x:v>
      </x:c>
      <x:c r="D1474" s="17" t="d">
        <x:v>2025-08-09T00:00:00.000Z</x:v>
      </x:c>
      <x:c r="E1474" s="17" t="d">
        <x:v>2025-08-09T00:00:00.000Z</x:v>
      </x:c>
      <x:c r="F1474" s="4" t="str">
        <x:v>Destinos</x:v>
      </x:c>
      <x:c r="G1474" s="11" t="n">
        <x:v>1144</x:v>
      </x:c>
      <x:c r="H1474" s="11" t="n">
        <x:v>200</x:v>
      </x:c>
      <x:c r="I1474" s="11" t="n">
        <x:v>1</x:v>
      </x:c>
      <x:c r="J1474" s="4" t="str">
        <x:v>https://blog.skyairline.com/playa-renaca/</x:v>
      </x:c>
      <x:c r="K1474" s="16" t="b">
        <x:v>0</x:v>
      </x:c>
      <x:c r="L1474" s="11" t="n">
        <x:v>0</x:v>
      </x:c>
      <x:c r="M1474" s="11" t="n">
        <x:v>3</x:v>
      </x:c>
      <x:c r="N1474" s="4"/>
      <x:c r="O1474" s="4"/>
      <x:c r="P1474" s="11" t="n">
        <x:v>0</x:v>
      </x:c>
      <x:c r="Q1474" s="11" t="n">
        <x:v>0</x:v>
      </x:c>
      <x:c r="R1474" s="11" t="str">
        <x:f>IF(OR(P1474="",Q1474=""),"",Q1474-P1474)</x:f>
      </x:c>
      <x:c r="S1474" s="13" t="str">
        <x:f>IF(OR(P1474="",Q1474="",P1474=0),"",((Q1474/30)/(P1474/31))-1)</x:f>
      </x:c>
      <x:c r="T1474" s="11" t="n">
        <x:v>233</x:v>
      </x:c>
      <x:c r="U1474" s="11" t="n">
        <x:v>153</x:v>
      </x:c>
      <x:c r="V1474" s="14" t="n">
        <x:v>0</x:v>
      </x:c>
      <x:c r="W1474" s="12" t="n">
        <x:v>8.823529411764707</x:v>
      </x:c>
      <x:c r="X1474" s="11"/>
      <x:c r="Y1474" s="11"/>
      <x:c r="Z1474" s="4" t="str">
        <x:v>https://blog.skyairline.com/playa-renaca/</x:v>
      </x:c>
      <x:c r="AA1474" s="4" t="str">
        <x:v>https://blog.skyairline.com/playa-renaca/</x:v>
      </x:c>
      <x:c r="AB1474" s="4" t="str">
        <x:v>Coincidencia URL</x:v>
      </x:c>
      <x:c r="AC1474" s="4" t="str">
        <x:v>Publicado hasta septiembre</x:v>
      </x:c>
      <x:c r="AD1474" s="4"/>
      <x:c r="AE1474" s="4"/>
      <x:c r="AF1474" s="16" t="b">
        <x:v>0</x:v>
      </x:c>
    </x:row>
    <x:row r="1475" ht="44" customHeight="1">
      <x:c r="A1475" s="4" t="n">
        <x:v>6454</x:v>
      </x:c>
      <x:c r="B1475" s="4" t="str">
        <x:v>https://blog.skyairline.com/parque-nacional-puyehue/</x:v>
      </x:c>
      <x:c r="C1475" s="9" t="str">
        <x:v>Razones para visitar el Parque Nacional Puyehue este verano</x:v>
      </x:c>
      <x:c r="D1475" s="17" t="d">
        <x:v>2025-08-10T00:00:00.000Z</x:v>
      </x:c>
      <x:c r="E1475" s="17" t="d">
        <x:v>2025-08-10T00:00:00.000Z</x:v>
      </x:c>
      <x:c r="F1475" s="4" t="str">
        <x:v>Planificación de Viaje</x:v>
      </x:c>
      <x:c r="G1475" s="11" t="n">
        <x:v>958</x:v>
      </x:c>
      <x:c r="H1475" s="11" t="n">
        <x:v>200</x:v>
      </x:c>
      <x:c r="I1475" s="11" t="n">
        <x:v>1</x:v>
      </x:c>
      <x:c r="J1475" s="4" t="str">
        <x:v>https://blog.skyairline.com/parque-nacional-puyehue/</x:v>
      </x:c>
      <x:c r="K1475" s="16" t="b">
        <x:v>0</x:v>
      </x:c>
      <x:c r="L1475" s="11" t="n">
        <x:v>0</x:v>
      </x:c>
      <x:c r="M1475" s="11" t="n">
        <x:v>3</x:v>
      </x:c>
      <x:c r="N1475" s="4"/>
      <x:c r="O1475" s="4"/>
      <x:c r="P1475" s="11" t="n">
        <x:v>0</x:v>
      </x:c>
      <x:c r="Q1475" s="11" t="n">
        <x:v>0</x:v>
      </x:c>
      <x:c r="R1475" s="11" t="str">
        <x:f>IF(OR(P1475="",Q1475=""),"",Q1475-P1475)</x:f>
      </x:c>
      <x:c r="S1475" s="13" t="str">
        <x:f>IF(OR(P1475="",Q1475="",P1475=0),"",((Q1475/30)/(P1475/31))-1)</x:f>
      </x:c>
      <x:c r="T1475" s="11" t="n">
        <x:v>55</x:v>
      </x:c>
      <x:c r="U1475" s="11" t="n">
        <x:v>59</x:v>
      </x:c>
      <x:c r="V1475" s="14" t="n">
        <x:v>0</x:v>
      </x:c>
      <x:c r="W1475" s="12" t="n">
        <x:v>16.66101694915254</x:v>
      </x:c>
      <x:c r="X1475" s="11"/>
      <x:c r="Y1475" s="11"/>
      <x:c r="Z1475" s="4" t="str">
        <x:v>https://blog.skyairline.com/parque-nacional-puyehue/</x:v>
      </x:c>
      <x:c r="AA1475" s="4" t="str">
        <x:v>https://blog.skyairline.com/parque-nacional-puyehue/</x:v>
      </x:c>
      <x:c r="AB1475" s="4" t="str">
        <x:v>Coincidencia URL</x:v>
      </x:c>
      <x:c r="AC1475" s="4" t="str">
        <x:v>Publicado hasta septiembre</x:v>
      </x:c>
      <x:c r="AD1475" s="4"/>
      <x:c r="AE1475" s="4"/>
      <x:c r="AF1475" s="16" t="b">
        <x:v>0</x:v>
      </x:c>
    </x:row>
    <x:row r="1476" ht="44" customHeight="1">
      <x:c r="A1476" s="4" t="n">
        <x:v>6460</x:v>
      </x:c>
      <x:c r="B1476" s="4" t="str">
        <x:v>https://blog.skyairline.com/chiloe-silvestre/</x:v>
      </x:c>
      <x:c r="C1476" s="9" t="str">
        <x:v>Aventura y naturaleza en estado puro: descubre el Chiloé silvestre</x:v>
      </x:c>
      <x:c r="D1476" s="17" t="d">
        <x:v>2025-08-12T00:00:00.000Z</x:v>
      </x:c>
      <x:c r="E1476" s="17" t="d">
        <x:v>2025-08-12T00:00:00.000Z</x:v>
      </x:c>
      <x:c r="F1476" s="4" t="str">
        <x:v>Planificación de Viaje</x:v>
      </x:c>
      <x:c r="G1476" s="11" t="n">
        <x:v>1232</x:v>
      </x:c>
      <x:c r="H1476" s="11" t="n">
        <x:v>200</x:v>
      </x:c>
      <x:c r="I1476" s="11" t="n">
        <x:v>1</x:v>
      </x:c>
      <x:c r="J1476" s="4" t="str">
        <x:v>https://blog.skyairline.com/chiloe-silvestre/</x:v>
      </x:c>
      <x:c r="K1476" s="16" t="b">
        <x:v>0</x:v>
      </x:c>
      <x:c r="L1476" s="11" t="n">
        <x:v>0</x:v>
      </x:c>
      <x:c r="M1476" s="11" t="n">
        <x:v>3</x:v>
      </x:c>
      <x:c r="N1476" s="4"/>
      <x:c r="O1476" s="4"/>
      <x:c r="P1476" s="11" t="n">
        <x:v>0</x:v>
      </x:c>
      <x:c r="Q1476" s="11" t="n">
        <x:v>0</x:v>
      </x:c>
      <x:c r="R1476" s="11" t="str">
        <x:f>IF(OR(P1476="",Q1476=""),"",Q1476-P1476)</x:f>
      </x:c>
      <x:c r="S1476" s="13" t="str">
        <x:f>IF(OR(P1476="",Q1476="",P1476=0),"",((Q1476/30)/(P1476/31))-1)</x:f>
      </x:c>
      <x:c r="T1476" s="11" t="n">
        <x:v>32</x:v>
      </x:c>
      <x:c r="U1476" s="11" t="n">
        <x:v>54</x:v>
      </x:c>
      <x:c r="V1476" s="14" t="n">
        <x:v>0</x:v>
      </x:c>
      <x:c r="W1476" s="12" t="n">
        <x:v>9.037037037037036</x:v>
      </x:c>
      <x:c r="X1476" s="11"/>
      <x:c r="Y1476" s="11"/>
      <x:c r="Z1476" s="4" t="str">
        <x:v>https://blog.skyairline.com/chiloe-silvestre/</x:v>
      </x:c>
      <x:c r="AA1476" s="4" t="str">
        <x:v>https://blog.skyairline.com/chiloe-silvestre/</x:v>
      </x:c>
      <x:c r="AB1476" s="4" t="str">
        <x:v>Coincidencia URL</x:v>
      </x:c>
      <x:c r="AC1476" s="4" t="str">
        <x:v>Publicado hasta septiembre</x:v>
      </x:c>
      <x:c r="AD1476" s="4"/>
      <x:c r="AE1476" s="4"/>
      <x:c r="AF1476" s="16" t="b">
        <x:v>0</x:v>
      </x:c>
    </x:row>
    <x:row r="1477" ht="44" customHeight="1">
      <x:c r="A1477" s="4" t="n">
        <x:v>6469</x:v>
      </x:c>
      <x:c r="B1477" s="4" t="str">
        <x:v>https://blog.skyairline.com/cajon-del-maipo-2/</x:v>
      </x:c>
      <x:c r="C1477" s="9" t="str">
        <x:v>Todo lo que necesitas para hacer camping en el Cajón del Maipo</x:v>
      </x:c>
      <x:c r="D1477" s="17" t="d">
        <x:v>2025-08-15T00:00:00.000Z</x:v>
      </x:c>
      <x:c r="E1477" s="17" t="d">
        <x:v>2025-08-15T00:00:00.000Z</x:v>
      </x:c>
      <x:c r="F1477" s="4" t="str">
        <x:v>Planificación de Viaje</x:v>
      </x:c>
      <x:c r="G1477" s="11" t="n">
        <x:v>1169</x:v>
      </x:c>
      <x:c r="H1477" s="11" t="n">
        <x:v>200</x:v>
      </x:c>
      <x:c r="I1477" s="11" t="n">
        <x:v>1</x:v>
      </x:c>
      <x:c r="J1477" s="4" t="str">
        <x:v>https://blog.skyairline.com/cajon-del-maipo-2/</x:v>
      </x:c>
      <x:c r="K1477" s="16" t="b">
        <x:v>0</x:v>
      </x:c>
      <x:c r="L1477" s="11" t="n">
        <x:v>0</x:v>
      </x:c>
      <x:c r="M1477" s="11" t="n">
        <x:v>2</x:v>
      </x:c>
      <x:c r="N1477" s="4"/>
      <x:c r="O1477" s="4"/>
      <x:c r="P1477" s="11" t="n">
        <x:v>1</x:v>
      </x:c>
      <x:c r="Q1477" s="11" t="n">
        <x:v>0</x:v>
      </x:c>
      <x:c r="R1477" s="11" t="str">
        <x:f>IF(OR(P1477="",Q1477=""),"",Q1477-P1477)</x:f>
      </x:c>
      <x:c r="S1477" s="13" t="str">
        <x:f>IF(OR(P1477="",Q1477="",P1477=0),"",((Q1477/30)/(P1477/31))-1)</x:f>
      </x:c>
      <x:c r="T1477" s="11" t="n">
        <x:v>148</x:v>
      </x:c>
      <x:c r="U1477" s="11" t="n">
        <x:v>152</x:v>
      </x:c>
      <x:c r="V1477" s="14" t="n">
        <x:v>0</x:v>
      </x:c>
      <x:c r="W1477" s="12" t="n">
        <x:v>11.875</x:v>
      </x:c>
      <x:c r="X1477" s="11" t="n">
        <x:v>2</x:v>
      </x:c>
      <x:c r="Y1477" s="11" t="n">
        <x:v>2</x:v>
      </x:c>
      <x:c r="Z1477" s="4" t="str">
        <x:v>https://blog.skyairline.com/cajon-del-maipo-2/</x:v>
      </x:c>
      <x:c r="AA1477" s="4" t="str">
        <x:v>https://blog.skyairline.com/cajon-del-maipo-2/</x:v>
      </x:c>
      <x:c r="AB1477" s="4" t="str">
        <x:v>Coincidencia URL</x:v>
      </x:c>
      <x:c r="AC1477" s="4" t="str">
        <x:v>Publicado hasta septiembre</x:v>
      </x:c>
      <x:c r="AD1477" s="4" t="str">
        <x:v>/cajon-del-maipo-2/</x:v>
      </x:c>
      <x:c r="AE1477" s="4"/>
      <x:c r="AF1477" s="16" t="b">
        <x:v>0</x:v>
      </x:c>
    </x:row>
    <x:row r="1478" ht="44" customHeight="1">
      <x:c r="A1478" s="4" t="n">
        <x:v>6472</x:v>
      </x:c>
      <x:c r="B1478" s="4" t="str">
        <x:v>https://blog.skyairline.com/itata/</x:v>
      </x:c>
      <x:c r="C1478" s="9" t="str">
        <x:v>Escápate al sur y recorre el Itata como nunca antes</x:v>
      </x:c>
      <x:c r="D1478" s="17" t="d">
        <x:v>2025-08-16T00:00:00.000Z</x:v>
      </x:c>
      <x:c r="E1478" s="17" t="d">
        <x:v>2025-08-16T00:00:00.000Z</x:v>
      </x:c>
      <x:c r="F1478" s="4" t="str">
        <x:v>Planificación de Viaje</x:v>
      </x:c>
      <x:c r="G1478" s="11" t="n">
        <x:v>877</x:v>
      </x:c>
      <x:c r="H1478" s="11" t="n">
        <x:v>200</x:v>
      </x:c>
      <x:c r="I1478" s="11" t="n">
        <x:v>1</x:v>
      </x:c>
      <x:c r="J1478" s="4" t="str">
        <x:v>https://blog.skyairline.com/itata/</x:v>
      </x:c>
      <x:c r="K1478" s="16" t="b">
        <x:v>0</x:v>
      </x:c>
      <x:c r="L1478" s="11" t="n">
        <x:v>0</x:v>
      </x:c>
      <x:c r="M1478" s="11" t="n">
        <x:v>3</x:v>
      </x:c>
      <x:c r="N1478" s="4"/>
      <x:c r="O1478" s="4"/>
      <x:c r="P1478" s="11" t="n">
        <x:v>1</x:v>
      </x:c>
      <x:c r="Q1478" s="11" t="n">
        <x:v>0</x:v>
      </x:c>
      <x:c r="R1478" s="11" t="str">
        <x:f>IF(OR(P1478="",Q1478=""),"",Q1478-P1478)</x:f>
      </x:c>
      <x:c r="S1478" s="13" t="str">
        <x:f>IF(OR(P1478="",Q1478="",P1478=0),"",((Q1478/30)/(P1478/31))-1)</x:f>
      </x:c>
      <x:c r="T1478" s="11" t="n">
        <x:v>39</x:v>
      </x:c>
      <x:c r="U1478" s="11" t="n">
        <x:v>53</x:v>
      </x:c>
      <x:c r="V1478" s="14" t="n">
        <x:v>0</x:v>
      </x:c>
      <x:c r="W1478" s="12" t="n">
        <x:v>10.622641509433961</x:v>
      </x:c>
      <x:c r="X1478" s="11" t="n">
        <x:v>1</x:v>
      </x:c>
      <x:c r="Y1478" s="11" t="n">
        <x:v>1</x:v>
      </x:c>
      <x:c r="Z1478" s="4" t="str">
        <x:v>https://blog.skyairline.com/itata/</x:v>
      </x:c>
      <x:c r="AA1478" s="4" t="str">
        <x:v>https://blog.skyairline.com/itata/</x:v>
      </x:c>
      <x:c r="AB1478" s="4" t="str">
        <x:v>Coincidencia URL</x:v>
      </x:c>
      <x:c r="AC1478" s="4" t="str">
        <x:v>Publicado hasta septiembre</x:v>
      </x:c>
      <x:c r="AD1478" s="4" t="str">
        <x:v>/itata/</x:v>
      </x:c>
      <x:c r="AE1478" s="4"/>
      <x:c r="AF1478" s="16" t="b">
        <x:v>0</x:v>
      </x:c>
    </x:row>
    <x:row r="1479" ht="44" customHeight="1">
      <x:c r="A1479" s="4" t="n">
        <x:v>6475</x:v>
      </x:c>
      <x:c r="B1479" s="4" t="str">
        <x:v>https://blog.skyairline.com/santuario-de-la-naturaleza/</x:v>
      </x:c>
      <x:c r="C1479" s="9" t="str">
        <x:v>Por qué debes visitar un santuario de la naturaleza en Chile</x:v>
      </x:c>
      <x:c r="D1479" s="17" t="d">
        <x:v>2025-08-17T00:00:00.000Z</x:v>
      </x:c>
      <x:c r="E1479" s="17" t="d">
        <x:v>2025-08-17T00:00:00.000Z</x:v>
      </x:c>
      <x:c r="F1479" s="4" t="str">
        <x:v>Destinos</x:v>
      </x:c>
      <x:c r="G1479" s="11" t="n">
        <x:v>1090</x:v>
      </x:c>
      <x:c r="H1479" s="11" t="n">
        <x:v>200</x:v>
      </x:c>
      <x:c r="I1479" s="11" t="n">
        <x:v>1</x:v>
      </x:c>
      <x:c r="J1479" s="4" t="str">
        <x:v>https://blog.skyairline.com/santuario-de-la-naturaleza/</x:v>
      </x:c>
      <x:c r="K1479" s="16" t="b">
        <x:v>0</x:v>
      </x:c>
      <x:c r="L1479" s="11" t="n">
        <x:v>0</x:v>
      </x:c>
      <x:c r="M1479" s="11" t="n">
        <x:v>3</x:v>
      </x:c>
      <x:c r="N1479" s="4"/>
      <x:c r="O1479" s="4"/>
      <x:c r="P1479" s="11" t="n">
        <x:v>0</x:v>
      </x:c>
      <x:c r="Q1479" s="11" t="n">
        <x:v>0</x:v>
      </x:c>
      <x:c r="R1479" s="11" t="str">
        <x:f>IF(OR(P1479="",Q1479=""),"",Q1479-P1479)</x:f>
      </x:c>
      <x:c r="S1479" s="13" t="str">
        <x:f>IF(OR(P1479="",Q1479="",P1479=0),"",((Q1479/30)/(P1479/31))-1)</x:f>
      </x:c>
      <x:c r="T1479" s="11" t="n">
        <x:v>173</x:v>
      </x:c>
      <x:c r="U1479" s="11" t="n">
        <x:v>145</x:v>
      </x:c>
      <x:c r="V1479" s="14" t="n">
        <x:v>0</x:v>
      </x:c>
      <x:c r="W1479" s="12" t="n">
        <x:v>7.510344827586207</x:v>
      </x:c>
      <x:c r="X1479" s="11"/>
      <x:c r="Y1479" s="11"/>
      <x:c r="Z1479" s="4" t="str">
        <x:v>https://blog.skyairline.com/santuario-de-la-naturaleza/</x:v>
      </x:c>
      <x:c r="AA1479" s="4" t="str">
        <x:v>https://blog.skyairline.com/santuario-de-la-naturaleza/</x:v>
      </x:c>
      <x:c r="AB1479" s="4" t="str">
        <x:v>Coincidencia URL</x:v>
      </x:c>
      <x:c r="AC1479" s="4" t="str">
        <x:v>Publicado hasta septiembre</x:v>
      </x:c>
      <x:c r="AD1479" s="4"/>
      <x:c r="AE1479" s="4"/>
      <x:c r="AF1479" s="16" t="b">
        <x:v>0</x:v>
      </x:c>
    </x:row>
    <x:row r="1480" ht="44" customHeight="1">
      <x:c r="A1480" s="4" t="n">
        <x:v>6505</x:v>
      </x:c>
      <x:c r="B1480" s="4" t="str">
        <x:v>https://blog.skyairline.com/puerto-williams/</x:v>
      </x:c>
      <x:c r="C1480" s="9" t="str">
        <x:v>Por qué debes visitar Puerto Williams al menos una vez</x:v>
      </x:c>
      <x:c r="D1480" s="17" t="d">
        <x:v>2025-08-25T00:00:00.000Z</x:v>
      </x:c>
      <x:c r="E1480" s="17" t="d">
        <x:v>2025-08-25T00:00:00.000Z</x:v>
      </x:c>
      <x:c r="F1480" s="4" t="str">
        <x:v>Destinos</x:v>
      </x:c>
      <x:c r="G1480" s="11" t="n">
        <x:v>1142</x:v>
      </x:c>
      <x:c r="H1480" s="11" t="n">
        <x:v>200</x:v>
      </x:c>
      <x:c r="I1480" s="11" t="n">
        <x:v>1</x:v>
      </x:c>
      <x:c r="J1480" s="4" t="str">
        <x:v>https://blog.skyairline.com/puerto-williams/</x:v>
      </x:c>
      <x:c r="K1480" s="16" t="b">
        <x:v>0</x:v>
      </x:c>
      <x:c r="L1480" s="11" t="n">
        <x:v>0</x:v>
      </x:c>
      <x:c r="M1480" s="11" t="n">
        <x:v>3</x:v>
      </x:c>
      <x:c r="N1480" s="4"/>
      <x:c r="O1480" s="4"/>
      <x:c r="P1480" s="11" t="n">
        <x:v>0</x:v>
      </x:c>
      <x:c r="Q1480" s="11" t="n">
        <x:v>0</x:v>
      </x:c>
      <x:c r="R1480" s="11" t="str">
        <x:f>IF(OR(P1480="",Q1480=""),"",Q1480-P1480)</x:f>
      </x:c>
      <x:c r="S1480" s="13" t="str">
        <x:f>IF(OR(P1480="",Q1480="",P1480=0),"",((Q1480/30)/(P1480/31))-1)</x:f>
      </x:c>
      <x:c r="T1480" s="11" t="n">
        <x:v>35</x:v>
      </x:c>
      <x:c r="U1480" s="11" t="n">
        <x:v>32</x:v>
      </x:c>
      <x:c r="V1480" s="14" t="n">
        <x:v>0</x:v>
      </x:c>
      <x:c r="W1480" s="12" t="n">
        <x:v>18.84375</x:v>
      </x:c>
      <x:c r="X1480" s="11"/>
      <x:c r="Y1480" s="11"/>
      <x:c r="Z1480" s="4" t="str">
        <x:v>https://blog.skyairline.com/puerto-williams/</x:v>
      </x:c>
      <x:c r="AA1480" s="4" t="str">
        <x:v>https://blog.skyairline.com/puerto-williams/</x:v>
      </x:c>
      <x:c r="AB1480" s="4" t="str">
        <x:v>Coincidencia URL</x:v>
      </x:c>
      <x:c r="AC1480" s="4" t="str">
        <x:v>Publicado hasta septiembre</x:v>
      </x:c>
      <x:c r="AD1480" s="4"/>
      <x:c r="AE1480" s="4"/>
      <x:c r="AF1480" s="16" t="b">
        <x:v>0</x:v>
      </x:c>
    </x:row>
    <x:row r="1481" ht="44" customHeight="1">
      <x:c r="A1481" s="4" t="n">
        <x:v>6511</x:v>
      </x:c>
      <x:c r="B1481" s="4" t="str">
        <x:v>https://blog.skyairline.com/safari-en-chile/</x:v>
      </x:c>
      <x:c r="C1481" s="9" t="str">
        <x:v>¿Sabías que puedes hacer un safari en Chile? Así es la experiencia</x:v>
      </x:c>
      <x:c r="D1481" s="17" t="d">
        <x:v>2025-08-27T00:00:00.000Z</x:v>
      </x:c>
      <x:c r="E1481" s="17" t="d">
        <x:v>2025-08-27T00:00:00.000Z</x:v>
      </x:c>
      <x:c r="F1481" s="4" t="str">
        <x:v>Destinos</x:v>
      </x:c>
      <x:c r="G1481" s="11" t="n">
        <x:v>1109</x:v>
      </x:c>
      <x:c r="H1481" s="11" t="n">
        <x:v>200</x:v>
      </x:c>
      <x:c r="I1481" s="11" t="n">
        <x:v>1</x:v>
      </x:c>
      <x:c r="J1481" s="4" t="str">
        <x:v>https://blog.skyairline.com/safari-en-chile/</x:v>
      </x:c>
      <x:c r="K1481" s="16" t="b">
        <x:v>0</x:v>
      </x:c>
      <x:c r="L1481" s="11" t="n">
        <x:v>0</x:v>
      </x:c>
      <x:c r="M1481" s="11" t="n">
        <x:v>3</x:v>
      </x:c>
      <x:c r="N1481" s="4"/>
      <x:c r="O1481" s="4"/>
      <x:c r="P1481" s="11" t="n">
        <x:v>4</x:v>
      </x:c>
      <x:c r="Q1481" s="11" t="n">
        <x:v>0</x:v>
      </x:c>
      <x:c r="R1481" s="11" t="str">
        <x:f>IF(OR(P1481="",Q1481=""),"",Q1481-P1481)</x:f>
      </x:c>
      <x:c r="S1481" s="13" t="str">
        <x:f>IF(OR(P1481="",Q1481="",P1481=0),"",((Q1481/30)/(P1481/31))-1)</x:f>
      </x:c>
      <x:c r="T1481" s="11" t="n">
        <x:v>895</x:v>
      </x:c>
      <x:c r="U1481" s="11" t="n">
        <x:v>626</x:v>
      </x:c>
      <x:c r="V1481" s="14" t="n">
        <x:v>0</x:v>
      </x:c>
      <x:c r="W1481" s="12" t="n">
        <x:v>10.250798722044728</x:v>
      </x:c>
      <x:c r="X1481" s="11" t="n">
        <x:v>1</x:v>
      </x:c>
      <x:c r="Y1481" s="11" t="n">
        <x:v>1</x:v>
      </x:c>
      <x:c r="Z1481" s="4" t="str">
        <x:v>https://blog.skyairline.com/safari-en-chile/</x:v>
      </x:c>
      <x:c r="AA1481" s="4" t="str">
        <x:v>https://blog.skyairline.com/safari-en-chile/</x:v>
      </x:c>
      <x:c r="AB1481" s="4" t="str">
        <x:v>Coincidencia URL</x:v>
      </x:c>
      <x:c r="AC1481" s="4" t="str">
        <x:v>Publicado hasta septiembre</x:v>
      </x:c>
      <x:c r="AD1481" s="4" t="str">
        <x:v>/safari-en-chile/</x:v>
      </x:c>
      <x:c r="AE1481" s="4"/>
      <x:c r="AF1481" s="16" t="b">
        <x:v>0</x:v>
      </x:c>
    </x:row>
    <x:row r="1482" ht="44" customHeight="1">
      <x:c r="A1482" s="4" t="n">
        <x:v>6517</x:v>
      </x:c>
      <x:c r="B1482" s="4" t="str">
        <x:v>https://blog.skyairline.com/turismo-local/</x:v>
      </x:c>
      <x:c r="C1482" s="9" t="str">
        <x:v>Por qué el turismo local es la mejor opción este año</x:v>
      </x:c>
      <x:c r="D1482" s="17" t="d">
        <x:v>2025-08-29T00:00:00.000Z</x:v>
      </x:c>
      <x:c r="E1482" s="17" t="d">
        <x:v>2025-08-29T00:00:00.000Z</x:v>
      </x:c>
      <x:c r="F1482" s="4" t="str">
        <x:v>Destinos</x:v>
      </x:c>
      <x:c r="G1482" s="11" t="n">
        <x:v>947</x:v>
      </x:c>
      <x:c r="H1482" s="11" t="n">
        <x:v>200</x:v>
      </x:c>
      <x:c r="I1482" s="11" t="n">
        <x:v>1</x:v>
      </x:c>
      <x:c r="J1482" s="4" t="str">
        <x:v>https://blog.skyairline.com/turismo-local/</x:v>
      </x:c>
      <x:c r="K1482" s="16" t="b">
        <x:v>0</x:v>
      </x:c>
      <x:c r="L1482" s="11" t="n">
        <x:v>0</x:v>
      </x:c>
      <x:c r="M1482" s="11" t="n">
        <x:v>3</x:v>
      </x:c>
      <x:c r="N1482" s="4"/>
      <x:c r="O1482" s="4"/>
      <x:c r="P1482" s="11" t="n">
        <x:v>0</x:v>
      </x:c>
      <x:c r="Q1482" s="11" t="n">
        <x:v>0</x:v>
      </x:c>
      <x:c r="R1482" s="11" t="str">
        <x:f>IF(OR(P1482="",Q1482=""),"",Q1482-P1482)</x:f>
      </x:c>
      <x:c r="S1482" s="13" t="str">
        <x:f>IF(OR(P1482="",Q1482="",P1482=0),"",((Q1482/30)/(P1482/31))-1)</x:f>
      </x:c>
      <x:c r="T1482" s="11" t="n">
        <x:v>3</x:v>
      </x:c>
      <x:c r="U1482" s="11" t="n">
        <x:v>4</x:v>
      </x:c>
      <x:c r="V1482" s="14" t="n">
        <x:v>0</x:v>
      </x:c>
      <x:c r="W1482" s="12" t="n">
        <x:v>4.75</x:v>
      </x:c>
      <x:c r="X1482" s="11"/>
      <x:c r="Y1482" s="11"/>
      <x:c r="Z1482" s="4" t="str">
        <x:v>https://blog.skyairline.com/turismo-local/</x:v>
      </x:c>
      <x:c r="AA1482" s="4" t="str">
        <x:v>https://blog.skyairline.com/turismo-local/</x:v>
      </x:c>
      <x:c r="AB1482" s="4" t="str">
        <x:v>Coincidencia URL</x:v>
      </x:c>
      <x:c r="AC1482" s="4" t="str">
        <x:v>Publicado hasta septiembre</x:v>
      </x:c>
      <x:c r="AD1482" s="4"/>
      <x:c r="AE1482" s="4"/>
      <x:c r="AF1482" s="16" t="b">
        <x:v>0</x:v>
      </x:c>
    </x:row>
    <x:row r="1483" ht="44" customHeight="1">
      <x:c r="A1483" s="4" t="n">
        <x:v>6526</x:v>
      </x:c>
      <x:c r="B1483" s="4" t="str">
        <x:v>https://blog.skyairline.com/trekking-en-torres-del-paine/</x:v>
      </x:c>
      <x:c r="C1483" s="9" t="str">
        <x:v>Todo sobre el trekking en Torres del Paine: rutas y consejos</x:v>
      </x:c>
      <x:c r="D1483" s="17" t="d">
        <x:v>2025-09-01T00:00:00.000Z</x:v>
      </x:c>
      <x:c r="E1483" s="17" t="d">
        <x:v>2025-09-01T00:00:00.000Z</x:v>
      </x:c>
      <x:c r="F1483" s="4" t="str">
        <x:v>Destinos</x:v>
      </x:c>
      <x:c r="G1483" s="11" t="n">
        <x:v>1131</x:v>
      </x:c>
      <x:c r="H1483" s="11" t="n">
        <x:v>200</x:v>
      </x:c>
      <x:c r="I1483" s="11" t="n">
        <x:v>1</x:v>
      </x:c>
      <x:c r="J1483" s="4" t="str">
        <x:v>https://blog.skyairline.com/trekking-en-torres-del-paine/</x:v>
      </x:c>
      <x:c r="K1483" s="16" t="b">
        <x:v>0</x:v>
      </x:c>
      <x:c r="L1483" s="11" t="n">
        <x:v>0</x:v>
      </x:c>
      <x:c r="M1483" s="11" t="n">
        <x:v>3</x:v>
      </x:c>
      <x:c r="N1483" s="4"/>
      <x:c r="O1483" s="4"/>
      <x:c r="P1483" s="11" t="n">
        <x:v>0</x:v>
      </x:c>
      <x:c r="Q1483" s="11" t="n">
        <x:v>0</x:v>
      </x:c>
      <x:c r="R1483" s="11" t="str">
        <x:f>IF(OR(P1483="",Q1483=""),"",Q1483-P1483)</x:f>
      </x:c>
      <x:c r="S1483" s="13" t="str">
        <x:f>IF(OR(P1483="",Q1483="",P1483=0),"",((Q1483/30)/(P1483/31))-1)</x:f>
      </x:c>
      <x:c r="T1483" s="11" t="n">
        <x:v>105</x:v>
      </x:c>
      <x:c r="U1483" s="11" t="n">
        <x:v>27</x:v>
      </x:c>
      <x:c r="V1483" s="14" t="n">
        <x:v>0</x:v>
      </x:c>
      <x:c r="W1483" s="12" t="n">
        <x:v>21.185185185185187</x:v>
      </x:c>
      <x:c r="X1483" s="11"/>
      <x:c r="Y1483" s="11"/>
      <x:c r="Z1483" s="4" t="str">
        <x:v>https://blog.skyairline.com/trekking-en-torres-del-paine/</x:v>
      </x:c>
      <x:c r="AA1483" s="4" t="str">
        <x:v>https://blog.skyairline.com/trekking-en-torres-del-paine/</x:v>
      </x:c>
      <x:c r="AB1483" s="4" t="str">
        <x:v>Coincidencia URL</x:v>
      </x:c>
      <x:c r="AC1483" s="4" t="str">
        <x:v>Publicado hasta septiembre</x:v>
      </x:c>
      <x:c r="AD1483" s="4"/>
      <x:c r="AE1483" s="4"/>
      <x:c r="AF1483" s="16" t="b">
        <x:v>0</x:v>
      </x:c>
    </x:row>
    <x:row r="1484" ht="44" customHeight="1">
      <x:c r="A1484" s="4" t="n">
        <x:v>6563</x:v>
      </x:c>
      <x:c r="B1484" s="4" t="str">
        <x:v>https://blog.skyairline.com/isla-desierta/</x:v>
      </x:c>
      <x:c r="C1484" s="9" t="str">
        <x:v>Cómo organizar una escapada a una isla desierta</x:v>
      </x:c>
      <x:c r="D1484" s="17" t="d">
        <x:v>2025-09-13T00:00:00.000Z</x:v>
      </x:c>
      <x:c r="E1484" s="17" t="d">
        <x:v>2025-09-13T00:00:00.000Z</x:v>
      </x:c>
      <x:c r="F1484" s="4" t="str">
        <x:v>Planificación de Viaje</x:v>
      </x:c>
      <x:c r="G1484" s="11" t="n">
        <x:v>1204</x:v>
      </x:c>
      <x:c r="H1484" s="11" t="n">
        <x:v>200</x:v>
      </x:c>
      <x:c r="I1484" s="11" t="n">
        <x:v>1</x:v>
      </x:c>
      <x:c r="J1484" s="4" t="str">
        <x:v>https://blog.skyairline.com/isla-desierta/</x:v>
      </x:c>
      <x:c r="K1484" s="16" t="b">
        <x:v>0</x:v>
      </x:c>
      <x:c r="L1484" s="11" t="n">
        <x:v>0</x:v>
      </x:c>
      <x:c r="M1484" s="11" t="n">
        <x:v>3</x:v>
      </x:c>
      <x:c r="N1484" s="4"/>
      <x:c r="O1484" s="4"/>
      <x:c r="P1484" s="11" t="n">
        <x:v>0</x:v>
      </x:c>
      <x:c r="Q1484" s="11" t="n">
        <x:v>0</x:v>
      </x:c>
      <x:c r="R1484" s="11" t="str">
        <x:f>IF(OR(P1484="",Q1484=""),"",Q1484-P1484)</x:f>
      </x:c>
      <x:c r="S1484" s="13" t="str">
        <x:f>IF(OR(P1484="",Q1484="",P1484=0),"",((Q1484/30)/(P1484/31))-1)</x:f>
      </x:c>
      <x:c r="T1484" s="11" t="n">
        <x:v>114</x:v>
      </x:c>
      <x:c r="U1484" s="11" t="n">
        <x:v>46</x:v>
      </x:c>
      <x:c r="V1484" s="14" t="n">
        <x:v>0</x:v>
      </x:c>
      <x:c r="W1484" s="12" t="n">
        <x:v>8.456521739130434</x:v>
      </x:c>
      <x:c r="X1484" s="11"/>
      <x:c r="Y1484" s="11"/>
      <x:c r="Z1484" s="4" t="str">
        <x:v>https://blog.skyairline.com/isla-desierta/</x:v>
      </x:c>
      <x:c r="AA1484" s="4" t="str">
        <x:v>https://blog.skyairline.com/isla-desierta/</x:v>
      </x:c>
      <x:c r="AB1484" s="4" t="str">
        <x:v>Coincidencia URL</x:v>
      </x:c>
      <x:c r="AC1484" s="4" t="str">
        <x:v>Publicado hasta septiembre</x:v>
      </x:c>
      <x:c r="AD1484" s="4"/>
      <x:c r="AE1484" s="4"/>
      <x:c r="AF1484" s="16" t="b">
        <x:v>0</x:v>
      </x:c>
    </x:row>
    <x:row r="1485" ht="44" customHeight="1">
      <x:c r="A1485" s="4" t="n">
        <x:v>6569</x:v>
      </x:c>
      <x:c r="B1485" s="4" t="str">
        <x:v>https://blog.skyairline.com/ciudades-antiguas/</x:v>
      </x:c>
      <x:c r="C1485" s="9" t="str">
        <x:v>Recorre las ciudades antiguas más impresionantes de América</x:v>
      </x:c>
      <x:c r="D1485" s="17" t="d">
        <x:v>2025-09-15T00:00:00.000Z</x:v>
      </x:c>
      <x:c r="E1485" s="17" t="d">
        <x:v>2025-09-15T00:00:00.000Z</x:v>
      </x:c>
      <x:c r="F1485" s="4" t="str">
        <x:v>Destinos</x:v>
      </x:c>
      <x:c r="G1485" s="11" t="n">
        <x:v>1104</x:v>
      </x:c>
      <x:c r="H1485" s="11" t="n">
        <x:v>200</x:v>
      </x:c>
      <x:c r="I1485" s="11" t="n">
        <x:v>1</x:v>
      </x:c>
      <x:c r="J1485" s="4" t="str">
        <x:v>https://blog.skyairline.com/ciudades-antiguas/</x:v>
      </x:c>
      <x:c r="K1485" s="16" t="b">
        <x:v>0</x:v>
      </x:c>
      <x:c r="L1485" s="11" t="n">
        <x:v>0</x:v>
      </x:c>
      <x:c r="M1485" s="11" t="n">
        <x:v>3</x:v>
      </x:c>
      <x:c r="N1485" s="4"/>
      <x:c r="O1485" s="4"/>
      <x:c r="P1485" s="11" t="n">
        <x:v>2</x:v>
      </x:c>
      <x:c r="Q1485" s="11" t="n">
        <x:v>0</x:v>
      </x:c>
      <x:c r="R1485" s="11" t="str">
        <x:f>IF(OR(P1485="",Q1485=""),"",Q1485-P1485)</x:f>
      </x:c>
      <x:c r="S1485" s="13" t="str">
        <x:f>IF(OR(P1485="",Q1485="",P1485=0),"",((Q1485/30)/(P1485/31))-1)</x:f>
      </x:c>
      <x:c r="T1485" s="11" t="n">
        <x:v>817</x:v>
      </x:c>
      <x:c r="U1485" s="11" t="n">
        <x:v>512</x:v>
      </x:c>
      <x:c r="V1485" s="14" t="n">
        <x:v>0</x:v>
      </x:c>
      <x:c r="W1485" s="12" t="n">
        <x:v>9.138671875</x:v>
      </x:c>
      <x:c r="X1485" s="11"/>
      <x:c r="Y1485" s="11"/>
      <x:c r="Z1485" s="4" t="str">
        <x:v>https://blog.skyairline.com/ciudades-antiguas/</x:v>
      </x:c>
      <x:c r="AA1485" s="4" t="str">
        <x:v>https://blog.skyairline.com/ciudades-antiguas/</x:v>
      </x:c>
      <x:c r="AB1485" s="4" t="str">
        <x:v>Coincidencia URL</x:v>
      </x:c>
      <x:c r="AC1485" s="4" t="str">
        <x:v>Publicado hasta septiembre</x:v>
      </x:c>
      <x:c r="AD1485" s="4"/>
      <x:c r="AE1485" s="4"/>
      <x:c r="AF1485" s="16" t="b">
        <x:v>0</x:v>
      </x:c>
    </x:row>
    <x:row r="1486" ht="44" customHeight="1">
      <x:c r="A1486" s="4" t="n">
        <x:v>6581</x:v>
      </x:c>
      <x:c r="B1486" s="4" t="str">
        <x:v>https://blog.skyairline.com/lugares-turisticos-en-chiloe/</x:v>
      </x:c>
      <x:c r="C1486" s="9" t="str">
        <x:v>Lugares imperdibles dentro del turismo en Chiloé</x:v>
      </x:c>
      <x:c r="D1486" s="17" t="d">
        <x:v>2025-09-19T00:00:00.000Z</x:v>
      </x:c>
      <x:c r="E1486" s="17" t="d">
        <x:v>2025-09-19T00:00:00.000Z</x:v>
      </x:c>
      <x:c r="F1486" s="4" t="str">
        <x:v>Destinos</x:v>
      </x:c>
      <x:c r="G1486" s="11" t="n">
        <x:v>1139</x:v>
      </x:c>
      <x:c r="H1486" s="11" t="n">
        <x:v>200</x:v>
      </x:c>
      <x:c r="I1486" s="11" t="n">
        <x:v>1</x:v>
      </x:c>
      <x:c r="J1486" s="4" t="str">
        <x:v>https://blog.skyairline.com/lugares-turisticos-en-chiloe/</x:v>
      </x:c>
      <x:c r="K1486" s="16" t="b">
        <x:v>0</x:v>
      </x:c>
      <x:c r="L1486" s="11" t="n">
        <x:v>0</x:v>
      </x:c>
      <x:c r="M1486" s="11" t="n">
        <x:v>3</x:v>
      </x:c>
      <x:c r="N1486" s="4"/>
      <x:c r="O1486" s="4"/>
      <x:c r="P1486" s="11" t="n">
        <x:v>2</x:v>
      </x:c>
      <x:c r="Q1486" s="11" t="n">
        <x:v>0</x:v>
      </x:c>
      <x:c r="R1486" s="11" t="str">
        <x:f>IF(OR(P1486="",Q1486=""),"",Q1486-P1486)</x:f>
      </x:c>
      <x:c r="S1486" s="13" t="str">
        <x:f>IF(OR(P1486="",Q1486="",P1486=0),"",((Q1486/30)/(P1486/31))-1)</x:f>
      </x:c>
      <x:c r="T1486" s="11" t="n">
        <x:v>196</x:v>
      </x:c>
      <x:c r="U1486" s="11" t="n">
        <x:v>86</x:v>
      </x:c>
      <x:c r="V1486" s="14" t="n">
        <x:v>0</x:v>
      </x:c>
      <x:c r="W1486" s="12" t="n">
        <x:v>7.034883720930233</x:v>
      </x:c>
      <x:c r="X1486" s="11" t="n">
        <x:v>1</x:v>
      </x:c>
      <x:c r="Y1486" s="11" t="n">
        <x:v>1</x:v>
      </x:c>
      <x:c r="Z1486" s="4" t="str">
        <x:v>https://blog.skyairline.com/lugares-turisticos-en-chiloe/</x:v>
      </x:c>
      <x:c r="AA1486" s="4" t="str">
        <x:v>https://blog.skyairline.com/lugares-turisticos-en-chiloe/</x:v>
      </x:c>
      <x:c r="AB1486" s="4" t="str">
        <x:v>Coincidencia URL</x:v>
      </x:c>
      <x:c r="AC1486" s="4" t="str">
        <x:v>Publicado hasta septiembre</x:v>
      </x:c>
      <x:c r="AD1486" s="4" t="str">
        <x:v>/lugares-turisticos-en-chiloe/</x:v>
      </x:c>
      <x:c r="AE1486" s="4"/>
      <x:c r="AF1486" s="16" t="b">
        <x:v>0</x:v>
      </x:c>
    </x:row>
    <x:row r="1487" ht="44" customHeight="1">
      <x:c r="A1487" s="4" t="n">
        <x:v>6584</x:v>
      </x:c>
      <x:c r="B1487" s="4" t="str">
        <x:v>https://blog.skyairline.com/teotihuacan/</x:v>
      </x:c>
      <x:c r="C1487" s="9" t="str">
        <x:v>Recorre las ruinas de Teotihuacán en una escapada cultural</x:v>
      </x:c>
      <x:c r="D1487" s="17" t="d">
        <x:v>2025-09-20T00:00:00.000Z</x:v>
      </x:c>
      <x:c r="E1487" s="17" t="d">
        <x:v>2025-09-20T00:00:00.000Z</x:v>
      </x:c>
      <x:c r="F1487" s="4" t="str">
        <x:v>Destinos</x:v>
      </x:c>
      <x:c r="G1487" s="11" t="n">
        <x:v>1026</x:v>
      </x:c>
      <x:c r="H1487" s="11" t="n">
        <x:v>200</x:v>
      </x:c>
      <x:c r="I1487" s="11" t="n">
        <x:v>1</x:v>
      </x:c>
      <x:c r="J1487" s="4" t="str">
        <x:v>https://blog.skyairline.com/teotihuacan/</x:v>
      </x:c>
      <x:c r="K1487" s="16" t="b">
        <x:v>0</x:v>
      </x:c>
      <x:c r="L1487" s="11" t="n">
        <x:v>0</x:v>
      </x:c>
      <x:c r="M1487" s="11" t="n">
        <x:v>3</x:v>
      </x:c>
      <x:c r="N1487" s="4"/>
      <x:c r="O1487" s="4"/>
      <x:c r="P1487" s="11" t="n">
        <x:v>0</x:v>
      </x:c>
      <x:c r="Q1487" s="11" t="n">
        <x:v>0</x:v>
      </x:c>
      <x:c r="R1487" s="11" t="str">
        <x:f>IF(OR(P1487="",Q1487=""),"",Q1487-P1487)</x:f>
      </x:c>
      <x:c r="S1487" s="13" t="str">
        <x:f>IF(OR(P1487="",Q1487="",P1487=0),"",((Q1487/30)/(P1487/31))-1)</x:f>
      </x:c>
      <x:c r="T1487" s="11" t="n">
        <x:v>3</x:v>
      </x:c>
      <x:c r="U1487" s="11" t="n">
        <x:v>7</x:v>
      </x:c>
      <x:c r="V1487" s="14" t="n">
        <x:v>0</x:v>
      </x:c>
      <x:c r="W1487" s="12" t="n">
        <x:v>12.428571428571429</x:v>
      </x:c>
      <x:c r="X1487" s="11" t="n">
        <x:v>1</x:v>
      </x:c>
      <x:c r="Y1487" s="11" t="n">
        <x:v>1</x:v>
      </x:c>
      <x:c r="Z1487" s="4" t="str">
        <x:v>https://blog.skyairline.com/teotihuacan/</x:v>
      </x:c>
      <x:c r="AA1487" s="4" t="str">
        <x:v>https://blog.skyairline.com/teotihuacan/</x:v>
      </x:c>
      <x:c r="AB1487" s="4" t="str">
        <x:v>Coincidencia URL</x:v>
      </x:c>
      <x:c r="AC1487" s="4" t="str">
        <x:v>Publicado hasta septiembre</x:v>
      </x:c>
      <x:c r="AD1487" s="4" t="str">
        <x:v>/teotihuacan/</x:v>
      </x:c>
      <x:c r="AE1487" s="4"/>
      <x:c r="AF1487" s="16" t="b">
        <x:v>0</x:v>
      </x:c>
    </x:row>
    <x:row r="1488" ht="44" customHeight="1">
      <x:c r="A1488" s="4" t="n">
        <x:v>6703</x:v>
      </x:c>
      <x:c r="B1488" s="4" t="str">
        <x:v>https://blog.skyairline.com/estadia-en-un-hotel/</x:v>
      </x:c>
      <x:c r="C1488" s="9" t="str">
        <x:v>7 consejos para sacarle el máximo provecho a la estadía en un hotel</x:v>
      </x:c>
      <x:c r="D1488" s="17" t="d">
        <x:v>2022-04-28T00:00:00.000Z</x:v>
      </x:c>
      <x:c r="E1488" s="17" t="d">
        <x:v>2022-04-28T00:00:00.000Z</x:v>
      </x:c>
      <x:c r="F1488" s="4" t="str">
        <x:v>Destinos</x:v>
      </x:c>
      <x:c r="G1488" s="11" t="n">
        <x:v>976</x:v>
      </x:c>
      <x:c r="H1488" s="11" t="n">
        <x:v>200</x:v>
      </x:c>
      <x:c r="I1488" s="11" t="n">
        <x:v>1</x:v>
      </x:c>
      <x:c r="J1488" s="4" t="str">
        <x:v>https://blog.skyairline.com/estadia-en-un-hotel/</x:v>
      </x:c>
      <x:c r="K1488" s="16" t="b">
        <x:v>0</x:v>
      </x:c>
      <x:c r="L1488" s="11" t="n">
        <x:v>0</x:v>
      </x:c>
      <x:c r="M1488" s="11" t="n">
        <x:v>4</x:v>
      </x:c>
      <x:c r="N1488" s="4"/>
      <x:c r="O1488" s="4"/>
      <x:c r="P1488" s="11" t="n">
        <x:v>0</x:v>
      </x:c>
      <x:c r="Q1488" s="11" t="n">
        <x:v>0</x:v>
      </x:c>
      <x:c r="R1488" s="11" t="str">
        <x:f>IF(OR(P1488="",Q1488=""),"",Q1488-P1488)</x:f>
      </x:c>
      <x:c r="S1488" s="13" t="str">
        <x:f>IF(OR(P1488="",Q1488="",P1488=0),"",((Q1488/30)/(P1488/31))-1)</x:f>
      </x:c>
      <x:c r="T1488" s="11" t="n">
        <x:v>90</x:v>
      </x:c>
      <x:c r="U1488" s="11" t="n">
        <x:v>37</x:v>
      </x:c>
      <x:c r="V1488" s="14" t="n">
        <x:v>0</x:v>
      </x:c>
      <x:c r="W1488" s="12" t="n">
        <x:v>9.54054054054054</x:v>
      </x:c>
      <x:c r="X1488" s="11"/>
      <x:c r="Y1488" s="11"/>
      <x:c r="Z1488" s="4" t="str">
        <x:v>https://blog.skyairline.com/estadia-en-un-hotel/</x:v>
      </x:c>
      <x:c r="AA1488" s="4" t="str">
        <x:v>https://blog.skyairline.com/estadia-en-un-hotel/</x:v>
      </x:c>
      <x:c r="AB1488" s="4" t="str">
        <x:v>Coincidencia URL</x:v>
      </x:c>
      <x:c r="AC1488" s="4" t="str">
        <x:v>Publicado hasta septiembre</x:v>
      </x:c>
      <x:c r="AD1488" s="4"/>
      <x:c r="AE1488" s="4"/>
      <x:c r="AF1488" s="16" t="b">
        <x:v>0</x:v>
      </x:c>
    </x:row>
    <x:row r="1489" ht="44" customHeight="1">
      <x:c r="A1489" s="4" t="n">
        <x:v>6705</x:v>
      </x:c>
      <x:c r="B1489" s="4" t="str">
        <x:v>https://blog.skyairline.com/musica-tipica-peruana/</x:v>
      </x:c>
      <x:c r="C1489" s="9" t="str">
        <x:v>Música típica peruana: todo lo que necesitas saber</x:v>
      </x:c>
      <x:c r="D1489" s="17" t="d">
        <x:v>2023-03-29T00:00:00.000Z</x:v>
      </x:c>
      <x:c r="E1489" s="17" t="d">
        <x:v>2023-03-29T00:00:00.000Z</x:v>
      </x:c>
      <x:c r="F1489" s="4" t="str">
        <x:v>Cultura</x:v>
      </x:c>
      <x:c r="G1489" s="11" t="n">
        <x:v>1002</x:v>
      </x:c>
      <x:c r="H1489" s="11" t="n">
        <x:v>200</x:v>
      </x:c>
      <x:c r="I1489" s="11" t="n">
        <x:v>1</x:v>
      </x:c>
      <x:c r="J1489" s="4" t="str">
        <x:v>https://blog.skyairline.com/musica-tipica-peruana/</x:v>
      </x:c>
      <x:c r="K1489" s="16" t="b">
        <x:v>0</x:v>
      </x:c>
      <x:c r="L1489" s="11" t="n">
        <x:v>0</x:v>
      </x:c>
      <x:c r="M1489" s="11" t="n">
        <x:v>0</x:v>
      </x:c>
      <x:c r="N1489" s="4"/>
      <x:c r="O1489" s="4"/>
      <x:c r="P1489" s="11" t="n">
        <x:v>3</x:v>
      </x:c>
      <x:c r="Q1489" s="11" t="n">
        <x:v>0</x:v>
      </x:c>
      <x:c r="R1489" s="11" t="str">
        <x:f>IF(OR(P1489="",Q1489=""),"",Q1489-P1489)</x:f>
      </x:c>
      <x:c r="S1489" s="13" t="str">
        <x:f>IF(OR(P1489="",Q1489="",P1489=0),"",((Q1489/30)/(P1489/31))-1)</x:f>
      </x:c>
      <x:c r="T1489" s="11" t="n">
        <x:v>566</x:v>
      </x:c>
      <x:c r="U1489" s="11" t="n">
        <x:v>310</x:v>
      </x:c>
      <x:c r="V1489" s="14" t="n">
        <x:v>0</x:v>
      </x:c>
      <x:c r="W1489" s="12" t="n">
        <x:v>10.59032258064516</x:v>
      </x:c>
      <x:c r="X1489" s="11" t="n">
        <x:v>8</x:v>
      </x:c>
      <x:c r="Y1489" s="11" t="n">
        <x:v>5</x:v>
      </x:c>
      <x:c r="Z1489" s="4" t="str">
        <x:v>https://blog.skyairline.com/musica-tipica-peruana/</x:v>
      </x:c>
      <x:c r="AA1489" s="4" t="str">
        <x:v>https://blog.skyairline.com/musica-tipica-peruana/</x:v>
      </x:c>
      <x:c r="AB1489" s="4" t="str">
        <x:v>Coincidencia URL</x:v>
      </x:c>
      <x:c r="AC1489" s="4" t="str">
        <x:v>Publicado hasta septiembre</x:v>
      </x:c>
      <x:c r="AD1489" s="4" t="str">
        <x:v>/musica-tipica-peruana/</x:v>
      </x:c>
      <x:c r="AE1489" s="4"/>
      <x:c r="AF1489" s="16" t="b">
        <x:v>0</x:v>
      </x:c>
    </x:row>
    <x:row r="1490" ht="44" customHeight="1">
      <x:c r="A1490" s="4" t="n">
        <x:v>6707</x:v>
      </x:c>
      <x:c r="B1490" s="4" t="str">
        <x:v>https://blog.skyairline.com/rio-de-janeiro-despues-del-carnaval/</x:v>
      </x:c>
      <x:c r="C1490" s="9" t="str">
        <x:v>Río de Janeiro después del Carnaval: ¿qué hacer?</x:v>
      </x:c>
      <x:c r="D1490" s="17" t="d">
        <x:v>2023-06-23T00:00:00.000Z</x:v>
      </x:c>
      <x:c r="E1490" s="17" t="d">
        <x:v>2023-06-23T00:00:00.000Z</x:v>
      </x:c>
      <x:c r="F1490" s="4" t="str">
        <x:v>Destinos</x:v>
      </x:c>
      <x:c r="G1490" s="11" t="n">
        <x:v>1058</x:v>
      </x:c>
      <x:c r="H1490" s="11" t="n">
        <x:v>200</x:v>
      </x:c>
      <x:c r="I1490" s="11" t="n">
        <x:v>1</x:v>
      </x:c>
      <x:c r="J1490" s="4" t="str">
        <x:v>https://blog.skyairline.com/rio-de-janeiro-despues-del-carnaval/</x:v>
      </x:c>
      <x:c r="K1490" s="16" t="b">
        <x:v>0</x:v>
      </x:c>
      <x:c r="L1490" s="11" t="n">
        <x:v>0</x:v>
      </x:c>
      <x:c r="M1490" s="11" t="n">
        <x:v>3</x:v>
      </x:c>
      <x:c r="N1490" s="4"/>
      <x:c r="O1490" s="4"/>
      <x:c r="P1490" s="11" t="n">
        <x:v>1</x:v>
      </x:c>
      <x:c r="Q1490" s="11" t="n">
        <x:v>0</x:v>
      </x:c>
      <x:c r="R1490" s="11" t="str">
        <x:f>IF(OR(P1490="",Q1490=""),"",Q1490-P1490)</x:f>
      </x:c>
      <x:c r="S1490" s="13" t="str">
        <x:f>IF(OR(P1490="",Q1490="",P1490=0),"",((Q1490/30)/(P1490/31))-1)</x:f>
      </x:c>
      <x:c r="T1490" s="11" t="n">
        <x:v>45</x:v>
      </x:c>
      <x:c r="U1490" s="11" t="n">
        <x:v>17</x:v>
      </x:c>
      <x:c r="V1490" s="14" t="n">
        <x:v>0</x:v>
      </x:c>
      <x:c r="W1490" s="12" t="n">
        <x:v>11.117647058823529</x:v>
      </x:c>
      <x:c r="X1490" s="11"/>
      <x:c r="Y1490" s="11"/>
      <x:c r="Z1490" s="4" t="str">
        <x:v>https://blog.skyairline.com/rio-de-janeiro-despues-del-carnaval/</x:v>
      </x:c>
      <x:c r="AA1490" s="4" t="str">
        <x:v>https://blog.skyairline.com/rio-de-janeiro-despues-del-carnaval/</x:v>
      </x:c>
      <x:c r="AB1490" s="4" t="str">
        <x:v>Coincidencia URL</x:v>
      </x:c>
      <x:c r="AC1490" s="4" t="str">
        <x:v>Publicado hasta septiembre</x:v>
      </x:c>
      <x:c r="AD1490" s="4"/>
      <x:c r="AE1490" s="4"/>
      <x:c r="AF1490" s="16" t="b">
        <x:v>0</x:v>
      </x:c>
    </x:row>
    <x:row r="1491" ht="44" customHeight="1">
      <x:c r="A1491" s="4" t="n">
        <x:v>6709</x:v>
      </x:c>
      <x:c r="B1491" s="4" t="str">
        <x:v>https://blog.skyairline.com/invierno-en-punta-arenas/</x:v>
      </x:c>
      <x:c r="C1491" s="9" t="str">
        <x:v>Invierno en Punta Arenas: vuela con Sky y enamórate de este destino chileno</x:v>
      </x:c>
      <x:c r="D1491" s="17" t="d">
        <x:v>2023-07-12T00:00:00.000Z</x:v>
      </x:c>
      <x:c r="E1491" s="17" t="d">
        <x:v>2023-07-12T00:00:00.000Z</x:v>
      </x:c>
      <x:c r="F1491" s="4" t="str">
        <x:v>Destinos</x:v>
      </x:c>
      <x:c r="G1491" s="11" t="n">
        <x:v>1013</x:v>
      </x:c>
      <x:c r="H1491" s="11" t="n">
        <x:v>200</x:v>
      </x:c>
      <x:c r="I1491" s="11" t="n">
        <x:v>1</x:v>
      </x:c>
      <x:c r="J1491" s="4" t="str">
        <x:v>https://blog.skyairline.com/invierno-en-punta-arenas/</x:v>
      </x:c>
      <x:c r="K1491" s="16" t="b">
        <x:v>0</x:v>
      </x:c>
      <x:c r="L1491" s="11" t="n">
        <x:v>0</x:v>
      </x:c>
      <x:c r="M1491" s="11" t="n">
        <x:v>3</x:v>
      </x:c>
      <x:c r="N1491" s="4"/>
      <x:c r="O1491" s="4"/>
      <x:c r="P1491" s="11" t="n">
        <x:v>0</x:v>
      </x:c>
      <x:c r="Q1491" s="11" t="n">
        <x:v>0</x:v>
      </x:c>
      <x:c r="R1491" s="11" t="str">
        <x:f>IF(OR(P1491="",Q1491=""),"",Q1491-P1491)</x:f>
      </x:c>
      <x:c r="S1491" s="13" t="str">
        <x:f>IF(OR(P1491="",Q1491="",P1491=0),"",((Q1491/30)/(P1491/31))-1)</x:f>
      </x:c>
      <x:c r="T1491" s="11" t="n">
        <x:v>47</x:v>
      </x:c>
      <x:c r="U1491" s="11" t="n">
        <x:v>21</x:v>
      </x:c>
      <x:c r="V1491" s="14" t="n">
        <x:v>0</x:v>
      </x:c>
      <x:c r="W1491" s="12" t="n">
        <x:v>11.80952380952381</x:v>
      </x:c>
      <x:c r="X1491" s="11"/>
      <x:c r="Y1491" s="11"/>
      <x:c r="Z1491" s="4" t="str">
        <x:v>https://blog.skyairline.com/invierno-en-punta-arenas/</x:v>
      </x:c>
      <x:c r="AA1491" s="4" t="str">
        <x:v>https://blog.skyairline.com/invierno-en-punta-arenas/</x:v>
      </x:c>
      <x:c r="AB1491" s="4" t="str">
        <x:v>Coincidencia URL</x:v>
      </x:c>
      <x:c r="AC1491" s="4" t="str">
        <x:v>Publicado hasta septiembre</x:v>
      </x:c>
      <x:c r="AD1491" s="4"/>
      <x:c r="AE1491" s="4"/>
      <x:c r="AF1491" s="16" t="b">
        <x:v>0</x:v>
      </x:c>
    </x:row>
    <x:row r="1492" ht="44" customHeight="1">
      <x:c r="A1492" s="4" t="n">
        <x:v>6710</x:v>
      </x:c>
      <x:c r="B1492" s="4" t="str">
        <x:v>https://blog.skyairline.com/puerto-montt-en-invierno/</x:v>
      </x:c>
      <x:c r="C1492" s="9" t="str">
        <x:v>¿Cómo es Puerto Montt en invierno y cuáles son sus atractivos turísticos?</x:v>
      </x:c>
      <x:c r="D1492" s="17" t="d">
        <x:v>2023-07-13T00:00:00.000Z</x:v>
      </x:c>
      <x:c r="E1492" s="17" t="d">
        <x:v>2023-07-13T00:00:00.000Z</x:v>
      </x:c>
      <x:c r="F1492" s="4" t="str">
        <x:v>Destinos</x:v>
      </x:c>
      <x:c r="G1492" s="11" t="n">
        <x:v>1165</x:v>
      </x:c>
      <x:c r="H1492" s="11" t="n">
        <x:v>200</x:v>
      </x:c>
      <x:c r="I1492" s="11" t="n">
        <x:v>1</x:v>
      </x:c>
      <x:c r="J1492" s="4" t="str">
        <x:v>https://blog.skyairline.com/puerto-montt-en-invierno/</x:v>
      </x:c>
      <x:c r="K1492" s="16" t="b">
        <x:v>0</x:v>
      </x:c>
      <x:c r="L1492" s="11" t="n">
        <x:v>0</x:v>
      </x:c>
      <x:c r="M1492" s="11" t="n">
        <x:v>3</x:v>
      </x:c>
      <x:c r="N1492" s="4"/>
      <x:c r="O1492" s="4"/>
      <x:c r="P1492" s="11" t="n">
        <x:v>5</x:v>
      </x:c>
      <x:c r="Q1492" s="11" t="n">
        <x:v>0</x:v>
      </x:c>
      <x:c r="R1492" s="11" t="str">
        <x:f>IF(OR(P1492="",Q1492=""),"",Q1492-P1492)</x:f>
      </x:c>
      <x:c r="S1492" s="13" t="str">
        <x:f>IF(OR(P1492="",Q1492="",P1492=0),"",((Q1492/30)/(P1492/31))-1)</x:f>
      </x:c>
      <x:c r="T1492" s="11" t="n">
        <x:v>484</x:v>
      </x:c>
      <x:c r="U1492" s="11" t="n">
        <x:v>219</x:v>
      </x:c>
      <x:c r="V1492" s="14" t="n">
        <x:v>0</x:v>
      </x:c>
      <x:c r="W1492" s="12" t="n">
        <x:v>6.474885844748859</x:v>
      </x:c>
      <x:c r="X1492" s="11" t="n">
        <x:v>2</x:v>
      </x:c>
      <x:c r="Y1492" s="11" t="n">
        <x:v>3</x:v>
      </x:c>
      <x:c r="Z1492" s="4" t="str">
        <x:v>https://blog.skyairline.com/puerto-montt-en-invierno/</x:v>
      </x:c>
      <x:c r="AA1492" s="4" t="str">
        <x:v>https://blog.skyairline.com/puerto-montt-en-invierno/</x:v>
      </x:c>
      <x:c r="AB1492" s="4" t="str">
        <x:v>Coincidencia URL</x:v>
      </x:c>
      <x:c r="AC1492" s="4" t="str">
        <x:v>Publicado hasta septiembre</x:v>
      </x:c>
      <x:c r="AD1492" s="4" t="str">
        <x:v>/puerto-montt-en-invierno/</x:v>
      </x:c>
      <x:c r="AE1492" s="4"/>
      <x:c r="AF1492" s="16" t="b">
        <x:v>1</x:v>
      </x:c>
    </x:row>
    <x:row r="1493" ht="44" customHeight="1">
      <x:c r="A1493" s="4" t="n">
        <x:v>6781</x:v>
      </x:c>
      <x:c r="B1493" s="4" t="str">
        <x:v>https://blog.skyairline.com/junto-a-fundacion-ingeniosas-inspiramos-a-las-mujeres-que-conquistaran-el-cielo/</x:v>
      </x:c>
      <x:c r="C1493" s="9" t="str">
        <x:v>Junto a Fundación Ingeniosas inspiramos a las mujeres que conquistarán el cielo</x:v>
      </x:c>
      <x:c r="D1493" s="17" t="d">
        <x:v>2025-08-12T00:00:00.000Z</x:v>
      </x:c>
      <x:c r="E1493" s="17" t="d">
        <x:v>2025-08-12T00:00:00.000Z</x:v>
      </x:c>
      <x:c r="F1493" s="4" t="str">
        <x:v>Noticias</x:v>
      </x:c>
      <x:c r="G1493" s="11" t="n">
        <x:v>564</x:v>
      </x:c>
      <x:c r="H1493" s="11" t="n">
        <x:v>200</x:v>
      </x:c>
      <x:c r="I1493" s="11" t="n">
        <x:v>1</x:v>
      </x:c>
      <x:c r="J1493" s="4" t="str">
        <x:v>https://blog.skyairline.com/junto-a-fundacion-ingeniosas-inspiramos-a-las-mujeres-que-conquistaran-el-cielo/</x:v>
      </x:c>
      <x:c r="K1493" s="16" t="b">
        <x:v>0</x:v>
      </x:c>
      <x:c r="L1493" s="11" t="n">
        <x:v>0</x:v>
      </x:c>
      <x:c r="M1493" s="11" t="n">
        <x:v>0</x:v>
      </x:c>
      <x:c r="N1493" s="4"/>
      <x:c r="O1493" s="4"/>
      <x:c r="P1493" s="11" t="n">
        <x:v>0</x:v>
      </x:c>
      <x:c r="Q1493" s="11" t="n">
        <x:v>0</x:v>
      </x:c>
      <x:c r="R1493" s="11" t="str">
        <x:f>IF(OR(P1493="",Q1493=""),"",Q1493-P1493)</x:f>
      </x:c>
      <x:c r="S1493" s="13" t="str">
        <x:f>IF(OR(P1493="",Q1493="",P1493=0),"",((Q1493/30)/(P1493/31))-1)</x:f>
      </x:c>
      <x:c r="T1493" s="11" t="n">
        <x:v>23</x:v>
      </x:c>
      <x:c r="U1493" s="11" t="n">
        <x:v>22</x:v>
      </x:c>
      <x:c r="V1493" s="14" t="n">
        <x:v>0</x:v>
      </x:c>
      <x:c r="W1493" s="12" t="n">
        <x:v>5.681818181818182</x:v>
      </x:c>
      <x:c r="X1493" s="11"/>
      <x:c r="Y1493" s="11"/>
      <x:c r="Z1493" s="4" t="str">
        <x:v>https://blog.skyairline.com/junto-a-fundacion-ingeniosas-inspiramos-a-las-mujeres-que-conquistaran-el-cielo/</x:v>
      </x:c>
      <x:c r="AA1493" s="4" t="str">
        <x:v>https://blog.skyairline.com/junto-a-fundacion-ingeniosas-inspiramos-a-las-mujeres-que-conquistaran-el-cielo/</x:v>
      </x:c>
      <x:c r="AB1493" s="4" t="str">
        <x:v>Coincidencia URL</x:v>
      </x:c>
      <x:c r="AC1493" s="4" t="str">
        <x:v>Publicado hasta septiembre</x:v>
      </x:c>
      <x:c r="AD1493" s="4"/>
      <x:c r="AE1493" s="4"/>
      <x:c r="AF1493" s="16" t="b">
        <x:v>0</x:v>
      </x:c>
    </x:row>
    <x:row r="1494" ht="44" customHeight="1">
      <x:c r="A1494" s="4" t="n">
        <x:v>6789</x:v>
      </x:c>
      <x:c r="B1494" s="4" t="str">
        <x:v>https://blog.skyairline.com/sky-suma-nueva-conexion-de-buenos-aires-a-miami/</x:v>
      </x:c>
      <x:c r="C1494" s="9" t="str">
        <x:v>SKY suma nueva conexión de Buenos Aires a Miami</x:v>
      </x:c>
      <x:c r="D1494" s="17" t="d">
        <x:v>2025-08-12T00:00:00.000Z</x:v>
      </x:c>
      <x:c r="E1494" s="17" t="d">
        <x:v>2025-08-12T00:00:00.000Z</x:v>
      </x:c>
      <x:c r="F1494" s="4" t="str">
        <x:v>Noticias</x:v>
      </x:c>
      <x:c r="G1494" s="11" t="n">
        <x:v>216</x:v>
      </x:c>
      <x:c r="H1494" s="11" t="n">
        <x:v>200</x:v>
      </x:c>
      <x:c r="I1494" s="11" t="n">
        <x:v>1</x:v>
      </x:c>
      <x:c r="J1494" s="4" t="str">
        <x:v>https://blog.skyairline.com/sky-suma-nueva-conexion-de-buenos-aires-a-miami/</x:v>
      </x:c>
      <x:c r="K1494" s="16" t="b">
        <x:v>0</x:v>
      </x:c>
      <x:c r="L1494" s="11" t="n">
        <x:v>0</x:v>
      </x:c>
      <x:c r="M1494" s="11" t="n">
        <x:v>0</x:v>
      </x:c>
      <x:c r="N1494" s="4" t="str">
        <x:v>T04</x:v>
      </x:c>
      <x:c r="O1494" s="4" t="str">
        <x:v>C03</x:v>
      </x:c>
      <x:c r="P1494" s="11" t="n">
        <x:v>0</x:v>
      </x:c>
      <x:c r="Q1494" s="11" t="n">
        <x:v>0</x:v>
      </x:c>
      <x:c r="R1494" s="11" t="str">
        <x:f>IF(OR(P1494="",Q1494=""),"",Q1494-P1494)</x:f>
      </x:c>
      <x:c r="S1494" s="13" t="str">
        <x:f>IF(OR(P1494="",Q1494="",P1494=0),"",((Q1494/30)/(P1494/31))-1)</x:f>
      </x:c>
      <x:c r="T1494" s="11" t="n">
        <x:v>30</x:v>
      </x:c>
      <x:c r="U1494" s="11" t="n">
        <x:v>6</x:v>
      </x:c>
      <x:c r="V1494" s="14" t="n">
        <x:v>0</x:v>
      </x:c>
      <x:c r="W1494" s="12" t="n">
        <x:v>8.833333333333332</x:v>
      </x:c>
      <x:c r="X1494" s="11"/>
      <x:c r="Y1494" s="11"/>
      <x:c r="Z1494" s="4" t="str">
        <x:v>https://blog.skyairline.com/sky-suma-nueva-conexion-de-buenos-aires-a-miami/</x:v>
      </x:c>
      <x:c r="AA1494" s="4" t="str">
        <x:v>https://blog.skyairline.com/sky-suma-nueva-conexion-de-buenos-aires-a-miami/</x:v>
      </x:c>
      <x:c r="AB1494" s="4" t="str">
        <x:v>Coincidencia URL</x:v>
      </x:c>
      <x:c r="AC1494" s="4" t="str">
        <x:v>Publicado hasta septiembre</x:v>
      </x:c>
      <x:c r="AD1494" s="4"/>
      <x:c r="AE1494" s="4"/>
      <x:c r="AF1494" s="16" t="b">
        <x:v>0</x:v>
      </x:c>
    </x:row>
    <x:row r="1495" ht="44" customHeight="1">
      <x:c r="A1495" s="4" t="n">
        <x:v>6795</x:v>
      </x:c>
      <x:c r="B1495" s="4" t="str">
        <x:v>https://blog.skyairline.com/sky-aumentara-vuelos-entre-lima-y-miami-desde-septiembre/</x:v>
      </x:c>
      <x:c r="C1495" s="9" t="str">
        <x:v>SKY aumentará vuelos entre Lima y Miami desde septiembre</x:v>
      </x:c>
      <x:c r="D1495" s="17" t="d">
        <x:v>2025-08-12T00:00:00.000Z</x:v>
      </x:c>
      <x:c r="E1495" s="17" t="d">
        <x:v>2025-08-12T00:00:00.000Z</x:v>
      </x:c>
      <x:c r="F1495" s="4" t="str">
        <x:v>Noticias</x:v>
      </x:c>
      <x:c r="G1495" s="11" t="n">
        <x:v>317</x:v>
      </x:c>
      <x:c r="H1495" s="11" t="n">
        <x:v>200</x:v>
      </x:c>
      <x:c r="I1495" s="11" t="n">
        <x:v>1</x:v>
      </x:c>
      <x:c r="J1495" s="4" t="str">
        <x:v>https://blog.skyairline.com/sky-aumentara-vuelos-entre-lima-y-miami-desde-septiembre/</x:v>
      </x:c>
      <x:c r="K1495" s="16" t="b">
        <x:v>0</x:v>
      </x:c>
      <x:c r="L1495" s="11" t="n">
        <x:v>0</x:v>
      </x:c>
      <x:c r="M1495" s="11" t="n">
        <x:v>0</x:v>
      </x:c>
      <x:c r="N1495" s="4"/>
      <x:c r="O1495" s="4"/>
      <x:c r="P1495" s="11" t="n">
        <x:v>1</x:v>
      </x:c>
      <x:c r="Q1495" s="11" t="n">
        <x:v>0</x:v>
      </x:c>
      <x:c r="R1495" s="11" t="str">
        <x:f>IF(OR(P1495="",Q1495=""),"",Q1495-P1495)</x:f>
      </x:c>
      <x:c r="S1495" s="13" t="str">
        <x:f>IF(OR(P1495="",Q1495="",P1495=0),"",((Q1495/30)/(P1495/31))-1)</x:f>
      </x:c>
      <x:c r="T1495" s="11" t="n">
        <x:v>72</x:v>
      </x:c>
      <x:c r="U1495" s="11" t="n">
        <x:v>83</x:v>
      </x:c>
      <x:c r="V1495" s="14" t="n">
        <x:v>0</x:v>
      </x:c>
      <x:c r="W1495" s="12" t="n">
        <x:v>6.662650602409639</x:v>
      </x:c>
      <x:c r="X1495" s="11" t="n">
        <x:v>1</x:v>
      </x:c>
      <x:c r="Y1495" s="11" t="n">
        <x:v>0</x:v>
      </x:c>
      <x:c r="Z1495" s="4" t="str">
        <x:v>https://blog.skyairline.com/sky-aumentara-vuelos-entre-lima-y-miami-desde-septiembre/</x:v>
      </x:c>
      <x:c r="AA1495" s="4" t="str">
        <x:v>https://blog.skyairline.com/sky-aumentara-vuelos-entre-lima-y-miami-desde-septiembre/</x:v>
      </x:c>
      <x:c r="AB1495" s="4" t="str">
        <x:v>Coincidencia URL</x:v>
      </x:c>
      <x:c r="AC1495" s="4" t="str">
        <x:v>Publicado hasta septiembre</x:v>
      </x:c>
      <x:c r="AD1495" s="4" t="str">
        <x:v>/sky-aumentara-vuelos-entre-lima-y-miami-desde-septiembre/</x:v>
      </x:c>
      <x:c r="AE1495" s="4"/>
      <x:c r="AF1495" s="16" t="b">
        <x:v>0</x:v>
      </x:c>
    </x:row>
    <x:row r="1496" ht="44" customHeight="1">
      <x:c r="A1496" s="4" t="n">
        <x:v>7102</x:v>
      </x:c>
      <x:c r="B1496" s="4" t="str">
        <x:v>https://blog.skyairline.com/montana-de-7-colores/</x:v>
      </x:c>
      <x:c r="C1496" s="9" t="str">
        <x:v>Montaña de 7 colores, un destino que te va a encantar</x:v>
      </x:c>
      <x:c r="D1496" s="17" t="d">
        <x:v>2025-10-24T00:00:00.000Z</x:v>
      </x:c>
      <x:c r="E1496" s="17" t="d">
        <x:v>2025-11-12T00:00:00.000Z</x:v>
      </x:c>
      <x:c r="F1496" s="4" t="str">
        <x:v>Destinos</x:v>
      </x:c>
      <x:c r="G1496" s="11" t="n">
        <x:v>990</x:v>
      </x:c>
      <x:c r="H1496" s="11" t="n">
        <x:v>200</x:v>
      </x:c>
      <x:c r="I1496" s="11" t="n">
        <x:v>1</x:v>
      </x:c>
      <x:c r="J1496" s="4" t="str">
        <x:v>https://blog.skyairline.com/montana-de-7-colores/</x:v>
      </x:c>
      <x:c r="K1496" s="16" t="b">
        <x:v>0</x:v>
      </x:c>
      <x:c r="L1496" s="11" t="n">
        <x:v>0</x:v>
      </x:c>
      <x:c r="M1496" s="11" t="n">
        <x:v>3</x:v>
      </x:c>
      <x:c r="N1496" s="4"/>
      <x:c r="O1496" s="4"/>
      <x:c r="P1496" s="11" t="n">
        <x:v>2</x:v>
      </x:c>
      <x:c r="Q1496" s="11" t="n">
        <x:v>0</x:v>
      </x:c>
      <x:c r="R1496" s="11" t="str">
        <x:f>IF(OR(P1496="",Q1496=""),"",Q1496-P1496)</x:f>
      </x:c>
      <x:c r="S1496" s="13" t="str">
        <x:f>IF(OR(P1496="",Q1496="",P1496=0),"",((Q1496/30)/(P1496/31))-1)</x:f>
      </x:c>
      <x:c r="T1496" s="11" t="n">
        <x:v>204</x:v>
      </x:c>
      <x:c r="U1496" s="11" t="n">
        <x:v>106</x:v>
      </x:c>
      <x:c r="V1496" s="14" t="n">
        <x:v>0</x:v>
      </x:c>
      <x:c r="W1496" s="12" t="n">
        <x:v>10.38679245283019</x:v>
      </x:c>
      <x:c r="X1496" s="11"/>
      <x:c r="Y1496" s="11"/>
      <x:c r="Z1496" s="4" t="str">
        <x:v>https://blog.skyairline.com/montana-de-7-colores/</x:v>
      </x:c>
      <x:c r="AA1496" s="4" t="str">
        <x:v>https://blog.skyairline.com/montana-de-7-colores/</x:v>
      </x:c>
      <x:c r="AB1496" s="4" t="str">
        <x:v>Coincidencia URL</x:v>
      </x:c>
      <x:c r="AC1496" s="4" t="str">
        <x:v>Publicado hasta septiembre</x:v>
      </x:c>
      <x:c r="AD1496" s="4"/>
      <x:c r="AE1496" s="4"/>
      <x:c r="AF1496" s="16" t="b">
        <x:v>0</x:v>
      </x:c>
    </x:row>
    <x:row r="1497" ht="44" customHeight="1">
      <x:c r="A1497" s="4" t="n">
        <x:v>7104</x:v>
      </x:c>
      <x:c r="B1497" s="4" t="str">
        <x:v>https://blog.skyairline.com/sky-airline-3/</x:v>
      </x:c>
      <x:c r="C1497" s="9" t="str">
        <x:v>SKY, la aerolínea que te ayuda a realizar tus sueños</x:v>
      </x:c>
      <x:c r="D1497" s="17" t="d">
        <x:v>2025-09-22T00:00:00.000Z</x:v>
      </x:c>
      <x:c r="E1497" s="17" t="d">
        <x:v>2025-10-02T00:00:00.000Z</x:v>
      </x:c>
      <x:c r="F1497" s="4" t="str">
        <x:v>Destinos</x:v>
      </x:c>
      <x:c r="G1497" s="11" t="n">
        <x:v>972</x:v>
      </x:c>
      <x:c r="H1497" s="11" t="n">
        <x:v>200</x:v>
      </x:c>
      <x:c r="I1497" s="11" t="n">
        <x:v>1</x:v>
      </x:c>
      <x:c r="J1497" s="4" t="str">
        <x:v>https://blog.skyairline.com/sky-airline-3/</x:v>
      </x:c>
      <x:c r="K1497" s="16" t="b">
        <x:v>0</x:v>
      </x:c>
      <x:c r="L1497" s="11" t="n">
        <x:v>0</x:v>
      </x:c>
      <x:c r="M1497" s="11" t="n">
        <x:v>10</x:v>
      </x:c>
      <x:c r="N1497" s="4"/>
      <x:c r="O1497" s="4" t="str">
        <x:v>C01</x:v>
      </x:c>
      <x:c r="P1497" s="11" t="n">
        <x:v>0</x:v>
      </x:c>
      <x:c r="Q1497" s="11" t="n">
        <x:v>0</x:v>
      </x:c>
      <x:c r="R1497" s="11" t="str">
        <x:f>IF(OR(P1497="",Q1497=""),"",Q1497-P1497)</x:f>
      </x:c>
      <x:c r="S1497" s="13" t="str">
        <x:f>IF(OR(P1497="",Q1497="",P1497=0),"",((Q1497/30)/(P1497/31))-1)</x:f>
      </x:c>
      <x:c r="T1497" s="11" t="n">
        <x:v>26</x:v>
      </x:c>
      <x:c r="U1497" s="11" t="n">
        <x:v>35</x:v>
      </x:c>
      <x:c r="V1497" s="14" t="n">
        <x:v>0</x:v>
      </x:c>
      <x:c r="W1497" s="12" t="n">
        <x:v>10.628571428571428</x:v>
      </x:c>
      <x:c r="X1497" s="11"/>
      <x:c r="Y1497" s="11"/>
      <x:c r="Z1497" s="4" t="str">
        <x:v>https://blog.skyairline.com/sky-airline-3/</x:v>
      </x:c>
      <x:c r="AA1497" s="4" t="str">
        <x:v>https://blog.skyairline.com/sky-airline-3/</x:v>
      </x:c>
      <x:c r="AB1497" s="4" t="str">
        <x:v>Coincidencia URL</x:v>
      </x:c>
      <x:c r="AC1497" s="4" t="str">
        <x:v>Publicado hasta septiembre</x:v>
      </x:c>
      <x:c r="AD1497" s="4"/>
      <x:c r="AE1497" s="4"/>
      <x:c r="AF1497" s="16" t="b">
        <x:v>0</x:v>
      </x:c>
    </x:row>
    <x:row r="1498" ht="44" customHeight="1">
      <x:c r="A1498" s="4" t="n">
        <x:v>7107</x:v>
      </x:c>
      <x:c r="B1498" s="4" t="str">
        <x:v>https://blog.skyairline.com/pasajes-a-lima-peru/</x:v>
      </x:c>
      <x:c r="C1498" s="9" t="str">
        <x:v>Escapada de fin de semana: Reserva tus pasajes a Lima Perú</x:v>
      </x:c>
      <x:c r="D1498" s="17" t="d">
        <x:v>2025-09-26T00:00:00.000Z</x:v>
      </x:c>
      <x:c r="E1498" s="17" t="d">
        <x:v>2025-09-26T00:00:00.000Z</x:v>
      </x:c>
      <x:c r="F1498" s="4" t="str">
        <x:v>Destinos</x:v>
      </x:c>
      <x:c r="G1498" s="11" t="n">
        <x:v>1019</x:v>
      </x:c>
      <x:c r="H1498" s="11" t="n">
        <x:v>200</x:v>
      </x:c>
      <x:c r="I1498" s="11" t="n">
        <x:v>1</x:v>
      </x:c>
      <x:c r="J1498" s="4" t="str">
        <x:v>https://blog.skyairline.com/pasajes-a-lima-peru/</x:v>
      </x:c>
      <x:c r="K1498" s="16" t="b">
        <x:v>0</x:v>
      </x:c>
      <x:c r="L1498" s="11" t="n">
        <x:v>0</x:v>
      </x:c>
      <x:c r="M1498" s="11" t="n">
        <x:v>2</x:v>
      </x:c>
      <x:c r="N1498" s="4"/>
      <x:c r="O1498" s="4"/>
      <x:c r="P1498" s="11" t="n">
        <x:v>0</x:v>
      </x:c>
      <x:c r="Q1498" s="11" t="n">
        <x:v>0</x:v>
      </x:c>
      <x:c r="R1498" s="11" t="str">
        <x:f>IF(OR(P1498="",Q1498=""),"",Q1498-P1498)</x:f>
      </x:c>
      <x:c r="S1498" s="13" t="str">
        <x:f>IF(OR(P1498="",Q1498="",P1498=0),"",((Q1498/30)/(P1498/31))-1)</x:f>
      </x:c>
      <x:c r="T1498" s="11" t="n">
        <x:v>35</x:v>
      </x:c>
      <x:c r="U1498" s="11" t="n">
        <x:v>8</x:v>
      </x:c>
      <x:c r="V1498" s="14" t="n">
        <x:v>0</x:v>
      </x:c>
      <x:c r="W1498" s="12" t="n">
        <x:v>8</x:v>
      </x:c>
      <x:c r="X1498" s="11" t="n">
        <x:v>1</x:v>
      </x:c>
      <x:c r="Y1498" s="11" t="n">
        <x:v>1</x:v>
      </x:c>
      <x:c r="Z1498" s="4" t="str">
        <x:v>https://blog.skyairline.com/pasajes-a-lima-peru/</x:v>
      </x:c>
      <x:c r="AA1498" s="4" t="str">
        <x:v>https://blog.skyairline.com/pasajes-a-lima-peru/</x:v>
      </x:c>
      <x:c r="AB1498" s="4" t="str">
        <x:v>Coincidencia URL</x:v>
      </x:c>
      <x:c r="AC1498" s="4" t="str">
        <x:v>Publicado hasta septiembre</x:v>
      </x:c>
      <x:c r="AD1498" s="4" t="str">
        <x:v>/pasajes-a-lima-peru/</x:v>
      </x:c>
      <x:c r="AE1498" s="4"/>
      <x:c r="AF1498" s="16" t="b">
        <x:v>0</x:v>
      </x:c>
    </x:row>
    <x:row r="1499" ht="44" customHeight="1">
      <x:c r="A1499" s="4" t="n">
        <x:v>7108</x:v>
      </x:c>
      <x:c r="B1499" s="4" t="str">
        <x:v>https://blog.skyairline.com/turismo-tacna/</x:v>
      </x:c>
      <x:c r="C1499" s="9" t="str">
        <x:v>Turismo Tacna: vuelos directos entre Lima y Tacna</x:v>
      </x:c>
      <x:c r="D1499" s="17" t="d">
        <x:v>2025-09-27T00:00:00.000Z</x:v>
      </x:c>
      <x:c r="E1499" s="17" t="d">
        <x:v>2025-09-27T00:00:00.000Z</x:v>
      </x:c>
      <x:c r="F1499" s="4" t="str">
        <x:v>Destinos</x:v>
      </x:c>
      <x:c r="G1499" s="11" t="n">
        <x:v>995</x:v>
      </x:c>
      <x:c r="H1499" s="11" t="n">
        <x:v>200</x:v>
      </x:c>
      <x:c r="I1499" s="11" t="n">
        <x:v>1</x:v>
      </x:c>
      <x:c r="J1499" s="4" t="str">
        <x:v>https://blog.skyairline.com/turismo-tacna/</x:v>
      </x:c>
      <x:c r="K1499" s="16" t="b">
        <x:v>0</x:v>
      </x:c>
      <x:c r="L1499" s="11" t="n">
        <x:v>0</x:v>
      </x:c>
      <x:c r="M1499" s="11" t="n">
        <x:v>4</x:v>
      </x:c>
      <x:c r="N1499" s="4"/>
      <x:c r="O1499" s="4"/>
      <x:c r="P1499" s="11" t="n">
        <x:v>1</x:v>
      </x:c>
      <x:c r="Q1499" s="11" t="n">
        <x:v>0</x:v>
      </x:c>
      <x:c r="R1499" s="11" t="str">
        <x:f>IF(OR(P1499="",Q1499=""),"",Q1499-P1499)</x:f>
      </x:c>
      <x:c r="S1499" s="13" t="str">
        <x:f>IF(OR(P1499="",Q1499="",P1499=0),"",((Q1499/30)/(P1499/31))-1)</x:f>
      </x:c>
      <x:c r="T1499" s="11" t="n">
        <x:v>257</x:v>
      </x:c>
      <x:c r="U1499" s="11" t="n">
        <x:v>165</x:v>
      </x:c>
      <x:c r="V1499" s="14" t="n">
        <x:v>0</x:v>
      </x:c>
      <x:c r="W1499" s="12" t="n">
        <x:v>11.581818181818182</x:v>
      </x:c>
      <x:c r="X1499" s="11"/>
      <x:c r="Y1499" s="11"/>
      <x:c r="Z1499" s="4" t="str">
        <x:v>https://blog.skyairline.com/turismo-tacna/</x:v>
      </x:c>
      <x:c r="AA1499" s="4" t="str">
        <x:v>https://blog.skyairline.com/turismo-tacna/</x:v>
      </x:c>
      <x:c r="AB1499" s="4" t="str">
        <x:v>Coincidencia URL</x:v>
      </x:c>
      <x:c r="AC1499" s="4" t="str">
        <x:v>Publicado hasta septiembre</x:v>
      </x:c>
      <x:c r="AD1499" s="4"/>
      <x:c r="AE1499" s="4"/>
      <x:c r="AF1499" s="16" t="b">
        <x:v>0</x:v>
      </x:c>
    </x:row>
    <x:row r="1500" ht="44" customHeight="1">
      <x:c r="A1500" s="4" t="n">
        <x:v>7109</x:v>
      </x:c>
      <x:c r="B1500" s="4" t="str">
        <x:v>https://blog.skyairline.com/lima-a-cusco/</x:v>
      </x:c>
      <x:c r="C1500" s="9" t="str">
        <x:v>Vuelos baratos de Lima a Cusco</x:v>
      </x:c>
      <x:c r="D1500" s="17" t="d">
        <x:v>2025-09-28T00:00:00.000Z</x:v>
      </x:c>
      <x:c r="E1500" s="17" t="d">
        <x:v>2025-09-28T00:00:00.000Z</x:v>
      </x:c>
      <x:c r="F1500" s="4" t="str">
        <x:v>Destinos</x:v>
      </x:c>
      <x:c r="G1500" s="11" t="n">
        <x:v>946</x:v>
      </x:c>
      <x:c r="H1500" s="11" t="n">
        <x:v>200</x:v>
      </x:c>
      <x:c r="I1500" s="11" t="n">
        <x:v>1</x:v>
      </x:c>
      <x:c r="J1500" s="4" t="str">
        <x:v>https://blog.skyairline.com/lima-a-cusco/</x:v>
      </x:c>
      <x:c r="K1500" s="16" t="b">
        <x:v>0</x:v>
      </x:c>
      <x:c r="L1500" s="11" t="n">
        <x:v>0</x:v>
      </x:c>
      <x:c r="M1500" s="11" t="n">
        <x:v>3</x:v>
      </x:c>
      <x:c r="N1500" s="4"/>
      <x:c r="O1500" s="4"/>
      <x:c r="P1500" s="11" t="n">
        <x:v>0</x:v>
      </x:c>
      <x:c r="Q1500" s="11" t="n">
        <x:v>0</x:v>
      </x:c>
      <x:c r="R1500" s="11" t="str">
        <x:f>IF(OR(P1500="",Q1500=""),"",Q1500-P1500)</x:f>
      </x:c>
      <x:c r="S1500" s="13" t="str">
        <x:f>IF(OR(P1500="",Q1500="",P1500=0),"",((Q1500/30)/(P1500/31))-1)</x:f>
      </x:c>
      <x:c r="T1500" s="11" t="n">
        <x:v>172</x:v>
      </x:c>
      <x:c r="U1500" s="11" t="n">
        <x:v>97</x:v>
      </x:c>
      <x:c r="V1500" s="14" t="n">
        <x:v>0</x:v>
      </x:c>
      <x:c r="W1500" s="12" t="n">
        <x:v>56.371134020618555</x:v>
      </x:c>
      <x:c r="X1500" s="11" t="n">
        <x:v>2</x:v>
      </x:c>
      <x:c r="Y1500" s="11" t="n">
        <x:v>2</x:v>
      </x:c>
      <x:c r="Z1500" s="4" t="str">
        <x:v>https://blog.skyairline.com/lima-a-cusco/</x:v>
      </x:c>
      <x:c r="AA1500" s="4" t="str">
        <x:v>https://blog.skyairline.com/lima-a-cusco/</x:v>
      </x:c>
      <x:c r="AB1500" s="4" t="str">
        <x:v>Coincidencia URL</x:v>
      </x:c>
      <x:c r="AC1500" s="4" t="str">
        <x:v>Publicado hasta septiembre</x:v>
      </x:c>
      <x:c r="AD1500" s="4" t="str">
        <x:v>/lima-a-cusco/</x:v>
      </x:c>
      <x:c r="AE1500" s="4"/>
      <x:c r="AF1500" s="16" t="b">
        <x:v>0</x:v>
      </x:c>
    </x:row>
    <x:row r="1501" ht="44" customHeight="1">
      <x:c r="A1501" s="4" t="n">
        <x:v>7114</x:v>
      </x:c>
      <x:c r="B1501" s="4" t="str">
        <x:v>https://blog.skyairline.com/patagonia-chile/</x:v>
      </x:c>
      <x:c r="C1501" s="9" t="str">
        <x:v>Descubre la Patagonia Chile: ¿desde donde comenzar tu aventura?</x:v>
      </x:c>
      <x:c r="D1501" s="17" t="d">
        <x:v>2025-10-24T00:00:00.000Z</x:v>
      </x:c>
      <x:c r="E1501" s="17" t="d">
        <x:v>2025-10-24T00:00:00.000Z</x:v>
      </x:c>
      <x:c r="F1501" s="4" t="str">
        <x:v>Destinos</x:v>
      </x:c>
      <x:c r="G1501" s="11" t="n">
        <x:v>1077</x:v>
      </x:c>
      <x:c r="H1501" s="11" t="n">
        <x:v>200</x:v>
      </x:c>
      <x:c r="I1501" s="11" t="n">
        <x:v>1</x:v>
      </x:c>
      <x:c r="J1501" s="4" t="str">
        <x:v>https://blog.skyairline.com/patagonia-chile/</x:v>
      </x:c>
      <x:c r="K1501" s="16" t="b">
        <x:v>0</x:v>
      </x:c>
      <x:c r="L1501" s="11" t="n">
        <x:v>0</x:v>
      </x:c>
      <x:c r="M1501" s="11" t="n">
        <x:v>3</x:v>
      </x:c>
      <x:c r="N1501" s="4"/>
      <x:c r="O1501" s="4"/>
      <x:c r="P1501" s="11" t="n">
        <x:v>0</x:v>
      </x:c>
      <x:c r="Q1501" s="11" t="n">
        <x:v>0</x:v>
      </x:c>
      <x:c r="R1501" s="11" t="str">
        <x:f>IF(OR(P1501="",Q1501=""),"",Q1501-P1501)</x:f>
      </x:c>
      <x:c r="S1501" s="13" t="str">
        <x:f>IF(OR(P1501="",Q1501="",P1501=0),"",((Q1501/30)/(P1501/31))-1)</x:f>
      </x:c>
      <x:c r="T1501" s="11" t="n">
        <x:v>89</x:v>
      </x:c>
      <x:c r="U1501" s="11" t="n">
        <x:v>44</x:v>
      </x:c>
      <x:c r="V1501" s="14" t="n">
        <x:v>0</x:v>
      </x:c>
      <x:c r="W1501" s="12" t="n">
        <x:v>61.81818181818182</x:v>
      </x:c>
      <x:c r="X1501" s="11"/>
      <x:c r="Y1501" s="11"/>
      <x:c r="Z1501" s="4" t="str">
        <x:v>https://blog.skyairline.com/patagonia-chile/</x:v>
      </x:c>
      <x:c r="AA1501" s="4" t="str">
        <x:v>https://blog.skyairline.com/patagonia-chile/</x:v>
      </x:c>
      <x:c r="AB1501" s="4" t="str">
        <x:v>Coincidencia URL</x:v>
      </x:c>
      <x:c r="AC1501" s="4" t="str">
        <x:v>Publicado hasta septiembre</x:v>
      </x:c>
      <x:c r="AD1501" s="4"/>
      <x:c r="AE1501" s="4"/>
      <x:c r="AF1501" s="16" t="b">
        <x:v>0</x:v>
      </x:c>
    </x:row>
    <x:row r="1502" ht="44" customHeight="1">
      <x:c r="A1502" s="4" t="n">
        <x:v>7118</x:v>
      </x:c>
      <x:c r="B1502" s="4" t="str">
        <x:v>https://blog.skyairline.com/san-pedro-de-atacama-2/</x:v>
      </x:c>
      <x:c r="C1502" s="9" t="str">
        <x:v>San Pedro de Atacama: descubre la belleza del desierto chileno</x:v>
      </x:c>
      <x:c r="D1502" s="17" t="d">
        <x:v>2025-10-20T00:00:00.000Z</x:v>
      </x:c>
      <x:c r="E1502" s="17" t="d">
        <x:v>2025-10-29T00:00:00.000Z</x:v>
      </x:c>
      <x:c r="F1502" s="4" t="str">
        <x:v>Destinos</x:v>
      </x:c>
      <x:c r="G1502" s="11" t="n">
        <x:v>1048</x:v>
      </x:c>
      <x:c r="H1502" s="11" t="n">
        <x:v>200</x:v>
      </x:c>
      <x:c r="I1502" s="11" t="n">
        <x:v>1</x:v>
      </x:c>
      <x:c r="J1502" s="4" t="str">
        <x:v>https://blog.skyairline.com/san-pedro-de-atacama-2/</x:v>
      </x:c>
      <x:c r="K1502" s="16" t="b">
        <x:v>0</x:v>
      </x:c>
      <x:c r="L1502" s="11" t="n">
        <x:v>0</x:v>
      </x:c>
      <x:c r="M1502" s="11" t="n">
        <x:v>4</x:v>
      </x:c>
      <x:c r="N1502" s="4"/>
      <x:c r="O1502" s="4"/>
      <x:c r="P1502" s="11" t="n">
        <x:v>0</x:v>
      </x:c>
      <x:c r="Q1502" s="11" t="n">
        <x:v>0</x:v>
      </x:c>
      <x:c r="R1502" s="11" t="str">
        <x:f>IF(OR(P1502="",Q1502=""),"",Q1502-P1502)</x:f>
      </x:c>
      <x:c r="S1502" s="13" t="str">
        <x:f>IF(OR(P1502="",Q1502="",P1502=0),"",((Q1502/30)/(P1502/31))-1)</x:f>
      </x:c>
      <x:c r="T1502" s="11" t="n">
        <x:v>2</x:v>
      </x:c>
      <x:c r="U1502" s="11" t="n">
        <x:v>2</x:v>
      </x:c>
      <x:c r="V1502" s="14" t="n">
        <x:v>0</x:v>
      </x:c>
      <x:c r="W1502" s="12" t="n">
        <x:v>16</x:v>
      </x:c>
      <x:c r="X1502" s="11" t="n">
        <x:v>2</x:v>
      </x:c>
      <x:c r="Y1502" s="11" t="n">
        <x:v>2</x:v>
      </x:c>
      <x:c r="Z1502" s="4" t="str">
        <x:v>https://blog.skyairline.com/san-pedro-de-atacama-2/</x:v>
      </x:c>
      <x:c r="AA1502" s="4" t="str">
        <x:v>https://blog.skyairline.com/san-pedro-de-atacama-2/</x:v>
      </x:c>
      <x:c r="AB1502" s="4" t="str">
        <x:v>Coincidencia URL</x:v>
      </x:c>
      <x:c r="AC1502" s="4" t="str">
        <x:v>Publicado hasta septiembre</x:v>
      </x:c>
      <x:c r="AD1502" s="4" t="str">
        <x:v>/san-pedro-de-atacama-2/</x:v>
      </x:c>
      <x:c r="AE1502" s="4"/>
      <x:c r="AF1502" s="16" t="b">
        <x:v>0</x:v>
      </x:c>
    </x:row>
    <x:row r="1503" ht="44" customHeight="1">
      <x:c r="A1503" s="4" t="n">
        <x:v>7119</x:v>
      </x:c>
      <x:c r="B1503" s="4" t="str">
        <x:v>https://blog.skyairline.com/trekking/</x:v>
      </x:c>
      <x:c r="C1503" s="9" t="str">
        <x:v>Trekking en famila: ¡rutas para todos!</x:v>
      </x:c>
      <x:c r="D1503" s="17" t="d">
        <x:v>2025-10-25T00:00:00.000Z</x:v>
      </x:c>
      <x:c r="E1503" s="17" t="d">
        <x:v>2025-10-24T00:00:00.000Z</x:v>
      </x:c>
      <x:c r="F1503" s="4" t="str">
        <x:v>Destinos</x:v>
      </x:c>
      <x:c r="G1503" s="11" t="n">
        <x:v>953</x:v>
      </x:c>
      <x:c r="H1503" s="11" t="n">
        <x:v>200</x:v>
      </x:c>
      <x:c r="I1503" s="11" t="n">
        <x:v>1</x:v>
      </x:c>
      <x:c r="J1503" s="4" t="str">
        <x:v>https://blog.skyairline.com/trekking/</x:v>
      </x:c>
      <x:c r="K1503" s="16" t="b">
        <x:v>0</x:v>
      </x:c>
      <x:c r="L1503" s="11" t="n">
        <x:v>0</x:v>
      </x:c>
      <x:c r="M1503" s="11" t="n">
        <x:v>4</x:v>
      </x:c>
      <x:c r="N1503" s="4"/>
      <x:c r="O1503" s="4"/>
      <x:c r="P1503" s="11" t="n">
        <x:v>0</x:v>
      </x:c>
      <x:c r="Q1503" s="11" t="n">
        <x:v>0</x:v>
      </x:c>
      <x:c r="R1503" s="11" t="str">
        <x:f>IF(OR(P1503="",Q1503=""),"",Q1503-P1503)</x:f>
      </x:c>
      <x:c r="S1503" s="13" t="str">
        <x:f>IF(OR(P1503="",Q1503="",P1503=0),"",((Q1503/30)/(P1503/31))-1)</x:f>
      </x:c>
      <x:c r="T1503" s="11" t="n">
        <x:v>3</x:v>
      </x:c>
      <x:c r="U1503" s="11" t="n">
        <x:v>16</x:v>
      </x:c>
      <x:c r="V1503" s="14" t="n">
        <x:v>0</x:v>
      </x:c>
      <x:c r="W1503" s="12" t="n">
        <x:v>7.9375</x:v>
      </x:c>
      <x:c r="X1503" s="11"/>
      <x:c r="Y1503" s="11"/>
      <x:c r="Z1503" s="4" t="str">
        <x:v>https://blog.skyairline.com/trekking/</x:v>
      </x:c>
      <x:c r="AA1503" s="4" t="str">
        <x:v>https://blog.skyairline.com/trekking/</x:v>
      </x:c>
      <x:c r="AB1503" s="4" t="str">
        <x:v>Coincidencia URL</x:v>
      </x:c>
      <x:c r="AC1503" s="4" t="str">
        <x:v>Publicado hasta septiembre</x:v>
      </x:c>
      <x:c r="AD1503" s="4"/>
      <x:c r="AE1503" s="4"/>
      <x:c r="AF1503" s="16" t="b">
        <x:v>0</x:v>
      </x:c>
    </x:row>
    <x:row r="1504" ht="44" customHeight="1">
      <x:c r="A1504" s="4" t="n">
        <x:v>7123</x:v>
      </x:c>
      <x:c r="B1504" s="4" t="str">
        <x:v>https://blog.skyairline.com/hoteles-en-cancun-como-encontrar-la-mejor-opcion-segun-tu-presupuesto-2/</x:v>
      </x:c>
      <x:c r="C1504" s="9" t="str">
        <x:v>Los 10 mejores hoteles en Cancún</x:v>
      </x:c>
      <x:c r="D1504" s="17" t="d">
        <x:v>2025-06-04T00:00:00.000Z</x:v>
      </x:c>
      <x:c r="E1504" s="17" t="d">
        <x:v>2025-06-04T00:00:00.000Z</x:v>
      </x:c>
      <x:c r="F1504" s="4" t="str">
        <x:v>Destinos</x:v>
      </x:c>
      <x:c r="G1504" s="11" t="n">
        <x:v>1207</x:v>
      </x:c>
      <x:c r="H1504" s="11" t="n">
        <x:v>200</x:v>
      </x:c>
      <x:c r="I1504" s="11" t="n">
        <x:v>1</x:v>
      </x:c>
      <x:c r="J1504" s="4" t="str">
        <x:v>https://blog.skyairline.com/hoteles-en-cancun-como-encontrar-la-mejor-opcion-segun-tu-presupuesto-2/</x:v>
      </x:c>
      <x:c r="K1504" s="16" t="b">
        <x:v>0</x:v>
      </x:c>
      <x:c r="L1504" s="11" t="n">
        <x:v>0</x:v>
      </x:c>
      <x:c r="M1504" s="11" t="n">
        <x:v>4</x:v>
      </x:c>
      <x:c r="N1504" s="4"/>
      <x:c r="O1504" s="4"/>
      <x:c r="P1504" s="11" t="n">
        <x:v>1</x:v>
      </x:c>
      <x:c r="Q1504" s="11" t="n">
        <x:v>0</x:v>
      </x:c>
      <x:c r="R1504" s="11" t="str">
        <x:f>IF(OR(P1504="",Q1504=""),"",Q1504-P1504)</x:f>
      </x:c>
      <x:c r="S1504" s="13" t="str">
        <x:f>IF(OR(P1504="",Q1504="",P1504=0),"",((Q1504/30)/(P1504/31))-1)</x:f>
      </x:c>
      <x:c r="T1504" s="11" t="n">
        <x:v>704</x:v>
      </x:c>
      <x:c r="U1504" s="11" t="n">
        <x:v>210</x:v>
      </x:c>
      <x:c r="V1504" s="14" t="n">
        <x:v>0</x:v>
      </x:c>
      <x:c r="W1504" s="12" t="n">
        <x:v>29.82857142857143</x:v>
      </x:c>
      <x:c r="X1504" s="11"/>
      <x:c r="Y1504" s="11"/>
      <x:c r="Z1504" s="4" t="str">
        <x:v>https://blog.skyairline.com/hoteles-en-cancun-como-encontrar-la-mejor-opcion-segun-tu-presupuesto-2/</x:v>
      </x:c>
      <x:c r="AA1504" s="4" t="str">
        <x:v>https://blog.skyairline.com/hoteles-en-cancun-como-encontrar-la-mejor-opcion-segun-tu-presupuesto-2/</x:v>
      </x:c>
      <x:c r="AB1504" s="4" t="str">
        <x:v>Coincidencia URL</x:v>
      </x:c>
      <x:c r="AC1504" s="4" t="str">
        <x:v>Publicado hasta septiembre</x:v>
      </x:c>
      <x:c r="AD1504" s="4"/>
      <x:c r="AE1504" s="4"/>
      <x:c r="AF1504" s="16" t="b">
        <x:v>0</x:v>
      </x:c>
    </x:row>
    <x:row r="1505" ht="44" customHeight="1">
      <x:c r="A1505" s="4" t="n">
        <x:v>7124</x:v>
      </x:c>
      <x:c r="B1505" s="4" t="str">
        <x:v>https://blog.skyairline.com/camping-en-chile-2/</x:v>
      </x:c>
      <x:c r="C1505" s="9" t="str">
        <x:v> Camping en Chile: dónde acampar y consejos</x:v>
      </x:c>
      <x:c r="D1505" s="17" t="d">
        <x:v>2025-06-19T00:00:00.000Z</x:v>
      </x:c>
      <x:c r="E1505" s="17" t="d">
        <x:v>2025-06-19T00:00:00.000Z</x:v>
      </x:c>
      <x:c r="F1505" s="4" t="str">
        <x:v>Planificación de Viaje</x:v>
      </x:c>
      <x:c r="G1505" s="11" t="n">
        <x:v>1142</x:v>
      </x:c>
      <x:c r="H1505" s="11" t="n">
        <x:v>200</x:v>
      </x:c>
      <x:c r="I1505" s="11" t="n">
        <x:v>1</x:v>
      </x:c>
      <x:c r="J1505" s="4" t="str">
        <x:v>https://blog.skyairline.com/camping-en-chile-2/</x:v>
      </x:c>
      <x:c r="K1505" s="16" t="b">
        <x:v>0</x:v>
      </x:c>
      <x:c r="L1505" s="11" t="n">
        <x:v>0</x:v>
      </x:c>
      <x:c r="M1505" s="11" t="n">
        <x:v>3</x:v>
      </x:c>
      <x:c r="N1505" s="4"/>
      <x:c r="O1505" s="4"/>
      <x:c r="P1505" s="11" t="n">
        <x:v>0</x:v>
      </x:c>
      <x:c r="Q1505" s="11" t="n">
        <x:v>0</x:v>
      </x:c>
      <x:c r="R1505" s="11" t="str">
        <x:f>IF(OR(P1505="",Q1505=""),"",Q1505-P1505)</x:f>
      </x:c>
      <x:c r="S1505" s="13" t="str">
        <x:f>IF(OR(P1505="",Q1505="",P1505=0),"",((Q1505/30)/(P1505/31))-1)</x:f>
      </x:c>
      <x:c r="T1505" s="11" t="n">
        <x:v>192</x:v>
      </x:c>
      <x:c r="U1505" s="11" t="n">
        <x:v>130</x:v>
      </x:c>
      <x:c r="V1505" s="14" t="n">
        <x:v>0</x:v>
      </x:c>
      <x:c r="W1505" s="12" t="n">
        <x:v>22.753846153846155</x:v>
      </x:c>
      <x:c r="X1505" s="11"/>
      <x:c r="Y1505" s="11"/>
      <x:c r="Z1505" s="4" t="str">
        <x:v>https://blog.skyairline.com/camping-en-chile-2/</x:v>
      </x:c>
      <x:c r="AA1505" s="4" t="str">
        <x:v>https://blog.skyairline.com/camping-en-chile-2/</x:v>
      </x:c>
      <x:c r="AB1505" s="4" t="str">
        <x:v>Coincidencia URL</x:v>
      </x:c>
      <x:c r="AC1505" s="4" t="str">
        <x:v>Publicado hasta septiembre</x:v>
      </x:c>
      <x:c r="AD1505" s="4"/>
      <x:c r="AE1505" s="4"/>
      <x:c r="AF1505" s="16" t="b">
        <x:v>0</x:v>
      </x:c>
    </x:row>
    <x:row r="1506" ht="44" customHeight="1">
      <x:c r="A1506" s="4" t="n">
        <x:v>7205</x:v>
      </x:c>
      <x:c r="B1506" s="4" t="str">
        <x:v>https://blog.skyairline.com/nueva-alianza-entre-sky-y-air-canada/</x:v>
      </x:c>
      <x:c r="C1506" s="9" t="str">
        <x:v>Nueva alianza entre SKY y Air Canada</x:v>
      </x:c>
      <x:c r="D1506" s="17" t="d">
        <x:v>2025-09-09T00:00:00.000Z</x:v>
      </x:c>
      <x:c r="E1506" s="17" t="d">
        <x:v>2025-09-09T00:00:00.000Z</x:v>
      </x:c>
      <x:c r="F1506" s="4" t="str">
        <x:v>Noticias</x:v>
      </x:c>
      <x:c r="G1506" s="11" t="n">
        <x:v>244</x:v>
      </x:c>
      <x:c r="H1506" s="11" t="n">
        <x:v>200</x:v>
      </x:c>
      <x:c r="I1506" s="11" t="n">
        <x:v>1</x:v>
      </x:c>
      <x:c r="J1506" s="4" t="str">
        <x:v>https://blog.skyairline.com/nueva-alianza-entre-sky-y-air-canada/</x:v>
      </x:c>
      <x:c r="K1506" s="16" t="b">
        <x:v>0</x:v>
      </x:c>
      <x:c r="L1506" s="11" t="n">
        <x:v>0</x:v>
      </x:c>
      <x:c r="M1506" s="11" t="n">
        <x:v>0</x:v>
      </x:c>
      <x:c r="N1506" s="4"/>
      <x:c r="O1506" s="4"/>
      <x:c r="P1506" s="11" t="n">
        <x:v>0</x:v>
      </x:c>
      <x:c r="Q1506" s="11" t="n">
        <x:v>0</x:v>
      </x:c>
      <x:c r="R1506" s="11" t="str">
        <x:f>IF(OR(P1506="",Q1506=""),"",Q1506-P1506)</x:f>
      </x:c>
      <x:c r="S1506" s="13" t="str">
        <x:f>IF(OR(P1506="",Q1506="",P1506=0),"",((Q1506/30)/(P1506/31))-1)</x:f>
      </x:c>
      <x:c r="T1506" s="11" t="n">
        <x:v>14</x:v>
      </x:c>
      <x:c r="U1506" s="11" t="n">
        <x:v>38</x:v>
      </x:c>
      <x:c r="V1506" s="14" t="n">
        <x:v>0</x:v>
      </x:c>
      <x:c r="W1506" s="12" t="n">
        <x:v>5.7105263157894735</x:v>
      </x:c>
      <x:c r="X1506" s="11"/>
      <x:c r="Y1506" s="11"/>
      <x:c r="Z1506" s="4" t="str">
        <x:v>https://blog.skyairline.com/nueva-alianza-entre-sky-y-air-canada/</x:v>
      </x:c>
      <x:c r="AA1506" s="4" t="str">
        <x:v>https://blog.skyairline.com/nueva-alianza-entre-sky-y-air-canada/</x:v>
      </x:c>
      <x:c r="AB1506" s="4" t="str">
        <x:v>Coincidencia URL</x:v>
      </x:c>
      <x:c r="AC1506" s="4" t="str">
        <x:v>Publicado hasta septiembre</x:v>
      </x:c>
      <x:c r="AD1506" s="4"/>
      <x:c r="AE1506" s="4"/>
      <x:c r="AF1506" s="16" t="b">
        <x:v>0</x:v>
      </x:c>
    </x:row>
    <x:row r="1507" ht="44" customHeight="1">
      <x:c r="A1507" s="4" t="n">
        <x:v>7206</x:v>
      </x:c>
      <x:c r="B1507" s="4" t="str">
        <x:v>https://blog.skyairline.com/sky-y-la-ucsc-en-proyecto-para-producir-combustible-sostenible-de-aviacion/</x:v>
      </x:c>
      <x:c r="C1507" s="9" t="str">
        <x:v>SKY y la UCSC en proyecto para producir combustible sostenible de aviación</x:v>
      </x:c>
      <x:c r="D1507" s="17" t="d">
        <x:v>2025-09-09T00:00:00.000Z</x:v>
      </x:c>
      <x:c r="E1507" s="17" t="d">
        <x:v>2025-09-09T00:00:00.000Z</x:v>
      </x:c>
      <x:c r="F1507" s="4" t="str">
        <x:v>Noticias</x:v>
      </x:c>
      <x:c r="G1507" s="11" t="n">
        <x:v>213</x:v>
      </x:c>
      <x:c r="H1507" s="11" t="n">
        <x:v>200</x:v>
      </x:c>
      <x:c r="I1507" s="11" t="n">
        <x:v>1</x:v>
      </x:c>
      <x:c r="J1507" s="4" t="str">
        <x:v>https://blog.skyairline.com/sky-y-la-ucsc-en-proyecto-para-producir-combustible-sostenible-de-aviacion/</x:v>
      </x:c>
      <x:c r="K1507" s="16" t="b">
        <x:v>0</x:v>
      </x:c>
      <x:c r="L1507" s="11" t="n">
        <x:v>0</x:v>
      </x:c>
      <x:c r="M1507" s="11" t="n">
        <x:v>0</x:v>
      </x:c>
      <x:c r="N1507" s="4"/>
      <x:c r="O1507" s="4" t="str">
        <x:v>C02</x:v>
      </x:c>
      <x:c r="P1507" s="11" t="n">
        <x:v>0</x:v>
      </x:c>
      <x:c r="Q1507" s="11" t="n">
        <x:v>0</x:v>
      </x:c>
      <x:c r="R1507" s="11" t="str">
        <x:f>IF(OR(P1507="",Q1507=""),"",Q1507-P1507)</x:f>
      </x:c>
      <x:c r="S1507" s="13" t="str">
        <x:f>IF(OR(P1507="",Q1507="",P1507=0),"",((Q1507/30)/(P1507/31))-1)</x:f>
      </x:c>
      <x:c r="T1507" s="11" t="n">
        <x:v>5</x:v>
      </x:c>
      <x:c r="U1507" s="11" t="n">
        <x:v>4</x:v>
      </x:c>
      <x:c r="V1507" s="14" t="n">
        <x:v>0</x:v>
      </x:c>
      <x:c r="W1507" s="12" t="n">
        <x:v>1.75</x:v>
      </x:c>
      <x:c r="X1507" s="11" t="n">
        <x:v>1</x:v>
      </x:c>
      <x:c r="Y1507" s="11" t="n">
        <x:v>1</x:v>
      </x:c>
      <x:c r="Z1507" s="4" t="str">
        <x:v>https://blog.skyairline.com/sky-y-la-ucsc-en-proyecto-para-producir-combustible-sostenible-de-aviacion/</x:v>
      </x:c>
      <x:c r="AA1507" s="4" t="str">
        <x:v>https://blog.skyairline.com/sky-y-la-ucsc-en-proyecto-para-producir-combustible-sostenible-de-aviacion/</x:v>
      </x:c>
      <x:c r="AB1507" s="4" t="str">
        <x:v>Coincidencia URL</x:v>
      </x:c>
      <x:c r="AC1507" s="4" t="str">
        <x:v>Publicado hasta septiembre</x:v>
      </x:c>
      <x:c r="AD1507" s="4" t="str">
        <x:v>/sky-y-la-ucsc-en-proyecto-para-producir-combustible-sostenible-de-aviacion/</x:v>
      </x:c>
      <x:c r="AE1507" s="4"/>
      <x:c r="AF1507" s="16" t="b">
        <x:v>0</x:v>
      </x:c>
    </x:row>
    <x:row r="1508" ht="44" customHeight="1">
      <x:c r="A1508" s="4" t="n">
        <x:v>7207</x:v>
      </x:c>
      <x:c r="B1508" s="4" t="str">
        <x:v>https://blog.skyairline.com/sky-celebra-aniversario-volando-en-tarapoto/</x:v>
      </x:c>
      <x:c r="C1508" s="9" t="str">
        <x:v>SKY celebra aniversario volando en Tarapoto</x:v>
      </x:c>
      <x:c r="D1508" s="17" t="d">
        <x:v>2025-09-09T00:00:00.000Z</x:v>
      </x:c>
      <x:c r="E1508" s="17" t="d">
        <x:v>2025-09-09T00:00:00.000Z</x:v>
      </x:c>
      <x:c r="F1508" s="4" t="str">
        <x:v>Noticias</x:v>
      </x:c>
      <x:c r="G1508" s="11" t="n">
        <x:v>131</x:v>
      </x:c>
      <x:c r="H1508" s="11" t="n">
        <x:v>200</x:v>
      </x:c>
      <x:c r="I1508" s="11" t="n">
        <x:v>1</x:v>
      </x:c>
      <x:c r="J1508" s="4" t="str">
        <x:v>https://blog.skyairline.com/sky-celebra-aniversario-volando-en-tarapoto/</x:v>
      </x:c>
      <x:c r="K1508" s="16" t="b">
        <x:v>0</x:v>
      </x:c>
      <x:c r="L1508" s="11" t="n">
        <x:v>0</x:v>
      </x:c>
      <x:c r="M1508" s="11" t="n">
        <x:v>0</x:v>
      </x:c>
      <x:c r="N1508" s="4"/>
      <x:c r="O1508" s="4"/>
      <x:c r="P1508" s="11" t="n">
        <x:v>0</x:v>
      </x:c>
      <x:c r="Q1508" s="11" t="n">
        <x:v>0</x:v>
      </x:c>
      <x:c r="R1508" s="11" t="str">
        <x:f>IF(OR(P1508="",Q1508=""),"",Q1508-P1508)</x:f>
      </x:c>
      <x:c r="S1508" s="13" t="str">
        <x:f>IF(OR(P1508="",Q1508="",P1508=0),"",((Q1508/30)/(P1508/31))-1)</x:f>
      </x:c>
      <x:c r="T1508" s="11" t="n">
        <x:v>1</x:v>
      </x:c>
      <x:c r="U1508" s="11" t="n">
        <x:v>5</x:v>
      </x:c>
      <x:c r="V1508" s="14" t="n">
        <x:v>0</x:v>
      </x:c>
      <x:c r="W1508" s="12" t="n">
        <x:v>14.4</x:v>
      </x:c>
      <x:c r="X1508" s="11"/>
      <x:c r="Y1508" s="11"/>
      <x:c r="Z1508" s="4" t="str">
        <x:v>https://blog.skyairline.com/sky-celebra-aniversario-volando-en-tarapoto/</x:v>
      </x:c>
      <x:c r="AA1508" s="4" t="str">
        <x:v>https://blog.skyairline.com/sky-celebra-aniversario-volando-en-tarapoto/</x:v>
      </x:c>
      <x:c r="AB1508" s="4" t="str">
        <x:v>Coincidencia URL</x:v>
      </x:c>
      <x:c r="AC1508" s="4" t="str">
        <x:v>Publicado hasta septiembre</x:v>
      </x:c>
      <x:c r="AD1508" s="4"/>
      <x:c r="AE1508" s="4"/>
      <x:c r="AF1508" s="16" t="b">
        <x:v>0</x:v>
      </x:c>
    </x:row>
    <x:row r="1509" ht="44" customHeight="1">
      <x:c r="A1509" s="4" t="n">
        <x:v>7267</x:v>
      </x:c>
      <x:c r="B1509" s="4" t="str">
        <x:v>https://blog.skyairline.com/destinos-mas-visitados-en-fiestas-patrias/</x:v>
      </x:c>
      <x:c r="C1509" s="9" t="str">
        <x:v>Destinos más visitados por los chilenos en fiestas patrias</x:v>
      </x:c>
      <x:c r="D1509" s="17" t="d">
        <x:v>2025-10-14T00:00:00.000Z</x:v>
      </x:c>
      <x:c r="E1509" s="17" t="d">
        <x:v>2025-10-14T00:00:00.000Z</x:v>
      </x:c>
      <x:c r="F1509" s="4" t="str">
        <x:v>Noticias</x:v>
      </x:c>
      <x:c r="G1509" s="11" t="n">
        <x:v>178</x:v>
      </x:c>
      <x:c r="H1509" s="11" t="n">
        <x:v>200</x:v>
      </x:c>
      <x:c r="I1509" s="11" t="n">
        <x:v>1</x:v>
      </x:c>
      <x:c r="J1509" s="4" t="str">
        <x:v>https://blog.skyairline.com/destinos-mas-visitados-en-fiestas-patrias/</x:v>
      </x:c>
      <x:c r="K1509" s="16" t="b">
        <x:v>0</x:v>
      </x:c>
      <x:c r="L1509" s="11" t="n">
        <x:v>0</x:v>
      </x:c>
      <x:c r="M1509" s="11" t="n">
        <x:v>0</x:v>
      </x:c>
      <x:c r="N1509" s="4"/>
      <x:c r="O1509" s="4"/>
      <x:c r="P1509" s="11" t="n">
        <x:v>0</x:v>
      </x:c>
      <x:c r="Q1509" s="11" t="n">
        <x:v>0</x:v>
      </x:c>
      <x:c r="R1509" s="11" t="str">
        <x:f>IF(OR(P1509="",Q1509=""),"",Q1509-P1509)</x:f>
      </x:c>
      <x:c r="S1509" s="13" t="str">
        <x:f>IF(OR(P1509="",Q1509="",P1509=0),"",((Q1509/30)/(P1509/31))-1)</x:f>
      </x:c>
      <x:c r="T1509" s="11" t="n">
        <x:v>11</x:v>
      </x:c>
      <x:c r="U1509" s="11" t="n">
        <x:v>16</x:v>
      </x:c>
      <x:c r="V1509" s="14" t="n">
        <x:v>0</x:v>
      </x:c>
      <x:c r="W1509" s="12" t="n">
        <x:v>6.625</x:v>
      </x:c>
      <x:c r="X1509" s="11"/>
      <x:c r="Y1509" s="11"/>
      <x:c r="Z1509" s="4" t="str">
        <x:v>https://blog.skyairline.com/destinos-mas-visitados-en-fiestas-patrias/</x:v>
      </x:c>
      <x:c r="AA1509" s="4" t="str">
        <x:v>https://blog.skyairline.com/destinos-mas-visitados-en-fiestas-patrias/</x:v>
      </x:c>
      <x:c r="AB1509" s="4" t="str">
        <x:v>Coincidencia URL</x:v>
      </x:c>
      <x:c r="AC1509" s="4" t="str">
        <x:v>Publicado hasta septiembre</x:v>
      </x:c>
      <x:c r="AD1509" s="4"/>
      <x:c r="AE1509" s="4"/>
      <x:c r="AF1509" s="16" t="b">
        <x:v>0</x:v>
      </x:c>
    </x:row>
    <x:row r="1510" ht="44" customHeight="1">
      <x:c r="A1510" s="4" t="n">
        <x:v>7273</x:v>
      </x:c>
      <x:c r="B1510" s="4" t="str">
        <x:v>https://blog.skyairline.com/descubre-los-mejores-destinos-con-sky/</x:v>
      </x:c>
      <x:c r="C1510" s="9" t="str">
        <x:v>Descubre los mejores destinos con SKY</x:v>
      </x:c>
      <x:c r="D1510" s="17" t="d">
        <x:v>2025-10-14T00:00:00.000Z</x:v>
      </x:c>
      <x:c r="E1510" s="17" t="d">
        <x:v>2025-10-14T00:00:00.000Z</x:v>
      </x:c>
      <x:c r="F1510" s="4" t="str">
        <x:v>Noticias</x:v>
      </x:c>
      <x:c r="G1510" s="11" t="n">
        <x:v>282</x:v>
      </x:c>
      <x:c r="H1510" s="11" t="n">
        <x:v>200</x:v>
      </x:c>
      <x:c r="I1510" s="11" t="n">
        <x:v>1</x:v>
      </x:c>
      <x:c r="J1510" s="4" t="str">
        <x:v>https://blog.skyairline.com/descubre-los-mejores-destinos-con-sky/</x:v>
      </x:c>
      <x:c r="K1510" s="16" t="b">
        <x:v>0</x:v>
      </x:c>
      <x:c r="L1510" s="11" t="n">
        <x:v>0</x:v>
      </x:c>
      <x:c r="M1510" s="11" t="n">
        <x:v>0</x:v>
      </x:c>
      <x:c r="N1510" s="4"/>
      <x:c r="O1510" s="4"/>
      <x:c r="P1510" s="11" t="n">
        <x:v>0</x:v>
      </x:c>
      <x:c r="Q1510" s="11" t="n">
        <x:v>0</x:v>
      </x:c>
      <x:c r="R1510" s="11" t="str">
        <x:f>IF(OR(P1510="",Q1510=""),"",Q1510-P1510)</x:f>
      </x:c>
      <x:c r="S1510" s="13" t="str">
        <x:f>IF(OR(P1510="",Q1510="",P1510=0),"",((Q1510/30)/(P1510/31))-1)</x:f>
      </x:c>
      <x:c r="T1510" s="11" t="n">
        <x:v>43</x:v>
      </x:c>
      <x:c r="U1510" s="11" t="n">
        <x:v>77</x:v>
      </x:c>
      <x:c r="V1510" s="14" t="n">
        <x:v>0</x:v>
      </x:c>
      <x:c r="W1510" s="12" t="n">
        <x:v>10.87012987012987</x:v>
      </x:c>
      <x:c r="X1510" s="11"/>
      <x:c r="Y1510" s="11"/>
      <x:c r="Z1510" s="4" t="str">
        <x:v>https://blog.skyairline.com/descubre-los-mejores-destinos-con-sky/</x:v>
      </x:c>
      <x:c r="AA1510" s="4" t="str">
        <x:v>https://blog.skyairline.com/descubre-los-mejores-destinos-con-sky/</x:v>
      </x:c>
      <x:c r="AB1510" s="4" t="str">
        <x:v>Coincidencia URL</x:v>
      </x:c>
      <x:c r="AC1510" s="4" t="str">
        <x:v>Publicado hasta septiembre</x:v>
      </x:c>
      <x:c r="AD1510" s="4"/>
      <x:c r="AE1510" s="4"/>
      <x:c r="AF1510" s="16" t="b">
        <x:v>0</x:v>
      </x:c>
    </x:row>
    <x:row r="1511" ht="44" customHeight="1">
      <x:c r="A1511" s="4" t="n">
        <x:v>7289</x:v>
      </x:c>
      <x:c r="B1511" s="4" t="str">
        <x:v>https://blog.skyairline.com/redescubre-la-selva-y-la-amazonia-del-peru-con-sky/</x:v>
      </x:c>
      <x:c r="C1511" s="9" t="str">
        <x:v>Redescubre la selva y la Amazonía del Perú con SKY</x:v>
      </x:c>
      <x:c r="D1511" s="17" t="d">
        <x:v>2025-10-14T00:00:00.000Z</x:v>
      </x:c>
      <x:c r="E1511" s="17" t="d">
        <x:v>2025-10-14T00:00:00.000Z</x:v>
      </x:c>
      <x:c r="F1511" s="4" t="str">
        <x:v>Noticias, Uncategorized</x:v>
      </x:c>
      <x:c r="G1511" s="11" t="n">
        <x:v>229</x:v>
      </x:c>
      <x:c r="H1511" s="11" t="n">
        <x:v>200</x:v>
      </x:c>
      <x:c r="I1511" s="11" t="n">
        <x:v>1</x:v>
      </x:c>
      <x:c r="J1511" s="4" t="str">
        <x:v>https://blog.skyairline.com/redescubre-la-selva-y-la-amazonia-del-peru-con-sky/</x:v>
      </x:c>
      <x:c r="K1511" s="16" t="b">
        <x:v>0</x:v>
      </x:c>
      <x:c r="L1511" s="11" t="n">
        <x:v>0</x:v>
      </x:c>
      <x:c r="M1511" s="11" t="n">
        <x:v>0</x:v>
      </x:c>
      <x:c r="N1511" s="4"/>
      <x:c r="O1511" s="4"/>
      <x:c r="P1511" s="11" t="n">
        <x:v>0</x:v>
      </x:c>
      <x:c r="Q1511" s="11" t="n">
        <x:v>0</x:v>
      </x:c>
      <x:c r="R1511" s="11" t="str">
        <x:f>IF(OR(P1511="",Q1511=""),"",Q1511-P1511)</x:f>
      </x:c>
      <x:c r="S1511" s="13" t="str">
        <x:f>IF(OR(P1511="",Q1511="",P1511=0),"",((Q1511/30)/(P1511/31))-1)</x:f>
      </x:c>
      <x:c r="T1511" s="11" t="n">
        <x:v>53</x:v>
      </x:c>
      <x:c r="U1511" s="11" t="n">
        <x:v>52</x:v>
      </x:c>
      <x:c r="V1511" s="14" t="n">
        <x:v>0</x:v>
      </x:c>
      <x:c r="W1511" s="12" t="n">
        <x:v>5.923076923076923</x:v>
      </x:c>
      <x:c r="X1511" s="11"/>
      <x:c r="Y1511" s="11"/>
      <x:c r="Z1511" s="4" t="str">
        <x:v>https://blog.skyairline.com/redescubre-la-selva-y-la-amazonia-del-peru-con-sky/</x:v>
      </x:c>
      <x:c r="AA1511" s="4" t="str">
        <x:v>https://blog.skyairline.com/redescubre-la-selva-y-la-amazonia-del-peru-con-sky/</x:v>
      </x:c>
      <x:c r="AB1511" s="4" t="str">
        <x:v>Coincidencia URL</x:v>
      </x:c>
      <x:c r="AC1511" s="4" t="str">
        <x:v>Publicado hasta septiembre</x:v>
      </x:c>
      <x:c r="AD1511" s="4"/>
      <x:c r="AE1511" s="4"/>
      <x:c r="AF1511" s="16" t="b">
        <x:v>0</x:v>
      </x:c>
    </x:row>
    <x:row r="1512" ht="44" customHeight="1">
      <x:c r="A1512" s="4" t="n">
        <x:v>7332</x:v>
      </x:c>
      <x:c r="B1512" s="4" t="str">
        <x:v>https://blog.skyairline.com/vuelos-a-tumbes/</x:v>
      </x:c>
      <x:c r="C1512" s="9" t="str">
        <x:v>Vuelos a Tumbes, disfruta de la playa con este destino de SKY</x:v>
      </x:c>
      <x:c r="D1512" s="17" t="d">
        <x:v>2025-10-27T00:00:00.000Z</x:v>
      </x:c>
      <x:c r="E1512" s="17" t="d">
        <x:v>2025-10-27T00:00:00.000Z</x:v>
      </x:c>
      <x:c r="F1512" s="4" t="str">
        <x:v>Destinos</x:v>
      </x:c>
      <x:c r="G1512" s="11" t="n">
        <x:v>929</x:v>
      </x:c>
      <x:c r="H1512" s="11" t="n">
        <x:v>200</x:v>
      </x:c>
      <x:c r="I1512" s="11" t="n">
        <x:v>1</x:v>
      </x:c>
      <x:c r="J1512" s="4" t="str">
        <x:v>https://blog.skyairline.com/vuelos-a-tumbes/</x:v>
      </x:c>
      <x:c r="K1512" s="16" t="b">
        <x:v>0</x:v>
      </x:c>
      <x:c r="L1512" s="11" t="n">
        <x:v>0</x:v>
      </x:c>
      <x:c r="M1512" s="11" t="n">
        <x:v>2</x:v>
      </x:c>
      <x:c r="N1512" s="4"/>
      <x:c r="O1512" s="4"/>
      <x:c r="P1512" s="11" t="n">
        <x:v>0</x:v>
      </x:c>
      <x:c r="Q1512" s="11" t="n">
        <x:v>0</x:v>
      </x:c>
      <x:c r="R1512" s="11" t="str">
        <x:f>IF(OR(P1512="",Q1512=""),"",Q1512-P1512)</x:f>
      </x:c>
      <x:c r="S1512" s="13" t="str">
        <x:f>IF(OR(P1512="",Q1512="",P1512=0),"",((Q1512/30)/(P1512/31))-1)</x:f>
      </x:c>
      <x:c r="T1512" s="11" t="n">
        <x:v>50</x:v>
      </x:c>
      <x:c r="U1512" s="11" t="n">
        <x:v>37</x:v>
      </x:c>
      <x:c r="V1512" s="14" t="n">
        <x:v>0</x:v>
      </x:c>
      <x:c r="W1512" s="12" t="n">
        <x:v>11.08108108108108</x:v>
      </x:c>
      <x:c r="X1512" s="11"/>
      <x:c r="Y1512" s="11"/>
      <x:c r="Z1512" s="4" t="str">
        <x:v>https://blog.skyairline.com/vuelos-a-tumbes/</x:v>
      </x:c>
      <x:c r="AA1512" s="4" t="str">
        <x:v>https://blog.skyairline.com/vuelos-a-tumbes/</x:v>
      </x:c>
      <x:c r="AB1512" s="4" t="str">
        <x:v>Coincidencia URL</x:v>
      </x:c>
      <x:c r="AC1512" s="4" t="str">
        <x:v>Publicado hasta septiembre</x:v>
      </x:c>
      <x:c r="AD1512" s="4"/>
      <x:c r="AE1512" s="4"/>
      <x:c r="AF1512" s="16" t="b">
        <x:v>0</x:v>
      </x:c>
    </x:row>
    <x:row r="1513" ht="44" customHeight="1">
      <x:c r="A1513" s="4" t="n">
        <x:v>7348</x:v>
      </x:c>
      <x:c r="B1513" s="4" t="str">
        <x:v>https://blog.skyairline.com/vuelos-a-trujillo/</x:v>
      </x:c>
      <x:c r="C1513" s="9" t="str">
        <x:v>Vuelos a Trujillo, prepara tu tabla de surf con este destino de SKY</x:v>
      </x:c>
      <x:c r="D1513" s="17" t="d">
        <x:v>2025-10-28T00:00:00.000Z</x:v>
      </x:c>
      <x:c r="E1513" s="17" t="d">
        <x:v>2025-10-27T00:00:00.000Z</x:v>
      </x:c>
      <x:c r="F1513" s="4" t="str">
        <x:v>Destinos</x:v>
      </x:c>
      <x:c r="G1513" s="11" t="n">
        <x:v>936</x:v>
      </x:c>
      <x:c r="H1513" s="11" t="n">
        <x:v>200</x:v>
      </x:c>
      <x:c r="I1513" s="11" t="n">
        <x:v>1</x:v>
      </x:c>
      <x:c r="J1513" s="4" t="str">
        <x:v>https://blog.skyairline.com/vuelos-a-trujillo/</x:v>
      </x:c>
      <x:c r="K1513" s="16" t="b">
        <x:v>0</x:v>
      </x:c>
      <x:c r="L1513" s="11" t="n">
        <x:v>0</x:v>
      </x:c>
      <x:c r="M1513" s="11" t="n">
        <x:v>2</x:v>
      </x:c>
      <x:c r="N1513" s="4"/>
      <x:c r="O1513" s="4"/>
      <x:c r="P1513" s="11" t="n">
        <x:v>1</x:v>
      </x:c>
      <x:c r="Q1513" s="11" t="n">
        <x:v>0</x:v>
      </x:c>
      <x:c r="R1513" s="11" t="str">
        <x:f>IF(OR(P1513="",Q1513=""),"",Q1513-P1513)</x:f>
      </x:c>
      <x:c r="S1513" s="13" t="str">
        <x:f>IF(OR(P1513="",Q1513="",P1513=0),"",((Q1513/30)/(P1513/31))-1)</x:f>
      </x:c>
      <x:c r="T1513" s="11" t="n">
        <x:v>49</x:v>
      </x:c>
      <x:c r="U1513" s="11" t="n">
        <x:v>116</x:v>
      </x:c>
      <x:c r="V1513" s="14" t="n">
        <x:v>0</x:v>
      </x:c>
      <x:c r="W1513" s="12" t="n">
        <x:v>6.068965517241379</x:v>
      </x:c>
      <x:c r="X1513" s="11"/>
      <x:c r="Y1513" s="11"/>
      <x:c r="Z1513" s="4" t="str">
        <x:v>https://blog.skyairline.com/vuelos-a-trujillo/</x:v>
      </x:c>
      <x:c r="AA1513" s="4" t="str">
        <x:v>https://blog.skyairline.com/vuelos-a-trujillo/</x:v>
      </x:c>
      <x:c r="AB1513" s="4" t="str">
        <x:v>Coincidencia URL</x:v>
      </x:c>
      <x:c r="AC1513" s="4" t="str">
        <x:v>Publicado hasta septiembre</x:v>
      </x:c>
      <x:c r="AD1513" s="4"/>
      <x:c r="AE1513" s="4"/>
      <x:c r="AF1513" s="16" t="b">
        <x:v>0</x:v>
      </x:c>
    </x:row>
    <x:row r="1514" ht="44" customHeight="1">
      <x:c r="A1514" s="4" t="n">
        <x:v>7352</x:v>
      </x:c>
      <x:c r="B1514" s="4" t="str">
        <x:v>https://blog.skyairline.com/vuelos-a-arequipa/</x:v>
      </x:c>
      <x:c r="C1514" s="9" t="str">
        <x:v>SKY tiene vuelos a Arequipa, prepara tus maletas y conoce la «Ciudad Blanca»</x:v>
      </x:c>
      <x:c r="D1514" s="17" t="d">
        <x:v>2025-10-28T00:00:00.000Z</x:v>
      </x:c>
      <x:c r="E1514" s="17" t="d">
        <x:v>2025-10-27T00:00:00.000Z</x:v>
      </x:c>
      <x:c r="F1514" s="4" t="str">
        <x:v>Destinos</x:v>
      </x:c>
      <x:c r="G1514" s="11" t="n">
        <x:v>958</x:v>
      </x:c>
      <x:c r="H1514" s="11" t="n">
        <x:v>200</x:v>
      </x:c>
      <x:c r="I1514" s="11" t="n">
        <x:v>1</x:v>
      </x:c>
      <x:c r="J1514" s="4" t="str">
        <x:v>https://blog.skyairline.com/vuelos-a-arequipa/</x:v>
      </x:c>
      <x:c r="K1514" s="16" t="b">
        <x:v>0</x:v>
      </x:c>
      <x:c r="L1514" s="11" t="n">
        <x:v>0</x:v>
      </x:c>
      <x:c r="M1514" s="11" t="n">
        <x:v>3</x:v>
      </x:c>
      <x:c r="N1514" s="4"/>
      <x:c r="O1514" s="4"/>
      <x:c r="P1514" s="11" t="n">
        <x:v>1</x:v>
      </x:c>
      <x:c r="Q1514" s="11" t="n">
        <x:v>0</x:v>
      </x:c>
      <x:c r="R1514" s="11" t="str">
        <x:f>IF(OR(P1514="",Q1514=""),"",Q1514-P1514)</x:f>
      </x:c>
      <x:c r="S1514" s="13" t="str">
        <x:f>IF(OR(P1514="",Q1514="",P1514=0),"",((Q1514/30)/(P1514/31))-1)</x:f>
      </x:c>
      <x:c r="T1514" s="11" t="n">
        <x:v>334</x:v>
      </x:c>
      <x:c r="U1514" s="11" t="n">
        <x:v>289</x:v>
      </x:c>
      <x:c r="V1514" s="14" t="n">
        <x:v>0</x:v>
      </x:c>
      <x:c r="W1514" s="12" t="n">
        <x:v>10.190311418685122</x:v>
      </x:c>
      <x:c r="X1514" s="11"/>
      <x:c r="Y1514" s="11"/>
      <x:c r="Z1514" s="4" t="str">
        <x:v>https://blog.skyairline.com/vuelos-a-arequipa/</x:v>
      </x:c>
      <x:c r="AA1514" s="4" t="str">
        <x:v>https://blog.skyairline.com/vuelos-a-arequipa/</x:v>
      </x:c>
      <x:c r="AB1514" s="4" t="str">
        <x:v>Coincidencia URL</x:v>
      </x:c>
      <x:c r="AC1514" s="4" t="str">
        <x:v>Publicado hasta septiembre</x:v>
      </x:c>
      <x:c r="AD1514" s="4"/>
      <x:c r="AE1514" s="4"/>
      <x:c r="AF1514" s="16" t="b">
        <x:v>0</x:v>
      </x:c>
    </x:row>
    <x:row r="1515" ht="44" customHeight="1">
      <x:c r="A1515" s="4" t="n">
        <x:v>7355</x:v>
      </x:c>
      <x:c r="B1515" s="4" t="str">
        <x:v>https://blog.skyairline.com/vuelos-a-juliaca/</x:v>
      </x:c>
      <x:c r="C1515" s="9" t="str">
        <x:v>Vuelos a Juliaca, visita la ciudad de los vientos con SKY</x:v>
      </x:c>
      <x:c r="D1515" s="17" t="d">
        <x:v>2025-10-29T00:00:00.000Z</x:v>
      </x:c>
      <x:c r="E1515" s="17" t="d">
        <x:v>2025-10-27T00:00:00.000Z</x:v>
      </x:c>
      <x:c r="F1515" s="4" t="str">
        <x:v>Destinos</x:v>
      </x:c>
      <x:c r="G1515" s="11" t="n">
        <x:v>1034</x:v>
      </x:c>
      <x:c r="H1515" s="11" t="n">
        <x:v>200</x:v>
      </x:c>
      <x:c r="I1515" s="11" t="n">
        <x:v>1</x:v>
      </x:c>
      <x:c r="J1515" s="4" t="str">
        <x:v>https://blog.skyairline.com/vuelos-a-juliaca/</x:v>
      </x:c>
      <x:c r="K1515" s="16" t="b">
        <x:v>0</x:v>
      </x:c>
      <x:c r="L1515" s="11" t="n">
        <x:v>0</x:v>
      </x:c>
      <x:c r="M1515" s="11" t="n">
        <x:v>1</x:v>
      </x:c>
      <x:c r="N1515" s="4"/>
      <x:c r="O1515" s="4"/>
      <x:c r="P1515" s="11" t="n">
        <x:v>0</x:v>
      </x:c>
      <x:c r="Q1515" s="11" t="n">
        <x:v>0</x:v>
      </x:c>
      <x:c r="R1515" s="11" t="str">
        <x:f>IF(OR(P1515="",Q1515=""),"",Q1515-P1515)</x:f>
      </x:c>
      <x:c r="S1515" s="13" t="str">
        <x:f>IF(OR(P1515="",Q1515="",P1515=0),"",((Q1515/30)/(P1515/31))-1)</x:f>
      </x:c>
      <x:c r="T1515" s="11" t="n">
        <x:v>214</x:v>
      </x:c>
      <x:c r="U1515" s="11" t="n">
        <x:v>141</x:v>
      </x:c>
      <x:c r="V1515" s="14" t="n">
        <x:v>0</x:v>
      </x:c>
      <x:c r="W1515" s="12" t="n">
        <x:v>10.319148936170214</x:v>
      </x:c>
      <x:c r="X1515" s="11"/>
      <x:c r="Y1515" s="11"/>
      <x:c r="Z1515" s="4" t="str">
        <x:v>https://blog.skyairline.com/vuelos-a-juliaca/</x:v>
      </x:c>
      <x:c r="AA1515" s="4" t="str">
        <x:v>https://blog.skyairline.com/vuelos-a-juliaca/</x:v>
      </x:c>
      <x:c r="AB1515" s="4" t="str">
        <x:v>Coincidencia URL</x:v>
      </x:c>
      <x:c r="AC1515" s="4" t="str">
        <x:v>Publicado hasta septiembre</x:v>
      </x:c>
      <x:c r="AD1515" s="4"/>
      <x:c r="AE1515" s="4"/>
      <x:c r="AF1515" s="16" t="b">
        <x:v>0</x:v>
      </x:c>
    </x:row>
    <x:row r="1516" ht="44" customHeight="1">
      <x:c r="A1516" s="4" t="n">
        <x:v>7361</x:v>
      </x:c>
      <x:c r="B1516" s="4" t="str">
        <x:v>https://blog.skyairline.com/vuelos-a-iquitos/</x:v>
      </x:c>
      <x:c r="C1516" s="9" t="str">
        <x:v>Vuelos a Iquitos, la puerta de entrada a la Amazonia peruana es un destino de SKY Airline</x:v>
      </x:c>
      <x:c r="D1516" s="17" t="d">
        <x:v>2025-10-29T00:00:00.000Z</x:v>
      </x:c>
      <x:c r="E1516" s="17" t="d">
        <x:v>2025-10-27T00:00:00.000Z</x:v>
      </x:c>
      <x:c r="F1516" s="4" t="str">
        <x:v>Destinos</x:v>
      </x:c>
      <x:c r="G1516" s="11" t="n">
        <x:v>993</x:v>
      </x:c>
      <x:c r="H1516" s="11" t="n">
        <x:v>200</x:v>
      </x:c>
      <x:c r="I1516" s="11" t="n">
        <x:v>1</x:v>
      </x:c>
      <x:c r="J1516" s="4" t="str">
        <x:v>https://blog.skyairline.com/vuelos-a-iquitos/</x:v>
      </x:c>
      <x:c r="K1516" s="16" t="b">
        <x:v>0</x:v>
      </x:c>
      <x:c r="L1516" s="11" t="n">
        <x:v>0</x:v>
      </x:c>
      <x:c r="M1516" s="11" t="n">
        <x:v>2</x:v>
      </x:c>
      <x:c r="N1516" s="4"/>
      <x:c r="O1516" s="4"/>
      <x:c r="P1516" s="11" t="n">
        <x:v>0</x:v>
      </x:c>
      <x:c r="Q1516" s="11" t="n">
        <x:v>0</x:v>
      </x:c>
      <x:c r="R1516" s="11" t="str">
        <x:f>IF(OR(P1516="",Q1516=""),"",Q1516-P1516)</x:f>
      </x:c>
      <x:c r="S1516" s="13" t="str">
        <x:f>IF(OR(P1516="",Q1516="",P1516=0),"",((Q1516/30)/(P1516/31))-1)</x:f>
      </x:c>
      <x:c r="T1516" s="11" t="n">
        <x:v>298</x:v>
      </x:c>
      <x:c r="U1516" s="11" t="n">
        <x:v>84</x:v>
      </x:c>
      <x:c r="V1516" s="14" t="n">
        <x:v>0</x:v>
      </x:c>
      <x:c r="W1516" s="12" t="n">
        <x:v>7.095238095238095</x:v>
      </x:c>
      <x:c r="X1516" s="11"/>
      <x:c r="Y1516" s="11"/>
      <x:c r="Z1516" s="4" t="str">
        <x:v>https://blog.skyairline.com/vuelos-a-iquitos/</x:v>
      </x:c>
      <x:c r="AA1516" s="4" t="str">
        <x:v>https://blog.skyairline.com/vuelos-a-iquitos/</x:v>
      </x:c>
      <x:c r="AB1516" s="4" t="str">
        <x:v>Coincidencia URL</x:v>
      </x:c>
      <x:c r="AC1516" s="4" t="str">
        <x:v>Publicado hasta septiembre</x:v>
      </x:c>
      <x:c r="AD1516" s="4"/>
      <x:c r="AE1516" s="4"/>
      <x:c r="AF1516" s="16" t="b">
        <x:v>0</x:v>
      </x:c>
    </x:row>
    <x:row r="1517" ht="44" customHeight="1">
      <x:c r="A1517" s="4" t="n">
        <x:v>7378</x:v>
      </x:c>
      <x:c r="B1517" s="4" t="str">
        <x:v>https://blog.skyairline.com/hoteles-en-santiago/</x:v>
      </x:c>
      <x:c r="C1517" s="9" t="str">
        <x:v>Mejores hoteles en Santiago de Chile</x:v>
      </x:c>
      <x:c r="D1517" s="17" t="d">
        <x:v>2025-10-31T00:00:00.000Z</x:v>
      </x:c>
      <x:c r="E1517" s="17" t="d">
        <x:v>2025-10-27T00:00:00.000Z</x:v>
      </x:c>
      <x:c r="F1517" s="4" t="str">
        <x:v>Destinos</x:v>
      </x:c>
      <x:c r="G1517" s="11" t="n">
        <x:v>1012</x:v>
      </x:c>
      <x:c r="H1517" s="11" t="n">
        <x:v>200</x:v>
      </x:c>
      <x:c r="I1517" s="11" t="n">
        <x:v>1</x:v>
      </x:c>
      <x:c r="J1517" s="4" t="str">
        <x:v>https://blog.skyairline.com/hoteles-en-santiago/</x:v>
      </x:c>
      <x:c r="K1517" s="16" t="b">
        <x:v>0</x:v>
      </x:c>
      <x:c r="L1517" s="11" t="n">
        <x:v>0</x:v>
      </x:c>
      <x:c r="M1517" s="11" t="n">
        <x:v>1</x:v>
      </x:c>
      <x:c r="N1517" s="4"/>
      <x:c r="O1517" s="4"/>
      <x:c r="P1517" s="11" t="n">
        <x:v>0</x:v>
      </x:c>
      <x:c r="Q1517" s="11" t="n">
        <x:v>0</x:v>
      </x:c>
      <x:c r="R1517" s="11" t="str">
        <x:f>IF(OR(P1517="",Q1517=""),"",Q1517-P1517)</x:f>
      </x:c>
      <x:c r="S1517" s="13" t="str">
        <x:f>IF(OR(P1517="",Q1517="",P1517=0),"",((Q1517/30)/(P1517/31))-1)</x:f>
      </x:c>
      <x:c r="T1517" s="11" t="n">
        <x:v>2</x:v>
      </x:c>
      <x:c r="U1517" s="11" t="n">
        <x:v>71</x:v>
      </x:c>
      <x:c r="V1517" s="14" t="n">
        <x:v>0</x:v>
      </x:c>
      <x:c r="W1517" s="12" t="n">
        <x:v>11.47887323943662</x:v>
      </x:c>
      <x:c r="X1517" s="11"/>
      <x:c r="Y1517" s="11"/>
      <x:c r="Z1517" s="4" t="str">
        <x:v>https://blog.skyairline.com/hoteles-en-santiago/</x:v>
      </x:c>
      <x:c r="AA1517" s="4" t="str">
        <x:v>https://blog.skyairline.com/hoteles-en-santiago/</x:v>
      </x:c>
      <x:c r="AB1517" s="4" t="str">
        <x:v>Coincidencia URL</x:v>
      </x:c>
      <x:c r="AC1517" s="4" t="str">
        <x:v>Publicado hasta septiembre</x:v>
      </x:c>
      <x:c r="AD1517" s="4"/>
      <x:c r="AE1517" s="4"/>
      <x:c r="AF1517" s="16" t="b">
        <x:v>0</x:v>
      </x:c>
    </x:row>
    <x:row r="1518" ht="44" customHeight="1">
      <x:c r="A1518" s="4" t="n">
        <x:v>7411</x:v>
      </x:c>
      <x:c r="B1518" s="4" t="str">
        <x:v>https://blog.skyairline.com/mancora/</x:v>
      </x:c>
      <x:c r="C1518" s="9" t="str">
        <x:v>Máncora: Olas y sol al norte de Perú</x:v>
      </x:c>
      <x:c r="D1518" s="17" t="d">
        <x:v>2025-11-03T00:00:00.000Z</x:v>
      </x:c>
      <x:c r="E1518" s="17" t="d">
        <x:v>2025-10-31T00:00:00.000Z</x:v>
      </x:c>
      <x:c r="F1518" s="4" t="str">
        <x:v>Destinos</x:v>
      </x:c>
      <x:c r="G1518" s="11" t="n">
        <x:v>1107</x:v>
      </x:c>
      <x:c r="H1518" s="11" t="n">
        <x:v>200</x:v>
      </x:c>
      <x:c r="I1518" s="11" t="n">
        <x:v>1</x:v>
      </x:c>
      <x:c r="J1518" s="4" t="str">
        <x:v>https://blog.skyairline.com/mancora/</x:v>
      </x:c>
      <x:c r="K1518" s="16" t="b">
        <x:v>0</x:v>
      </x:c>
      <x:c r="L1518" s="11" t="n">
        <x:v>0</x:v>
      </x:c>
      <x:c r="M1518" s="11" t="n">
        <x:v>0</x:v>
      </x:c>
      <x:c r="N1518" s="4"/>
      <x:c r="O1518" s="4"/>
      <x:c r="P1518" s="11" t="n">
        <x:v>1</x:v>
      </x:c>
      <x:c r="Q1518" s="11" t="n">
        <x:v>0</x:v>
      </x:c>
      <x:c r="R1518" s="11" t="str">
        <x:f>IF(OR(P1518="",Q1518=""),"",Q1518-P1518)</x:f>
      </x:c>
      <x:c r="S1518" s="13" t="str">
        <x:f>IF(OR(P1518="",Q1518="",P1518=0),"",((Q1518/30)/(P1518/31))-1)</x:f>
      </x:c>
      <x:c r="T1518" s="11" t="n">
        <x:v>556</x:v>
      </x:c>
      <x:c r="U1518" s="11" t="n">
        <x:v>523</x:v>
      </x:c>
      <x:c r="V1518" s="14" t="n">
        <x:v>0</x:v>
      </x:c>
      <x:c r="W1518" s="12" t="n">
        <x:v>8.021032504780115</x:v>
      </x:c>
      <x:c r="X1518" s="11"/>
      <x:c r="Y1518" s="11"/>
      <x:c r="Z1518" s="4" t="str">
        <x:v>https://blog.skyairline.com/mancora/</x:v>
      </x:c>
      <x:c r="AA1518" s="4" t="str">
        <x:v>https://blog.skyairline.com/mancora/</x:v>
      </x:c>
      <x:c r="AB1518" s="4" t="str">
        <x:v>Coincidencia URL</x:v>
      </x:c>
      <x:c r="AC1518" s="4" t="str">
        <x:v>Publicado hasta septiembre</x:v>
      </x:c>
      <x:c r="AD1518" s="4"/>
      <x:c r="AE1518" s="4"/>
      <x:c r="AF1518" s="16" t="b">
        <x:v>0</x:v>
      </x:c>
    </x:row>
    <x:row r="1519" ht="44" customHeight="1">
      <x:c r="A1519" s="4" t="n">
        <x:v>7478</x:v>
      </x:c>
      <x:c r="B1519" s="4" t="str">
        <x:v>https://blog.skyairline.com/viajar-mais/</x:v>
      </x:c>
      <x:c r="C1519" s="9" t="str">
        <x:v>6 dicas para viajar mais gastando menos e com segurança</x:v>
      </x:c>
      <x:c r="D1519" s="17" t="d">
        <x:v>2025-11-04T00:00:00.000Z</x:v>
      </x:c>
      <x:c r="E1519" s="17" t="d">
        <x:v>2025-11-03T00:00:00.000Z</x:v>
      </x:c>
      <x:c r="F1519" s="4" t="str">
        <x:v>Destinos</x:v>
      </x:c>
      <x:c r="G1519" s="11" t="n">
        <x:v>1003</x:v>
      </x:c>
      <x:c r="H1519" s="11" t="n">
        <x:v>200</x:v>
      </x:c>
      <x:c r="I1519" s="11" t="n">
        <x:v>1</x:v>
      </x:c>
      <x:c r="J1519" s="4" t="str">
        <x:v>https://blog.skyairline.com/viajar-mais/</x:v>
      </x:c>
      <x:c r="K1519" s="16" t="b">
        <x:v>0</x:v>
      </x:c>
      <x:c r="L1519" s="11" t="n">
        <x:v>0</x:v>
      </x:c>
      <x:c r="M1519" s="11" t="n">
        <x:v>0</x:v>
      </x:c>
      <x:c r="N1519" s="4"/>
      <x:c r="O1519" s="4"/>
      <x:c r="P1519" s="11" t="n">
        <x:v>0</x:v>
      </x:c>
      <x:c r="Q1519" s="11" t="n">
        <x:v>0</x:v>
      </x:c>
      <x:c r="R1519" s="11" t="str">
        <x:f>IF(OR(P1519="",Q1519=""),"",Q1519-P1519)</x:f>
      </x:c>
      <x:c r="S1519" s="13" t="str">
        <x:f>IF(OR(P1519="",Q1519="",P1519=0),"",((Q1519/30)/(P1519/31))-1)</x:f>
      </x:c>
      <x:c r="T1519" s="11" t="n">
        <x:v>49</x:v>
      </x:c>
      <x:c r="U1519" s="11" t="n">
        <x:v>11</x:v>
      </x:c>
      <x:c r="V1519" s="14" t="n">
        <x:v>0</x:v>
      </x:c>
      <x:c r="W1519" s="12" t="n">
        <x:v>5.363636363636363</x:v>
      </x:c>
      <x:c r="X1519" s="11"/>
      <x:c r="Y1519" s="11"/>
      <x:c r="Z1519" s="4" t="str">
        <x:v>https://blog.skyairline.com/viajar-mais/</x:v>
      </x:c>
      <x:c r="AA1519" s="4" t="str">
        <x:v>https://blog.skyairline.com/viajar-mais/</x:v>
      </x:c>
      <x:c r="AB1519" s="4" t="str">
        <x:v>Coincidencia URL</x:v>
      </x:c>
      <x:c r="AC1519" s="4" t="str">
        <x:v>Publicado hasta septiembre</x:v>
      </x:c>
      <x:c r="AD1519" s="4"/>
      <x:c r="AE1519" s="4"/>
      <x:c r="AF1519" s="16" t="b">
        <x:v>0</x:v>
      </x:c>
    </x:row>
    <x:row r="1520" ht="44" customHeight="1">
      <x:c r="A1520" s="4" t="n">
        <x:v>7481</x:v>
      </x:c>
      <x:c r="B1520" s="4" t="str">
        <x:v>https://blog.skyairline.com/peso-argentino-a-peso-chileno/</x:v>
      </x:c>
      <x:c r="C1520" s="9" t="str">
        <x:v>Peso argentino a peso chileno: ¿dónde consultar las cotizaciones?</x:v>
      </x:c>
      <x:c r="D1520" s="17" t="d">
        <x:v>2025-11-05T00:00:00.000Z</x:v>
      </x:c>
      <x:c r="E1520" s="17" t="d">
        <x:v>2025-11-03T00:00:00.000Z</x:v>
      </x:c>
      <x:c r="F1520" s="4" t="str">
        <x:v>Destinos</x:v>
      </x:c>
      <x:c r="G1520" s="11" t="n">
        <x:v>990</x:v>
      </x:c>
      <x:c r="H1520" s="11" t="n">
        <x:v>200</x:v>
      </x:c>
      <x:c r="I1520" s="11" t="n">
        <x:v>1</x:v>
      </x:c>
      <x:c r="J1520" s="4" t="str">
        <x:v>https://blog.skyairline.com/peso-argentino-a-peso-chileno/</x:v>
      </x:c>
      <x:c r="K1520" s="16" t="b">
        <x:v>0</x:v>
      </x:c>
      <x:c r="L1520" s="11" t="n">
        <x:v>0</x:v>
      </x:c>
      <x:c r="M1520" s="11" t="n">
        <x:v>3</x:v>
      </x:c>
      <x:c r="N1520" s="4"/>
      <x:c r="O1520" s="4"/>
      <x:c r="P1520" s="11" t="n">
        <x:v>3</x:v>
      </x:c>
      <x:c r="Q1520" s="11" t="n">
        <x:v>0</x:v>
      </x:c>
      <x:c r="R1520" s="11" t="str">
        <x:f>IF(OR(P1520="",Q1520=""),"",Q1520-P1520)</x:f>
      </x:c>
      <x:c r="S1520" s="13" t="str">
        <x:f>IF(OR(P1520="",Q1520="",P1520=0),"",((Q1520/30)/(P1520/31))-1)</x:f>
      </x:c>
      <x:c r="T1520" s="11" t="n">
        <x:v>333</x:v>
      </x:c>
      <x:c r="U1520" s="11" t="n">
        <x:v>366</x:v>
      </x:c>
      <x:c r="V1520" s="14" t="n">
        <x:v>0</x:v>
      </x:c>
      <x:c r="W1520" s="12" t="n">
        <x:v>10.39344262295082</x:v>
      </x:c>
      <x:c r="X1520" s="11"/>
      <x:c r="Y1520" s="11"/>
      <x:c r="Z1520" s="4" t="str">
        <x:v>https://blog.skyairline.com/peso-argentino-a-peso-chileno/</x:v>
      </x:c>
      <x:c r="AA1520" s="4" t="str">
        <x:v>https://blog.skyairline.com/peso-argentino-a-peso-chileno/</x:v>
      </x:c>
      <x:c r="AB1520" s="4" t="str">
        <x:v>Coincidencia URL</x:v>
      </x:c>
      <x:c r="AC1520" s="4" t="str">
        <x:v>Publicado hasta septiembre</x:v>
      </x:c>
      <x:c r="AD1520" s="4"/>
      <x:c r="AE1520" s="4"/>
      <x:c r="AF1520" s="16" t="b">
        <x:v>0</x:v>
      </x:c>
    </x:row>
    <x:row r="1521" ht="44" customHeight="1">
      <x:c r="A1521" s="4" t="n">
        <x:v>7484</x:v>
      </x:c>
      <x:c r="B1521" s="4" t="str">
        <x:v>https://blog.skyairline.com/vuelos-a-piura/</x:v>
      </x:c>
      <x:c r="C1521" s="9" t="str">
        <x:v>Vuelos a Piura, disfruta de la playa con este destino de SKY</x:v>
      </x:c>
      <x:c r="D1521" s="17" t="d">
        <x:v>2025-11-05T00:00:00.000Z</x:v>
      </x:c>
      <x:c r="E1521" s="17" t="d">
        <x:v>2025-11-03T00:00:00.000Z</x:v>
      </x:c>
      <x:c r="F1521" s="4" t="str">
        <x:v>Destinos</x:v>
      </x:c>
      <x:c r="G1521" s="11" t="n">
        <x:v>997</x:v>
      </x:c>
      <x:c r="H1521" s="11" t="n">
        <x:v>200</x:v>
      </x:c>
      <x:c r="I1521" s="11" t="n">
        <x:v>1</x:v>
      </x:c>
      <x:c r="J1521" s="4" t="str">
        <x:v>https://blog.skyairline.com/vuelos-a-piura/</x:v>
      </x:c>
      <x:c r="K1521" s="16" t="b">
        <x:v>0</x:v>
      </x:c>
      <x:c r="L1521" s="11" t="n">
        <x:v>0</x:v>
      </x:c>
      <x:c r="M1521" s="11" t="n">
        <x:v>4</x:v>
      </x:c>
      <x:c r="N1521" s="4"/>
      <x:c r="O1521" s="4"/>
      <x:c r="P1521" s="11" t="n">
        <x:v>0</x:v>
      </x:c>
      <x:c r="Q1521" s="11" t="n">
        <x:v>0</x:v>
      </x:c>
      <x:c r="R1521" s="11" t="str">
        <x:f>IF(OR(P1521="",Q1521=""),"",Q1521-P1521)</x:f>
      </x:c>
      <x:c r="S1521" s="13" t="str">
        <x:f>IF(OR(P1521="",Q1521="",P1521=0),"",((Q1521/30)/(P1521/31))-1)</x:f>
      </x:c>
      <x:c r="T1521" s="11" t="n">
        <x:v>48</x:v>
      </x:c>
      <x:c r="U1521" s="11" t="n">
        <x:v>128</x:v>
      </x:c>
      <x:c r="V1521" s="14" t="n">
        <x:v>0</x:v>
      </x:c>
      <x:c r="W1521" s="12" t="n">
        <x:v>8.7734375</x:v>
      </x:c>
      <x:c r="X1521" s="11"/>
      <x:c r="Y1521" s="11"/>
      <x:c r="Z1521" s="4" t="str">
        <x:v>https://blog.skyairline.com/vuelos-a-piura/</x:v>
      </x:c>
      <x:c r="AA1521" s="4" t="str">
        <x:v>https://blog.skyairline.com/vuelos-a-piura/</x:v>
      </x:c>
      <x:c r="AB1521" s="4" t="str">
        <x:v>Coincidencia URL</x:v>
      </x:c>
      <x:c r="AC1521" s="4" t="str">
        <x:v>Publicado hasta septiembre</x:v>
      </x:c>
      <x:c r="AD1521" s="4"/>
      <x:c r="AE1521" s="4"/>
      <x:c r="AF1521" s="16" t="b">
        <x:v>0</x:v>
      </x:c>
    </x:row>
    <x:row r="1522" ht="44" customHeight="1">
      <x:c r="A1522" s="4" t="n">
        <x:v>7490</x:v>
      </x:c>
      <x:c r="B1522" s="4" t="str">
        <x:v>https://blog.skyairline.com/dolares-a-pesos-chilenos/</x:v>
      </x:c>
      <x:c r="C1522" s="9" t="str">
        <x:v>¿Cuántos pesos chilenos obtengo por un dólar?</x:v>
      </x:c>
      <x:c r="D1522" s="17" t="d">
        <x:v>2025-11-06T00:00:00.000Z</x:v>
      </x:c>
      <x:c r="E1522" s="17" t="d">
        <x:v>2025-11-03T00:00:00.000Z</x:v>
      </x:c>
      <x:c r="F1522" s="4" t="str">
        <x:v>Destinos</x:v>
      </x:c>
      <x:c r="G1522" s="11" t="n">
        <x:v>1025</x:v>
      </x:c>
      <x:c r="H1522" s="11" t="n">
        <x:v>200</x:v>
      </x:c>
      <x:c r="I1522" s="11" t="n">
        <x:v>1</x:v>
      </x:c>
      <x:c r="J1522" s="4" t="str">
        <x:v>https://blog.skyairline.com/dolares-a-pesos-chilenos/</x:v>
      </x:c>
      <x:c r="K1522" s="16" t="b">
        <x:v>0</x:v>
      </x:c>
      <x:c r="L1522" s="11" t="n">
        <x:v>0</x:v>
      </x:c>
      <x:c r="M1522" s="11" t="n">
        <x:v>3</x:v>
      </x:c>
      <x:c r="N1522" s="4"/>
      <x:c r="O1522" s="4"/>
      <x:c r="P1522" s="11" t="n">
        <x:v>0</x:v>
      </x:c>
      <x:c r="Q1522" s="11" t="n">
        <x:v>0</x:v>
      </x:c>
      <x:c r="R1522" s="11" t="str">
        <x:f>IF(OR(P1522="",Q1522=""),"",Q1522-P1522)</x:f>
      </x:c>
      <x:c r="S1522" s="13" t="str">
        <x:f>IF(OR(P1522="",Q1522="",P1522=0),"",((Q1522/30)/(P1522/31))-1)</x:f>
      </x:c>
      <x:c r="T1522" s="11" t="n">
        <x:v>656</x:v>
      </x:c>
      <x:c r="U1522" s="11" t="n">
        <x:v>449</x:v>
      </x:c>
      <x:c r="V1522" s="14" t="n">
        <x:v>0</x:v>
      </x:c>
      <x:c r="W1522" s="12" t="n">
        <x:v>9.276169265033408</x:v>
      </x:c>
      <x:c r="X1522" s="11"/>
      <x:c r="Y1522" s="11"/>
      <x:c r="Z1522" s="4" t="str">
        <x:v>https://blog.skyairline.com/dolares-a-pesos-chilenos/</x:v>
      </x:c>
      <x:c r="AA1522" s="4" t="str">
        <x:v>https://blog.skyairline.com/dolares-a-pesos-chilenos/</x:v>
      </x:c>
      <x:c r="AB1522" s="4" t="str">
        <x:v>Coincidencia URL</x:v>
      </x:c>
      <x:c r="AC1522" s="4" t="str">
        <x:v>Publicado hasta septiembre</x:v>
      </x:c>
      <x:c r="AD1522" s="4"/>
      <x:c r="AE1522" s="4"/>
      <x:c r="AF1522" s="16" t="b">
        <x:v>0</x:v>
      </x:c>
    </x:row>
    <x:row r="1523" ht="44" customHeight="1">
      <x:c r="A1523" s="4" t="n">
        <x:v>7496</x:v>
      </x:c>
      <x:c r="B1523" s="4" t="str">
        <x:v>https://blog.skyairline.com/republica-dominicana-capital/</x:v>
      </x:c>
      <x:c r="C1523" s="9" t="str">
        <x:v>Recorre la vibrante República Dominicana capital como un local</x:v>
      </x:c>
      <x:c r="D1523" s="17" t="d">
        <x:v>2025-11-06T00:00:00.000Z</x:v>
      </x:c>
      <x:c r="E1523" s="17" t="d">
        <x:v>2025-11-03T00:00:00.000Z</x:v>
      </x:c>
      <x:c r="F1523" s="4" t="str">
        <x:v>Destinos</x:v>
      </x:c>
      <x:c r="G1523" s="11" t="n">
        <x:v>1013</x:v>
      </x:c>
      <x:c r="H1523" s="11" t="n">
        <x:v>200</x:v>
      </x:c>
      <x:c r="I1523" s="11" t="n">
        <x:v>1</x:v>
      </x:c>
      <x:c r="J1523" s="4" t="str">
        <x:v>https://blog.skyairline.com/republica-dominicana-capital/</x:v>
      </x:c>
      <x:c r="K1523" s="16" t="b">
        <x:v>0</x:v>
      </x:c>
      <x:c r="L1523" s="11" t="n">
        <x:v>0</x:v>
      </x:c>
      <x:c r="M1523" s="11" t="n">
        <x:v>2</x:v>
      </x:c>
      <x:c r="N1523" s="4"/>
      <x:c r="O1523" s="4"/>
      <x:c r="P1523" s="11" t="n">
        <x:v>0</x:v>
      </x:c>
      <x:c r="Q1523" s="11" t="n">
        <x:v>0</x:v>
      </x:c>
      <x:c r="R1523" s="11" t="str">
        <x:f>IF(OR(P1523="",Q1523=""),"",Q1523-P1523)</x:f>
      </x:c>
      <x:c r="S1523" s="13" t="str">
        <x:f>IF(OR(P1523="",Q1523="",P1523=0),"",((Q1523/30)/(P1523/31))-1)</x:f>
      </x:c>
      <x:c r="T1523" s="11" t="n">
        <x:v>469</x:v>
      </x:c>
      <x:c r="U1523" s="11" t="n">
        <x:v>111</x:v>
      </x:c>
      <x:c r="V1523" s="14" t="n">
        <x:v>0</x:v>
      </x:c>
      <x:c r="W1523" s="12" t="n">
        <x:v>11.675675675675675</x:v>
      </x:c>
      <x:c r="X1523" s="11"/>
      <x:c r="Y1523" s="11"/>
      <x:c r="Z1523" s="4" t="str">
        <x:v>https://blog.skyairline.com/republica-dominicana-capital/</x:v>
      </x:c>
      <x:c r="AA1523" s="4" t="str">
        <x:v>https://blog.skyairline.com/republica-dominicana-capital/</x:v>
      </x:c>
      <x:c r="AB1523" s="4" t="str">
        <x:v>Coincidencia URL</x:v>
      </x:c>
      <x:c r="AC1523" s="4" t="str">
        <x:v>Publicado hasta septiembre</x:v>
      </x:c>
      <x:c r="AD1523" s="4"/>
      <x:c r="AE1523" s="4"/>
      <x:c r="AF1523" s="16" t="b">
        <x:v>0</x:v>
      </x:c>
    </x:row>
    <x:row r="1524" ht="44" customHeight="1">
      <x:c r="A1524" s="4" t="n">
        <x:v>7503</x:v>
      </x:c>
      <x:c r="B1524" s="4" t="str">
        <x:v>https://blog.skyairline.com/costa-atlantica-argentina/</x:v>
      </x:c>
      <x:c r="C1524" s="9" t="str">
        <x:v>Disfruta de un verano inolvidable en la Costa Atlántica Argentina</x:v>
      </x:c>
      <x:c r="D1524" s="17" t="d">
        <x:v>2025-11-07T00:00:00.000Z</x:v>
      </x:c>
      <x:c r="E1524" s="17" t="d">
        <x:v>2025-11-03T00:00:00.000Z</x:v>
      </x:c>
      <x:c r="F1524" s="4" t="str">
        <x:v>Destinos</x:v>
      </x:c>
      <x:c r="G1524" s="11" t="n">
        <x:v>1044</x:v>
      </x:c>
      <x:c r="H1524" s="11" t="n">
        <x:v>200</x:v>
      </x:c>
      <x:c r="I1524" s="11" t="n">
        <x:v>1</x:v>
      </x:c>
      <x:c r="J1524" s="4" t="str">
        <x:v>https://blog.skyairline.com/costa-atlantica-argentina/</x:v>
      </x:c>
      <x:c r="K1524" s="16" t="b">
        <x:v>0</x:v>
      </x:c>
      <x:c r="L1524" s="11" t="n">
        <x:v>0</x:v>
      </x:c>
      <x:c r="M1524" s="11" t="n">
        <x:v>3</x:v>
      </x:c>
      <x:c r="N1524" s="4"/>
      <x:c r="O1524" s="4"/>
      <x:c r="P1524" s="11" t="n">
        <x:v>0</x:v>
      </x:c>
      <x:c r="Q1524" s="11" t="n">
        <x:v>0</x:v>
      </x:c>
      <x:c r="R1524" s="11" t="str">
        <x:f>IF(OR(P1524="",Q1524=""),"",Q1524-P1524)</x:f>
      </x:c>
      <x:c r="S1524" s="13" t="str">
        <x:f>IF(OR(P1524="",Q1524="",P1524=0),"",((Q1524/30)/(P1524/31))-1)</x:f>
      </x:c>
      <x:c r="T1524" s="11" t="n">
        <x:v>332</x:v>
      </x:c>
      <x:c r="U1524" s="11" t="n">
        <x:v>142</x:v>
      </x:c>
      <x:c r="V1524" s="14" t="n">
        <x:v>0</x:v>
      </x:c>
      <x:c r="W1524" s="12" t="n">
        <x:v>12.43661971830986</x:v>
      </x:c>
      <x:c r="X1524" s="11"/>
      <x:c r="Y1524" s="11"/>
      <x:c r="Z1524" s="4" t="str">
        <x:v>https://blog.skyairline.com/costa-atlantica-argentina/</x:v>
      </x:c>
      <x:c r="AA1524" s="4" t="str">
        <x:v>https://blog.skyairline.com/costa-atlantica-argentina/</x:v>
      </x:c>
      <x:c r="AB1524" s="4" t="str">
        <x:v>Coincidencia URL</x:v>
      </x:c>
      <x:c r="AC1524" s="4" t="str">
        <x:v>Publicado hasta septiembre</x:v>
      </x:c>
      <x:c r="AD1524" s="4"/>
      <x:c r="AE1524" s="4"/>
      <x:c r="AF1524" s="16" t="b">
        <x:v>0</x:v>
      </x:c>
    </x:row>
    <x:row r="1525" ht="44" customHeight="1">
      <x:c r="A1525" s="4" t="n">
        <x:v>7506</x:v>
      </x:c>
      <x:c r="B1525" s="4" t="str">
        <x:v>https://blog.skyairline.com/observatorio-foster/</x:v>
      </x:c>
      <x:c r="C1525" s="9" t="str">
        <x:v>Descubre las estrellas desde el Observatorio Foster en Santiago</x:v>
      </x:c>
      <x:c r="D1525" s="17" t="d">
        <x:v>2025-11-07T00:00:00.000Z</x:v>
      </x:c>
      <x:c r="E1525" s="17" t="d">
        <x:v>2025-11-03T00:00:00.000Z</x:v>
      </x:c>
      <x:c r="F1525" s="4" t="str">
        <x:v>Destinos</x:v>
      </x:c>
      <x:c r="G1525" s="11" t="n">
        <x:v>1189</x:v>
      </x:c>
      <x:c r="H1525" s="11" t="n">
        <x:v>200</x:v>
      </x:c>
      <x:c r="I1525" s="11" t="n">
        <x:v>1</x:v>
      </x:c>
      <x:c r="J1525" s="4" t="str">
        <x:v>https://blog.skyairline.com/observatorio-foster/</x:v>
      </x:c>
      <x:c r="K1525" s="16" t="b">
        <x:v>0</x:v>
      </x:c>
      <x:c r="L1525" s="11" t="n">
        <x:v>0</x:v>
      </x:c>
      <x:c r="M1525" s="11" t="n">
        <x:v>3</x:v>
      </x:c>
      <x:c r="N1525" s="4"/>
      <x:c r="O1525" s="4"/>
      <x:c r="P1525" s="11" t="n">
        <x:v>0</x:v>
      </x:c>
      <x:c r="Q1525" s="11" t="n">
        <x:v>0</x:v>
      </x:c>
      <x:c r="R1525" s="11" t="str">
        <x:f>IF(OR(P1525="",Q1525=""),"",Q1525-P1525)</x:f>
      </x:c>
      <x:c r="S1525" s="13" t="str">
        <x:f>IF(OR(P1525="",Q1525="",P1525=0),"",((Q1525/30)/(P1525/31))-1)</x:f>
      </x:c>
      <x:c r="T1525" s="11" t="n">
        <x:v>64</x:v>
      </x:c>
      <x:c r="U1525" s="11" t="n">
        <x:v>39</x:v>
      </x:c>
      <x:c r="V1525" s="14" t="n">
        <x:v>0</x:v>
      </x:c>
      <x:c r="W1525" s="12" t="n">
        <x:v>11.102564102564102</x:v>
      </x:c>
      <x:c r="X1525" s="11" t="n">
        <x:v>3</x:v>
      </x:c>
      <x:c r="Y1525" s="11" t="n">
        <x:v>4</x:v>
      </x:c>
      <x:c r="Z1525" s="4" t="str">
        <x:v>https://blog.skyairline.com/observatorio-foster/</x:v>
      </x:c>
      <x:c r="AA1525" s="4" t="str">
        <x:v>https://blog.skyairline.com/observatorio-foster/</x:v>
      </x:c>
      <x:c r="AB1525" s="4" t="str">
        <x:v>Coincidencia URL</x:v>
      </x:c>
      <x:c r="AC1525" s="4" t="str">
        <x:v>Publicado hasta septiembre</x:v>
      </x:c>
      <x:c r="AD1525" s="4" t="str">
        <x:v>/observatorio-foster/</x:v>
      </x:c>
      <x:c r="AE1525" s="4"/>
      <x:c r="AF1525" s="16" t="b">
        <x:v>0</x:v>
      </x:c>
    </x:row>
    <x:row r="1526" ht="44" customHeight="1">
      <x:c r="A1526" s="4" t="n">
        <x:v>7509</x:v>
      </x:c>
      <x:c r="B1526" s="4" t="str">
        <x:v>https://blog.skyairline.com/viajar-sola/</x:v>
      </x:c>
      <x:c r="C1526" s="9" t="str">
        <x:v>¿Vas a viajar sola? Toma 7 consejos para estar segura</x:v>
      </x:c>
      <x:c r="D1526" s="17" t="d">
        <x:v>2025-11-09T00:00:00.000Z</x:v>
      </x:c>
      <x:c r="E1526" s="17" t="d">
        <x:v>2025-11-07T00:00:00.000Z</x:v>
      </x:c>
      <x:c r="F1526" s="4" t="str">
        <x:v>Destinos</x:v>
      </x:c>
      <x:c r="G1526" s="11" t="n">
        <x:v>1139</x:v>
      </x:c>
      <x:c r="H1526" s="11" t="n">
        <x:v>200</x:v>
      </x:c>
      <x:c r="I1526" s="11" t="n">
        <x:v>1</x:v>
      </x:c>
      <x:c r="J1526" s="4" t="str">
        <x:v>https://blog.skyairline.com/viajar-sola/</x:v>
      </x:c>
      <x:c r="K1526" s="16" t="b">
        <x:v>0</x:v>
      </x:c>
      <x:c r="L1526" s="11" t="n">
        <x:v>0</x:v>
      </x:c>
      <x:c r="M1526" s="11" t="n">
        <x:v>3</x:v>
      </x:c>
      <x:c r="N1526" s="4"/>
      <x:c r="O1526" s="4"/>
      <x:c r="P1526" s="11" t="n">
        <x:v>2</x:v>
      </x:c>
      <x:c r="Q1526" s="11" t="n">
        <x:v>0</x:v>
      </x:c>
      <x:c r="R1526" s="11" t="str">
        <x:f>IF(OR(P1526="",Q1526=""),"",Q1526-P1526)</x:f>
      </x:c>
      <x:c r="S1526" s="13" t="str">
        <x:f>IF(OR(P1526="",Q1526="",P1526=0),"",((Q1526/30)/(P1526/31))-1)</x:f>
      </x:c>
      <x:c r="T1526" s="11" t="n">
        <x:v>125</x:v>
      </x:c>
      <x:c r="U1526" s="11" t="n">
        <x:v>10</x:v>
      </x:c>
      <x:c r="V1526" s="14" t="n">
        <x:v>0</x:v>
      </x:c>
      <x:c r="W1526" s="12" t="n">
        <x:v>19.1</x:v>
      </x:c>
      <x:c r="X1526" s="11" t="n">
        <x:v>2</x:v>
      </x:c>
      <x:c r="Y1526" s="11" t="n">
        <x:v>1</x:v>
      </x:c>
      <x:c r="Z1526" s="4" t="str">
        <x:v>https://blog.skyairline.com/viajar-sola/</x:v>
      </x:c>
      <x:c r="AA1526" s="4" t="str">
        <x:v>https://blog.skyairline.com/viajar-sola/</x:v>
      </x:c>
      <x:c r="AB1526" s="4" t="str">
        <x:v>Coincidencia URL</x:v>
      </x:c>
      <x:c r="AC1526" s="4" t="str">
        <x:v>Publicado hasta septiembre</x:v>
      </x:c>
      <x:c r="AD1526" s="4" t="str">
        <x:v>/viajar-sola/</x:v>
      </x:c>
      <x:c r="AE1526" s="4"/>
      <x:c r="AF1526" s="16" t="b">
        <x:v>0</x:v>
      </x:c>
    </x:row>
    <x:row r="1527" ht="44" customHeight="1">
      <x:c r="A1527" s="4" t="n">
        <x:v>7537</x:v>
      </x:c>
      <x:c r="B1527" s="4" t="str">
        <x:v>https://blog.skyairline.com/vuelos-a-puerto-montt/</x:v>
      </x:c>
      <x:c r="C1527" s="9" t="str">
        <x:v>Vuelos a Puerto Montt: frecuencia de SKY y consejos para conseguir pasajes</x:v>
      </x:c>
      <x:c r="D1527" s="17" t="d">
        <x:v>2025-11-10T00:00:00.000Z</x:v>
      </x:c>
      <x:c r="E1527" s="17" t="d">
        <x:v>2025-11-10T00:00:00.000Z</x:v>
      </x:c>
      <x:c r="F1527" s="4" t="str">
        <x:v>Destinos</x:v>
      </x:c>
      <x:c r="G1527" s="11" t="n">
        <x:v>924</x:v>
      </x:c>
      <x:c r="H1527" s="11" t="n">
        <x:v>200</x:v>
      </x:c>
      <x:c r="I1527" s="11" t="n">
        <x:v>1</x:v>
      </x:c>
      <x:c r="J1527" s="4" t="str">
        <x:v>https://blog.skyairline.com/vuelos-a-puerto-montt/</x:v>
      </x:c>
      <x:c r="K1527" s="16" t="b">
        <x:v>0</x:v>
      </x:c>
      <x:c r="L1527" s="11" t="n">
        <x:v>0</x:v>
      </x:c>
      <x:c r="M1527" s="11" t="n">
        <x:v>3</x:v>
      </x:c>
      <x:c r="N1527" s="4"/>
      <x:c r="O1527" s="4"/>
      <x:c r="P1527" s="11" t="n">
        <x:v>0</x:v>
      </x:c>
      <x:c r="Q1527" s="11" t="n">
        <x:v>0</x:v>
      </x:c>
      <x:c r="R1527" s="11" t="str">
        <x:f>IF(OR(P1527="",Q1527=""),"",Q1527-P1527)</x:f>
      </x:c>
      <x:c r="S1527" s="13" t="str">
        <x:f>IF(OR(P1527="",Q1527="",P1527=0),"",((Q1527/30)/(P1527/31))-1)</x:f>
      </x:c>
      <x:c r="T1527" s="11" t="n">
        <x:v>161</x:v>
      </x:c>
      <x:c r="U1527" s="11" t="n">
        <x:v>294</x:v>
      </x:c>
      <x:c r="V1527" s="14" t="n">
        <x:v>0</x:v>
      </x:c>
      <x:c r="W1527" s="12" t="n">
        <x:v>8.557823129251702</x:v>
      </x:c>
      <x:c r="X1527" s="11"/>
      <x:c r="Y1527" s="11"/>
      <x:c r="Z1527" s="4" t="str">
        <x:v>https://blog.skyairline.com/vuelos-a-puerto-montt/</x:v>
      </x:c>
      <x:c r="AA1527" s="4" t="str">
        <x:v>https://blog.skyairline.com/vuelos-a-puerto-montt/</x:v>
      </x:c>
      <x:c r="AB1527" s="4" t="str">
        <x:v>Coincidencia URL</x:v>
      </x:c>
      <x:c r="AC1527" s="4" t="str">
        <x:v>Publicado hasta septiembre</x:v>
      </x:c>
      <x:c r="AD1527" s="4"/>
      <x:c r="AE1527" s="4"/>
      <x:c r="AF1527" s="16" t="b">
        <x:v>0</x:v>
      </x:c>
    </x:row>
    <x:row r="1528" ht="44" customHeight="1">
      <x:c r="A1528" s="4" t="n">
        <x:v>7543</x:v>
      </x:c>
      <x:c r="B1528" s="4" t="str">
        <x:v>https://blog.skyairline.com/vacaciones-2/</x:v>
      </x:c>
      <x:c r="C1528" s="9" t="str">
        <x:v>Vacaciones en Temuco: Un destino estratégico para conocer la Araucanía</x:v>
      </x:c>
      <x:c r="D1528" s="17" t="d">
        <x:v>2025-11-11T00:00:00.000Z</x:v>
      </x:c>
      <x:c r="E1528" s="17" t="d">
        <x:v>2025-11-10T00:00:00.000Z</x:v>
      </x:c>
      <x:c r="F1528" s="4" t="str">
        <x:v>Destinos</x:v>
      </x:c>
      <x:c r="G1528" s="11" t="n">
        <x:v>1011</x:v>
      </x:c>
      <x:c r="H1528" s="11" t="n">
        <x:v>200</x:v>
      </x:c>
      <x:c r="I1528" s="11" t="n">
        <x:v>1</x:v>
      </x:c>
      <x:c r="J1528" s="4" t="str">
        <x:v>https://blog.skyairline.com/vacaciones-2/</x:v>
      </x:c>
      <x:c r="K1528" s="16" t="b">
        <x:v>0</x:v>
      </x:c>
      <x:c r="L1528" s="11" t="n">
        <x:v>0</x:v>
      </x:c>
      <x:c r="M1528" s="11" t="n">
        <x:v>2</x:v>
      </x:c>
      <x:c r="N1528" s="4"/>
      <x:c r="O1528" s="4"/>
      <x:c r="P1528" s="11" t="n">
        <x:v>0</x:v>
      </x:c>
      <x:c r="Q1528" s="11" t="n">
        <x:v>0</x:v>
      </x:c>
      <x:c r="R1528" s="11" t="str">
        <x:f>IF(OR(P1528="",Q1528=""),"",Q1528-P1528)</x:f>
      </x:c>
      <x:c r="S1528" s="13" t="str">
        <x:f>IF(OR(P1528="",Q1528="",P1528=0),"",((Q1528/30)/(P1528/31))-1)</x:f>
      </x:c>
      <x:c r="T1528" s="11" t="n">
        <x:v>10</x:v>
      </x:c>
      <x:c r="U1528" s="11" t="n">
        <x:v>9</x:v>
      </x:c>
      <x:c r="V1528" s="14" t="n">
        <x:v>0</x:v>
      </x:c>
      <x:c r="W1528" s="12" t="n">
        <x:v>12</x:v>
      </x:c>
      <x:c r="X1528" s="11" t="n">
        <x:v>1</x:v>
      </x:c>
      <x:c r="Y1528" s="11" t="n">
        <x:v>1</x:v>
      </x:c>
      <x:c r="Z1528" s="4" t="str">
        <x:v>https://blog.skyairline.com/vacaciones-2/</x:v>
      </x:c>
      <x:c r="AA1528" s="4" t="str">
        <x:v>https://blog.skyairline.com/vacaciones-2/</x:v>
      </x:c>
      <x:c r="AB1528" s="4" t="str">
        <x:v>Coincidencia URL</x:v>
      </x:c>
      <x:c r="AC1528" s="4" t="str">
        <x:v>Publicado hasta septiembre</x:v>
      </x:c>
      <x:c r="AD1528" s="4" t="str">
        <x:v>/vacaciones-2/</x:v>
      </x:c>
      <x:c r="AE1528" s="4"/>
      <x:c r="AF1528" s="16" t="b">
        <x:v>0</x:v>
      </x:c>
    </x:row>
    <x:row r="1529" ht="44" customHeight="1">
      <x:c r="A1529" s="4" t="n">
        <x:v>7546</x:v>
      </x:c>
      <x:c r="B1529" s="4" t="str">
        <x:v>https://blog.skyairline.com/hotel-osorno/</x:v>
      </x:c>
      <x:c r="C1529" s="9" t="str">
        <x:v>Mejores hoteles en Osorno para una estadía confortable</x:v>
      </x:c>
      <x:c r="D1529" s="17" t="d">
        <x:v>2025-11-11T00:00:00.000Z</x:v>
      </x:c>
      <x:c r="E1529" s="17" t="d">
        <x:v>2025-11-10T00:00:00.000Z</x:v>
      </x:c>
      <x:c r="F1529" s="4" t="str">
        <x:v>Destinos</x:v>
      </x:c>
      <x:c r="G1529" s="11" t="n">
        <x:v>966</x:v>
      </x:c>
      <x:c r="H1529" s="11" t="n">
        <x:v>200</x:v>
      </x:c>
      <x:c r="I1529" s="11" t="n">
        <x:v>1</x:v>
      </x:c>
      <x:c r="J1529" s="4" t="str">
        <x:v>https://blog.skyairline.com/hotel-osorno/</x:v>
      </x:c>
      <x:c r="K1529" s="16" t="b">
        <x:v>0</x:v>
      </x:c>
      <x:c r="L1529" s="11" t="n">
        <x:v>0</x:v>
      </x:c>
      <x:c r="M1529" s="11" t="n">
        <x:v>3</x:v>
      </x:c>
      <x:c r="N1529" s="4"/>
      <x:c r="O1529" s="4"/>
      <x:c r="P1529" s="11" t="n">
        <x:v>0</x:v>
      </x:c>
      <x:c r="Q1529" s="11" t="n">
        <x:v>0</x:v>
      </x:c>
      <x:c r="R1529" s="11" t="str">
        <x:f>IF(OR(P1529="",Q1529=""),"",Q1529-P1529)</x:f>
      </x:c>
      <x:c r="S1529" s="13" t="str">
        <x:f>IF(OR(P1529="",Q1529="",P1529=0),"",((Q1529/30)/(P1529/31))-1)</x:f>
      </x:c>
      <x:c r="T1529" s="11" t="n">
        <x:v>67</x:v>
      </x:c>
      <x:c r="U1529" s="11" t="n">
        <x:v>116</x:v>
      </x:c>
      <x:c r="V1529" s="14" t="n">
        <x:v>0</x:v>
      </x:c>
      <x:c r="W1529" s="12" t="n">
        <x:v>10.827586206896552</x:v>
      </x:c>
      <x:c r="X1529" s="11"/>
      <x:c r="Y1529" s="11"/>
      <x:c r="Z1529" s="4" t="str">
        <x:v>https://blog.skyairline.com/hotel-osorno/</x:v>
      </x:c>
      <x:c r="AA1529" s="4" t="str">
        <x:v>https://blog.skyairline.com/hotel-osorno/</x:v>
      </x:c>
      <x:c r="AB1529" s="4" t="str">
        <x:v>Coincidencia URL</x:v>
      </x:c>
      <x:c r="AC1529" s="4" t="str">
        <x:v>Publicado hasta septiembre</x:v>
      </x:c>
      <x:c r="AD1529" s="4"/>
      <x:c r="AE1529" s="4"/>
      <x:c r="AF1529" s="16" t="b">
        <x:v>0</x:v>
      </x:c>
    </x:row>
    <x:row r="1530" ht="44" customHeight="1">
      <x:c r="A1530" s="4" t="n">
        <x:v>7588</x:v>
      </x:c>
      <x:c r="B1530" s="4" t="str">
        <x:v>https://blog.skyairline.com/mochila-de-trekking/</x:v>
      </x:c>
      <x:c r="C1530" s="9" t="str">
        <x:v>Características clave para elegir la mejor mochila de trekking</x:v>
      </x:c>
      <x:c r="D1530" s="17" t="d">
        <x:v>2025-11-18T00:00:00.000Z</x:v>
      </x:c>
      <x:c r="E1530" s="17" t="d">
        <x:v>2025-11-11T00:00:00.000Z</x:v>
      </x:c>
      <x:c r="F1530" s="4" t="str">
        <x:v>Destinos</x:v>
      </x:c>
      <x:c r="G1530" s="11" t="n">
        <x:v>1037</x:v>
      </x:c>
      <x:c r="H1530" s="11" t="n">
        <x:v>200</x:v>
      </x:c>
      <x:c r="I1530" s="11" t="n">
        <x:v>1</x:v>
      </x:c>
      <x:c r="J1530" s="4" t="str">
        <x:v>https://blog.skyairline.com/mochila-de-trekking/</x:v>
      </x:c>
      <x:c r="K1530" s="16" t="b">
        <x:v>0</x:v>
      </x:c>
      <x:c r="L1530" s="11" t="n">
        <x:v>0</x:v>
      </x:c>
      <x:c r="M1530" s="11" t="n">
        <x:v>1</x:v>
      </x:c>
      <x:c r="N1530" s="4"/>
      <x:c r="O1530" s="4"/>
      <x:c r="P1530" s="11" t="n">
        <x:v>1</x:v>
      </x:c>
      <x:c r="Q1530" s="11" t="n">
        <x:v>0</x:v>
      </x:c>
      <x:c r="R1530" s="11" t="str">
        <x:f>IF(OR(P1530="",Q1530=""),"",Q1530-P1530)</x:f>
      </x:c>
      <x:c r="S1530" s="13" t="str">
        <x:f>IF(OR(P1530="",Q1530="",P1530=0),"",((Q1530/30)/(P1530/31))-1)</x:f>
      </x:c>
      <x:c r="T1530" s="11" t="n">
        <x:v>191</x:v>
      </x:c>
      <x:c r="U1530" s="11" t="n">
        <x:v>67</x:v>
      </x:c>
      <x:c r="V1530" s="14" t="n">
        <x:v>0</x:v>
      </x:c>
      <x:c r="W1530" s="12" t="n">
        <x:v>8.582089552238806</x:v>
      </x:c>
      <x:c r="X1530" s="11"/>
      <x:c r="Y1530" s="11"/>
      <x:c r="Z1530" s="4" t="str">
        <x:v>https://blog.skyairline.com/mochila-de-trekking/</x:v>
      </x:c>
      <x:c r="AA1530" s="4" t="str">
        <x:v>https://blog.skyairline.com/mochila-de-trekking/</x:v>
      </x:c>
      <x:c r="AB1530" s="4" t="str">
        <x:v>Coincidencia URL</x:v>
      </x:c>
      <x:c r="AC1530" s="4" t="str">
        <x:v>Publicado hasta septiembre</x:v>
      </x:c>
      <x:c r="AD1530" s="4"/>
      <x:c r="AE1530" s="4"/>
      <x:c r="AF1530" s="16" t="b">
        <x:v>0</x:v>
      </x:c>
    </x:row>
    <x:row r="1531" ht="44" customHeight="1">
      <x:c r="A1531" s="4" t="n">
        <x:v>7600</x:v>
      </x:c>
      <x:c r="B1531" s="4" t="str">
        <x:v>https://blog.skyairline.com/comida-tipica-de-argentina/</x:v>
      </x:c>
      <x:c r="C1531" s="9" t="str">
        <x:v>Comidas típicas chilenas: imperdibles en tu próximo viaje a la Patagonia</x:v>
      </x:c>
      <x:c r="D1531" s="17" t="d">
        <x:v>2025-11-24T00:00:00.000Z</x:v>
      </x:c>
      <x:c r="E1531" s="17" t="d">
        <x:v>2025-11-11T00:00:00.000Z</x:v>
      </x:c>
      <x:c r="F1531" s="4" t="str">
        <x:v>Destinos</x:v>
      </x:c>
      <x:c r="G1531" s="11" t="n">
        <x:v>1271</x:v>
      </x:c>
      <x:c r="H1531" s="11" t="n">
        <x:v>200</x:v>
      </x:c>
      <x:c r="I1531" s="11" t="n">
        <x:v>1</x:v>
      </x:c>
      <x:c r="J1531" s="4" t="str">
        <x:v>https://blog.skyairline.com/comida-tipica-de-argentina/</x:v>
      </x:c>
      <x:c r="K1531" s="16" t="b">
        <x:v>0</x:v>
      </x:c>
      <x:c r="L1531" s="11" t="n">
        <x:v>0</x:v>
      </x:c>
      <x:c r="M1531" s="11" t="n">
        <x:v>4</x:v>
      </x:c>
      <x:c r="N1531" s="4"/>
      <x:c r="O1531" s="4"/>
      <x:c r="P1531" s="11" t="n">
        <x:v>4</x:v>
      </x:c>
      <x:c r="Q1531" s="11" t="n">
        <x:v>0</x:v>
      </x:c>
      <x:c r="R1531" s="11" t="str">
        <x:f>IF(OR(P1531="",Q1531=""),"",Q1531-P1531)</x:f>
      </x:c>
      <x:c r="S1531" s="13" t="str">
        <x:f>IF(OR(P1531="",Q1531="",P1531=0),"",((Q1531/30)/(P1531/31))-1)</x:f>
      </x:c>
      <x:c r="T1531" s="11" t="n">
        <x:v>390</x:v>
      </x:c>
      <x:c r="U1531" s="11" t="n">
        <x:v>120</x:v>
      </x:c>
      <x:c r="V1531" s="14" t="n">
        <x:v>0</x:v>
      </x:c>
      <x:c r="W1531" s="12" t="n">
        <x:v>8.666666666666668</x:v>
      </x:c>
      <x:c r="X1531" s="11"/>
      <x:c r="Y1531" s="11"/>
      <x:c r="Z1531" s="4" t="str">
        <x:v>https://blog.skyairline.com/comida-tipica-de-argentina/</x:v>
      </x:c>
      <x:c r="AA1531" s="4" t="str">
        <x:v>https://blog.skyairline.com/comida-tipica-de-argentina/</x:v>
      </x:c>
      <x:c r="AB1531" s="4" t="str">
        <x:v>Coincidencia URL</x:v>
      </x:c>
      <x:c r="AC1531" s="4" t="str">
        <x:v>Publicado hasta septiembre</x:v>
      </x:c>
      <x:c r="AD1531" s="4"/>
      <x:c r="AE1531" s="4"/>
      <x:c r="AF1531" s="16" t="b">
        <x:v>0</x:v>
      </x:c>
    </x:row>
    <x:row r="1532" ht="44" customHeight="1">
      <x:c r="A1532" s="4" t="n">
        <x:v>7683</x:v>
      </x:c>
      <x:c r="B1532" s="4" t="str">
        <x:v>https://blog.skyairline.com/sky-lleva-la-prevencion-del-cancer-de-mama-a-mas-regiones-del-peru/</x:v>
      </x:c>
      <x:c r="C1532" s="9" t="str">
        <x:v>SKY lleva la prevención del cáncer de mama a más regiones del Perú</x:v>
      </x:c>
      <x:c r="D1532" s="17" t="d">
        <x:v>2025-11-12T00:00:00.000Z</x:v>
      </x:c>
      <x:c r="E1532" s="17" t="d">
        <x:v>2025-11-12T00:00:00.000Z</x:v>
      </x:c>
      <x:c r="F1532" s="4" t="str">
        <x:v>Noticias</x:v>
      </x:c>
      <x:c r="G1532" s="11" t="n">
        <x:v>174</x:v>
      </x:c>
      <x:c r="H1532" s="11" t="n">
        <x:v>200</x:v>
      </x:c>
      <x:c r="I1532" s="11" t="n">
        <x:v>1</x:v>
      </x:c>
      <x:c r="J1532" s="4" t="str">
        <x:v>https://blog.skyairline.com/sky-lleva-la-prevencion-del-cancer-de-mama-a-mas-regiones-del-peru/</x:v>
      </x:c>
      <x:c r="K1532" s="16" t="b">
        <x:v>0</x:v>
      </x:c>
      <x:c r="L1532" s="11" t="n">
        <x:v>0</x:v>
      </x:c>
      <x:c r="M1532" s="11" t="n">
        <x:v>0</x:v>
      </x:c>
      <x:c r="N1532" s="4"/>
      <x:c r="O1532" s="4"/>
      <x:c r="P1532" s="11" t="n">
        <x:v>1</x:v>
      </x:c>
      <x:c r="Q1532" s="11" t="n">
        <x:v>0</x:v>
      </x:c>
      <x:c r="R1532" s="11" t="str">
        <x:f>IF(OR(P1532="",Q1532=""),"",Q1532-P1532)</x:f>
      </x:c>
      <x:c r="S1532" s="13" t="str">
        <x:f>IF(OR(P1532="",Q1532="",P1532=0),"",((Q1532/30)/(P1532/31))-1)</x:f>
      </x:c>
      <x:c r="T1532" s="11" t="n">
        <x:v>6</x:v>
      </x:c>
      <x:c r="U1532" s="11" t="n">
        <x:v>7</x:v>
      </x:c>
      <x:c r="V1532" s="14" t="n">
        <x:v>0</x:v>
      </x:c>
      <x:c r="W1532" s="12" t="n">
        <x:v>4.428571428571429</x:v>
      </x:c>
      <x:c r="X1532" s="11"/>
      <x:c r="Y1532" s="11"/>
      <x:c r="Z1532" s="4" t="str">
        <x:v>https://blog.skyairline.com/sky-lleva-la-prevencion-del-cancer-de-mama-a-mas-regiones-del-peru/</x:v>
      </x:c>
      <x:c r="AA1532" s="4" t="str">
        <x:v>https://blog.skyairline.com/sky-lleva-la-prevencion-del-cancer-de-mama-a-mas-regiones-del-peru/</x:v>
      </x:c>
      <x:c r="AB1532" s="4" t="str">
        <x:v>Coincidencia URL</x:v>
      </x:c>
      <x:c r="AC1532" s="4" t="str">
        <x:v>Publicado hasta septiembre</x:v>
      </x:c>
      <x:c r="AD1532" s="4"/>
      <x:c r="AE1532" s="4"/>
      <x:c r="AF1532" s="16" t="b">
        <x:v>0</x:v>
      </x:c>
    </x:row>
    <x:row r="1533" ht="44" customHeight="1">
      <x:c r="A1533" s="4" t="n">
        <x:v>7694</x:v>
      </x:c>
      <x:c r="B1533" s="4" t="str">
        <x:v>https://blog.skyairline.com/sky-chile/</x:v>
      </x:c>
      <x:c r="C1533" s="9" t="str">
        <x:v>SKY Chile: Uniendo el país de norte a sur</x:v>
      </x:c>
      <x:c r="D1533" s="17" t="d">
        <x:v>2025-11-23T00:00:00.000Z</x:v>
      </x:c>
      <x:c r="E1533" s="17" t="d">
        <x:v>2025-11-17T00:00:00.000Z</x:v>
      </x:c>
      <x:c r="F1533" s="4" t="str">
        <x:v>Compromiso SKY</x:v>
      </x:c>
      <x:c r="G1533" s="11" t="n">
        <x:v>2020</x:v>
      </x:c>
      <x:c r="H1533" s="11" t="n">
        <x:v>200</x:v>
      </x:c>
      <x:c r="I1533" s="11" t="n">
        <x:v>1</x:v>
      </x:c>
      <x:c r="J1533" s="4" t="str">
        <x:v>https://blog.skyairline.com/sky-chile/</x:v>
      </x:c>
      <x:c r="K1533" s="16" t="b">
        <x:v>0</x:v>
      </x:c>
      <x:c r="L1533" s="11" t="n">
        <x:v>0</x:v>
      </x:c>
      <x:c r="M1533" s="11" t="n">
        <x:v>12</x:v>
      </x:c>
      <x:c r="N1533" s="4"/>
      <x:c r="O1533" s="4"/>
      <x:c r="P1533" s="11" t="n">
        <x:v>1</x:v>
      </x:c>
      <x:c r="Q1533" s="11" t="n">
        <x:v>0</x:v>
      </x:c>
      <x:c r="R1533" s="11" t="str">
        <x:f>IF(OR(P1533="",Q1533=""),"",Q1533-P1533)</x:f>
      </x:c>
      <x:c r="S1533" s="13" t="str">
        <x:f>IF(OR(P1533="",Q1533="",P1533=0),"",((Q1533/30)/(P1533/31))-1)</x:f>
      </x:c>
      <x:c r="T1533" s="11" t="n">
        <x:v>729</x:v>
      </x:c>
      <x:c r="U1533" s="11" t="n">
        <x:v>283</x:v>
      </x:c>
      <x:c r="V1533" s="14" t="n">
        <x:v>0</x:v>
      </x:c>
      <x:c r="W1533" s="12" t="n">
        <x:v>8.392226148409893</x:v>
      </x:c>
      <x:c r="X1533" s="11" t="n">
        <x:v>1</x:v>
      </x:c>
      <x:c r="Y1533" s="11" t="n">
        <x:v>1</x:v>
      </x:c>
      <x:c r="Z1533" s="4" t="str">
        <x:v>https://blog.skyairline.com/sky-chile/</x:v>
      </x:c>
      <x:c r="AA1533" s="4" t="str">
        <x:v>https://blog.skyairline.com/sky-chile/</x:v>
      </x:c>
      <x:c r="AB1533" s="4" t="str">
        <x:v>Coincidencia URL</x:v>
      </x:c>
      <x:c r="AC1533" s="4" t="str">
        <x:v>Publicado hasta septiembre</x:v>
      </x:c>
      <x:c r="AD1533" s="4" t="str">
        <x:v>/sky-chile/</x:v>
      </x:c>
      <x:c r="AE1533" s="4"/>
      <x:c r="AF1533" s="16" t="b">
        <x:v>0</x:v>
      </x:c>
    </x:row>
    <x:row r="1534" ht="44" customHeight="1">
      <x:c r="A1534" s="4" t="n">
        <x:v>7700</x:v>
      </x:c>
      <x:c r="B1534" s="4" t="str">
        <x:v>https://blog.skyairline.com/pasajes-a-brasil/</x:v>
      </x:c>
      <x:c r="C1534" s="9" t="str">
        <x:v>Pasajes a Brasil: SKY te lleva al corazón del turismo internacional</x:v>
      </x:c>
      <x:c r="D1534" s="17" t="d">
        <x:v>2025-11-25T00:00:00.000Z</x:v>
      </x:c>
      <x:c r="E1534" s="17" t="d">
        <x:v>2025-11-17T00:00:00.000Z</x:v>
      </x:c>
      <x:c r="F1534" s="4" t="str">
        <x:v>Destinos</x:v>
      </x:c>
      <x:c r="G1534" s="11" t="n">
        <x:v>1934</x:v>
      </x:c>
      <x:c r="H1534" s="11" t="n">
        <x:v>200</x:v>
      </x:c>
      <x:c r="I1534" s="11" t="n">
        <x:v>1</x:v>
      </x:c>
      <x:c r="J1534" s="4" t="str">
        <x:v>https://blog.skyairline.com/pasajes-a-brasil/</x:v>
      </x:c>
      <x:c r="K1534" s="16" t="b">
        <x:v>0</x:v>
      </x:c>
      <x:c r="L1534" s="11" t="n">
        <x:v>0</x:v>
      </x:c>
      <x:c r="M1534" s="11" t="n">
        <x:v>5</x:v>
      </x:c>
      <x:c r="N1534" s="4"/>
      <x:c r="O1534" s="4"/>
      <x:c r="P1534" s="11" t="n">
        <x:v>0</x:v>
      </x:c>
      <x:c r="Q1534" s="11" t="n">
        <x:v>0</x:v>
      </x:c>
      <x:c r="R1534" s="11" t="str">
        <x:f>IF(OR(P1534="",Q1534=""),"",Q1534-P1534)</x:f>
      </x:c>
      <x:c r="S1534" s="13" t="str">
        <x:f>IF(OR(P1534="",Q1534="",P1534=0),"",((Q1534/30)/(P1534/31))-1)</x:f>
      </x:c>
      <x:c r="T1534" s="11" t="n">
        <x:v>240</x:v>
      </x:c>
      <x:c r="U1534" s="11" t="n">
        <x:v>154</x:v>
      </x:c>
      <x:c r="V1534" s="14" t="n">
        <x:v>0</x:v>
      </x:c>
      <x:c r="W1534" s="12" t="n">
        <x:v>9.311688311688311</x:v>
      </x:c>
      <x:c r="X1534" s="11"/>
      <x:c r="Y1534" s="11"/>
      <x:c r="Z1534" s="4" t="str">
        <x:v>https://blog.skyairline.com/pasajes-a-brasil/</x:v>
      </x:c>
      <x:c r="AA1534" s="4" t="str">
        <x:v>https://blog.skyairline.com/pasajes-a-brasil/</x:v>
      </x:c>
      <x:c r="AB1534" s="4" t="str">
        <x:v>Coincidencia URL</x:v>
      </x:c>
      <x:c r="AC1534" s="4" t="str">
        <x:v>Publicado hasta septiembre</x:v>
      </x:c>
      <x:c r="AD1534" s="4"/>
      <x:c r="AE1534" s="4"/>
      <x:c r="AF1534" s="16" t="b">
        <x:v>0</x:v>
      </x:c>
    </x:row>
    <x:row r="1535" ht="44" customHeight="1">
      <x:c r="A1535" s="4" t="n">
        <x:v>7712</x:v>
      </x:c>
      <x:c r="B1535" s="4" t="str">
        <x:v>https://blog.skyairline.com/pasajes-a-estados-unidos/</x:v>
      </x:c>
      <x:c r="C1535" s="9" t="str">
        <x:v>Pasajes a Estados Unidos con SKY</x:v>
      </x:c>
      <x:c r="D1535" s="17" t="d">
        <x:v>2025-11-27T00:00:00.000Z</x:v>
      </x:c>
      <x:c r="E1535" s="17" t="d">
        <x:v>2025-11-17T00:00:00.000Z</x:v>
      </x:c>
      <x:c r="F1535" s="4" t="str">
        <x:v>Destinos</x:v>
      </x:c>
      <x:c r="G1535" s="11" t="n">
        <x:v>1490</x:v>
      </x:c>
      <x:c r="H1535" s="11" t="n">
        <x:v>200</x:v>
      </x:c>
      <x:c r="I1535" s="11" t="n">
        <x:v>1</x:v>
      </x:c>
      <x:c r="J1535" s="4" t="str">
        <x:v>https://blog.skyairline.com/pasajes-a-estados-unidos/</x:v>
      </x:c>
      <x:c r="K1535" s="16" t="b">
        <x:v>0</x:v>
      </x:c>
      <x:c r="L1535" s="11" t="n">
        <x:v>0</x:v>
      </x:c>
      <x:c r="M1535" s="11" t="n">
        <x:v>4</x:v>
      </x:c>
      <x:c r="N1535" s="4"/>
      <x:c r="O1535" s="4"/>
      <x:c r="P1535" s="11" t="n">
        <x:v>1</x:v>
      </x:c>
      <x:c r="Q1535" s="11" t="n">
        <x:v>0</x:v>
      </x:c>
      <x:c r="R1535" s="11" t="str">
        <x:f>IF(OR(P1535="",Q1535=""),"",Q1535-P1535)</x:f>
      </x:c>
      <x:c r="S1535" s="13" t="str">
        <x:f>IF(OR(P1535="",Q1535="",P1535=0),"",((Q1535/30)/(P1535/31))-1)</x:f>
      </x:c>
      <x:c r="T1535" s="11" t="n">
        <x:v>198</x:v>
      </x:c>
      <x:c r="U1535" s="11" t="n">
        <x:v>104</x:v>
      </x:c>
      <x:c r="V1535" s="14" t="n">
        <x:v>0</x:v>
      </x:c>
      <x:c r="W1535" s="12" t="n">
        <x:v>7.519230769230769</x:v>
      </x:c>
      <x:c r="X1535" s="11"/>
      <x:c r="Y1535" s="11"/>
      <x:c r="Z1535" s="4" t="str">
        <x:v>https://blog.skyairline.com/pasajes-a-estados-unidos/</x:v>
      </x:c>
      <x:c r="AA1535" s="4" t="str">
        <x:v>https://blog.skyairline.com/pasajes-a-estados-unidos/</x:v>
      </x:c>
      <x:c r="AB1535" s="4" t="str">
        <x:v>Coincidencia URL</x:v>
      </x:c>
      <x:c r="AC1535" s="4" t="str">
        <x:v>Publicado hasta septiembre</x:v>
      </x:c>
      <x:c r="AD1535" s="4"/>
      <x:c r="AE1535" s="4"/>
      <x:c r="AF1535" s="16" t="b">
        <x:v>0</x:v>
      </x:c>
    </x:row>
    <x:row r="1536" ht="44" customHeight="1">
      <x:c r="A1536" s="4" t="n">
        <x:v>7715</x:v>
      </x:c>
      <x:c r="B1536" s="4" t="str">
        <x:v>https://blog.skyairline.com/pasajes-a-uruguay/</x:v>
      </x:c>
      <x:c r="C1536" s="9" t="str">
        <x:v>Pasajes a Uruguay: un destino de SKY Airline</x:v>
      </x:c>
      <x:c r="D1536" s="17" t="d">
        <x:v>2025-11-27T00:00:00.000Z</x:v>
      </x:c>
      <x:c r="E1536" s="17" t="d">
        <x:v>2025-11-17T00:00:00.000Z</x:v>
      </x:c>
      <x:c r="F1536" s="4" t="str">
        <x:v>Destinos</x:v>
      </x:c>
      <x:c r="G1536" s="11" t="n">
        <x:v>1473</x:v>
      </x:c>
      <x:c r="H1536" s="11" t="n">
        <x:v>200</x:v>
      </x:c>
      <x:c r="I1536" s="11" t="n">
        <x:v>1</x:v>
      </x:c>
      <x:c r="J1536" s="4" t="str">
        <x:v>https://blog.skyairline.com/pasajes-a-uruguay/</x:v>
      </x:c>
      <x:c r="K1536" s="16" t="b">
        <x:v>0</x:v>
      </x:c>
      <x:c r="L1536" s="11" t="n">
        <x:v>0</x:v>
      </x:c>
      <x:c r="M1536" s="11" t="n">
        <x:v>2</x:v>
      </x:c>
      <x:c r="N1536" s="4"/>
      <x:c r="O1536" s="4"/>
      <x:c r="P1536" s="11" t="n">
        <x:v>0</x:v>
      </x:c>
      <x:c r="Q1536" s="11" t="n">
        <x:v>0</x:v>
      </x:c>
      <x:c r="R1536" s="11" t="str">
        <x:f>IF(OR(P1536="",Q1536=""),"",Q1536-P1536)</x:f>
      </x:c>
      <x:c r="S1536" s="13" t="str">
        <x:f>IF(OR(P1536="",Q1536="",P1536=0),"",((Q1536/30)/(P1536/31))-1)</x:f>
      </x:c>
      <x:c r="T1536" s="11" t="n">
        <x:v>97</x:v>
      </x:c>
      <x:c r="U1536" s="11" t="n">
        <x:v>177</x:v>
      </x:c>
      <x:c r="V1536" s="14" t="n">
        <x:v>0</x:v>
      </x:c>
      <x:c r="W1536" s="12" t="n">
        <x:v>8.033898305084746</x:v>
      </x:c>
      <x:c r="X1536" s="11"/>
      <x:c r="Y1536" s="11"/>
      <x:c r="Z1536" s="4" t="str">
        <x:v>https://blog.skyairline.com/pasajes-a-uruguay/</x:v>
      </x:c>
      <x:c r="AA1536" s="4" t="str">
        <x:v>https://blog.skyairline.com/pasajes-a-uruguay/</x:v>
      </x:c>
      <x:c r="AB1536" s="4" t="str">
        <x:v>Coincidencia URL</x:v>
      </x:c>
      <x:c r="AC1536" s="4" t="str">
        <x:v>Publicado hasta septiembre</x:v>
      </x:c>
      <x:c r="AD1536" s="4"/>
      <x:c r="AE1536" s="4"/>
      <x:c r="AF1536" s="16" t="b">
        <x:v>0</x:v>
      </x:c>
    </x:row>
    <x:row r="1537" ht="44" customHeight="1">
      <x:c r="A1537" s="4" t="n">
        <x:v>7718</x:v>
      </x:c>
      <x:c r="B1537" s="4" t="str">
        <x:v>https://blog.skyairline.com/lima-buenos-aires/</x:v>
      </x:c>
      <x:c r="C1537" s="9" t="str">
        <x:v>Vuela de Lima a Buenos Aires con SKY Airline, una conexión directa</x:v>
      </x:c>
      <x:c r="D1537" s="17" t="d">
        <x:v>2025-11-28T00:00:00.000Z</x:v>
      </x:c>
      <x:c r="E1537" s="17" t="d">
        <x:v>2025-11-17T00:00:00.000Z</x:v>
      </x:c>
      <x:c r="F1537" s="4" t="str">
        <x:v>Destinos</x:v>
      </x:c>
      <x:c r="G1537" s="11" t="n">
        <x:v>1031</x:v>
      </x:c>
      <x:c r="H1537" s="11" t="n">
        <x:v>200</x:v>
      </x:c>
      <x:c r="I1537" s="11" t="n">
        <x:v>1</x:v>
      </x:c>
      <x:c r="J1537" s="4" t="str">
        <x:v>https://blog.skyairline.com/lima-buenos-aires/</x:v>
      </x:c>
      <x:c r="K1537" s="16" t="b">
        <x:v>0</x:v>
      </x:c>
      <x:c r="L1537" s="11" t="n">
        <x:v>0</x:v>
      </x:c>
      <x:c r="M1537" s="11" t="n">
        <x:v>2</x:v>
      </x:c>
      <x:c r="N1537" s="4"/>
      <x:c r="O1537" s="4"/>
      <x:c r="P1537" s="11" t="n">
        <x:v>2</x:v>
      </x:c>
      <x:c r="Q1537" s="11" t="n">
        <x:v>0</x:v>
      </x:c>
      <x:c r="R1537" s="11" t="str">
        <x:f>IF(OR(P1537="",Q1537=""),"",Q1537-P1537)</x:f>
      </x:c>
      <x:c r="S1537" s="13" t="str">
        <x:f>IF(OR(P1537="",Q1537="",P1537=0),"",((Q1537/30)/(P1537/31))-1)</x:f>
      </x:c>
      <x:c r="T1537" s="11" t="n">
        <x:v>131</x:v>
      </x:c>
      <x:c r="U1537" s="11" t="n">
        <x:v>113</x:v>
      </x:c>
      <x:c r="V1537" s="14" t="n">
        <x:v>0</x:v>
      </x:c>
      <x:c r="W1537" s="12" t="n">
        <x:v>10.4070796460177</x:v>
      </x:c>
      <x:c r="X1537" s="11"/>
      <x:c r="Y1537" s="11"/>
      <x:c r="Z1537" s="4" t="str">
        <x:v>https://blog.skyairline.com/lima-buenos-aires/</x:v>
      </x:c>
      <x:c r="AA1537" s="4" t="str">
        <x:v>https://blog.skyairline.com/lima-buenos-aires/</x:v>
      </x:c>
      <x:c r="AB1537" s="4" t="str">
        <x:v>Coincidencia URL</x:v>
      </x:c>
      <x:c r="AC1537" s="4" t="str">
        <x:v>Publicado hasta septiembre</x:v>
      </x:c>
      <x:c r="AD1537" s="4"/>
      <x:c r="AE1537" s="4"/>
      <x:c r="AF1537" s="16" t="b">
        <x:v>0</x:v>
      </x:c>
    </x:row>
    <x:row r="1538" ht="44" customHeight="1">
      <x:c r="A1538" s="4" t="n">
        <x:v>7724</x:v>
      </x:c>
      <x:c r="B1538" s="4" t="str">
        <x:v>https://blog.skyairline.com/tarapoto/</x:v>
      </x:c>
      <x:c r="C1538" s="9" t="str">
        <x:v>Vuela a Tarapoto con SKY, visita la ciudad de las palmeras</x:v>
      </x:c>
      <x:c r="D1538" s="17" t="d">
        <x:v>2025-11-29T00:00:00.000Z</x:v>
      </x:c>
      <x:c r="E1538" s="17" t="d">
        <x:v>2025-11-17T00:00:00.000Z</x:v>
      </x:c>
      <x:c r="F1538" s="4" t="str">
        <x:v>Destinos</x:v>
      </x:c>
      <x:c r="G1538" s="11" t="n">
        <x:v>1124</x:v>
      </x:c>
      <x:c r="H1538" s="11" t="n">
        <x:v>200</x:v>
      </x:c>
      <x:c r="I1538" s="11" t="n">
        <x:v>1</x:v>
      </x:c>
      <x:c r="J1538" s="4" t="str">
        <x:v>https://blog.skyairline.com/tarapoto/</x:v>
      </x:c>
      <x:c r="K1538" s="16" t="b">
        <x:v>0</x:v>
      </x:c>
      <x:c r="L1538" s="11" t="n">
        <x:v>0</x:v>
      </x:c>
      <x:c r="M1538" s="11" t="n">
        <x:v>4</x:v>
      </x:c>
      <x:c r="N1538" s="4"/>
      <x:c r="O1538" s="4"/>
      <x:c r="P1538" s="11" t="n">
        <x:v>0</x:v>
      </x:c>
      <x:c r="Q1538" s="11" t="n">
        <x:v>0</x:v>
      </x:c>
      <x:c r="R1538" s="11" t="str">
        <x:f>IF(OR(P1538="",Q1538=""),"",Q1538-P1538)</x:f>
      </x:c>
      <x:c r="S1538" s="13" t="str">
        <x:f>IF(OR(P1538="",Q1538="",P1538=0),"",((Q1538/30)/(P1538/31))-1)</x:f>
      </x:c>
      <x:c r="T1538" s="11" t="n">
        <x:v>55</x:v>
      </x:c>
      <x:c r="U1538" s="11" t="n">
        <x:v>53</x:v>
      </x:c>
      <x:c r="V1538" s="14" t="n">
        <x:v>0</x:v>
      </x:c>
      <x:c r="W1538" s="12" t="n">
        <x:v>8.981132075471699</x:v>
      </x:c>
      <x:c r="X1538" s="11"/>
      <x:c r="Y1538" s="11"/>
      <x:c r="Z1538" s="4" t="str">
        <x:v>https://blog.skyairline.com/tarapoto/</x:v>
      </x:c>
      <x:c r="AA1538" s="4" t="str">
        <x:v>https://blog.skyairline.com/tarapoto/</x:v>
      </x:c>
      <x:c r="AB1538" s="4" t="str">
        <x:v>Coincidencia URL</x:v>
      </x:c>
      <x:c r="AC1538" s="4" t="str">
        <x:v>Publicado hasta septiembre</x:v>
      </x:c>
      <x:c r="AD1538" s="4"/>
      <x:c r="AE1538" s="4"/>
      <x:c r="AF1538" s="16" t="b">
        <x:v>0</x:v>
      </x:c>
    </x:row>
    <x:row r="1539" ht="44" customHeight="1">
      <x:c r="A1539" s="4" t="n">
        <x:v>7727</x:v>
      </x:c>
      <x:c r="B1539" s="4" t="str">
        <x:v>https://blog.skyairline.com/tacna/</x:v>
      </x:c>
      <x:c r="C1539" s="9" t="str">
        <x:v>Vuela a Tacna, la ciudad heroica con SKY</x:v>
      </x:c>
      <x:c r="D1539" s="17" t="d">
        <x:v>2025-11-29T00:00:00.000Z</x:v>
      </x:c>
      <x:c r="E1539" s="17" t="d">
        <x:v>2025-11-17T00:00:00.000Z</x:v>
      </x:c>
      <x:c r="F1539" s="4" t="str">
        <x:v>Destinos</x:v>
      </x:c>
      <x:c r="G1539" s="11" t="n">
        <x:v>976</x:v>
      </x:c>
      <x:c r="H1539" s="11" t="n">
        <x:v>200</x:v>
      </x:c>
      <x:c r="I1539" s="11" t="n">
        <x:v>1</x:v>
      </x:c>
      <x:c r="J1539" s="4" t="str">
        <x:v>https://blog.skyairline.com/tacna/</x:v>
      </x:c>
      <x:c r="K1539" s="16" t="b">
        <x:v>0</x:v>
      </x:c>
      <x:c r="L1539" s="11" t="n">
        <x:v>0</x:v>
      </x:c>
      <x:c r="M1539" s="11" t="n">
        <x:v>2</x:v>
      </x:c>
      <x:c r="N1539" s="4"/>
      <x:c r="O1539" s="4"/>
      <x:c r="P1539" s="11" t="n">
        <x:v>0</x:v>
      </x:c>
      <x:c r="Q1539" s="11" t="n">
        <x:v>0</x:v>
      </x:c>
      <x:c r="R1539" s="11" t="str">
        <x:f>IF(OR(P1539="",Q1539=""),"",Q1539-P1539)</x:f>
      </x:c>
      <x:c r="S1539" s="13" t="str">
        <x:f>IF(OR(P1539="",Q1539="",P1539=0),"",((Q1539/30)/(P1539/31))-1)</x:f>
      </x:c>
      <x:c r="T1539" s="11" t="n">
        <x:v>35</x:v>
      </x:c>
      <x:c r="U1539" s="11" t="n">
        <x:v>26</x:v>
      </x:c>
      <x:c r="V1539" s="14" t="n">
        <x:v>0</x:v>
      </x:c>
      <x:c r="W1539" s="12" t="n">
        <x:v>9.076923076923077</x:v>
      </x:c>
      <x:c r="X1539" s="11"/>
      <x:c r="Y1539" s="11"/>
      <x:c r="Z1539" s="4" t="str">
        <x:v>https://blog.skyairline.com/tacna/</x:v>
      </x:c>
      <x:c r="AA1539" s="4" t="str">
        <x:v>https://blog.skyairline.com/tacna/</x:v>
      </x:c>
      <x:c r="AB1539" s="4" t="str">
        <x:v>Coincidencia URL</x:v>
      </x:c>
      <x:c r="AC1539" s="4" t="str">
        <x:v>Publicado hasta septiembre</x:v>
      </x:c>
      <x:c r="AD1539" s="4"/>
      <x:c r="AE1539" s="4"/>
      <x:c r="AF1539" s="16" t="b">
        <x:v>0</x:v>
      </x:c>
    </x:row>
    <x:row r="1540" ht="44" customHeight="1">
      <x:c r="A1540" s="4" t="n">
        <x:v>7745</x:v>
      </x:c>
      <x:c r="B1540" s="4" t="str">
        <x:v>https://blog.skyairline.com/pichilemu/</x:v>
      </x:c>
      <x:c r="C1540" s="9" t="str">
        <x:v>Pichilemu: la capital del surf</x:v>
      </x:c>
      <x:c r="D1540" s="17" t="d">
        <x:v>2025-12-03T00:00:00.000Z</x:v>
      </x:c>
      <x:c r="E1540" s="17" t="d">
        <x:v>2025-11-17T00:00:00.000Z</x:v>
      </x:c>
      <x:c r="F1540" s="4" t="str">
        <x:v>Destinos</x:v>
      </x:c>
      <x:c r="G1540" s="11" t="n">
        <x:v>1002</x:v>
      </x:c>
      <x:c r="H1540" s="11" t="n">
        <x:v>200</x:v>
      </x:c>
      <x:c r="I1540" s="11" t="n">
        <x:v>1</x:v>
      </x:c>
      <x:c r="J1540" s="4" t="str">
        <x:v>https://blog.skyairline.com/pichilemu/</x:v>
      </x:c>
      <x:c r="K1540" s="16" t="b">
        <x:v>0</x:v>
      </x:c>
      <x:c r="L1540" s="11" t="n">
        <x:v>0</x:v>
      </x:c>
      <x:c r="M1540" s="11" t="n">
        <x:v>3</x:v>
      </x:c>
      <x:c r="N1540" s="4"/>
      <x:c r="O1540" s="4"/>
      <x:c r="P1540" s="11" t="n">
        <x:v>0</x:v>
      </x:c>
      <x:c r="Q1540" s="11" t="n">
        <x:v>0</x:v>
      </x:c>
      <x:c r="R1540" s="11" t="str">
        <x:f>IF(OR(P1540="",Q1540=""),"",Q1540-P1540)</x:f>
      </x:c>
      <x:c r="S1540" s="13" t="str">
        <x:f>IF(OR(P1540="",Q1540="",P1540=0),"",((Q1540/30)/(P1540/31))-1)</x:f>
      </x:c>
      <x:c r="T1540" s="11" t="n">
        <x:v>384</x:v>
      </x:c>
      <x:c r="U1540" s="11" t="n">
        <x:v>541</x:v>
      </x:c>
      <x:c r="V1540" s="14" t="n">
        <x:v>0</x:v>
      </x:c>
      <x:c r="W1540" s="12" t="n">
        <x:v>6.878003696857671</x:v>
      </x:c>
      <x:c r="X1540" s="11" t="n">
        <x:v>1</x:v>
      </x:c>
      <x:c r="Y1540" s="11" t="n">
        <x:v>1</x:v>
      </x:c>
      <x:c r="Z1540" s="4" t="str">
        <x:v>https://blog.skyairline.com/pichilemu/</x:v>
      </x:c>
      <x:c r="AA1540" s="4" t="str">
        <x:v>https://blog.skyairline.com/pichilemu/</x:v>
      </x:c>
      <x:c r="AB1540" s="4" t="str">
        <x:v>Coincidencia URL</x:v>
      </x:c>
      <x:c r="AC1540" s="4" t="str">
        <x:v>Publicado hasta septiembre</x:v>
      </x:c>
      <x:c r="AD1540" s="4" t="str">
        <x:v>/pichilemu/</x:v>
      </x:c>
      <x:c r="AE1540" s="4"/>
      <x:c r="AF1540" s="16" t="b">
        <x:v>0</x:v>
      </x:c>
    </x:row>
    <x:row r="1541" ht="44" customHeight="1">
      <x:c r="A1541" s="4" t="n">
        <x:v>7758</x:v>
      </x:c>
      <x:c r="B1541" s="4" t="str">
        <x:v>https://blog.skyairline.com/parques-en-santiago/</x:v>
      </x:c>
      <x:c r="C1541" s="9" t="str">
        <x:v>Parques en Santiago de Chile</x:v>
      </x:c>
      <x:c r="D1541" s="17" t="d">
        <x:v>2025-12-05T00:00:00.000Z</x:v>
      </x:c>
      <x:c r="E1541" s="17" t="d">
        <x:v>2025-11-17T00:00:00.000Z</x:v>
      </x:c>
      <x:c r="F1541" s="4" t="str">
        <x:v>Destinos</x:v>
      </x:c>
      <x:c r="G1541" s="11" t="n">
        <x:v>994</x:v>
      </x:c>
      <x:c r="H1541" s="11" t="n">
        <x:v>200</x:v>
      </x:c>
      <x:c r="I1541" s="11" t="n">
        <x:v>1</x:v>
      </x:c>
      <x:c r="J1541" s="4" t="str">
        <x:v>https://blog.skyairline.com/parques-en-santiago/</x:v>
      </x:c>
      <x:c r="K1541" s="16" t="b">
        <x:v>0</x:v>
      </x:c>
      <x:c r="L1541" s="11" t="n">
        <x:v>0</x:v>
      </x:c>
      <x:c r="M1541" s="11" t="n">
        <x:v>2</x:v>
      </x:c>
      <x:c r="N1541" s="4"/>
      <x:c r="O1541" s="4"/>
      <x:c r="P1541" s="11" t="n">
        <x:v>1</x:v>
      </x:c>
      <x:c r="Q1541" s="11" t="n">
        <x:v>0</x:v>
      </x:c>
      <x:c r="R1541" s="11" t="str">
        <x:f>IF(OR(P1541="",Q1541=""),"",Q1541-P1541)</x:f>
      </x:c>
      <x:c r="S1541" s="13" t="str">
        <x:f>IF(OR(P1541="",Q1541="",P1541=0),"",((Q1541/30)/(P1541/31))-1)</x:f>
      </x:c>
      <x:c r="T1541" s="11" t="n">
        <x:v>28</x:v>
      </x:c>
      <x:c r="U1541" s="11" t="n">
        <x:v>33</x:v>
      </x:c>
      <x:c r="V1541" s="14" t="n">
        <x:v>0</x:v>
      </x:c>
      <x:c r="W1541" s="12" t="n">
        <x:v>11.848484848484848</x:v>
      </x:c>
      <x:c r="X1541" s="11" t="n">
        <x:v>6</x:v>
      </x:c>
      <x:c r="Y1541" s="11" t="n">
        <x:v>8</x:v>
      </x:c>
      <x:c r="Z1541" s="4" t="str">
        <x:v>https://blog.skyairline.com/parques-en-santiago/</x:v>
      </x:c>
      <x:c r="AA1541" s="4" t="str">
        <x:v>https://blog.skyairline.com/parques-en-santiago/</x:v>
      </x:c>
      <x:c r="AB1541" s="4" t="str">
        <x:v>Coincidencia URL</x:v>
      </x:c>
      <x:c r="AC1541" s="4" t="str">
        <x:v>Publicado hasta septiembre</x:v>
      </x:c>
      <x:c r="AD1541" s="4" t="str">
        <x:v>/parques-en-santiago/</x:v>
      </x:c>
      <x:c r="AE1541" s="4"/>
      <x:c r="AF1541" s="16" t="b">
        <x:v>0</x:v>
      </x:c>
    </x:row>
    <x:row r="1542" ht="44" customHeight="1">
      <x:c r="A1542" s="4" t="n">
        <x:v>7762</x:v>
      </x:c>
      <x:c r="B1542" s="4" t="str">
        <x:v>https://blog.skyairline.com/arica/</x:v>
      </x:c>
      <x:c r="C1542" s="9" t="str">
        <x:v>Arica: ciudad de la eterna primavera</x:v>
      </x:c>
      <x:c r="D1542" s="17" t="d">
        <x:v>2025-12-06T00:00:00.000Z</x:v>
      </x:c>
      <x:c r="E1542" s="17" t="d">
        <x:v>2025-11-17T00:00:00.000Z</x:v>
      </x:c>
      <x:c r="F1542" s="4" t="str">
        <x:v>Destinos</x:v>
      </x:c>
      <x:c r="G1542" s="11" t="n">
        <x:v>1148</x:v>
      </x:c>
      <x:c r="H1542" s="11" t="n">
        <x:v>200</x:v>
      </x:c>
      <x:c r="I1542" s="11" t="n">
        <x:v>1</x:v>
      </x:c>
      <x:c r="J1542" s="4" t="str">
        <x:v>https://blog.skyairline.com/arica/</x:v>
      </x:c>
      <x:c r="K1542" s="16" t="b">
        <x:v>0</x:v>
      </x:c>
      <x:c r="L1542" s="11" t="n">
        <x:v>0</x:v>
      </x:c>
      <x:c r="M1542" s="11" t="n">
        <x:v>5</x:v>
      </x:c>
      <x:c r="N1542" s="4"/>
      <x:c r="O1542" s="4"/>
      <x:c r="P1542" s="11" t="n">
        <x:v>1</x:v>
      </x:c>
      <x:c r="Q1542" s="11" t="n">
        <x:v>0</x:v>
      </x:c>
      <x:c r="R1542" s="11" t="str">
        <x:f>IF(OR(P1542="",Q1542=""),"",Q1542-P1542)</x:f>
      </x:c>
      <x:c r="S1542" s="13" t="str">
        <x:f>IF(OR(P1542="",Q1542="",P1542=0),"",((Q1542/30)/(P1542/31))-1)</x:f>
      </x:c>
      <x:c r="T1542" s="11" t="n">
        <x:v>328</x:v>
      </x:c>
      <x:c r="U1542" s="11" t="n">
        <x:v>137</x:v>
      </x:c>
      <x:c r="V1542" s="14" t="n">
        <x:v>0</x:v>
      </x:c>
      <x:c r="W1542" s="12" t="n">
        <x:v>8.452554744525548</x:v>
      </x:c>
      <x:c r="X1542" s="11"/>
      <x:c r="Y1542" s="11"/>
      <x:c r="Z1542" s="4" t="str">
        <x:v>https://blog.skyairline.com/arica/</x:v>
      </x:c>
      <x:c r="AA1542" s="4" t="str">
        <x:v>https://blog.skyairline.com/arica
https://blog.skyairline.com/arica/</x:v>
      </x:c>
      <x:c r="AB1542" s="4" t="str">
        <x:v>Alias slash agregado</x:v>
      </x:c>
      <x:c r="AC1542" s="4" t="str">
        <x:v>Publicado hasta septiembre</x:v>
      </x:c>
      <x:c r="AD1542" s="4"/>
      <x:c r="AE1542" s="4"/>
      <x:c r="AF1542" s="16" t="b">
        <x:v>0</x:v>
      </x:c>
    </x:row>
    <x:row r="1543" ht="44" customHeight="1">
      <x:c r="A1543" s="4" t="n">
        <x:v>7765</x:v>
      </x:c>
      <x:c r="B1543" s="4" t="str">
        <x:v>https://blog.skyairline.com/momias-chinchorro/</x:v>
      </x:c>
      <x:c r="C1543" s="9" t="str">
        <x:v>Momias Chinchorro: un recorrido imperdible en Arica</x:v>
      </x:c>
      <x:c r="D1543" s="17" t="d">
        <x:v>2025-12-07T00:00:00.000Z</x:v>
      </x:c>
      <x:c r="E1543" s="17" t="d">
        <x:v>2025-11-17T00:00:00.000Z</x:v>
      </x:c>
      <x:c r="F1543" s="4" t="str">
        <x:v>Cultura</x:v>
      </x:c>
      <x:c r="G1543" s="11" t="n">
        <x:v>1056</x:v>
      </x:c>
      <x:c r="H1543" s="11" t="n">
        <x:v>200</x:v>
      </x:c>
      <x:c r="I1543" s="11" t="n">
        <x:v>1</x:v>
      </x:c>
      <x:c r="J1543" s="4" t="str">
        <x:v>https://blog.skyairline.com/momias-chinchorro/</x:v>
      </x:c>
      <x:c r="K1543" s="16" t="b">
        <x:v>0</x:v>
      </x:c>
      <x:c r="L1543" s="11" t="n">
        <x:v>0</x:v>
      </x:c>
      <x:c r="M1543" s="11" t="n">
        <x:v>2</x:v>
      </x:c>
      <x:c r="N1543" s="4"/>
      <x:c r="O1543" s="4"/>
      <x:c r="P1543" s="11" t="n">
        <x:v>0</x:v>
      </x:c>
      <x:c r="Q1543" s="11" t="n">
        <x:v>0</x:v>
      </x:c>
      <x:c r="R1543" s="11" t="str">
        <x:f>IF(OR(P1543="",Q1543=""),"",Q1543-P1543)</x:f>
      </x:c>
      <x:c r="S1543" s="13" t="str">
        <x:f>IF(OR(P1543="",Q1543="",P1543=0),"",((Q1543/30)/(P1543/31))-1)</x:f>
      </x:c>
      <x:c r="T1543" s="11" t="n">
        <x:v>38</x:v>
      </x:c>
      <x:c r="U1543" s="11" t="n">
        <x:v>42</x:v>
      </x:c>
      <x:c r="V1543" s="14" t="n">
        <x:v>0</x:v>
      </x:c>
      <x:c r="W1543" s="12" t="n">
        <x:v>12.642857142857142</x:v>
      </x:c>
      <x:c r="X1543" s="11"/>
      <x:c r="Y1543" s="11"/>
      <x:c r="Z1543" s="4" t="str">
        <x:v>https://blog.skyairline.com/momias-chinchorro/</x:v>
      </x:c>
      <x:c r="AA1543" s="4" t="str">
        <x:v>https://blog.skyairline.com/momias-chinchorro/</x:v>
      </x:c>
      <x:c r="AB1543" s="4" t="str">
        <x:v>Coincidencia URL</x:v>
      </x:c>
      <x:c r="AC1543" s="4" t="str">
        <x:v>Publicado hasta septiembre</x:v>
      </x:c>
      <x:c r="AD1543" s="4"/>
      <x:c r="AE1543" s="4"/>
      <x:c r="AF1543" s="16" t="b">
        <x:v>0</x:v>
      </x:c>
    </x:row>
    <x:row r="1544" ht="44" customHeight="1">
      <x:c r="A1544" s="4" t="n">
        <x:v>7799</x:v>
      </x:c>
      <x:c r="B1544" s="4" t="str">
        <x:v>https://blog.skyairline.com/biodiversidad/</x:v>
      </x:c>
      <x:c r="C1544" s="9" t="str">
        <x:v>Mirador de la Biodiversidad: el mejor punto panorámico de Puerto Maldonado</x:v>
      </x:c>
      <x:c r="D1544" s="17" t="d">
        <x:v>2025-12-08T00:00:00.000Z</x:v>
      </x:c>
      <x:c r="E1544" s="17" t="d">
        <x:v>2025-12-03T00:00:00.000Z</x:v>
      </x:c>
      <x:c r="F1544" s="4" t="str">
        <x:v>Destinos</x:v>
      </x:c>
      <x:c r="G1544" s="11" t="n">
        <x:v>992</x:v>
      </x:c>
      <x:c r="H1544" s="11" t="n">
        <x:v>200</x:v>
      </x:c>
      <x:c r="I1544" s="11" t="n">
        <x:v>1</x:v>
      </x:c>
      <x:c r="J1544" s="4" t="str">
        <x:v>https://blog.skyairline.com/biodiversidad/</x:v>
      </x:c>
      <x:c r="K1544" s="16" t="b">
        <x:v>0</x:v>
      </x:c>
      <x:c r="L1544" s="11" t="n">
        <x:v>0</x:v>
      </x:c>
      <x:c r="M1544" s="11" t="n">
        <x:v>0</x:v>
      </x:c>
      <x:c r="N1544" s="4"/>
      <x:c r="O1544" s="4"/>
      <x:c r="P1544" s="11" t="n">
        <x:v>2</x:v>
      </x:c>
      <x:c r="Q1544" s="11" t="n">
        <x:v>0</x:v>
      </x:c>
      <x:c r="R1544" s="11" t="str">
        <x:f>IF(OR(P1544="",Q1544=""),"",Q1544-P1544)</x:f>
      </x:c>
      <x:c r="S1544" s="13" t="str">
        <x:f>IF(OR(P1544="",Q1544="",P1544=0),"",((Q1544/30)/(P1544/31))-1)</x:f>
      </x:c>
      <x:c r="T1544" s="11" t="n">
        <x:v>398</x:v>
      </x:c>
      <x:c r="U1544" s="11" t="n">
        <x:v>189</x:v>
      </x:c>
      <x:c r="V1544" s="14" t="n">
        <x:v>0</x:v>
      </x:c>
      <x:c r="W1544" s="12" t="n">
        <x:v>9.952380952380953</x:v>
      </x:c>
      <x:c r="X1544" s="11" t="n">
        <x:v>1</x:v>
      </x:c>
      <x:c r="Y1544" s="11" t="n">
        <x:v>1</x:v>
      </x:c>
      <x:c r="Z1544" s="4" t="str">
        <x:v>https://blog.skyairline.com/biodiversidad/</x:v>
      </x:c>
      <x:c r="AA1544" s="4" t="str">
        <x:v>https://blog.skyairline.com/biodiversidad/</x:v>
      </x:c>
      <x:c r="AB1544" s="4" t="str">
        <x:v>Coincidencia URL</x:v>
      </x:c>
      <x:c r="AC1544" s="4" t="str">
        <x:v>Publicado hasta septiembre</x:v>
      </x:c>
      <x:c r="AD1544" s="4" t="str">
        <x:v>/biodiversidad/</x:v>
      </x:c>
      <x:c r="AE1544" s="4"/>
      <x:c r="AF1544" s="16" t="b">
        <x:v>0</x:v>
      </x:c>
    </x:row>
    <x:row r="1545" ht="44" customHeight="1">
      <x:c r="A1545" s="4" t="n">
        <x:v>7802</x:v>
      </x:c>
      <x:c r="B1545" s="4" t="str">
        <x:v>https://blog.skyairline.com/iquique/</x:v>
      </x:c>
      <x:c r="C1545" s="9" t="str">
        <x:v>Disfruta Iquique: Playas, historia y zona franca</x:v>
      </x:c>
      <x:c r="D1545" s="17" t="d">
        <x:v>2025-12-08T00:00:00.000Z</x:v>
      </x:c>
      <x:c r="E1545" s="17" t="d">
        <x:v>2025-12-04T00:00:00.000Z</x:v>
      </x:c>
      <x:c r="F1545" s="4" t="str">
        <x:v>Destinos</x:v>
      </x:c>
      <x:c r="G1545" s="11" t="n">
        <x:v>1141</x:v>
      </x:c>
      <x:c r="H1545" s="11" t="n">
        <x:v>200</x:v>
      </x:c>
      <x:c r="I1545" s="11" t="n">
        <x:v>1</x:v>
      </x:c>
      <x:c r="J1545" s="4" t="str">
        <x:v>https://blog.skyairline.com/iquique/</x:v>
      </x:c>
      <x:c r="K1545" s="16" t="b">
        <x:v>0</x:v>
      </x:c>
      <x:c r="L1545" s="11" t="n">
        <x:v>0</x:v>
      </x:c>
      <x:c r="M1545" s="11" t="n">
        <x:v>0</x:v>
      </x:c>
      <x:c r="N1545" s="4"/>
      <x:c r="O1545" s="4"/>
      <x:c r="P1545" s="11" t="n">
        <x:v>1</x:v>
      </x:c>
      <x:c r="Q1545" s="11" t="n">
        <x:v>0</x:v>
      </x:c>
      <x:c r="R1545" s="11" t="str">
        <x:f>IF(OR(P1545="",Q1545=""),"",Q1545-P1545)</x:f>
      </x:c>
      <x:c r="S1545" s="13" t="str">
        <x:f>IF(OR(P1545="",Q1545="",P1545=0),"",((Q1545/30)/(P1545/31))-1)</x:f>
      </x:c>
      <x:c r="T1545" s="11" t="n">
        <x:v>131</x:v>
      </x:c>
      <x:c r="U1545" s="11" t="n">
        <x:v>170</x:v>
      </x:c>
      <x:c r="V1545" s="14" t="n">
        <x:v>0</x:v>
      </x:c>
      <x:c r="W1545" s="12" t="n">
        <x:v>5.464705882352941</x:v>
      </x:c>
      <x:c r="X1545" s="11"/>
      <x:c r="Y1545" s="11"/>
      <x:c r="Z1545" s="4" t="str">
        <x:v>https://blog.skyairline.com/iquique/</x:v>
      </x:c>
      <x:c r="AA1545" s="4" t="str">
        <x:v>https://blog.skyairline.com/iquique/</x:v>
      </x:c>
      <x:c r="AB1545" s="4" t="str">
        <x:v>Coincidencia URL</x:v>
      </x:c>
      <x:c r="AC1545" s="4" t="str">
        <x:v>Publicado hasta septiembre</x:v>
      </x:c>
      <x:c r="AD1545" s="4"/>
      <x:c r="AE1545" s="4"/>
      <x:c r="AF1545" s="16" t="b">
        <x:v>0</x:v>
      </x:c>
    </x:row>
    <x:row r="1546" ht="44" customHeight="1">
      <x:c r="A1546" s="4" t="n">
        <x:v>7805</x:v>
      </x:c>
      <x:c r="B1546" s="4" t="str">
        <x:v>https://blog.skyairline.com/antofagasta/</x:v>
      </x:c>
      <x:c r="C1546" s="9" t="str">
        <x:v>Descanso en Antofagasta: La perla del norte</x:v>
      </x:c>
      <x:c r="D1546" s="17" t="d">
        <x:v>2025-12-09T00:00:00.000Z</x:v>
      </x:c>
      <x:c r="E1546" s="17" t="d">
        <x:v>2025-12-04T00:00:00.000Z</x:v>
      </x:c>
      <x:c r="F1546" s="4" t="str">
        <x:v>Destinos</x:v>
      </x:c>
      <x:c r="G1546" s="11" t="n">
        <x:v>992</x:v>
      </x:c>
      <x:c r="H1546" s="11" t="n">
        <x:v>200</x:v>
      </x:c>
      <x:c r="I1546" s="11" t="n">
        <x:v>1</x:v>
      </x:c>
      <x:c r="J1546" s="4" t="str">
        <x:v>https://blog.skyairline.com/antofagasta/</x:v>
      </x:c>
      <x:c r="K1546" s="16" t="b">
        <x:v>0</x:v>
      </x:c>
      <x:c r="L1546" s="11" t="n">
        <x:v>0</x:v>
      </x:c>
      <x:c r="M1546" s="11" t="n">
        <x:v>0</x:v>
      </x:c>
      <x:c r="N1546" s="4"/>
      <x:c r="O1546" s="4"/>
      <x:c r="P1546" s="11" t="n">
        <x:v>1</x:v>
      </x:c>
      <x:c r="Q1546" s="11" t="n">
        <x:v>0</x:v>
      </x:c>
      <x:c r="R1546" s="11" t="str">
        <x:f>IF(OR(P1546="",Q1546=""),"",Q1546-P1546)</x:f>
      </x:c>
      <x:c r="S1546" s="13" t="str">
        <x:f>IF(OR(P1546="",Q1546="",P1546=0),"",((Q1546/30)/(P1546/31))-1)</x:f>
      </x:c>
      <x:c r="T1546" s="11" t="n">
        <x:v>113</x:v>
      </x:c>
      <x:c r="U1546" s="11" t="n">
        <x:v>9</x:v>
      </x:c>
      <x:c r="V1546" s="14" t="n">
        <x:v>0</x:v>
      </x:c>
      <x:c r="W1546" s="12" t="n">
        <x:v>24.11111111111111</x:v>
      </x:c>
      <x:c r="X1546" s="11"/>
      <x:c r="Y1546" s="11"/>
      <x:c r="Z1546" s="4" t="str">
        <x:v>https://blog.skyairline.com/antofagasta/</x:v>
      </x:c>
      <x:c r="AA1546" s="4" t="str">
        <x:v>https://blog.skyairline.com/antofagasta/</x:v>
      </x:c>
      <x:c r="AB1546" s="4" t="str">
        <x:v>Coincidencia URL</x:v>
      </x:c>
      <x:c r="AC1546" s="4" t="str">
        <x:v>Publicado hasta septiembre</x:v>
      </x:c>
      <x:c r="AD1546" s="4"/>
      <x:c r="AE1546" s="4"/>
      <x:c r="AF1546" s="16" t="b">
        <x:v>0</x:v>
      </x:c>
    </x:row>
    <x:row r="1547" ht="44" customHeight="1">
      <x:c r="A1547" s="4" t="n">
        <x:v>7809</x:v>
      </x:c>
      <x:c r="B1547" s="4" t="str">
        <x:v>https://blog.skyairline.com/calama/</x:v>
      </x:c>
      <x:c r="C1547" s="9" t="str">
        <x:v>Sorpréndete en Calama: La puerta de entrada al desierto de Atacama</x:v>
      </x:c>
      <x:c r="D1547" s="17" t="d">
        <x:v>2025-12-09T00:00:00.000Z</x:v>
      </x:c>
      <x:c r="E1547" s="17" t="d">
        <x:v>2025-12-04T00:00:00.000Z</x:v>
      </x:c>
      <x:c r="F1547" s="4" t="str">
        <x:v>Destinos</x:v>
      </x:c>
      <x:c r="G1547" s="11" t="n">
        <x:v>1016</x:v>
      </x:c>
      <x:c r="H1547" s="11" t="n">
        <x:v>200</x:v>
      </x:c>
      <x:c r="I1547" s="11" t="n">
        <x:v>1</x:v>
      </x:c>
      <x:c r="J1547" s="4" t="str">
        <x:v>https://blog.skyairline.com/calama/</x:v>
      </x:c>
      <x:c r="K1547" s="16" t="b">
        <x:v>0</x:v>
      </x:c>
      <x:c r="L1547" s="11" t="n">
        <x:v>0</x:v>
      </x:c>
      <x:c r="M1547" s="11" t="n">
        <x:v>0</x:v>
      </x:c>
      <x:c r="N1547" s="4"/>
      <x:c r="O1547" s="4"/>
      <x:c r="P1547" s="11" t="n">
        <x:v>0</x:v>
      </x:c>
      <x:c r="Q1547" s="11" t="n">
        <x:v>0</x:v>
      </x:c>
      <x:c r="R1547" s="11" t="str">
        <x:f>IF(OR(P1547="",Q1547=""),"",Q1547-P1547)</x:f>
      </x:c>
      <x:c r="S1547" s="13" t="str">
        <x:f>IF(OR(P1547="",Q1547="",P1547=0),"",((Q1547/30)/(P1547/31))-1)</x:f>
      </x:c>
      <x:c r="T1547" s="11" t="n">
        <x:v>1465</x:v>
      </x:c>
      <x:c r="U1547" s="11" t="n">
        <x:v>631</x:v>
      </x:c>
      <x:c r="V1547" s="14" t="n">
        <x:v>0</x:v>
      </x:c>
      <x:c r="W1547" s="12" t="n">
        <x:v>10.806656101426308</x:v>
      </x:c>
      <x:c r="X1547" s="11" t="n">
        <x:v>2</x:v>
      </x:c>
      <x:c r="Y1547" s="11" t="n">
        <x:v>1</x:v>
      </x:c>
      <x:c r="Z1547" s="4" t="str">
        <x:v>https://blog.skyairline.com/calama/</x:v>
      </x:c>
      <x:c r="AA1547" s="4" t="str">
        <x:v>https://blog.skyairline.com/calama/</x:v>
      </x:c>
      <x:c r="AB1547" s="4" t="str">
        <x:v>Coincidencia URL</x:v>
      </x:c>
      <x:c r="AC1547" s="4" t="str">
        <x:v>Publicado hasta septiembre</x:v>
      </x:c>
      <x:c r="AD1547" s="4" t="str">
        <x:v>/calama/</x:v>
      </x:c>
      <x:c r="AE1547" s="4"/>
      <x:c r="AF1547" s="16" t="b">
        <x:v>0</x:v>
      </x:c>
    </x:row>
    <x:row r="1548" ht="44" customHeight="1">
      <x:c r="A1548" s="4" t="n">
        <x:v>7817</x:v>
      </x:c>
      <x:c r="B1548" s="4" t="str">
        <x:v>https://blog.skyairline.com/la-serena/</x:v>
      </x:c>
      <x:c r="C1548" s="9" t="str">
        <x:v>La Serena: Principales atracciones que dejarán sorprendido</x:v>
      </x:c>
      <x:c r="D1548" s="17" t="d">
        <x:v>2025-12-10T00:00:00.000Z</x:v>
      </x:c>
      <x:c r="E1548" s="17" t="d">
        <x:v>2025-12-04T00:00:00.000Z</x:v>
      </x:c>
      <x:c r="F1548" s="4" t="str">
        <x:v>Destinos</x:v>
      </x:c>
      <x:c r="G1548" s="11" t="n">
        <x:v>1134</x:v>
      </x:c>
      <x:c r="H1548" s="11" t="n">
        <x:v>200</x:v>
      </x:c>
      <x:c r="I1548" s="11" t="n">
        <x:v>1</x:v>
      </x:c>
      <x:c r="J1548" s="4" t="str">
        <x:v>https://blog.skyairline.com/la-serena/</x:v>
      </x:c>
      <x:c r="K1548" s="16" t="b">
        <x:v>0</x:v>
      </x:c>
      <x:c r="L1548" s="11" t="n">
        <x:v>0</x:v>
      </x:c>
      <x:c r="M1548" s="11" t="n">
        <x:v>0</x:v>
      </x:c>
      <x:c r="N1548" s="4"/>
      <x:c r="O1548" s="4"/>
      <x:c r="P1548" s="11" t="n">
        <x:v>0</x:v>
      </x:c>
      <x:c r="Q1548" s="11" t="n">
        <x:v>0</x:v>
      </x:c>
      <x:c r="R1548" s="11" t="str">
        <x:f>IF(OR(P1548="",Q1548=""),"",Q1548-P1548)</x:f>
      </x:c>
      <x:c r="S1548" s="13" t="str">
        <x:f>IF(OR(P1548="",Q1548="",P1548=0),"",((Q1548/30)/(P1548/31))-1)</x:f>
      </x:c>
      <x:c r="T1548" s="11" t="n">
        <x:v>69</x:v>
      </x:c>
      <x:c r="U1548" s="11" t="n">
        <x:v>51</x:v>
      </x:c>
      <x:c r="V1548" s="14" t="n">
        <x:v>0</x:v>
      </x:c>
      <x:c r="W1548" s="12" t="n">
        <x:v>10.901960784313726</x:v>
      </x:c>
      <x:c r="X1548" s="11"/>
      <x:c r="Y1548" s="11"/>
      <x:c r="Z1548" s="4" t="str">
        <x:v>https://blog.skyairline.com/la-serena/</x:v>
      </x:c>
      <x:c r="AA1548" s="4" t="str">
        <x:v>https://blog.skyairline.com/la-serena/</x:v>
      </x:c>
      <x:c r="AB1548" s="4" t="str">
        <x:v>Coincidencia URL</x:v>
      </x:c>
      <x:c r="AC1548" s="4" t="str">
        <x:v>Publicado hasta septiembre</x:v>
      </x:c>
      <x:c r="AD1548" s="4"/>
      <x:c r="AE1548" s="4"/>
      <x:c r="AF1548" s="16" t="b">
        <x:v>0</x:v>
      </x:c>
    </x:row>
    <x:row r="1549" ht="44" customHeight="1">
      <x:c r="A1549" s="4" t="n">
        <x:v>7823</x:v>
      </x:c>
      <x:c r="B1549" s="4" t="str">
        <x:v>https://blog.skyairline.com/lago-chungara/</x:v>
      </x:c>
      <x:c r="C1549" s="9" t="str">
        <x:v>Desafíate a conocer el Lago Chungará: el lago más alto del mundo</x:v>
      </x:c>
      <x:c r="D1549" s="17" t="d">
        <x:v>2025-12-11T00:00:00.000Z</x:v>
      </x:c>
      <x:c r="E1549" s="17" t="d">
        <x:v>2025-12-04T00:00:00.000Z</x:v>
      </x:c>
      <x:c r="F1549" s="4" t="str">
        <x:v>Destinos</x:v>
      </x:c>
      <x:c r="G1549" s="11" t="n">
        <x:v>1008</x:v>
      </x:c>
      <x:c r="H1549" s="11" t="n">
        <x:v>200</x:v>
      </x:c>
      <x:c r="I1549" s="11" t="n">
        <x:v>1</x:v>
      </x:c>
      <x:c r="J1549" s="4" t="str">
        <x:v>https://blog.skyairline.com/lago-chungara/</x:v>
      </x:c>
      <x:c r="K1549" s="16" t="b">
        <x:v>0</x:v>
      </x:c>
      <x:c r="L1549" s="11" t="n">
        <x:v>0</x:v>
      </x:c>
      <x:c r="M1549" s="11" t="n">
        <x:v>0</x:v>
      </x:c>
      <x:c r="N1549" s="4"/>
      <x:c r="O1549" s="4"/>
      <x:c r="P1549" s="11" t="n">
        <x:v>1</x:v>
      </x:c>
      <x:c r="Q1549" s="11" t="n">
        <x:v>0</x:v>
      </x:c>
      <x:c r="R1549" s="11" t="str">
        <x:f>IF(OR(P1549="",Q1549=""),"",Q1549-P1549)</x:f>
      </x:c>
      <x:c r="S1549" s="13" t="str">
        <x:f>IF(OR(P1549="",Q1549="",P1549=0),"",((Q1549/30)/(P1549/31))-1)</x:f>
      </x:c>
      <x:c r="T1549" s="11" t="n">
        <x:v>600</x:v>
      </x:c>
      <x:c r="U1549" s="11" t="n">
        <x:v>343</x:v>
      </x:c>
      <x:c r="V1549" s="14" t="n">
        <x:v>0</x:v>
      </x:c>
      <x:c r="W1549" s="12" t="n">
        <x:v>9.244897959183673</x:v>
      </x:c>
      <x:c r="X1549" s="11" t="n">
        <x:v>1</x:v>
      </x:c>
      <x:c r="Y1549" s="11" t="n">
        <x:v>3</x:v>
      </x:c>
      <x:c r="Z1549" s="4" t="str">
        <x:v>https://blog.skyairline.com/lago-chungara/</x:v>
      </x:c>
      <x:c r="AA1549" s="4" t="str">
        <x:v>https://blog.skyairline.com/lago-chungara/</x:v>
      </x:c>
      <x:c r="AB1549" s="4" t="str">
        <x:v>Coincidencia URL</x:v>
      </x:c>
      <x:c r="AC1549" s="4" t="str">
        <x:v>Publicado hasta septiembre</x:v>
      </x:c>
      <x:c r="AD1549" s="4" t="str">
        <x:v>/lago-chungara/</x:v>
      </x:c>
      <x:c r="AE1549" s="4"/>
      <x:c r="AF1549" s="16" t="b">
        <x:v>0</x:v>
      </x:c>
    </x:row>
    <x:row r="1550" ht="44" customHeight="1">
      <x:c r="A1550" s="4" t="n">
        <x:v>7827</x:v>
      </x:c>
      <x:c r="B1550" s="4" t="str">
        <x:v>https://blog.skyairline.com/putre/</x:v>
      </x:c>
      <x:c r="C1550" s="9" t="str">
        <x:v>Putre: actividades y paisajes para descubrir</x:v>
      </x:c>
      <x:c r="D1550" s="17" t="d">
        <x:v>2025-12-12T00:00:00.000Z</x:v>
      </x:c>
      <x:c r="E1550" s="17" t="d">
        <x:v>2025-12-04T00:00:00.000Z</x:v>
      </x:c>
      <x:c r="F1550" s="4" t="str">
        <x:v>Destinos</x:v>
      </x:c>
      <x:c r="G1550" s="11" t="n">
        <x:v>1107</x:v>
      </x:c>
      <x:c r="H1550" s="11" t="n">
        <x:v>200</x:v>
      </x:c>
      <x:c r="I1550" s="11" t="n">
        <x:v>1</x:v>
      </x:c>
      <x:c r="J1550" s="4" t="str">
        <x:v>https://blog.skyairline.com/putre/</x:v>
      </x:c>
      <x:c r="K1550" s="16" t="b">
        <x:v>0</x:v>
      </x:c>
      <x:c r="L1550" s="11" t="n">
        <x:v>0</x:v>
      </x:c>
      <x:c r="M1550" s="11" t="n">
        <x:v>0</x:v>
      </x:c>
      <x:c r="N1550" s="4"/>
      <x:c r="O1550" s="4"/>
      <x:c r="P1550" s="11" t="n">
        <x:v>0</x:v>
      </x:c>
      <x:c r="Q1550" s="11" t="n">
        <x:v>0</x:v>
      </x:c>
      <x:c r="R1550" s="11" t="str">
        <x:f>IF(OR(P1550="",Q1550=""),"",Q1550-P1550)</x:f>
      </x:c>
      <x:c r="S1550" s="13" t="str">
        <x:f>IF(OR(P1550="",Q1550="",P1550=0),"",((Q1550/30)/(P1550/31))-1)</x:f>
      </x:c>
      <x:c r="T1550" s="11" t="n">
        <x:v>190</x:v>
      </x:c>
      <x:c r="U1550" s="11" t="n">
        <x:v>140</x:v>
      </x:c>
      <x:c r="V1550" s="14" t="n">
        <x:v>0</x:v>
      </x:c>
      <x:c r="W1550" s="12" t="n">
        <x:v>13.521428571428572</x:v>
      </x:c>
      <x:c r="X1550" s="11"/>
      <x:c r="Y1550" s="11"/>
      <x:c r="Z1550" s="4" t="str">
        <x:v>https://blog.skyairline.com/putre/</x:v>
      </x:c>
      <x:c r="AA1550" s="4" t="str">
        <x:v>https://blog.skyairline.com/putre/</x:v>
      </x:c>
      <x:c r="AB1550" s="4" t="str">
        <x:v>Coincidencia URL</x:v>
      </x:c>
      <x:c r="AC1550" s="4" t="str">
        <x:v>Publicado hasta septiembre</x:v>
      </x:c>
      <x:c r="AD1550" s="4"/>
      <x:c r="AE1550" s="4"/>
      <x:c r="AF1550" s="16" t="b">
        <x:v>0</x:v>
      </x:c>
    </x:row>
    <x:row r="1551" ht="44" customHeight="1">
      <x:c r="A1551" s="4" t="n">
        <x:v>7848</x:v>
      </x:c>
      <x:c r="B1551" s="4" t="str">
        <x:v>https://blog.skyairline.com/laguna-cejar/</x:v>
      </x:c>
      <x:c r="C1551" s="9" t="str">
        <x:v>Laguna Cejar: destino imperdible en San Pedro</x:v>
      </x:c>
      <x:c r="D1551" s="17" t="d">
        <x:v>2025-12-16T00:00:00.000Z</x:v>
      </x:c>
      <x:c r="E1551" s="17" t="d">
        <x:v>2025-12-04T00:00:00.000Z</x:v>
      </x:c>
      <x:c r="F1551" s="4" t="str">
        <x:v>Destinos</x:v>
      </x:c>
      <x:c r="G1551" s="11" t="n">
        <x:v>1007</x:v>
      </x:c>
      <x:c r="H1551" s="11" t="n">
        <x:v>200</x:v>
      </x:c>
      <x:c r="I1551" s="11" t="n">
        <x:v>1</x:v>
      </x:c>
      <x:c r="J1551" s="4" t="str">
        <x:v>https://blog.skyairline.com/laguna-cejar/</x:v>
      </x:c>
      <x:c r="K1551" s="16" t="b">
        <x:v>0</x:v>
      </x:c>
      <x:c r="L1551" s="11" t="n">
        <x:v>0</x:v>
      </x:c>
      <x:c r="M1551" s="11" t="n">
        <x:v>0</x:v>
      </x:c>
      <x:c r="N1551" s="4"/>
      <x:c r="O1551" s="4"/>
      <x:c r="P1551" s="11" t="n">
        <x:v>2</x:v>
      </x:c>
      <x:c r="Q1551" s="11" t="n">
        <x:v>0</x:v>
      </x:c>
      <x:c r="R1551" s="11" t="str">
        <x:f>IF(OR(P1551="",Q1551=""),"",Q1551-P1551)</x:f>
      </x:c>
      <x:c r="S1551" s="13" t="str">
        <x:f>IF(OR(P1551="",Q1551="",P1551=0),"",((Q1551/30)/(P1551/31))-1)</x:f>
      </x:c>
      <x:c r="T1551" s="11" t="n">
        <x:v>593</x:v>
      </x:c>
      <x:c r="U1551" s="11" t="n">
        <x:v>463</x:v>
      </x:c>
      <x:c r="V1551" s="14" t="n">
        <x:v>0</x:v>
      </x:c>
      <x:c r="W1551" s="12" t="n">
        <x:v>11.192224622030238</x:v>
      </x:c>
      <x:c r="X1551" s="11"/>
      <x:c r="Y1551" s="11"/>
      <x:c r="Z1551" s="4" t="str">
        <x:v>https://blog.skyairline.com/laguna-cejar/</x:v>
      </x:c>
      <x:c r="AA1551" s="4" t="str">
        <x:v>https://blog.skyairline.com/laguna-cejar/</x:v>
      </x:c>
      <x:c r="AB1551" s="4" t="str">
        <x:v>Coincidencia URL</x:v>
      </x:c>
      <x:c r="AC1551" s="4" t="str">
        <x:v>Publicado hasta septiembre</x:v>
      </x:c>
      <x:c r="AD1551" s="4"/>
      <x:c r="AE1551" s="4"/>
      <x:c r="AF1551" s="16" t="b">
        <x:v>0</x:v>
      </x:c>
    </x:row>
    <x:row r="1552" ht="44" customHeight="1">
      <x:c r="A1552" s="4" t="n">
        <x:v>7851</x:v>
      </x:c>
      <x:c r="B1552" s="4" t="str">
        <x:v>https://blog.skyairline.com/la-portada-de-antofagasta/</x:v>
      </x:c>
      <x:c r="C1552" s="9" t="str">
        <x:v>Incluye La Portada de Antofagasta en el itinerario de tu próximo viaje</x:v>
      </x:c>
      <x:c r="D1552" s="17" t="d">
        <x:v>2025-12-17T00:00:00.000Z</x:v>
      </x:c>
      <x:c r="E1552" s="17" t="d">
        <x:v>2025-12-04T00:00:00.000Z</x:v>
      </x:c>
      <x:c r="F1552" s="4" t="str">
        <x:v>Destinos</x:v>
      </x:c>
      <x:c r="G1552" s="11" t="n">
        <x:v>1066</x:v>
      </x:c>
      <x:c r="H1552" s="11" t="n">
        <x:v>200</x:v>
      </x:c>
      <x:c r="I1552" s="11" t="n">
        <x:v>1</x:v>
      </x:c>
      <x:c r="J1552" s="4" t="str">
        <x:v>https://blog.skyairline.com/la-portada-de-antofagasta/</x:v>
      </x:c>
      <x:c r="K1552" s="16" t="b">
        <x:v>0</x:v>
      </x:c>
      <x:c r="L1552" s="11" t="n">
        <x:v>0</x:v>
      </x:c>
      <x:c r="M1552" s="11" t="n">
        <x:v>0</x:v>
      </x:c>
      <x:c r="N1552" s="4"/>
      <x:c r="O1552" s="4"/>
      <x:c r="P1552" s="11" t="n">
        <x:v>3</x:v>
      </x:c>
      <x:c r="Q1552" s="11" t="n">
        <x:v>0</x:v>
      </x:c>
      <x:c r="R1552" s="11" t="str">
        <x:f>IF(OR(P1552="",Q1552=""),"",Q1552-P1552)</x:f>
      </x:c>
      <x:c r="S1552" s="13" t="str">
        <x:f>IF(OR(P1552="",Q1552="",P1552=0),"",((Q1552/30)/(P1552/31))-1)</x:f>
      </x:c>
      <x:c r="T1552" s="11" t="n">
        <x:v>279</x:v>
      </x:c>
      <x:c r="U1552" s="11" t="n">
        <x:v>157</x:v>
      </x:c>
      <x:c r="V1552" s="14" t="n">
        <x:v>0</x:v>
      </x:c>
      <x:c r="W1552" s="12" t="n">
        <x:v>9.51592356687898</x:v>
      </x:c>
      <x:c r="X1552" s="11"/>
      <x:c r="Y1552" s="11"/>
      <x:c r="Z1552" s="4" t="str">
        <x:v>https://blog.skyairline.com/la-portada-de-antofagasta/</x:v>
      </x:c>
      <x:c r="AA1552" s="4" t="str">
        <x:v>https://blog.skyairline.com/la-portada-de-antofagasta/</x:v>
      </x:c>
      <x:c r="AB1552" s="4" t="str">
        <x:v>Coincidencia URL</x:v>
      </x:c>
      <x:c r="AC1552" s="4" t="str">
        <x:v>Publicado hasta septiembre</x:v>
      </x:c>
      <x:c r="AD1552" s="4"/>
      <x:c r="AE1552" s="4"/>
      <x:c r="AF1552" s="16" t="b">
        <x:v>0</x:v>
      </x:c>
    </x:row>
    <x:row r="1553" ht="44" customHeight="1">
      <x:c r="A1553" s="4" t="n">
        <x:v>7860</x:v>
      </x:c>
      <x:c r="B1553" s="4" t="str">
        <x:v>https://blog.skyairline.com/ojos-del-salado/</x:v>
      </x:c>
      <x:c r="C1553" s="9" t="str">
        <x:v>Ojos del salado: el volcán más alto del mundo</x:v>
      </x:c>
      <x:c r="D1553" s="17" t="d">
        <x:v>2025-12-18T00:00:00.000Z</x:v>
      </x:c>
      <x:c r="E1553" s="17" t="d">
        <x:v>2025-12-04T00:00:00.000Z</x:v>
      </x:c>
      <x:c r="F1553" s="4" t="str">
        <x:v>Destinos</x:v>
      </x:c>
      <x:c r="G1553" s="11" t="n">
        <x:v>1094</x:v>
      </x:c>
      <x:c r="H1553" s="11" t="n">
        <x:v>200</x:v>
      </x:c>
      <x:c r="I1553" s="11" t="n">
        <x:v>1</x:v>
      </x:c>
      <x:c r="J1553" s="4" t="str">
        <x:v>https://blog.skyairline.com/ojos-del-salado/</x:v>
      </x:c>
      <x:c r="K1553" s="16" t="b">
        <x:v>0</x:v>
      </x:c>
      <x:c r="L1553" s="11" t="n">
        <x:v>0</x:v>
      </x:c>
      <x:c r="M1553" s="11" t="n">
        <x:v>0</x:v>
      </x:c>
      <x:c r="N1553" s="4"/>
      <x:c r="O1553" s="4"/>
      <x:c r="P1553" s="11" t="n">
        <x:v>1</x:v>
      </x:c>
      <x:c r="Q1553" s="11" t="n">
        <x:v>0</x:v>
      </x:c>
      <x:c r="R1553" s="11" t="str">
        <x:f>IF(OR(P1553="",Q1553=""),"",Q1553-P1553)</x:f>
      </x:c>
      <x:c r="S1553" s="13" t="str">
        <x:f>IF(OR(P1553="",Q1553="",P1553=0),"",((Q1553/30)/(P1553/31))-1)</x:f>
      </x:c>
      <x:c r="T1553" s="11" t="n">
        <x:v>1930</x:v>
      </x:c>
      <x:c r="U1553" s="11" t="n">
        <x:v>4430</x:v>
      </x:c>
      <x:c r="V1553" s="14" t="n">
        <x:v>0</x:v>
      </x:c>
      <x:c r="W1553" s="12" t="n">
        <x:v>8.579909706546275</x:v>
      </x:c>
      <x:c r="X1553" s="11"/>
      <x:c r="Y1553" s="11"/>
      <x:c r="Z1553" s="4" t="str">
        <x:v>https://blog.skyairline.com/ojos-del-salado/</x:v>
      </x:c>
      <x:c r="AA1553" s="4" t="str">
        <x:v>https://blog.skyairline.com/ojos-del-salado/</x:v>
      </x:c>
      <x:c r="AB1553" s="4" t="str">
        <x:v>Coincidencia URL</x:v>
      </x:c>
      <x:c r="AC1553" s="4" t="str">
        <x:v>Publicado hasta septiembre</x:v>
      </x:c>
      <x:c r="AD1553" s="4"/>
      <x:c r="AE1553" s="4"/>
      <x:c r="AF1553" s="16" t="b">
        <x:v>0</x:v>
      </x:c>
    </x:row>
    <x:row r="1554" ht="44" customHeight="1">
      <x:c r="A1554" s="4" t="n">
        <x:v>7863</x:v>
      </x:c>
      <x:c r="B1554" s="4" t="str">
        <x:v>https://blog.skyairline.com/bahia-inglesa/</x:v>
      </x:c>
      <x:c r="C1554" s="9" t="str">
        <x:v>Incluye Bahía Inglesa en tu próximo viaje a Copiapó</x:v>
      </x:c>
      <x:c r="D1554" s="17" t="d">
        <x:v>2025-12-19T00:00:00.000Z</x:v>
      </x:c>
      <x:c r="E1554" s="17" t="d">
        <x:v>2025-12-04T00:00:00.000Z</x:v>
      </x:c>
      <x:c r="F1554" s="4" t="str">
        <x:v>Destinos</x:v>
      </x:c>
      <x:c r="G1554" s="11" t="n">
        <x:v>983</x:v>
      </x:c>
      <x:c r="H1554" s="11" t="n">
        <x:v>200</x:v>
      </x:c>
      <x:c r="I1554" s="11" t="n">
        <x:v>1</x:v>
      </x:c>
      <x:c r="J1554" s="4" t="str">
        <x:v>https://blog.skyairline.com/bahia-inglesa/</x:v>
      </x:c>
      <x:c r="K1554" s="16" t="b">
        <x:v>0</x:v>
      </x:c>
      <x:c r="L1554" s="11" t="n">
        <x:v>0</x:v>
      </x:c>
      <x:c r="M1554" s="11" t="n">
        <x:v>0</x:v>
      </x:c>
      <x:c r="N1554" s="4"/>
      <x:c r="O1554" s="4"/>
      <x:c r="P1554" s="11" t="n">
        <x:v>1</x:v>
      </x:c>
      <x:c r="Q1554" s="11" t="n">
        <x:v>0</x:v>
      </x:c>
      <x:c r="R1554" s="11" t="str">
        <x:f>IF(OR(P1554="",Q1554=""),"",Q1554-P1554)</x:f>
      </x:c>
      <x:c r="S1554" s="13" t="str">
        <x:f>IF(OR(P1554="",Q1554="",P1554=0),"",((Q1554/30)/(P1554/31))-1)</x:f>
      </x:c>
      <x:c r="T1554" s="11" t="n">
        <x:v>369</x:v>
      </x:c>
      <x:c r="U1554" s="11" t="n">
        <x:v>269</x:v>
      </x:c>
      <x:c r="V1554" s="14" t="n">
        <x:v>0</x:v>
      </x:c>
      <x:c r="W1554" s="12" t="n">
        <x:v>11.672862453531598</x:v>
      </x:c>
      <x:c r="X1554" s="11"/>
      <x:c r="Y1554" s="11"/>
      <x:c r="Z1554" s="4" t="str">
        <x:v>https://blog.skyairline.com/bahia-inglesa/</x:v>
      </x:c>
      <x:c r="AA1554" s="4" t="str">
        <x:v>https://blog.skyairline.com/bahia-inglesa/</x:v>
      </x:c>
      <x:c r="AB1554" s="4" t="str">
        <x:v>Coincidencia URL</x:v>
      </x:c>
      <x:c r="AC1554" s="4" t="str">
        <x:v>Publicado hasta septiembre</x:v>
      </x:c>
      <x:c r="AD1554" s="4"/>
      <x:c r="AE1554" s="4"/>
      <x:c r="AF1554" s="16" t="b">
        <x:v>0</x:v>
      </x:c>
    </x:row>
    <x:row r="1555" ht="44" customHeight="1">
      <x:c r="A1555" s="4" t="n">
        <x:v>7873</x:v>
      </x:c>
      <x:c r="B1555" s="4" t="str">
        <x:v>https://blog.skyairline.com/vacaciones-de-invierno/</x:v>
      </x:c>
      <x:c r="C1555" s="9" t="str">
        <x:v>Planifica tus vacaciones de invierno de 2026 con anticipación</x:v>
      </x:c>
      <x:c r="D1555" s="17" t="d">
        <x:v>2025-12-21T00:00:00.000Z</x:v>
      </x:c>
      <x:c r="E1555" s="17" t="d">
        <x:v>2025-12-05T00:00:00.000Z</x:v>
      </x:c>
      <x:c r="F1555" s="4" t="str">
        <x:v>Planificación de Viaje</x:v>
      </x:c>
      <x:c r="G1555" s="11" t="n">
        <x:v>1091</x:v>
      </x:c>
      <x:c r="H1555" s="11" t="n">
        <x:v>200</x:v>
      </x:c>
      <x:c r="I1555" s="11" t="n">
        <x:v>1</x:v>
      </x:c>
      <x:c r="J1555" s="4" t="str">
        <x:v>https://blog.skyairline.com/vacaciones-de-invierno/</x:v>
      </x:c>
      <x:c r="K1555" s="16" t="b">
        <x:v>0</x:v>
      </x:c>
      <x:c r="L1555" s="11" t="n">
        <x:v>0</x:v>
      </x:c>
      <x:c r="M1555" s="11" t="n">
        <x:v>4</x:v>
      </x:c>
      <x:c r="N1555" s="4"/>
      <x:c r="O1555" s="4"/>
      <x:c r="P1555" s="11" t="n">
        <x:v>0</x:v>
      </x:c>
      <x:c r="Q1555" s="11" t="n">
        <x:v>0</x:v>
      </x:c>
      <x:c r="R1555" s="11" t="str">
        <x:f>IF(OR(P1555="",Q1555=""),"",Q1555-P1555)</x:f>
      </x:c>
      <x:c r="S1555" s="13" t="str">
        <x:f>IF(OR(P1555="",Q1555="",P1555=0),"",((Q1555/30)/(P1555/31))-1)</x:f>
      </x:c>
      <x:c r="T1555" s="11" t="n">
        <x:v>22</x:v>
      </x:c>
      <x:c r="U1555" s="11" t="n">
        <x:v>17</x:v>
      </x:c>
      <x:c r="V1555" s="14" t="n">
        <x:v>0</x:v>
      </x:c>
      <x:c r="W1555" s="12" t="n">
        <x:v>35</x:v>
      </x:c>
      <x:c r="X1555" s="11"/>
      <x:c r="Y1555" s="11"/>
      <x:c r="Z1555" s="4" t="str">
        <x:v>https://blog.skyairline.com/vacaciones-de-invierno/</x:v>
      </x:c>
      <x:c r="AA1555" s="4" t="str">
        <x:v>https://blog.skyairline.com/vacaciones-de-invierno/</x:v>
      </x:c>
      <x:c r="AB1555" s="4" t="str">
        <x:v>Coincidencia URL</x:v>
      </x:c>
      <x:c r="AC1555" s="4" t="str">
        <x:v>Publicado hasta septiembre</x:v>
      </x:c>
      <x:c r="AD1555" s="4"/>
      <x:c r="AE1555" s="4"/>
      <x:c r="AF1555" s="16" t="b">
        <x:v>0</x:v>
      </x:c>
    </x:row>
    <x:row r="1556" ht="44" customHeight="1">
      <x:c r="A1556" s="4" t="n">
        <x:v>7925</x:v>
      </x:c>
      <x:c r="B1556" s="4" t="str">
        <x:v>https://blog.skyairline.com/claudio-bravo-sorprendio-a-pasajeros-de-vuelo-sky-temuco-santiago/</x:v>
      </x:c>
      <x:c r="C1556" s="9" t="str">
        <x:v>Claudio Bravo sorprendió a pasajeros de vuelo SKY Temuco-Santiago</x:v>
      </x:c>
      <x:c r="D1556" s="17" t="d">
        <x:v>2025-12-10T00:00:00.000Z</x:v>
      </x:c>
      <x:c r="E1556" s="17" t="d">
        <x:v>2025-12-10T00:00:00.000Z</x:v>
      </x:c>
      <x:c r="F1556" s="4" t="str">
        <x:v>Noticias</x:v>
      </x:c>
      <x:c r="G1556" s="11" t="n">
        <x:v>214</x:v>
      </x:c>
      <x:c r="H1556" s="11" t="n">
        <x:v>200</x:v>
      </x:c>
      <x:c r="I1556" s="11" t="n">
        <x:v>1</x:v>
      </x:c>
      <x:c r="J1556" s="4" t="str">
        <x:v>https://blog.skyairline.com/claudio-bravo-sorprendio-a-pasajeros-de-vuelo-sky-temuco-santiago/</x:v>
      </x:c>
      <x:c r="K1556" s="16" t="b">
        <x:v>0</x:v>
      </x:c>
      <x:c r="L1556" s="11" t="n">
        <x:v>0</x:v>
      </x:c>
      <x:c r="M1556" s="11" t="n">
        <x:v>0</x:v>
      </x:c>
      <x:c r="N1556" s="4"/>
      <x:c r="O1556" s="4"/>
      <x:c r="P1556" s="11" t="n">
        <x:v>0</x:v>
      </x:c>
      <x:c r="Q1556" s="11" t="n">
        <x:v>0</x:v>
      </x:c>
      <x:c r="R1556" s="11" t="str">
        <x:f>IF(OR(P1556="",Q1556=""),"",Q1556-P1556)</x:f>
      </x:c>
      <x:c r="S1556" s="13" t="str">
        <x:f>IF(OR(P1556="",Q1556="",P1556=0),"",((Q1556/30)/(P1556/31))-1)</x:f>
      </x:c>
      <x:c r="T1556" s="11" t="n">
        <x:v>18</x:v>
      </x:c>
      <x:c r="U1556" s="11" t="n">
        <x:v>13</x:v>
      </x:c>
      <x:c r="V1556" s="14" t="n">
        <x:v>0</x:v>
      </x:c>
      <x:c r="W1556" s="12" t="n">
        <x:v>13.538461538461538</x:v>
      </x:c>
      <x:c r="X1556" s="11"/>
      <x:c r="Y1556" s="11"/>
      <x:c r="Z1556" s="4" t="str">
        <x:v>https://blog.skyairline.com/claudio-bravo-sorprendio-a-pasajeros-de-vuelo-sky-temuco-santiago/</x:v>
      </x:c>
      <x:c r="AA1556" s="4" t="str">
        <x:v>https://blog.skyairline.com/claudio-bravo-sorprendio-a-pasajeros-de-vuelo-sky-temuco-santiago/</x:v>
      </x:c>
      <x:c r="AB1556" s="4" t="str">
        <x:v>Coincidencia URL</x:v>
      </x:c>
      <x:c r="AC1556" s="4" t="str">
        <x:v>Publicado hasta septiembre</x:v>
      </x:c>
      <x:c r="AD1556" s="4"/>
      <x:c r="AE1556" s="4"/>
      <x:c r="AF1556" s="16" t="b">
        <x:v>0</x:v>
      </x:c>
    </x:row>
    <x:row r="1557" ht="44" customHeight="1">
      <x:c r="A1557" s="4" t="n">
        <x:v>8026</x:v>
      </x:c>
      <x:c r="B1557" s="4" t="str">
        <x:v>https://blog.skyairline.com/vacaciones-4/</x:v>
      </x:c>
      <x:c r="C1557" s="9" t="str">
        <x:v>Vacaciones de verano: ideas de destinos para aprovechar el buen clima</x:v>
      </x:c>
      <x:c r="D1557" s="17" t="d">
        <x:v>2025-12-25T00:00:00.000Z</x:v>
      </x:c>
      <x:c r="E1557" s="17" t="d">
        <x:v>2025-12-23T00:00:00.000Z</x:v>
      </x:c>
      <x:c r="F1557" s="4" t="str">
        <x:v>Planificación de Viaje</x:v>
      </x:c>
      <x:c r="G1557" s="11" t="n">
        <x:v>1015</x:v>
      </x:c>
      <x:c r="H1557" s="11" t="n">
        <x:v>200</x:v>
      </x:c>
      <x:c r="I1557" s="11" t="n">
        <x:v>1</x:v>
      </x:c>
      <x:c r="J1557" s="4" t="str">
        <x:v>https://blog.skyairline.com/vacaciones-4/</x:v>
      </x:c>
      <x:c r="K1557" s="16" t="b">
        <x:v>0</x:v>
      </x:c>
      <x:c r="L1557" s="11" t="n">
        <x:v>0</x:v>
      </x:c>
      <x:c r="M1557" s="11" t="n">
        <x:v>0</x:v>
      </x:c>
      <x:c r="N1557" s="4"/>
      <x:c r="O1557" s="4"/>
      <x:c r="P1557" s="11" t="n">
        <x:v>0</x:v>
      </x:c>
      <x:c r="Q1557" s="11" t="n">
        <x:v>0</x:v>
      </x:c>
      <x:c r="R1557" s="11" t="str">
        <x:f>IF(OR(P1557="",Q1557=""),"",Q1557-P1557)</x:f>
      </x:c>
      <x:c r="S1557" s="13" t="str">
        <x:f>IF(OR(P1557="",Q1557="",P1557=0),"",((Q1557/30)/(P1557/31))-1)</x:f>
      </x:c>
      <x:c r="T1557" s="11" t="n">
        <x:v>283</x:v>
      </x:c>
      <x:c r="U1557" s="11" t="n">
        <x:v>3708</x:v>
      </x:c>
      <x:c r="V1557" s="14" t="n">
        <x:v>0</x:v>
      </x:c>
      <x:c r="W1557" s="12" t="n">
        <x:v>9.813915857605178</x:v>
      </x:c>
      <x:c r="X1557" s="11"/>
      <x:c r="Y1557" s="11"/>
      <x:c r="Z1557" s="4" t="str">
        <x:v>https://blog.skyairline.com/vacaciones-4/</x:v>
      </x:c>
      <x:c r="AA1557" s="4" t="str">
        <x:v>https://blog.skyairline.com/vacaciones-4/</x:v>
      </x:c>
      <x:c r="AB1557" s="4" t="str">
        <x:v>Coincidencia URL</x:v>
      </x:c>
      <x:c r="AC1557" s="4" t="str">
        <x:v>Publicado hasta septiembre</x:v>
      </x:c>
      <x:c r="AD1557" s="4"/>
      <x:c r="AE1557" s="4"/>
      <x:c r="AF1557" s="16" t="b">
        <x:v>0</x:v>
      </x:c>
    </x:row>
    <x:row r="1558" ht="44" customHeight="1">
      <x:c r="A1558" s="4" t="n">
        <x:v>8029</x:v>
      </x:c>
      <x:c r="B1558" s="4" t="str">
        <x:v>https://blog.skyairline.com/vacaciones-en-familia/</x:v>
      </x:c>
      <x:c r="C1558" s="9" t="str">
        <x:v>5 motivos para tomarte unas vacaciones en familia (y cómo aprovecharlas al máximo)</x:v>
      </x:c>
      <x:c r="D1558" s="17" t="d">
        <x:v>2025-12-26T00:00:00.000Z</x:v>
      </x:c>
      <x:c r="E1558" s="17" t="d">
        <x:v>2025-12-23T00:00:00.000Z</x:v>
      </x:c>
      <x:c r="F1558" s="4" t="str">
        <x:v>Planificación de Viaje</x:v>
      </x:c>
      <x:c r="G1558" s="11" t="n">
        <x:v>1046</x:v>
      </x:c>
      <x:c r="H1558" s="11" t="n">
        <x:v>200</x:v>
      </x:c>
      <x:c r="I1558" s="11" t="n">
        <x:v>1</x:v>
      </x:c>
      <x:c r="J1558" s="4" t="str">
        <x:v>https://blog.skyairline.com/vacaciones-en-familia/</x:v>
      </x:c>
      <x:c r="K1558" s="16" t="b">
        <x:v>0</x:v>
      </x:c>
      <x:c r="L1558" s="11" t="n">
        <x:v>0</x:v>
      </x:c>
      <x:c r="M1558" s="11" t="n">
        <x:v>0</x:v>
      </x:c>
      <x:c r="N1558" s="4"/>
      <x:c r="O1558" s="4"/>
      <x:c r="P1558" s="11" t="n">
        <x:v>0</x:v>
      </x:c>
      <x:c r="Q1558" s="11" t="n">
        <x:v>0</x:v>
      </x:c>
      <x:c r="R1558" s="11" t="str">
        <x:f>IF(OR(P1558="",Q1558=""),"",Q1558-P1558)</x:f>
      </x:c>
      <x:c r="S1558" s="13" t="str">
        <x:f>IF(OR(P1558="",Q1558="",P1558=0),"",((Q1558/30)/(P1558/31))-1)</x:f>
      </x:c>
      <x:c r="T1558" s="11" t="n">
        <x:v>178</x:v>
      </x:c>
      <x:c r="U1558" s="11" t="n">
        <x:v>7743</x:v>
      </x:c>
      <x:c r="V1558" s="14" t="n">
        <x:v>0</x:v>
      </x:c>
      <x:c r="W1558" s="12" t="n">
        <x:v>9.660467519049464</x:v>
      </x:c>
      <x:c r="X1558" s="11"/>
      <x:c r="Y1558" s="11"/>
      <x:c r="Z1558" s="4" t="str">
        <x:v>https://blog.skyairline.com/vacaciones-en-familia/</x:v>
      </x:c>
      <x:c r="AA1558" s="4" t="str">
        <x:v>https://blog.skyairline.com/vacaciones-en-familia/</x:v>
      </x:c>
      <x:c r="AB1558" s="4" t="str">
        <x:v>Coincidencia URL</x:v>
      </x:c>
      <x:c r="AC1558" s="4" t="str">
        <x:v>Publicado hasta septiembre</x:v>
      </x:c>
      <x:c r="AD1558" s="4"/>
      <x:c r="AE1558" s="4"/>
      <x:c r="AF1558" s="16" t="b">
        <x:v>0</x:v>
      </x:c>
    </x:row>
    <x:row r="1559" ht="44" customHeight="1">
      <x:c r="A1559" s="4" t="n">
        <x:v>8042</x:v>
      </x:c>
      <x:c r="B1559" s="4" t="str">
        <x:v>https://blog.skyairline.com/parque-nacional-conguillio/</x:v>
      </x:c>
      <x:c r="C1559" s="9" t="str">
        <x:v>Parque Nacional Conguillio encuentro profundo con la naturaleza</x:v>
      </x:c>
      <x:c r="D1559" s="17" t="d">
        <x:v>2025-12-28T00:00:00.000Z</x:v>
      </x:c>
      <x:c r="E1559" s="17" t="d">
        <x:v>2025-12-23T00:00:00.000Z</x:v>
      </x:c>
      <x:c r="F1559" s="4" t="str">
        <x:v>Destinos</x:v>
      </x:c>
      <x:c r="G1559" s="11" t="n">
        <x:v>960</x:v>
      </x:c>
      <x:c r="H1559" s="11" t="n">
        <x:v>200</x:v>
      </x:c>
      <x:c r="I1559" s="11" t="n">
        <x:v>1</x:v>
      </x:c>
      <x:c r="J1559" s="4" t="str">
        <x:v>https://blog.skyairline.com/parque-nacional-conguillio/</x:v>
      </x:c>
      <x:c r="K1559" s="16" t="b">
        <x:v>0</x:v>
      </x:c>
      <x:c r="L1559" s="11" t="n">
        <x:v>0</x:v>
      </x:c>
      <x:c r="M1559" s="11" t="n">
        <x:v>0</x:v>
      </x:c>
      <x:c r="N1559" s="4"/>
      <x:c r="O1559" s="4"/>
      <x:c r="P1559" s="11" t="n">
        <x:v>0</x:v>
      </x:c>
      <x:c r="Q1559" s="11" t="n">
        <x:v>0</x:v>
      </x:c>
      <x:c r="R1559" s="11" t="str">
        <x:f>IF(OR(P1559="",Q1559=""),"",Q1559-P1559)</x:f>
      </x:c>
      <x:c r="S1559" s="13" t="str">
        <x:f>IF(OR(P1559="",Q1559="",P1559=0),"",((Q1559/30)/(P1559/31))-1)</x:f>
      </x:c>
      <x:c r="T1559" s="11" t="n">
        <x:v>118</x:v>
      </x:c>
      <x:c r="U1559" s="11" t="n">
        <x:v>66</x:v>
      </x:c>
      <x:c r="V1559" s="14" t="n">
        <x:v>0</x:v>
      </x:c>
      <x:c r="W1559" s="12" t="n">
        <x:v>10.5</x:v>
      </x:c>
      <x:c r="X1559" s="11" t="n">
        <x:v>2</x:v>
      </x:c>
      <x:c r="Y1559" s="11" t="n">
        <x:v>2</x:v>
      </x:c>
      <x:c r="Z1559" s="4" t="str">
        <x:v>https://blog.skyairline.com/parque-nacional-conguillio/</x:v>
      </x:c>
      <x:c r="AA1559" s="4" t="str">
        <x:v>https://blog.skyairline.com/parque-nacional-conguillio/</x:v>
      </x:c>
      <x:c r="AB1559" s="4" t="str">
        <x:v>Coincidencia URL</x:v>
      </x:c>
      <x:c r="AC1559" s="4" t="str">
        <x:v>Publicado hasta septiembre</x:v>
      </x:c>
      <x:c r="AD1559" s="4" t="str">
        <x:v>/parque-nacional-conguillio/</x:v>
      </x:c>
      <x:c r="AE1559" s="4"/>
      <x:c r="AF1559" s="16" t="b">
        <x:v>0</x:v>
      </x:c>
    </x:row>
    <x:row r="1560" ht="44" customHeight="1">
      <x:c r="A1560" s="4" t="n">
        <x:v>8045</x:v>
      </x:c>
      <x:c r="B1560" s="4" t="str">
        <x:v>https://blog.skyairline.com/termas-en-pucon/</x:v>
      </x:c>
      <x:c r="C1560" s="9" t="str">
        <x:v>Termas en Pucón: las mejores aguas calientes para relajarte en el sur de Chile</x:v>
      </x:c>
      <x:c r="D1560" s="17" t="d">
        <x:v>2025-12-28T00:00:00.000Z</x:v>
      </x:c>
      <x:c r="E1560" s="17" t="d">
        <x:v>2025-12-23T00:00:00.000Z</x:v>
      </x:c>
      <x:c r="F1560" s="4" t="str">
        <x:v>Uncategorized</x:v>
      </x:c>
      <x:c r="G1560" s="11" t="n">
        <x:v>1145</x:v>
      </x:c>
      <x:c r="H1560" s="11" t="n">
        <x:v>200</x:v>
      </x:c>
      <x:c r="I1560" s="11" t="n">
        <x:v>1</x:v>
      </x:c>
      <x:c r="J1560" s="4" t="str">
        <x:v>https://blog.skyairline.com/termas-en-pucon/</x:v>
      </x:c>
      <x:c r="K1560" s="16" t="b">
        <x:v>0</x:v>
      </x:c>
      <x:c r="L1560" s="11" t="n">
        <x:v>0</x:v>
      </x:c>
      <x:c r="M1560" s="11" t="n">
        <x:v>0</x:v>
      </x:c>
      <x:c r="N1560" s="4"/>
      <x:c r="O1560" s="4"/>
      <x:c r="P1560" s="11" t="n">
        <x:v>1</x:v>
      </x:c>
      <x:c r="Q1560" s="11" t="n">
        <x:v>0</x:v>
      </x:c>
      <x:c r="R1560" s="11" t="str">
        <x:f>IF(OR(P1560="",Q1560=""),"",Q1560-P1560)</x:f>
      </x:c>
      <x:c r="S1560" s="13" t="str">
        <x:f>IF(OR(P1560="",Q1560="",P1560=0),"",((Q1560/30)/(P1560/31))-1)</x:f>
      </x:c>
      <x:c r="T1560" s="11" t="n">
        <x:v>171</x:v>
      </x:c>
      <x:c r="U1560" s="11" t="n">
        <x:v>66</x:v>
      </x:c>
      <x:c r="V1560" s="14" t="n">
        <x:v>0</x:v>
      </x:c>
      <x:c r="W1560" s="12" t="n">
        <x:v>40.42424242424242</x:v>
      </x:c>
      <x:c r="X1560" s="11"/>
      <x:c r="Y1560" s="11"/>
      <x:c r="Z1560" s="4" t="str">
        <x:v>https://blog.skyairline.com/termas-en-pucon/</x:v>
      </x:c>
      <x:c r="AA1560" s="4" t="str">
        <x:v>https://blog.skyairline.com/termas-en-pucon/</x:v>
      </x:c>
      <x:c r="AB1560" s="4" t="str">
        <x:v>Coincidencia URL</x:v>
      </x:c>
      <x:c r="AC1560" s="4" t="str">
        <x:v>Publicado hasta septiembre</x:v>
      </x:c>
      <x:c r="AD1560" s="4"/>
      <x:c r="AE1560" s="4"/>
      <x:c r="AF1560" s="16" t="b">
        <x:v>0</x:v>
      </x:c>
    </x:row>
    <x:row r="1561" ht="44" customHeight="1">
      <x:c r="A1561" s="4" t="n">
        <x:v>8064</x:v>
      </x:c>
      <x:c r="B1561" s="4" t="str">
        <x:v>https://blog.skyairline.com/parque-nacional-nahuelbuta/</x:v>
      </x:c>
      <x:c r="C1561" s="9" t="str">
        <x:v>Parque Nacional Nahuelbuta: miradores, araucarias milenarias y tips para organizar tu viaje</x:v>
      </x:c>
      <x:c r="D1561" s="17" t="d">
        <x:v>2025-12-31T00:00:00.000Z</x:v>
      </x:c>
      <x:c r="E1561" s="17" t="d">
        <x:v>2025-12-23T00:00:00.000Z</x:v>
      </x:c>
      <x:c r="F1561" s="4" t="str">
        <x:v>Destinos</x:v>
      </x:c>
      <x:c r="G1561" s="11" t="n">
        <x:v>972</x:v>
      </x:c>
      <x:c r="H1561" s="11" t="n">
        <x:v>200</x:v>
      </x:c>
      <x:c r="I1561" s="11" t="n">
        <x:v>1</x:v>
      </x:c>
      <x:c r="J1561" s="4" t="str">
        <x:v>https://blog.skyairline.com/parque-nacional-nahuelbuta/</x:v>
      </x:c>
      <x:c r="K1561" s="16" t="b">
        <x:v>0</x:v>
      </x:c>
      <x:c r="L1561" s="11" t="n">
        <x:v>0</x:v>
      </x:c>
      <x:c r="M1561" s="11" t="n">
        <x:v>0</x:v>
      </x:c>
      <x:c r="N1561" s="4"/>
      <x:c r="O1561" s="4"/>
      <x:c r="P1561" s="11" t="n">
        <x:v>3</x:v>
      </x:c>
      <x:c r="Q1561" s="11" t="n">
        <x:v>0</x:v>
      </x:c>
      <x:c r="R1561" s="11" t="str">
        <x:f>IF(OR(P1561="",Q1561=""),"",Q1561-P1561)</x:f>
      </x:c>
      <x:c r="S1561" s="13" t="str">
        <x:f>IF(OR(P1561="",Q1561="",P1561=0),"",((Q1561/30)/(P1561/31))-1)</x:f>
      </x:c>
      <x:c r="T1561" s="11" t="n">
        <x:v>362</x:v>
      </x:c>
      <x:c r="U1561" s="11" t="n">
        <x:v>158</x:v>
      </x:c>
      <x:c r="V1561" s="14" t="n">
        <x:v>0</x:v>
      </x:c>
      <x:c r="W1561" s="12" t="n">
        <x:v>13.341772151898734</x:v>
      </x:c>
      <x:c r="X1561" s="11" t="n">
        <x:v>2</x:v>
      </x:c>
      <x:c r="Y1561" s="11" t="n">
        <x:v>3</x:v>
      </x:c>
      <x:c r="Z1561" s="4" t="str">
        <x:v>https://blog.skyairline.com/parque-nacional-nahuelbuta/</x:v>
      </x:c>
      <x:c r="AA1561" s="4" t="str">
        <x:v>https://blog.skyairline.com/parque-nacional-nahuelbuta/</x:v>
      </x:c>
      <x:c r="AB1561" s="4" t="str">
        <x:v>Coincidencia URL</x:v>
      </x:c>
      <x:c r="AC1561" s="4" t="str">
        <x:v>Publicado hasta septiembre</x:v>
      </x:c>
      <x:c r="AD1561" s="4" t="str">
        <x:v>/parque-nacional-nahuelbuta/</x:v>
      </x:c>
      <x:c r="AE1561" s="4"/>
      <x:c r="AF1561" s="16" t="b">
        <x:v>0</x:v>
      </x:c>
    </x:row>
    <x:row r="1562" ht="44" customHeight="1">
      <x:c r="A1562" s="4" t="n">
        <x:v>8067</x:v>
      </x:c>
      <x:c r="B1562" s="4" t="str">
        <x:v>https://blog.skyairline.com/dengue/</x:v>
      </x:c>
      <x:c r="C1562" s="9" t="str">
        <x:v>Dengue al viajar: cuidados esenciales para tus vacaciones en Brasil y otros destinos tropicales</x:v>
      </x:c>
      <x:c r="D1562" s="17" t="d">
        <x:v>2026-01-01T00:00:00.000Z</x:v>
      </x:c>
      <x:c r="E1562" s="17" t="d">
        <x:v>2025-12-23T00:00:00.000Z</x:v>
      </x:c>
      <x:c r="F1562" s="4" t="str">
        <x:v>Planificación de Viaje</x:v>
      </x:c>
      <x:c r="G1562" s="11" t="n">
        <x:v>1032</x:v>
      </x:c>
      <x:c r="H1562" s="11" t="n">
        <x:v>200</x:v>
      </x:c>
      <x:c r="I1562" s="11" t="n">
        <x:v>1</x:v>
      </x:c>
      <x:c r="J1562" s="4" t="str">
        <x:v>https://blog.skyairline.com/dengue/</x:v>
      </x:c>
      <x:c r="K1562" s="16" t="b">
        <x:v>0</x:v>
      </x:c>
      <x:c r="L1562" s="11" t="n">
        <x:v>0</x:v>
      </x:c>
      <x:c r="M1562" s="11" t="n">
        <x:v>0</x:v>
      </x:c>
      <x:c r="N1562" s="4"/>
      <x:c r="O1562" s="4"/>
      <x:c r="P1562" s="11" t="n">
        <x:v>2</x:v>
      </x:c>
      <x:c r="Q1562" s="11" t="n">
        <x:v>0</x:v>
      </x:c>
      <x:c r="R1562" s="11" t="str">
        <x:f>IF(OR(P1562="",Q1562=""),"",Q1562-P1562)</x:f>
      </x:c>
      <x:c r="S1562" s="13" t="str">
        <x:f>IF(OR(P1562="",Q1562="",P1562=0),"",((Q1562/30)/(P1562/31))-1)</x:f>
      </x:c>
      <x:c r="T1562" s="11" t="n">
        <x:v>86</x:v>
      </x:c>
      <x:c r="U1562" s="11" t="n">
        <x:v>88</x:v>
      </x:c>
      <x:c r="V1562" s="14" t="n">
        <x:v>0</x:v>
      </x:c>
      <x:c r="W1562" s="12" t="n">
        <x:v>6.2727272727272725</x:v>
      </x:c>
      <x:c r="X1562" s="11"/>
      <x:c r="Y1562" s="11"/>
      <x:c r="Z1562" s="4" t="str">
        <x:v>https://blog.skyairline.com/dengue/</x:v>
      </x:c>
      <x:c r="AA1562" s="4" t="str">
        <x:v>https://blog.skyairline.com/dengue/</x:v>
      </x:c>
      <x:c r="AB1562" s="4" t="str">
        <x:v>Coincidencia URL</x:v>
      </x:c>
      <x:c r="AC1562" s="4" t="str">
        <x:v>Publicado hasta septiembre</x:v>
      </x:c>
      <x:c r="AD1562" s="4"/>
      <x:c r="AE1562" s="4"/>
      <x:c r="AF1562" s="16" t="b">
        <x:v>0</x:v>
      </x:c>
    </x:row>
    <x:row r="1563" ht="44" customHeight="1">
      <x:c r="A1563" s="4" t="n">
        <x:v>8082</x:v>
      </x:c>
      <x:c r="B1563" s="4" t="str">
        <x:v>https://blog.skyairline.com/pasajes-a-florianopolis/</x:v>
      </x:c>
      <x:c r="C1563" s="9" t="str">
        <x:v>Pasajes a Florianópolis con SKY: aeropuertos, rutas y mejores fechas para viajar</x:v>
      </x:c>
      <x:c r="D1563" s="17" t="d">
        <x:v>2026-01-05T00:00:00.000Z</x:v>
      </x:c>
      <x:c r="E1563" s="17" t="d">
        <x:v>2025-12-29T00:00:00.000Z</x:v>
      </x:c>
      <x:c r="F1563" s="4" t="str">
        <x:v>Destinos</x:v>
      </x:c>
      <x:c r="G1563" s="11" t="n">
        <x:v>989</x:v>
      </x:c>
      <x:c r="H1563" s="11" t="n">
        <x:v>200</x:v>
      </x:c>
      <x:c r="I1563" s="11" t="n">
        <x:v>1</x:v>
      </x:c>
      <x:c r="J1563" s="4" t="str">
        <x:v>https://blog.skyairline.com/pasajes-a-florianopolis/</x:v>
      </x:c>
      <x:c r="K1563" s="16" t="b">
        <x:v>0</x:v>
      </x:c>
      <x:c r="L1563" s="11" t="n">
        <x:v>0</x:v>
      </x:c>
      <x:c r="M1563" s="11" t="n">
        <x:v>0</x:v>
      </x:c>
      <x:c r="N1563" s="4"/>
      <x:c r="O1563" s="4"/>
      <x:c r="P1563" s="11" t="n">
        <x:v>5</x:v>
      </x:c>
      <x:c r="Q1563" s="11" t="n">
        <x:v>0</x:v>
      </x:c>
      <x:c r="R1563" s="11" t="str">
        <x:f>IF(OR(P1563="",Q1563=""),"",Q1563-P1563)</x:f>
      </x:c>
      <x:c r="S1563" s="13" t="str">
        <x:f>IF(OR(P1563="",Q1563="",P1563=0),"",((Q1563/30)/(P1563/31))-1)</x:f>
      </x:c>
      <x:c r="T1563" s="11" t="n">
        <x:v>909</x:v>
      </x:c>
      <x:c r="U1563" s="11" t="n">
        <x:v>761</x:v>
      </x:c>
      <x:c r="V1563" s="14" t="n">
        <x:v>0</x:v>
      </x:c>
      <x:c r="W1563" s="12" t="n">
        <x:v>7.720105124835743</x:v>
      </x:c>
      <x:c r="X1563" s="11" t="n">
        <x:v>3</x:v>
      </x:c>
      <x:c r="Y1563" s="11" t="n">
        <x:v>3</x:v>
      </x:c>
      <x:c r="Z1563" s="4" t="str">
        <x:v>https://blog.skyairline.com/pasajes-a-florianopolis/</x:v>
      </x:c>
      <x:c r="AA1563" s="4" t="str">
        <x:v>https://blog.skyairline.com/pasajes-a-florianopolis/</x:v>
      </x:c>
      <x:c r="AB1563" s="4" t="str">
        <x:v>Coincidencia URL</x:v>
      </x:c>
      <x:c r="AC1563" s="4" t="str">
        <x:v>Publicado hasta septiembre</x:v>
      </x:c>
      <x:c r="AD1563" s="4" t="str">
        <x:v>/pasajes-a-florianopolis/</x:v>
      </x:c>
      <x:c r="AE1563" s="4"/>
      <x:c r="AF1563" s="16" t="b">
        <x:v>0</x:v>
      </x:c>
    </x:row>
    <x:row r="1564" ht="44" customHeight="1">
      <x:c r="A1564" s="4" t="n">
        <x:v>8085</x:v>
      </x:c>
      <x:c r="B1564" s="4" t="str">
        <x:v>https://blog.skyairline.com/florianopolis-playas/</x:v>
      </x:c>
      <x:c r="C1564" s="9" t="str">
        <x:v>5 playas de Florianópolis para tus próximas vacaciones</x:v>
      </x:c>
      <x:c r="D1564" s="17" t="d">
        <x:v>2026-01-05T00:00:00.000Z</x:v>
      </x:c>
      <x:c r="E1564" s="17" t="d">
        <x:v>2025-12-29T00:00:00.000Z</x:v>
      </x:c>
      <x:c r="F1564" s="4" t="str">
        <x:v>Destinos</x:v>
      </x:c>
      <x:c r="G1564" s="11" t="n">
        <x:v>1014</x:v>
      </x:c>
      <x:c r="H1564" s="11" t="n">
        <x:v>200</x:v>
      </x:c>
      <x:c r="I1564" s="11" t="n">
        <x:v>1</x:v>
      </x:c>
      <x:c r="J1564" s="4" t="str">
        <x:v>https://blog.skyairline.com/florianopolis-playas/</x:v>
      </x:c>
      <x:c r="K1564" s="16" t="b">
        <x:v>0</x:v>
      </x:c>
      <x:c r="L1564" s="11" t="n">
        <x:v>0</x:v>
      </x:c>
      <x:c r="M1564" s="11" t="n">
        <x:v>0</x:v>
      </x:c>
      <x:c r="N1564" s="4"/>
      <x:c r="O1564" s="4"/>
      <x:c r="P1564" s="11" t="n">
        <x:v>0</x:v>
      </x:c>
      <x:c r="Q1564" s="11" t="n">
        <x:v>0</x:v>
      </x:c>
      <x:c r="R1564" s="11" t="str">
        <x:f>IF(OR(P1564="",Q1564=""),"",Q1564-P1564)</x:f>
      </x:c>
      <x:c r="S1564" s="13" t="str">
        <x:f>IF(OR(P1564="",Q1564="",P1564=0),"",((Q1564/30)/(P1564/31))-1)</x:f>
      </x:c>
      <x:c r="T1564" s="11" t="n">
        <x:v>259</x:v>
      </x:c>
      <x:c r="U1564" s="11" t="n">
        <x:v>119</x:v>
      </x:c>
      <x:c r="V1564" s="14" t="n">
        <x:v>0</x:v>
      </x:c>
      <x:c r="W1564" s="12" t="n">
        <x:v>33.84873949579832</x:v>
      </x:c>
      <x:c r="X1564" s="11" t="n">
        <x:v>1</x:v>
      </x:c>
      <x:c r="Y1564" s="11" t="n">
        <x:v>1</x:v>
      </x:c>
      <x:c r="Z1564" s="4" t="str">
        <x:v>https://blog.skyairline.com/florianopolis-playas/</x:v>
      </x:c>
      <x:c r="AA1564" s="4" t="str">
        <x:v>https://blog.skyairline.com/florianopolis-playas/</x:v>
      </x:c>
      <x:c r="AB1564" s="4" t="str">
        <x:v>Coincidencia URL</x:v>
      </x:c>
      <x:c r="AC1564" s="4" t="str">
        <x:v>Publicado hasta septiembre</x:v>
      </x:c>
      <x:c r="AD1564" s="4" t="str">
        <x:v>/florianopolis-playas/</x:v>
      </x:c>
      <x:c r="AE1564" s="4"/>
      <x:c r="AF1564" s="16" t="b">
        <x:v>0</x:v>
      </x:c>
    </x:row>
    <x:row r="1565" ht="44" customHeight="1">
      <x:c r="A1565" s="4" t="n">
        <x:v>8104</x:v>
      </x:c>
      <x:c r="B1565" s="4" t="str">
        <x:v>https://blog.skyairline.com/otono-en-chile/</x:v>
      </x:c>
      <x:c r="C1565" s="9" t="str">
        <x:v>Otoño en Chile: cuándo viajar, mejores destinos y qué esperar de esta temporada</x:v>
      </x:c>
      <x:c r="D1565" s="17" t="d">
        <x:v>2026-01-09T00:00:00.000Z</x:v>
      </x:c>
      <x:c r="E1565" s="17" t="d">
        <x:v>2025-12-29T00:00:00.000Z</x:v>
      </x:c>
      <x:c r="F1565" s="4" t="str">
        <x:v>Planificación de Viaje</x:v>
      </x:c>
      <x:c r="G1565" s="11" t="n">
        <x:v>1169</x:v>
      </x:c>
      <x:c r="H1565" s="11" t="n">
        <x:v>200</x:v>
      </x:c>
      <x:c r="I1565" s="11" t="n">
        <x:v>1</x:v>
      </x:c>
      <x:c r="J1565" s="4" t="str">
        <x:v>https://blog.skyairline.com/otono-en-chile/</x:v>
      </x:c>
      <x:c r="K1565" s="16" t="b">
        <x:v>0</x:v>
      </x:c>
      <x:c r="L1565" s="11" t="n">
        <x:v>0</x:v>
      </x:c>
      <x:c r="M1565" s="11" t="n">
        <x:v>0</x:v>
      </x:c>
      <x:c r="N1565" s="4"/>
      <x:c r="O1565" s="4"/>
      <x:c r="P1565" s="11" t="n">
        <x:v>1</x:v>
      </x:c>
      <x:c r="Q1565" s="11" t="n">
        <x:v>0</x:v>
      </x:c>
      <x:c r="R1565" s="11" t="str">
        <x:f>IF(OR(P1565="",Q1565=""),"",Q1565-P1565)</x:f>
      </x:c>
      <x:c r="S1565" s="13" t="str">
        <x:f>IF(OR(P1565="",Q1565="",P1565=0),"",((Q1565/30)/(P1565/31))-1)</x:f>
      </x:c>
      <x:c r="T1565" s="11" t="n">
        <x:v>160</x:v>
      </x:c>
      <x:c r="U1565" s="11" t="n">
        <x:v>99</x:v>
      </x:c>
      <x:c r="V1565" s="14" t="n">
        <x:v>0</x:v>
      </x:c>
      <x:c r="W1565" s="12" t="n">
        <x:v>10.98989898989899</x:v>
      </x:c>
      <x:c r="X1565" s="11"/>
      <x:c r="Y1565" s="11"/>
      <x:c r="Z1565" s="4" t="str">
        <x:v>https://blog.skyairline.com/otono-en-chile/</x:v>
      </x:c>
      <x:c r="AA1565" s="4" t="str">
        <x:v>https://blog.skyairline.com/otono-en-chile/</x:v>
      </x:c>
      <x:c r="AB1565" s="4" t="str">
        <x:v>Coincidencia URL</x:v>
      </x:c>
      <x:c r="AC1565" s="4" t="str">
        <x:v>Publicado hasta septiembre</x:v>
      </x:c>
      <x:c r="AD1565" s="4"/>
      <x:c r="AE1565" s="4"/>
      <x:c r="AF1565" s="16" t="b">
        <x:v>0</x:v>
      </x:c>
    </x:row>
    <x:row r="1566" ht="44" customHeight="1">
      <x:c r="A1566" s="4" t="n">
        <x:v>8157</x:v>
      </x:c>
      <x:c r="B1566" s="4" t="str">
        <x:v>https://blog.skyairline.com/correoschile-y-sky-hacen-realidad-el-sueno-de-volar-de-ninos-de-fundacion-nuestros-hijos/</x:v>
      </x:c>
      <x:c r="C1566" s="9" t="str">
        <x:v>CorreosChile y SKY hacen realidad el sueño de volar de niños de Fundación Nuestros Hijos</x:v>
      </x:c>
      <x:c r="D1566" s="17" t="d">
        <x:v>2026-01-07T00:00:00.000Z</x:v>
      </x:c>
      <x:c r="E1566" s="17" t="d">
        <x:v>2026-01-07T00:00:00.000Z</x:v>
      </x:c>
      <x:c r="F1566" s="4" t="str">
        <x:v>Noticias</x:v>
      </x:c>
      <x:c r="G1566" s="11" t="n">
        <x:v>271</x:v>
      </x:c>
      <x:c r="H1566" s="11" t="n">
        <x:v>200</x:v>
      </x:c>
      <x:c r="I1566" s="11" t="n">
        <x:v>1</x:v>
      </x:c>
      <x:c r="J1566" s="4" t="str">
        <x:v>https://blog.skyairline.com/correoschile-y-sky-hacen-realidad-el-sueno-de-volar-de-ninos-de-fundacion-nuestros-hijos/</x:v>
      </x:c>
      <x:c r="K1566" s="16" t="b">
        <x:v>0</x:v>
      </x:c>
      <x:c r="L1566" s="11" t="n">
        <x:v>0</x:v>
      </x:c>
      <x:c r="M1566" s="11" t="n">
        <x:v>0</x:v>
      </x:c>
      <x:c r="N1566" s="4"/>
      <x:c r="O1566" s="4"/>
      <x:c r="P1566" s="11" t="n">
        <x:v>0</x:v>
      </x:c>
      <x:c r="Q1566" s="11" t="n">
        <x:v>0</x:v>
      </x:c>
      <x:c r="R1566" s="11" t="str">
        <x:f>IF(OR(P1566="",Q1566=""),"",Q1566-P1566)</x:f>
      </x:c>
      <x:c r="S1566" s="13" t="str">
        <x:f>IF(OR(P1566="",Q1566="",P1566=0),"",((Q1566/30)/(P1566/31))-1)</x:f>
      </x:c>
      <x:c r="T1566" s="11" t="n">
        <x:v>34</x:v>
      </x:c>
      <x:c r="U1566" s="11" t="n">
        <x:v>23</x:v>
      </x:c>
      <x:c r="V1566" s="14" t="n">
        <x:v>0</x:v>
      </x:c>
      <x:c r="W1566" s="12" t="n">
        <x:v>7.6521739130434785</x:v>
      </x:c>
      <x:c r="X1566" s="11"/>
      <x:c r="Y1566" s="11"/>
      <x:c r="Z1566" s="4" t="str">
        <x:v>https://blog.skyairline.com/correoschile-y-sky-hacen-realidad-el-sueno-de-volar-de-ninos-de-fundacion-nuestros-hijos/</x:v>
      </x:c>
      <x:c r="AA1566" s="4" t="str">
        <x:v>https://blog.skyairline.com/correoschile-y-sky-hacen-realidad-el-sueno-de-volar-de-ninos-de-fundacion-nuestros-hijos/</x:v>
      </x:c>
      <x:c r="AB1566" s="4" t="str">
        <x:v>Coincidencia URL</x:v>
      </x:c>
      <x:c r="AC1566" s="4" t="str">
        <x:v>Publicado hasta septiembre</x:v>
      </x:c>
      <x:c r="AD1566" s="4"/>
      <x:c r="AE1566" s="4"/>
      <x:c r="AF1566" s="16" t="b">
        <x:v>0</x:v>
      </x:c>
    </x:row>
    <x:row r="1567" ht="44" customHeight="1">
      <x:c r="A1567" s="4" t="n">
        <x:v>8162</x:v>
      </x:c>
      <x:c r="B1567" s="4" t="str">
        <x:v>https://blog.skyairline.com/sky-transporto-a-mas-de-375-mil-viajeros-en-la-region-durante-las-fiestas-de-fin-de-ano/</x:v>
      </x:c>
      <x:c r="C1567" s="9" t="str">
        <x:v>SKY transportó a más de 375 mil viajeros en la región durante las fiestas de fin de año</x:v>
      </x:c>
      <x:c r="D1567" s="17" t="d">
        <x:v>2026-01-07T00:00:00.000Z</x:v>
      </x:c>
      <x:c r="E1567" s="17" t="d">
        <x:v>2026-01-09T00:00:00.000Z</x:v>
      </x:c>
      <x:c r="F1567" s="4" t="str">
        <x:v>Noticias</x:v>
      </x:c>
      <x:c r="G1567" s="11" t="n">
        <x:v>193</x:v>
      </x:c>
      <x:c r="H1567" s="11" t="n">
        <x:v>200</x:v>
      </x:c>
      <x:c r="I1567" s="11" t="n">
        <x:v>1</x:v>
      </x:c>
      <x:c r="J1567" s="4" t="str">
        <x:v>https://blog.skyairline.com/sky-transporto-a-mas-de-375-mil-viajeros-en-la-region-durante-las-fiestas-de-fin-de-ano/</x:v>
      </x:c>
      <x:c r="K1567" s="16" t="b">
        <x:v>0</x:v>
      </x:c>
      <x:c r="L1567" s="11" t="n">
        <x:v>0</x:v>
      </x:c>
      <x:c r="M1567" s="11" t="n">
        <x:v>0</x:v>
      </x:c>
      <x:c r="N1567" s="4"/>
      <x:c r="O1567" s="4"/>
      <x:c r="P1567" s="11" t="n">
        <x:v>0</x:v>
      </x:c>
      <x:c r="Q1567" s="11" t="n">
        <x:v>0</x:v>
      </x:c>
      <x:c r="R1567" s="11" t="str">
        <x:f>IF(OR(P1567="",Q1567=""),"",Q1567-P1567)</x:f>
      </x:c>
      <x:c r="S1567" s="13" t="str">
        <x:f>IF(OR(P1567="",Q1567="",P1567=0),"",((Q1567/30)/(P1567/31))-1)</x:f>
      </x:c>
      <x:c r="T1567" s="11" t="n">
        <x:v>1</x:v>
      </x:c>
      <x:c r="U1567" s="11" t="n">
        <x:v>3</x:v>
      </x:c>
      <x:c r="V1567" s="14" t="n">
        <x:v>0</x:v>
      </x:c>
      <x:c r="W1567" s="12" t="n">
        <x:v>4</x:v>
      </x:c>
      <x:c r="X1567" s="11"/>
      <x:c r="Y1567" s="11"/>
      <x:c r="Z1567" s="4" t="str">
        <x:v>https://blog.skyairline.com/sky-transporto-a-mas-de-375-mil-viajeros-en-la-region-durante-las-fiestas-de-fin-de-ano/</x:v>
      </x:c>
      <x:c r="AA1567" s="4" t="str">
        <x:v>https://blog.skyairline.com/sky-transporto-a-mas-de-375-mil-viajeros-en-la-region-durante-las-fiestas-de-fin-de-ano/</x:v>
      </x:c>
      <x:c r="AB1567" s="4" t="str">
        <x:v>Coincidencia URL</x:v>
      </x:c>
      <x:c r="AC1567" s="4" t="str">
        <x:v>Publicado hasta septiembre</x:v>
      </x:c>
      <x:c r="AD1567" s="4"/>
      <x:c r="AE1567" s="4"/>
      <x:c r="AF1567" s="16" t="b">
        <x:v>0</x:v>
      </x:c>
    </x:row>
    <x:row r="1568" ht="44" customHeight="1">
      <x:c r="A1568" s="4" t="n">
        <x:v>8201</x:v>
      </x:c>
      <x:c r="B1568" s="4" t="str">
        <x:v>https://blog.skyairline.com/sky-impulsa-la-llegada-de-turistas-internacionales-al-peru-junto-a-promperu/</x:v>
      </x:c>
      <x:c r="C1568" s="9" t="str">
        <x:v>SKY impulsa la llegada de turistas internacionales al Perú junto a PROMPERÚ</x:v>
      </x:c>
      <x:c r="D1568" s="17" t="d">
        <x:v>2026-01-08T00:00:00.000Z</x:v>
      </x:c>
      <x:c r="E1568" s="17" t="d">
        <x:v>2026-01-08T00:00:00.000Z</x:v>
      </x:c>
      <x:c r="F1568" s="4" t="str">
        <x:v>Noticias</x:v>
      </x:c>
      <x:c r="G1568" s="11" t="n">
        <x:v>181</x:v>
      </x:c>
      <x:c r="H1568" s="11" t="n">
        <x:v>200</x:v>
      </x:c>
      <x:c r="I1568" s="11" t="n">
        <x:v>1</x:v>
      </x:c>
      <x:c r="J1568" s="4" t="str">
        <x:v>https://blog.skyairline.com/sky-impulsa-la-llegada-de-turistas-internacionales-al-peru-junto-a-promperu/</x:v>
      </x:c>
      <x:c r="K1568" s="16" t="b">
        <x:v>0</x:v>
      </x:c>
      <x:c r="L1568" s="11" t="n">
        <x:v>0</x:v>
      </x:c>
      <x:c r="M1568" s="11" t="n">
        <x:v>0</x:v>
      </x:c>
      <x:c r="N1568" s="4"/>
      <x:c r="O1568" s="4"/>
      <x:c r="P1568" s="11" t="n">
        <x:v>2</x:v>
      </x:c>
      <x:c r="Q1568" s="11" t="n">
        <x:v>0</x:v>
      </x:c>
      <x:c r="R1568" s="11" t="str">
        <x:f>IF(OR(P1568="",Q1568=""),"",Q1568-P1568)</x:f>
      </x:c>
      <x:c r="S1568" s="13" t="str">
        <x:f>IF(OR(P1568="",Q1568="",P1568=0),"",((Q1568/30)/(P1568/31))-1)</x:f>
      </x:c>
      <x:c r="T1568" s="11" t="n">
        <x:v>128</x:v>
      </x:c>
      <x:c r="U1568" s="11" t="n">
        <x:v>39</x:v>
      </x:c>
      <x:c r="V1568" s="14" t="n">
        <x:v>0</x:v>
      </x:c>
      <x:c r="W1568" s="12" t="n">
        <x:v>8.256410256410255</x:v>
      </x:c>
      <x:c r="X1568" s="11" t="n">
        <x:v>2</x:v>
      </x:c>
      <x:c r="Y1568" s="11" t="n">
        <x:v>2</x:v>
      </x:c>
      <x:c r="Z1568" s="4" t="str">
        <x:v>https://blog.skyairline.com/sky-impulsa-la-llegada-de-turistas-internacionales-al-peru-junto-a-promperu/</x:v>
      </x:c>
      <x:c r="AA1568" s="4" t="str">
        <x:v>https://blog.skyairline.com/sky-impulsa-la-llegada-de-turistas-internacionales-al-peru-junto-a-promperu/</x:v>
      </x:c>
      <x:c r="AB1568" s="4" t="str">
        <x:v>Coincidencia URL</x:v>
      </x:c>
      <x:c r="AC1568" s="4" t="str">
        <x:v>Publicado hasta septiembre</x:v>
      </x:c>
      <x:c r="AD1568" s="4" t="str">
        <x:v>/sky-impulsa-la-llegada-de-turistas-internacionales-al-peru-junto-a-promperu/</x:v>
      </x:c>
      <x:c r="AE1568" s="4"/>
      <x:c r="AF1568" s="16" t="b">
        <x:v>0</x:v>
      </x:c>
    </x:row>
    <x:row r="1569" ht="44" customHeight="1">
      <x:c r="A1569" s="4" t="n">
        <x:v>8304</x:v>
      </x:c>
      <x:c r="B1569" s="4" t="str">
        <x:v>https://blog.skyairline.com/vuelos-mas-sostenibles-asi-sky-esta-reduciendo-su-huella/</x:v>
      </x:c>
      <x:c r="C1569" s="9" t="str">
        <x:v>Vuelos más sostenibles: Así SKY está reduciendo su huella</x:v>
      </x:c>
      <x:c r="D1569" s="17" t="d">
        <x:v>2026-02-18T00:00:00.000Z</x:v>
      </x:c>
      <x:c r="E1569" s="17" t="d">
        <x:v>2026-02-18T00:00:00.000Z</x:v>
      </x:c>
      <x:c r="F1569" s="4" t="str">
        <x:v>Noticias</x:v>
      </x:c>
      <x:c r="G1569" s="11" t="n">
        <x:v>171</x:v>
      </x:c>
      <x:c r="H1569" s="11" t="n">
        <x:v>200</x:v>
      </x:c>
      <x:c r="I1569" s="11" t="n">
        <x:v>1</x:v>
      </x:c>
      <x:c r="J1569" s="4" t="str">
        <x:v>https://blog.skyairline.com/vuelos-mas-sostenibles-asi-sky-esta-reduciendo-su-huella/</x:v>
      </x:c>
      <x:c r="K1569" s="16" t="b">
        <x:v>0</x:v>
      </x:c>
      <x:c r="L1569" s="11" t="n">
        <x:v>0</x:v>
      </x:c>
      <x:c r="M1569" s="11" t="n">
        <x:v>0</x:v>
      </x:c>
      <x:c r="N1569" s="4" t="str">
        <x:v>T03</x:v>
      </x:c>
      <x:c r="O1569" s="4"/>
      <x:c r="P1569" s="11" t="n">
        <x:v>0</x:v>
      </x:c>
      <x:c r="Q1569" s="11" t="n">
        <x:v>0</x:v>
      </x:c>
      <x:c r="R1569" s="11" t="str">
        <x:f>IF(OR(P1569="",Q1569=""),"",Q1569-P1569)</x:f>
      </x:c>
      <x:c r="S1569" s="13" t="str">
        <x:f>IF(OR(P1569="",Q1569="",P1569=0),"",((Q1569/30)/(P1569/31))-1)</x:f>
      </x:c>
      <x:c r="T1569" s="11" t="n">
        <x:v>1</x:v>
      </x:c>
      <x:c r="U1569" s="11" t="n">
        <x:v>2</x:v>
      </x:c>
      <x:c r="V1569" s="14" t="n">
        <x:v>0</x:v>
      </x:c>
      <x:c r="W1569" s="12" t="n">
        <x:v>3.5</x:v>
      </x:c>
      <x:c r="X1569" s="11"/>
      <x:c r="Y1569" s="11"/>
      <x:c r="Z1569" s="4" t="str">
        <x:v>https://blog.skyairline.com/vuelos-mas-sostenibles-asi-sky-esta-reduciendo-su-huella/</x:v>
      </x:c>
      <x:c r="AA1569" s="4" t="str">
        <x:v>https://blog.skyairline.com/vuelos-mas-sostenibles-asi-sky-esta-reduciendo-su-huella/</x:v>
      </x:c>
      <x:c r="AB1569" s="4" t="str">
        <x:v>Coincidencia URL</x:v>
      </x:c>
      <x:c r="AC1569" s="4" t="str">
        <x:v>Publicado hasta septiembre</x:v>
      </x:c>
      <x:c r="AD1569" s="4"/>
      <x:c r="AE1569" s="4"/>
      <x:c r="AF1569" s="16" t="b">
        <x:v>0</x:v>
      </x:c>
    </x:row>
    <x:row r="1570" ht="44" customHeight="1">
      <x:c r="A1570" s="4" t="n">
        <x:v>8307</x:v>
      </x:c>
      <x:c r="B1570" s="4" t="str">
        <x:v>https://blog.skyairline.com/mas-de-17-mil-toneladas-viajaron-por-el-cielo-con-sky-carga/</x:v>
      </x:c>
      <x:c r="C1570" s="9" t="str">
        <x:v>Más de 17 mil toneladas viajaron por el cielo con SKY Carga</x:v>
      </x:c>
      <x:c r="D1570" s="17" t="d">
        <x:v>2026-02-18T00:00:00.000Z</x:v>
      </x:c>
      <x:c r="E1570" s="17" t="d">
        <x:v>2026-02-18T00:00:00.000Z</x:v>
      </x:c>
      <x:c r="F1570" s="4" t="str">
        <x:v>Noticias</x:v>
      </x:c>
      <x:c r="G1570" s="11" t="n">
        <x:v>193</x:v>
      </x:c>
      <x:c r="H1570" s="11" t="n">
        <x:v>200</x:v>
      </x:c>
      <x:c r="I1570" s="11" t="n">
        <x:v>1</x:v>
      </x:c>
      <x:c r="J1570" s="4" t="str">
        <x:v>https://blog.skyairline.com/mas-de-17-mil-toneladas-viajaron-por-el-cielo-con-sky-carga/</x:v>
      </x:c>
      <x:c r="K1570" s="16" t="b">
        <x:v>0</x:v>
      </x:c>
      <x:c r="L1570" s="11" t="n">
        <x:v>0</x:v>
      </x:c>
      <x:c r="M1570" s="11" t="n">
        <x:v>0</x:v>
      </x:c>
      <x:c r="N1570" s="4" t="str">
        <x:v>T02</x:v>
      </x:c>
      <x:c r="O1570" s="4"/>
      <x:c r="P1570" s="11" t="n">
        <x:v>1</x:v>
      </x:c>
      <x:c r="Q1570" s="11" t="n">
        <x:v>0</x:v>
      </x:c>
      <x:c r="R1570" s="11" t="str">
        <x:f>IF(OR(P1570="",Q1570=""),"",Q1570-P1570)</x:f>
      </x:c>
      <x:c r="S1570" s="13" t="str">
        <x:f>IF(OR(P1570="",Q1570="",P1570=0),"",((Q1570/30)/(P1570/31))-1)</x:f>
      </x:c>
      <x:c r="T1570" s="11" t="n">
        <x:v>581</x:v>
      </x:c>
      <x:c r="U1570" s="11" t="n">
        <x:v>410</x:v>
      </x:c>
      <x:c r="V1570" s="14" t="n">
        <x:v>0</x:v>
      </x:c>
      <x:c r="W1570" s="12" t="n">
        <x:v>7.409756097560976</x:v>
      </x:c>
      <x:c r="X1570" s="11"/>
      <x:c r="Y1570" s="11"/>
      <x:c r="Z1570" s="4" t="str">
        <x:v>https://blog.skyairline.com/mas-de-17-mil-toneladas-viajaron-por-el-cielo-con-sky-carga/</x:v>
      </x:c>
      <x:c r="AA1570" s="4" t="str">
        <x:v>https://blog.skyairline.com/mas-de-17-mil-toneladas-viajaron-por-el-cielo-con-sky-carga
https://blog.skyairline.com/mas-de-17-mil-toneladas-viajaron-por-el-cielo-con-sky-carga/</x:v>
      </x:c>
      <x:c r="AB1570" s="4" t="str">
        <x:v>Alias slash agregado</x:v>
      </x:c>
      <x:c r="AC1570" s="4" t="str">
        <x:v>Publicado hasta septiembre</x:v>
      </x:c>
      <x:c r="AD1570" s="4"/>
      <x:c r="AE1570" s="4"/>
      <x:c r="AF1570" s="16" t="b">
        <x:v>0</x:v>
      </x:c>
    </x:row>
    <x:row r="1571" ht="44" customHeight="1">
      <x:c r="A1571" s="4" t="n">
        <x:v>8318</x:v>
      </x:c>
      <x:c r="B1571" s="4" t="str">
        <x:v>https://blog.skyairline.com/vuelos-mas-sostenibles-asi-sky-esta-reduciendo-su-huella-2/</x:v>
      </x:c>
      <x:c r="C1571" s="9" t="str">
        <x:v>Vuelos más sostenibles: Así SKY está reduciendo su huella</x:v>
      </x:c>
      <x:c r="D1571" s="17" t="d">
        <x:v>2026-02-18T00:00:00.000Z</x:v>
      </x:c>
      <x:c r="E1571" s="17" t="d">
        <x:v>2026-02-18T00:00:00.000Z</x:v>
      </x:c>
      <x:c r="F1571" s="4" t="str">
        <x:v>Noticias</x:v>
      </x:c>
      <x:c r="G1571" s="11" t="n">
        <x:v>172</x:v>
      </x:c>
      <x:c r="H1571" s="11" t="n">
        <x:v>200</x:v>
      </x:c>
      <x:c r="I1571" s="11" t="n">
        <x:v>1</x:v>
      </x:c>
      <x:c r="J1571" s="4" t="str">
        <x:v>https://blog.skyairline.com/vuelos-mas-sostenibles-asi-sky-esta-reduciendo-su-huella-2/</x:v>
      </x:c>
      <x:c r="K1571" s="16" t="b">
        <x:v>0</x:v>
      </x:c>
      <x:c r="L1571" s="11" t="n">
        <x:v>0</x:v>
      </x:c>
      <x:c r="M1571" s="11" t="n">
        <x:v>0</x:v>
      </x:c>
      <x:c r="N1571" s="4" t="str">
        <x:v>T03</x:v>
      </x:c>
      <x:c r="O1571" s="4"/>
      <x:c r="P1571" s="11" t="n">
        <x:v>0</x:v>
      </x:c>
      <x:c r="Q1571" s="11" t="n">
        <x:v>0</x:v>
      </x:c>
      <x:c r="R1571" s="11" t="str">
        <x:f>IF(OR(P1571="",Q1571=""),"",Q1571-P1571)</x:f>
      </x:c>
      <x:c r="S1571" s="13" t="str">
        <x:f>IF(OR(P1571="",Q1571="",P1571=0),"",((Q1571/30)/(P1571/31))-1)</x:f>
      </x:c>
      <x:c r="T1571" s="11" t="n">
        <x:v>17</x:v>
      </x:c>
      <x:c r="U1571" s="11" t="n">
        <x:v>17</x:v>
      </x:c>
      <x:c r="V1571" s="14" t="n">
        <x:v>0</x:v>
      </x:c>
      <x:c r="W1571" s="12" t="n">
        <x:v>4.705882352941177</x:v>
      </x:c>
      <x:c r="X1571" s="11"/>
      <x:c r="Y1571" s="11"/>
      <x:c r="Z1571" s="4" t="str">
        <x:v>https://blog.skyairline.com/vuelos-mas-sostenibles-asi-sky-esta-reduciendo-su-huella-2/</x:v>
      </x:c>
      <x:c r="AA1571" s="4" t="str">
        <x:v>https://blog.skyairline.com/vuelos-mas-sostenibles-asi-sky-esta-reduciendo-su-huella-2/</x:v>
      </x:c>
      <x:c r="AB1571" s="4" t="str">
        <x:v>Coincidencia URL</x:v>
      </x:c>
      <x:c r="AC1571" s="4" t="str">
        <x:v>Publicado hasta septiembre</x:v>
      </x:c>
      <x:c r="AD1571" s="4"/>
      <x:c r="AE1571" s="4"/>
      <x:c r="AF1571" s="16" t="b">
        <x:v>0</x:v>
      </x:c>
    </x:row>
    <x:row r="1572" ht="44" customHeight="1">
      <x:c r="A1572" s="4" t="n">
        <x:v>8402</x:v>
      </x:c>
      <x:c r="B1572" s="4" t="str">
        <x:v>https://blog.skyairline.com/ciudadela-chan-chan/</x:v>
      </x:c>
      <x:c r="C1572" s="9" t="str">
        <x:v>Ciudadela de Chan Chan: historia, qué ver y cómo incluirla en tu viaje a Trujillo</x:v>
      </x:c>
      <x:c r="D1572" s="17" t="d">
        <x:v>2026-03-05T00:00:00.000Z</x:v>
      </x:c>
      <x:c r="E1572" s="17" t="d">
        <x:v>2026-03-02T00:00:00.000Z</x:v>
      </x:c>
      <x:c r="F1572" s="4" t="str">
        <x:v>Destinos</x:v>
      </x:c>
      <x:c r="G1572" s="11" t="n">
        <x:v>1003</x:v>
      </x:c>
      <x:c r="H1572" s="11" t="n">
        <x:v>200</x:v>
      </x:c>
      <x:c r="I1572" s="11" t="n">
        <x:v>1</x:v>
      </x:c>
      <x:c r="J1572" s="4" t="str">
        <x:v>https://blog.skyairline.com/ciudadela-chan-chan/</x:v>
      </x:c>
      <x:c r="K1572" s="16" t="b">
        <x:v>0</x:v>
      </x:c>
      <x:c r="L1572" s="11" t="n">
        <x:v>0</x:v>
      </x:c>
      <x:c r="M1572" s="11" t="n">
        <x:v>0</x:v>
      </x:c>
      <x:c r="N1572" s="4"/>
      <x:c r="O1572" s="4"/>
      <x:c r="P1572" s="11" t="n">
        <x:v>0</x:v>
      </x:c>
      <x:c r="Q1572" s="11" t="n">
        <x:v>0</x:v>
      </x:c>
      <x:c r="R1572" s="11" t="str">
        <x:f>IF(OR(P1572="",Q1572=""),"",Q1572-P1572)</x:f>
      </x:c>
      <x:c r="S1572" s="13" t="str">
        <x:f>IF(OR(P1572="",Q1572="",P1572=0),"",((Q1572/30)/(P1572/31))-1)</x:f>
      </x:c>
      <x:c r="T1572" s="11" t="n">
        <x:v>59</x:v>
      </x:c>
      <x:c r="U1572" s="11" t="n">
        <x:v>29</x:v>
      </x:c>
      <x:c r="V1572" s="14" t="n">
        <x:v>0</x:v>
      </x:c>
      <x:c r="W1572" s="12" t="n">
        <x:v>9.344827586206897</x:v>
      </x:c>
      <x:c r="X1572" s="11"/>
      <x:c r="Y1572" s="11"/>
      <x:c r="Z1572" s="4" t="str">
        <x:v>https://blog.skyairline.com/ciudadela-chan-chan/</x:v>
      </x:c>
      <x:c r="AA1572" s="4" t="str">
        <x:v>https://blog.skyairline.com/ciudadela-chan-chan/</x:v>
      </x:c>
      <x:c r="AB1572" s="4" t="str">
        <x:v>Coincidencia URL</x:v>
      </x:c>
      <x:c r="AC1572" s="4" t="str">
        <x:v>Publicado hasta septiembre</x:v>
      </x:c>
      <x:c r="AD1572" s="4"/>
      <x:c r="AE1572" s="4"/>
      <x:c r="AF1572" s="16" t="b">
        <x:v>0</x:v>
      </x:c>
    </x:row>
    <x:row r="1573" ht="44" customHeight="1">
      <x:c r="A1573" s="4" t="n">
        <x:v>8412</x:v>
      </x:c>
      <x:c r="B1573" s="4" t="str">
        <x:v>https://blog.skyairline.com/carretera-austral/</x:v>
      </x:c>
      <x:c r="C1573" s="9" t="str">
        <x:v>Carretera Austral: guía para planificar tu aventura por la Ruta 7 (Patagonia chilena)</x:v>
      </x:c>
      <x:c r="D1573" s="17" t="d">
        <x:v>2026-03-06T00:00:00.000Z</x:v>
      </x:c>
      <x:c r="E1573" s="17" t="d">
        <x:v>2026-03-02T00:00:00.000Z</x:v>
      </x:c>
      <x:c r="F1573" s="4" t="str">
        <x:v>Planificación de Viaje</x:v>
      </x:c>
      <x:c r="G1573" s="11" t="n">
        <x:v>1081</x:v>
      </x:c>
      <x:c r="H1573" s="11" t="n">
        <x:v>200</x:v>
      </x:c>
      <x:c r="I1573" s="11" t="n">
        <x:v>1</x:v>
      </x:c>
      <x:c r="J1573" s="4" t="str">
        <x:v>https://blog.skyairline.com/carretera-austral/</x:v>
      </x:c>
      <x:c r="K1573" s="16" t="b">
        <x:v>0</x:v>
      </x:c>
      <x:c r="L1573" s="11" t="n">
        <x:v>0</x:v>
      </x:c>
      <x:c r="M1573" s="11" t="n">
        <x:v>0</x:v>
      </x:c>
      <x:c r="N1573" s="4"/>
      <x:c r="O1573" s="4"/>
      <x:c r="P1573" s="11" t="n">
        <x:v>1</x:v>
      </x:c>
      <x:c r="Q1573" s="11" t="n">
        <x:v>0</x:v>
      </x:c>
      <x:c r="R1573" s="11" t="str">
        <x:f>IF(OR(P1573="",Q1573=""),"",Q1573-P1573)</x:f>
      </x:c>
      <x:c r="S1573" s="13" t="str">
        <x:f>IF(OR(P1573="",Q1573="",P1573=0),"",((Q1573/30)/(P1573/31))-1)</x:f>
      </x:c>
      <x:c r="T1573" s="11" t="n">
        <x:v>216</x:v>
      </x:c>
      <x:c r="U1573" s="11" t="n">
        <x:v>97</x:v>
      </x:c>
      <x:c r="V1573" s="14" t="n">
        <x:v>0</x:v>
      </x:c>
      <x:c r="W1573" s="12" t="n">
        <x:v>11.608247422680412</x:v>
      </x:c>
      <x:c r="X1573" s="11"/>
      <x:c r="Y1573" s="11"/>
      <x:c r="Z1573" s="4" t="str">
        <x:v>https://blog.skyairline.com/carretera-austral/</x:v>
      </x:c>
      <x:c r="AA1573" s="4" t="str">
        <x:v>https://blog.skyairline.com/carretera-austral/</x:v>
      </x:c>
      <x:c r="AB1573" s="4" t="str">
        <x:v>Coincidencia URL</x:v>
      </x:c>
      <x:c r="AC1573" s="4" t="str">
        <x:v>Publicado hasta septiembre</x:v>
      </x:c>
      <x:c r="AD1573" s="4"/>
      <x:c r="AE1573" s="4"/>
      <x:c r="AF1573" s="16" t="b">
        <x:v>0</x:v>
      </x:c>
    </x:row>
    <x:row r="1574" ht="44" customHeight="1">
      <x:c r="A1574" s="4" t="n">
        <x:v>8415</x:v>
      </x:c>
      <x:c r="B1574" s="4" t="str">
        <x:v>https://blog.skyairline.com/coyhaique/</x:v>
      </x:c>
      <x:c r="C1574" s="9" t="str">
        <x:v>Coyhaique: guía completa para conocer la ciudad</x:v>
      </x:c>
      <x:c r="D1574" s="17" t="d">
        <x:v>2026-03-07T00:00:00.000Z</x:v>
      </x:c>
      <x:c r="E1574" s="17" t="d">
        <x:v>2026-03-02T00:00:00.000Z</x:v>
      </x:c>
      <x:c r="F1574" s="4" t="str">
        <x:v>Destinos</x:v>
      </x:c>
      <x:c r="G1574" s="11" t="n">
        <x:v>1059</x:v>
      </x:c>
      <x:c r="H1574" s="11" t="n">
        <x:v>200</x:v>
      </x:c>
      <x:c r="I1574" s="11" t="n">
        <x:v>1</x:v>
      </x:c>
      <x:c r="J1574" s="4" t="str">
        <x:v>https://blog.skyairline.com/coyhaique/</x:v>
      </x:c>
      <x:c r="K1574" s="16" t="b">
        <x:v>0</x:v>
      </x:c>
      <x:c r="L1574" s="11" t="n">
        <x:v>0</x:v>
      </x:c>
      <x:c r="M1574" s="11" t="n">
        <x:v>0</x:v>
      </x:c>
      <x:c r="N1574" s="4"/>
      <x:c r="O1574" s="4"/>
      <x:c r="P1574" s="11" t="n">
        <x:v>0</x:v>
      </x:c>
      <x:c r="Q1574" s="11" t="n">
        <x:v>0</x:v>
      </x:c>
      <x:c r="R1574" s="11" t="str">
        <x:f>IF(OR(P1574="",Q1574=""),"",Q1574-P1574)</x:f>
      </x:c>
      <x:c r="S1574" s="13" t="str">
        <x:f>IF(OR(P1574="",Q1574="",P1574=0),"",((Q1574/30)/(P1574/31))-1)</x:f>
      </x:c>
      <x:c r="T1574" s="11" t="n">
        <x:v>159</x:v>
      </x:c>
      <x:c r="U1574" s="11" t="n">
        <x:v>849</x:v>
      </x:c>
      <x:c r="V1574" s="14" t="n">
        <x:v>0</x:v>
      </x:c>
      <x:c r="W1574" s="12" t="n">
        <x:v>7.950530035335689</x:v>
      </x:c>
      <x:c r="X1574" s="11"/>
      <x:c r="Y1574" s="11"/>
      <x:c r="Z1574" s="4" t="str">
        <x:v>https://blog.skyairline.com/coyhaique/</x:v>
      </x:c>
      <x:c r="AA1574" s="4" t="str">
        <x:v>https://blog.skyairline.com/coyhaique/</x:v>
      </x:c>
      <x:c r="AB1574" s="4" t="str">
        <x:v>Coincidencia URL</x:v>
      </x:c>
      <x:c r="AC1574" s="4" t="str">
        <x:v>Publicado hasta septiembre</x:v>
      </x:c>
      <x:c r="AD1574" s="4"/>
      <x:c r="AE1574" s="4"/>
      <x:c r="AF1574" s="16" t="b">
        <x:v>0</x:v>
      </x:c>
    </x:row>
    <x:row r="1575" ht="44" customHeight="1">
      <x:c r="A1575" s="4" t="n">
        <x:v>8420</x:v>
      </x:c>
      <x:c r="B1575" s="4" t="str">
        <x:v>https://blog.skyairline.com/cuando-empieza-el-otono/</x:v>
      </x:c>
      <x:c r="C1575" s="9" t="str">
        <x:v>¿Cuándo empieza el otoño y por qué es buena temporada para viajar?</x:v>
      </x:c>
      <x:c r="D1575" s="17" t="d">
        <x:v>2026-03-07T00:00:00.000Z</x:v>
      </x:c>
      <x:c r="E1575" s="17" t="d">
        <x:v>2026-03-02T00:00:00.000Z</x:v>
      </x:c>
      <x:c r="F1575" s="4" t="str">
        <x:v>Planificación de Viaje</x:v>
      </x:c>
      <x:c r="G1575" s="11" t="n">
        <x:v>988</x:v>
      </x:c>
      <x:c r="H1575" s="11" t="n">
        <x:v>200</x:v>
      </x:c>
      <x:c r="I1575" s="11" t="n">
        <x:v>1</x:v>
      </x:c>
      <x:c r="J1575" s="4" t="str">
        <x:v>https://blog.skyairline.com/cuando-empieza-el-otono/</x:v>
      </x:c>
      <x:c r="K1575" s="16" t="b">
        <x:v>0</x:v>
      </x:c>
      <x:c r="L1575" s="11" t="n">
        <x:v>0</x:v>
      </x:c>
      <x:c r="M1575" s="11" t="n">
        <x:v>0</x:v>
      </x:c>
      <x:c r="N1575" s="4"/>
      <x:c r="O1575" s="4"/>
      <x:c r="P1575" s="11" t="n">
        <x:v>0</x:v>
      </x:c>
      <x:c r="Q1575" s="11" t="n">
        <x:v>0</x:v>
      </x:c>
      <x:c r="R1575" s="11" t="str">
        <x:f>IF(OR(P1575="",Q1575=""),"",Q1575-P1575)</x:f>
      </x:c>
      <x:c r="S1575" s="13" t="str">
        <x:f>IF(OR(P1575="",Q1575="",P1575=0),"",((Q1575/30)/(P1575/31))-1)</x:f>
      </x:c>
      <x:c r="T1575" s="11" t="n">
        <x:v>932</x:v>
      </x:c>
      <x:c r="U1575" s="11" t="n">
        <x:v>299</x:v>
      </x:c>
      <x:c r="V1575" s="14" t="n">
        <x:v>0</x:v>
      </x:c>
      <x:c r="W1575" s="12" t="n">
        <x:v>11.076923076923077</x:v>
      </x:c>
      <x:c r="X1575" s="11" t="n">
        <x:v>1</x:v>
      </x:c>
      <x:c r="Y1575" s="11" t="n">
        <x:v>1</x:v>
      </x:c>
      <x:c r="Z1575" s="4" t="str">
        <x:v>https://blog.skyairline.com/cuando-empieza-el-otono/</x:v>
      </x:c>
      <x:c r="AA1575" s="4" t="str">
        <x:v>https://blog.skyairline.com/cuando-empieza-el-otono/</x:v>
      </x:c>
      <x:c r="AB1575" s="4" t="str">
        <x:v>Coincidencia URL</x:v>
      </x:c>
      <x:c r="AC1575" s="4" t="str">
        <x:v>Publicado hasta septiembre</x:v>
      </x:c>
      <x:c r="AD1575" s="4" t="str">
        <x:v>/cuando-empieza-el-otono/</x:v>
      </x:c>
      <x:c r="AE1575" s="4"/>
      <x:c r="AF1575" s="16" t="b">
        <x:v>0</x:v>
      </x:c>
    </x:row>
    <x:row r="1576" ht="44" customHeight="1">
      <x:c r="A1576" s="4" t="n">
        <x:v>8422</x:v>
      </x:c>
      <x:c r="B1576" s="4" t="str">
        <x:v>https://blog.skyairline.com/hornopiren-2/</x:v>
      </x:c>
      <x:c r="C1576" s="9" t="str">
        <x:v>Hornopirén: qué hacer, parques, termas y cómo planificar tu entrada a la Carretera Austral</x:v>
      </x:c>
      <x:c r="D1576" s="17" t="d">
        <x:v>2026-03-07T00:00:00.000Z</x:v>
      </x:c>
      <x:c r="E1576" s="17" t="d">
        <x:v>2026-03-02T00:00:00.000Z</x:v>
      </x:c>
      <x:c r="F1576" s="4" t="str">
        <x:v>Destinos</x:v>
      </x:c>
      <x:c r="G1576" s="11" t="n">
        <x:v>1031</x:v>
      </x:c>
      <x:c r="H1576" s="11" t="n">
        <x:v>200</x:v>
      </x:c>
      <x:c r="I1576" s="11" t="n">
        <x:v>1</x:v>
      </x:c>
      <x:c r="J1576" s="4" t="str">
        <x:v>https://blog.skyairline.com/hornopiren-2/</x:v>
      </x:c>
      <x:c r="K1576" s="16" t="b">
        <x:v>0</x:v>
      </x:c>
      <x:c r="L1576" s="11" t="n">
        <x:v>0</x:v>
      </x:c>
      <x:c r="M1576" s="11" t="n">
        <x:v>0</x:v>
      </x:c>
      <x:c r="N1576" s="4"/>
      <x:c r="O1576" s="4"/>
      <x:c r="P1576" s="11" t="n">
        <x:v>1</x:v>
      </x:c>
      <x:c r="Q1576" s="11" t="n">
        <x:v>0</x:v>
      </x:c>
      <x:c r="R1576" s="11" t="str">
        <x:f>IF(OR(P1576="",Q1576=""),"",Q1576-P1576)</x:f>
      </x:c>
      <x:c r="S1576" s="13" t="str">
        <x:f>IF(OR(P1576="",Q1576="",P1576=0),"",((Q1576/30)/(P1576/31))-1)</x:f>
      </x:c>
      <x:c r="T1576" s="11" t="n">
        <x:v>128</x:v>
      </x:c>
      <x:c r="U1576" s="11" t="n">
        <x:v>106</x:v>
      </x:c>
      <x:c r="V1576" s="14" t="n">
        <x:v>0</x:v>
      </x:c>
      <x:c r="W1576" s="12" t="n">
        <x:v>18.849056603773583</x:v>
      </x:c>
      <x:c r="X1576" s="11"/>
      <x:c r="Y1576" s="11"/>
      <x:c r="Z1576" s="4" t="str">
        <x:v>https://blog.skyairline.com/hornopiren-2/</x:v>
      </x:c>
      <x:c r="AA1576" s="4" t="str">
        <x:v>https://blog.skyairline.com/hornopiren-2/</x:v>
      </x:c>
      <x:c r="AB1576" s="4" t="str">
        <x:v>Coincidencia URL</x:v>
      </x:c>
      <x:c r="AC1576" s="4" t="str">
        <x:v>Publicado hasta septiembre</x:v>
      </x:c>
      <x:c r="AD1576" s="4"/>
      <x:c r="AE1576" s="4"/>
      <x:c r="AF1576" s="16" t="b">
        <x:v>0</x:v>
      </x:c>
    </x:row>
    <x:row r="1577" ht="44" customHeight="1">
      <x:c r="A1577" s="4" t="n">
        <x:v>8428</x:v>
      </x:c>
      <x:c r="B1577" s="4" t="str">
        <x:v>https://blog.skyairline.com/sky-y-las-torres-patagonia-por-la-reconstruccion-de-senderos/</x:v>
      </x:c>
      <x:c r="C1577" s="9" t="str">
        <x:v>SKY y Las Torres Patagonia por la reconstrucción de senderos</x:v>
      </x:c>
      <x:c r="D1577" s="17" t="d">
        <x:v>2026-03-09T00:00:00.000Z</x:v>
      </x:c>
      <x:c r="E1577" s="17" t="d">
        <x:v>2026-03-09T00:00:00.000Z</x:v>
      </x:c>
      <x:c r="F1577" s="4" t="str">
        <x:v>Noticias</x:v>
      </x:c>
      <x:c r="G1577" s="11" t="n">
        <x:v>214</x:v>
      </x:c>
      <x:c r="H1577" s="11" t="n">
        <x:v>200</x:v>
      </x:c>
      <x:c r="I1577" s="11" t="n">
        <x:v>1</x:v>
      </x:c>
      <x:c r="J1577" s="4" t="str">
        <x:v>https://blog.skyairline.com/sky-y-las-torres-patagonia-por-la-reconstruccion-de-senderos/</x:v>
      </x:c>
      <x:c r="K1577" s="16" t="b">
        <x:v>0</x:v>
      </x:c>
      <x:c r="L1577" s="11" t="n">
        <x:v>0</x:v>
      </x:c>
      <x:c r="M1577" s="11" t="n">
        <x:v>0</x:v>
      </x:c>
      <x:c r="N1577" s="4"/>
      <x:c r="O1577" s="4"/>
      <x:c r="P1577" s="11"/>
      <x:c r="Q1577" s="11" t="n">
        <x:v>0</x:v>
      </x:c>
      <x:c r="R1577" s="11" t="str">
        <x:f>IF(OR(P1577="",Q1577=""),"",Q1577-P1577)</x:f>
      </x:c>
      <x:c r="S1577" s="13" t="str">
        <x:f>IF(OR(P1577="",Q1577="",P1577=0),"",((Q1577/30)/(P1577/31))-1)</x:f>
      </x:c>
      <x:c r="T1577" s="11"/>
      <x:c r="U1577" s="11" t="n">
        <x:v>3</x:v>
      </x:c>
      <x:c r="V1577" s="14" t="n">
        <x:v>0</x:v>
      </x:c>
      <x:c r="W1577" s="12" t="n">
        <x:v>4.666666666666666</x:v>
      </x:c>
      <x:c r="X1577" s="11"/>
      <x:c r="Y1577" s="11"/>
      <x:c r="Z1577" s="4"/>
      <x:c r="AA1577" s="4" t="str">
        <x:v>https://blog.skyairline.com/sky-y-las-torres-patagonia-por-la-reconstruccion-de-senderos/</x:v>
      </x:c>
      <x:c r="AB1577" s="4" t="str">
        <x:v>Coincidencia URL</x:v>
      </x:c>
      <x:c r="AC1577" s="4" t="str">
        <x:v>Publicado hasta septiembre</x:v>
      </x:c>
      <x:c r="AD1577" s="4"/>
      <x:c r="AE1577" s="4"/>
      <x:c r="AF1577" s="16" t="b">
        <x:v>0</x:v>
      </x:c>
    </x:row>
    <x:row r="1578" ht="44" customHeight="1">
      <x:c r="A1578" s="4" t="n">
        <x:v>8439</x:v>
      </x:c>
      <x:c r="B1578" s="4" t="str">
        <x:v>https://blog.skyairline.com/sky-operara-vuelos-diarios-entre-lima-y-chiclayo-desde-julio/</x:v>
      </x:c>
      <x:c r="C1578" s="9" t="str">
        <x:v>SKY operará vuelos diarios entre Lima y Chiclayo desde julio</x:v>
      </x:c>
      <x:c r="D1578" s="17" t="d">
        <x:v>2026-03-10T00:00:00.000Z</x:v>
      </x:c>
      <x:c r="E1578" s="17" t="d">
        <x:v>2026-03-10T00:00:00.000Z</x:v>
      </x:c>
      <x:c r="F1578" s="4" t="str">
        <x:v>Noticias</x:v>
      </x:c>
      <x:c r="G1578" s="11" t="n">
        <x:v>140</x:v>
      </x:c>
      <x:c r="H1578" s="11" t="n">
        <x:v>200</x:v>
      </x:c>
      <x:c r="I1578" s="11" t="n">
        <x:v>1</x:v>
      </x:c>
      <x:c r="J1578" s="4" t="str">
        <x:v>https://blog.skyairline.com/sky-operara-vuelos-diarios-entre-lima-y-chiclayo-desde-julio/</x:v>
      </x:c>
      <x:c r="K1578" s="16" t="b">
        <x:v>0</x:v>
      </x:c>
      <x:c r="L1578" s="11" t="n">
        <x:v>0</x:v>
      </x:c>
      <x:c r="M1578" s="11" t="n">
        <x:v>0</x:v>
      </x:c>
      <x:c r="N1578" s="4"/>
      <x:c r="O1578" s="4"/>
      <x:c r="P1578" s="11" t="n">
        <x:v>4</x:v>
      </x:c>
      <x:c r="Q1578" s="11" t="n">
        <x:v>0</x:v>
      </x:c>
      <x:c r="R1578" s="11" t="str">
        <x:f>IF(OR(P1578="",Q1578=""),"",Q1578-P1578)</x:f>
      </x:c>
      <x:c r="S1578" s="13" t="str">
        <x:f>IF(OR(P1578="",Q1578="",P1578=0),"",((Q1578/30)/(P1578/31))-1)</x:f>
      </x:c>
      <x:c r="T1578" s="11" t="n">
        <x:v>496</x:v>
      </x:c>
      <x:c r="U1578" s="11" t="n">
        <x:v>423</x:v>
      </x:c>
      <x:c r="V1578" s="14" t="n">
        <x:v>0</x:v>
      </x:c>
      <x:c r="W1578" s="12" t="n">
        <x:v>8.617021276595745</x:v>
      </x:c>
      <x:c r="X1578" s="11" t="n">
        <x:v>1</x:v>
      </x:c>
      <x:c r="Y1578" s="11" t="n">
        <x:v>1</x:v>
      </x:c>
      <x:c r="Z1578" s="4" t="str">
        <x:v>https://blog.skyairline.com/sky-operara-vuelos-diarios-entre-lima-y-chiclayo-desde-julio/</x:v>
      </x:c>
      <x:c r="AA1578" s="4" t="str">
        <x:v>https://blog.skyairline.com/sky-operara-vuelos-diarios-entre-lima-y-chiclayo-desde-julio/</x:v>
      </x:c>
      <x:c r="AB1578" s="4" t="str">
        <x:v>Coincidencia URL</x:v>
      </x:c>
      <x:c r="AC1578" s="4" t="str">
        <x:v>Publicado hasta septiembre</x:v>
      </x:c>
      <x:c r="AD1578" s="4" t="str">
        <x:v>/sky-operara-vuelos-diarios-entre-lima-y-chiclayo-desde-julio/</x:v>
      </x:c>
      <x:c r="AE1578" s="4"/>
      <x:c r="AF1578" s="16" t="b">
        <x:v>0</x:v>
      </x:c>
    </x:row>
    <x:row r="1579" ht="44" customHeight="1">
      <x:c r="A1579" s="4" t="n">
        <x:v>8442</x:v>
      </x:c>
      <x:c r="B1579" s="4" t="str">
        <x:v>https://blog.skyairline.com/sky-supera-los-12-millones-de-pasajeros-transportados-hacia-y-desde-iquitos/</x:v>
      </x:c>
      <x:c r="C1579" s="9" t="str">
        <x:v>SKY supera los 1,2 millones de pasajeros transportados hacia y desde Iquitos</x:v>
      </x:c>
      <x:c r="D1579" s="17" t="d">
        <x:v>2026-03-10T00:00:00.000Z</x:v>
      </x:c>
      <x:c r="E1579" s="17" t="d">
        <x:v>2026-03-10T00:00:00.000Z</x:v>
      </x:c>
      <x:c r="F1579" s="4" t="str">
        <x:v>Noticias</x:v>
      </x:c>
      <x:c r="G1579" s="11" t="n">
        <x:v>176</x:v>
      </x:c>
      <x:c r="H1579" s="11" t="n">
        <x:v>200</x:v>
      </x:c>
      <x:c r="I1579" s="11" t="n">
        <x:v>1</x:v>
      </x:c>
      <x:c r="J1579" s="4" t="str">
        <x:v>https://blog.skyairline.com/sky-supera-los-12-millones-de-pasajeros-transportados-hacia-y-desde-iquitos/</x:v>
      </x:c>
      <x:c r="K1579" s="16" t="b">
        <x:v>0</x:v>
      </x:c>
      <x:c r="L1579" s="11" t="n">
        <x:v>0</x:v>
      </x:c>
      <x:c r="M1579" s="11" t="n">
        <x:v>0</x:v>
      </x:c>
      <x:c r="N1579" s="4"/>
      <x:c r="O1579" s="4"/>
      <x:c r="P1579" s="11" t="n">
        <x:v>0</x:v>
      </x:c>
      <x:c r="Q1579" s="11" t="n">
        <x:v>0</x:v>
      </x:c>
      <x:c r="R1579" s="11" t="str">
        <x:f>IF(OR(P1579="",Q1579=""),"",Q1579-P1579)</x:f>
      </x:c>
      <x:c r="S1579" s="13" t="str">
        <x:f>IF(OR(P1579="",Q1579="",P1579=0),"",((Q1579/30)/(P1579/31))-1)</x:f>
      </x:c>
      <x:c r="T1579" s="11" t="n">
        <x:v>10</x:v>
      </x:c>
      <x:c r="U1579" s="11" t="n">
        <x:v>7</x:v>
      </x:c>
      <x:c r="V1579" s="14" t="n">
        <x:v>0</x:v>
      </x:c>
      <x:c r="W1579" s="12" t="n">
        <x:v>5.571428571428571</x:v>
      </x:c>
      <x:c r="X1579" s="11"/>
      <x:c r="Y1579" s="11"/>
      <x:c r="Z1579" s="4" t="str">
        <x:v>https://blog.skyairline.com/sky-supera-los-12-millones-de-pasajeros-transportados-hacia-y-desde-iquitos/</x:v>
      </x:c>
      <x:c r="AA1579" s="4" t="str">
        <x:v>https://blog.skyairline.com/sky-supera-los-12-millones-de-pasajeros-transportados-hacia-y-desde-iquitos/</x:v>
      </x:c>
      <x:c r="AB1579" s="4" t="str">
        <x:v>Coincidencia URL</x:v>
      </x:c>
      <x:c r="AC1579" s="4" t="str">
        <x:v>Publicado hasta septiembre</x:v>
      </x:c>
      <x:c r="AD1579" s="4"/>
      <x:c r="AE1579" s="4"/>
      <x:c r="AF1579" s="16" t="b">
        <x:v>0</x:v>
      </x:c>
    </x:row>
    <x:row r="1580" ht="44" customHeight="1">
      <x:c r="A1580" s="4" t="n">
        <x:v>8456</x:v>
      </x:c>
      <x:c r="B1580" s="4" t="str">
        <x:v>https://blog.skyairline.com/maraton-de-santiago-2/</x:v>
      </x:c>
      <x:c r="C1580" s="9" t="str">
        <x:v>Maratón de Santiago: guía para corredores y acompañantes (planifica tu viaje con tiempo)</x:v>
      </x:c>
      <x:c r="D1580" s="17" t="d">
        <x:v>2026-03-10T00:00:00.000Z</x:v>
      </x:c>
      <x:c r="E1580" s="17" t="d">
        <x:v>2026-03-10T00:00:00.000Z</x:v>
      </x:c>
      <x:c r="F1580" s="4" t="str">
        <x:v>Planificación de Viaje</x:v>
      </x:c>
      <x:c r="G1580" s="11" t="n">
        <x:v>1078</x:v>
      </x:c>
      <x:c r="H1580" s="11" t="n">
        <x:v>200</x:v>
      </x:c>
      <x:c r="I1580" s="11" t="n">
        <x:v>3</x:v>
      </x:c>
      <x:c r="J1580" s="4" t="str">
        <x:v>https://blog.skyairline.com/maraton-de-santiago-2/</x:v>
      </x:c>
      <x:c r="K1580" s="16" t="b">
        <x:v>0</x:v>
      </x:c>
      <x:c r="L1580" s="11" t="n">
        <x:v>0</x:v>
      </x:c>
      <x:c r="M1580" s="11" t="n">
        <x:v>0</x:v>
      </x:c>
      <x:c r="N1580" s="4"/>
      <x:c r="O1580" s="4"/>
      <x:c r="P1580" s="11" t="n">
        <x:v>0</x:v>
      </x:c>
      <x:c r="Q1580" s="11" t="n">
        <x:v>0</x:v>
      </x:c>
      <x:c r="R1580" s="11" t="str">
        <x:f>IF(OR(P1580="",Q1580=""),"",Q1580-P1580)</x:f>
      </x:c>
      <x:c r="S1580" s="13" t="str">
        <x:f>IF(OR(P1580="",Q1580="",P1580=0),"",((Q1580/30)/(P1580/31))-1)</x:f>
      </x:c>
      <x:c r="T1580" s="11" t="n">
        <x:v>86</x:v>
      </x:c>
      <x:c r="U1580" s="11" t="n">
        <x:v>67</x:v>
      </x:c>
      <x:c r="V1580" s="14" t="n">
        <x:v>0</x:v>
      </x:c>
      <x:c r="W1580" s="12" t="n">
        <x:v>9.238805970149254</x:v>
      </x:c>
      <x:c r="X1580" s="11"/>
      <x:c r="Y1580" s="11"/>
      <x:c r="Z1580" s="4" t="str">
        <x:v>https://blog.skyairline.com/maraton-de-santiago-2/</x:v>
      </x:c>
      <x:c r="AA1580" s="4" t="str">
        <x:v>https://blog.skyairline.com/maraton-de-santiago-2/</x:v>
      </x:c>
      <x:c r="AB1580" s="4" t="str">
        <x:v>Coincidencia URL</x:v>
      </x:c>
      <x:c r="AC1580" s="4" t="str">
        <x:v>Publicado hasta septiembre</x:v>
      </x:c>
      <x:c r="AD1580" s="4"/>
      <x:c r="AE1580" s="4"/>
      <x:c r="AF1580" s="16" t="b">
        <x:v>0</x:v>
      </x:c>
    </x:row>
    <x:row r="1581" ht="44" customHeight="1">
      <x:c r="A1581" s="4" t="n">
        <x:v>8465</x:v>
      </x:c>
      <x:c r="B1581" s="4" t="str">
        <x:v>https://blog.skyairline.com/llanquihue-que-hacer/</x:v>
      </x:c>
      <x:c r="C1581" s="9" t="str">
        <x:v>Llanquihue: qué hacer en la puerta del lago (ruta por el sur con paisajes y cultura)</x:v>
      </x:c>
      <x:c r="D1581" s="17" t="d">
        <x:v>2026-03-09T00:00:00.000Z</x:v>
      </x:c>
      <x:c r="E1581" s="17" t="d">
        <x:v>2026-03-10T00:00:00.000Z</x:v>
      </x:c>
      <x:c r="F1581" s="4" t="str">
        <x:v>Destinos</x:v>
      </x:c>
      <x:c r="G1581" s="11" t="n">
        <x:v>1018</x:v>
      </x:c>
      <x:c r="H1581" s="11" t="n">
        <x:v>200</x:v>
      </x:c>
      <x:c r="I1581" s="11" t="n">
        <x:v>1</x:v>
      </x:c>
      <x:c r="J1581" s="4" t="str">
        <x:v>https://blog.skyairline.com/llanquihue-que-hacer/</x:v>
      </x:c>
      <x:c r="K1581" s="16" t="b">
        <x:v>0</x:v>
      </x:c>
      <x:c r="L1581" s="11" t="n">
        <x:v>0</x:v>
      </x:c>
      <x:c r="M1581" s="11" t="n">
        <x:v>0</x:v>
      </x:c>
      <x:c r="N1581" s="4"/>
      <x:c r="O1581" s="4"/>
      <x:c r="P1581" s="11" t="n">
        <x:v>1</x:v>
      </x:c>
      <x:c r="Q1581" s="11" t="n">
        <x:v>0</x:v>
      </x:c>
      <x:c r="R1581" s="11" t="str">
        <x:f>IF(OR(P1581="",Q1581=""),"",Q1581-P1581)</x:f>
      </x:c>
      <x:c r="S1581" s="13" t="str">
        <x:f>IF(OR(P1581="",Q1581="",P1581=0),"",((Q1581/30)/(P1581/31))-1)</x:f>
      </x:c>
      <x:c r="T1581" s="11" t="n">
        <x:v>94</x:v>
      </x:c>
      <x:c r="U1581" s="11" t="n">
        <x:v>71</x:v>
      </x:c>
      <x:c r="V1581" s="14" t="n">
        <x:v>0</x:v>
      </x:c>
      <x:c r="W1581" s="12" t="n">
        <x:v>18.971830985915492</x:v>
      </x:c>
      <x:c r="X1581" s="11"/>
      <x:c r="Y1581" s="11"/>
      <x:c r="Z1581" s="4" t="str">
        <x:v>https://blog.skyairline.com/llanquihue-que-hacer/</x:v>
      </x:c>
      <x:c r="AA1581" s="4" t="str">
        <x:v>https://blog.skyairline.com/llanquihue-que-hacer/</x:v>
      </x:c>
      <x:c r="AB1581" s="4" t="str">
        <x:v>Coincidencia URL</x:v>
      </x:c>
      <x:c r="AC1581" s="4" t="str">
        <x:v>Publicado hasta septiembre</x:v>
      </x:c>
      <x:c r="AD1581" s="4"/>
      <x:c r="AE1581" s="4"/>
      <x:c r="AF1581" s="16" t="b">
        <x:v>0</x:v>
      </x:c>
    </x:row>
    <x:row r="1582" ht="44" customHeight="1">
      <x:c r="A1582" s="4" t="n">
        <x:v>8498</x:v>
      </x:c>
      <x:c r="B1582" s="4" t="str">
        <x:v>https://blog.skyairline.com/iglesias-chiloe/</x:v>
      </x:c>
      <x:c r="C1582" s="9" t="str">
        <x:v>Iglesias de Chiloé: ruta recomendada y consejos para visitarlas con respeto</x:v>
      </x:c>
      <x:c r="D1582" s="17" t="d">
        <x:v>2026-03-12T00:00:00.000Z</x:v>
      </x:c>
      <x:c r="E1582" s="17" t="d">
        <x:v>2026-03-10T00:00:00.000Z</x:v>
      </x:c>
      <x:c r="F1582" s="4" t="str">
        <x:v>Uncategorized</x:v>
      </x:c>
      <x:c r="G1582" s="11" t="n">
        <x:v>1089</x:v>
      </x:c>
      <x:c r="H1582" s="11" t="n">
        <x:v>200</x:v>
      </x:c>
      <x:c r="I1582" s="11" t="n">
        <x:v>1</x:v>
      </x:c>
      <x:c r="J1582" s="4" t="str">
        <x:v>https://blog.skyairline.com/iglesias-chiloe/</x:v>
      </x:c>
      <x:c r="K1582" s="16" t="b">
        <x:v>0</x:v>
      </x:c>
      <x:c r="L1582" s="11" t="n">
        <x:v>0</x:v>
      </x:c>
      <x:c r="M1582" s="11" t="n">
        <x:v>0</x:v>
      </x:c>
      <x:c r="N1582" s="4"/>
      <x:c r="O1582" s="4"/>
      <x:c r="P1582" s="11" t="n">
        <x:v>1</x:v>
      </x:c>
      <x:c r="Q1582" s="11" t="n">
        <x:v>0</x:v>
      </x:c>
      <x:c r="R1582" s="11" t="str">
        <x:f>IF(OR(P1582="",Q1582=""),"",Q1582-P1582)</x:f>
      </x:c>
      <x:c r="S1582" s="13" t="str">
        <x:f>IF(OR(P1582="",Q1582="",P1582=0),"",((Q1582/30)/(P1582/31))-1)</x:f>
      </x:c>
      <x:c r="T1582" s="11" t="n">
        <x:v>110</x:v>
      </x:c>
      <x:c r="U1582" s="11" t="n">
        <x:v>40</x:v>
      </x:c>
      <x:c r="V1582" s="14" t="n">
        <x:v>0</x:v>
      </x:c>
      <x:c r="W1582" s="12" t="n">
        <x:v>28.375</x:v>
      </x:c>
      <x:c r="X1582" s="11"/>
      <x:c r="Y1582" s="11"/>
      <x:c r="Z1582" s="4" t="str">
        <x:v>https://blog.skyairline.com/iglesias-chiloe/</x:v>
      </x:c>
      <x:c r="AA1582" s="4" t="str">
        <x:v>https://blog.skyairline.com/iglesias-chiloe/</x:v>
      </x:c>
      <x:c r="AB1582" s="4" t="str">
        <x:v>Coincidencia URL</x:v>
      </x:c>
      <x:c r="AC1582" s="4" t="str">
        <x:v>Publicado hasta septiembre</x:v>
      </x:c>
      <x:c r="AD1582" s="4"/>
      <x:c r="AE1582" s="4"/>
      <x:c r="AF1582" s="16" t="b">
        <x:v>0</x:v>
      </x:c>
    </x:row>
    <x:row r="1583" ht="44" customHeight="1">
      <x:c r="A1583" s="4" t="n">
        <x:v>8501</x:v>
      </x:c>
      <x:c r="B1583" s="4" t="str">
        <x:v>https://blog.skyairline.com/dalcahue/</x:v>
      </x:c>
      <x:c r="C1583" s="9" t="str">
        <x:v>Dalcahue: qué hacer en esta pintoresca ciudad de Chiloé</x:v>
      </x:c>
      <x:c r="D1583" s="17" t="d">
        <x:v>2026-03-12T00:00:00.000Z</x:v>
      </x:c>
      <x:c r="E1583" s="17" t="d">
        <x:v>2026-03-10T00:00:00.000Z</x:v>
      </x:c>
      <x:c r="F1583" s="4" t="str">
        <x:v>Uncategorized</x:v>
      </x:c>
      <x:c r="G1583" s="11" t="n">
        <x:v>1008</x:v>
      </x:c>
      <x:c r="H1583" s="11" t="n">
        <x:v>200</x:v>
      </x:c>
      <x:c r="I1583" s="11" t="n">
        <x:v>1</x:v>
      </x:c>
      <x:c r="J1583" s="4" t="str">
        <x:v>https://blog.skyairline.com/dalcahue/</x:v>
      </x:c>
      <x:c r="K1583" s="16" t="b">
        <x:v>0</x:v>
      </x:c>
      <x:c r="L1583" s="11" t="n">
        <x:v>0</x:v>
      </x:c>
      <x:c r="M1583" s="11" t="n">
        <x:v>0</x:v>
      </x:c>
      <x:c r="N1583" s="4"/>
      <x:c r="O1583" s="4"/>
      <x:c r="P1583" s="11" t="n">
        <x:v>0</x:v>
      </x:c>
      <x:c r="Q1583" s="11" t="n">
        <x:v>0</x:v>
      </x:c>
      <x:c r="R1583" s="11" t="str">
        <x:f>IF(OR(P1583="",Q1583=""),"",Q1583-P1583)</x:f>
      </x:c>
      <x:c r="S1583" s="13" t="str">
        <x:f>IF(OR(P1583="",Q1583="",P1583=0),"",((Q1583/30)/(P1583/31))-1)</x:f>
      </x:c>
      <x:c r="T1583" s="11" t="n">
        <x:v>198</x:v>
      </x:c>
      <x:c r="U1583" s="11" t="n">
        <x:v>183</x:v>
      </x:c>
      <x:c r="V1583" s="14" t="n">
        <x:v>0</x:v>
      </x:c>
      <x:c r="W1583" s="12" t="n">
        <x:v>12.371584699453551</x:v>
      </x:c>
      <x:c r="X1583" s="11"/>
      <x:c r="Y1583" s="11"/>
      <x:c r="Z1583" s="4" t="str">
        <x:v>https://blog.skyairline.com/dalcahue/</x:v>
      </x:c>
      <x:c r="AA1583" s="4" t="str">
        <x:v>https://blog.skyairline.com/dalcahue/</x:v>
      </x:c>
      <x:c r="AB1583" s="4" t="str">
        <x:v>Coincidencia URL</x:v>
      </x:c>
      <x:c r="AC1583" s="4" t="str">
        <x:v>Publicado hasta septiembre</x:v>
      </x:c>
      <x:c r="AD1583" s="4"/>
      <x:c r="AE1583" s="4"/>
      <x:c r="AF1583" s="16" t="b">
        <x:v>0</x:v>
      </x:c>
    </x:row>
    <x:row r="1584" ht="44" customHeight="1">
      <x:c r="A1584" s="4" t="n">
        <x:v>8510</x:v>
      </x:c>
      <x:c r="B1584" s="4" t="str">
        <x:v>https://blog.skyairline.com/ancud/</x:v>
      </x:c>
      <x:c r="C1584" s="9" t="str">
        <x:v>Ancud: qué hacer en la puerta de entrada a Chiloé (historia, naturaleza y cultura)</x:v>
      </x:c>
      <x:c r="D1584" s="17" t="d">
        <x:v>2026-03-14T00:00:00.000Z</x:v>
      </x:c>
      <x:c r="E1584" s="17" t="d">
        <x:v>2026-03-13T00:00:00.000Z</x:v>
      </x:c>
      <x:c r="F1584" s="4" t="str">
        <x:v>Destinos</x:v>
      </x:c>
      <x:c r="G1584" s="11" t="n">
        <x:v>1047</x:v>
      </x:c>
      <x:c r="H1584" s="11" t="n">
        <x:v>200</x:v>
      </x:c>
      <x:c r="I1584" s="11" t="n">
        <x:v>1</x:v>
      </x:c>
      <x:c r="J1584" s="4" t="str">
        <x:v>https://blog.skyairline.com/ancud/</x:v>
      </x:c>
      <x:c r="K1584" s="16" t="b">
        <x:v>0</x:v>
      </x:c>
      <x:c r="L1584" s="11" t="n">
        <x:v>0</x:v>
      </x:c>
      <x:c r="M1584" s="11" t="n">
        <x:v>0</x:v>
      </x:c>
      <x:c r="N1584" s="4"/>
      <x:c r="O1584" s="4"/>
      <x:c r="P1584" s="11" t="n">
        <x:v>0</x:v>
      </x:c>
      <x:c r="Q1584" s="11" t="n">
        <x:v>0</x:v>
      </x:c>
      <x:c r="R1584" s="11" t="str">
        <x:f>IF(OR(P1584="",Q1584=""),"",Q1584-P1584)</x:f>
      </x:c>
      <x:c r="S1584" s="13" t="str">
        <x:f>IF(OR(P1584="",Q1584="",P1584=0),"",((Q1584/30)/(P1584/31))-1)</x:f>
      </x:c>
      <x:c r="T1584" s="11" t="n">
        <x:v>92</x:v>
      </x:c>
      <x:c r="U1584" s="11" t="n">
        <x:v>234</x:v>
      </x:c>
      <x:c r="V1584" s="14" t="n">
        <x:v>0</x:v>
      </x:c>
      <x:c r="W1584" s="12" t="n">
        <x:v>11.337606837606838</x:v>
      </x:c>
      <x:c r="X1584" s="11"/>
      <x:c r="Y1584" s="11"/>
      <x:c r="Z1584" s="4" t="str">
        <x:v>https://blog.skyairline.com/ancud/</x:v>
      </x:c>
      <x:c r="AA1584" s="4" t="str">
        <x:v>https://blog.skyairline.com/ancud/</x:v>
      </x:c>
      <x:c r="AB1584" s="4" t="str">
        <x:v>Coincidencia URL</x:v>
      </x:c>
      <x:c r="AC1584" s="4" t="str">
        <x:v>Publicado hasta septiembre</x:v>
      </x:c>
      <x:c r="AD1584" s="4"/>
      <x:c r="AE1584" s="4"/>
      <x:c r="AF1584" s="16" t="b">
        <x:v>0</x:v>
      </x:c>
    </x:row>
    <x:row r="1585" ht="44" customHeight="1">
      <x:c r="A1585" s="4" t="n">
        <x:v>8513</x:v>
      </x:c>
      <x:c r="B1585" s="4" t="str">
        <x:v>https://blog.skyairline.com/castro/</x:v>
      </x:c>
      <x:c r="C1585" s="9" t="str">
        <x:v>Castro: palafitos, mercados y rutas cercanas para enamorarte de la isla de Chiloé</x:v>
      </x:c>
      <x:c r="D1585" s="17" t="d">
        <x:v>2026-03-15T00:00:00.000Z</x:v>
      </x:c>
      <x:c r="E1585" s="17" t="d">
        <x:v>2026-03-16T00:00:00.000Z</x:v>
      </x:c>
      <x:c r="F1585" s="4" t="str">
        <x:v>Destinos</x:v>
      </x:c>
      <x:c r="G1585" s="11" t="n">
        <x:v>1011</x:v>
      </x:c>
      <x:c r="H1585" s="11" t="n">
        <x:v>200</x:v>
      </x:c>
      <x:c r="I1585" s="11" t="n">
        <x:v>2</x:v>
      </x:c>
      <x:c r="J1585" s="4" t="str">
        <x:v>https://blog.skyairline.com/castro/</x:v>
      </x:c>
      <x:c r="K1585" s="16" t="b">
        <x:v>0</x:v>
      </x:c>
      <x:c r="L1585" s="11" t="n">
        <x:v>0</x:v>
      </x:c>
      <x:c r="M1585" s="11" t="n">
        <x:v>0</x:v>
      </x:c>
      <x:c r="N1585" s="4"/>
      <x:c r="O1585" s="4"/>
      <x:c r="P1585" s="11" t="n">
        <x:v>0</x:v>
      </x:c>
      <x:c r="Q1585" s="11" t="n">
        <x:v>0</x:v>
      </x:c>
      <x:c r="R1585" s="11" t="str">
        <x:f>IF(OR(P1585="",Q1585=""),"",Q1585-P1585)</x:f>
      </x:c>
      <x:c r="S1585" s="13" t="str">
        <x:f>IF(OR(P1585="",Q1585="",P1585=0),"",((Q1585/30)/(P1585/31))-1)</x:f>
      </x:c>
      <x:c r="T1585" s="11" t="n">
        <x:v>171</x:v>
      </x:c>
      <x:c r="U1585" s="11" t="n">
        <x:v>253</x:v>
      </x:c>
      <x:c r="V1585" s="14" t="n">
        <x:v>0</x:v>
      </x:c>
      <x:c r="W1585" s="12" t="n">
        <x:v>6.853754940711463</x:v>
      </x:c>
      <x:c r="X1585" s="11" t="n">
        <x:v>1</x:v>
      </x:c>
      <x:c r="Y1585" s="11" t="n">
        <x:v>1</x:v>
      </x:c>
      <x:c r="Z1585" s="4" t="str">
        <x:v>https://blog.skyairline.com/castro/</x:v>
      </x:c>
      <x:c r="AA1585" s="4" t="str">
        <x:v>https://blog.skyairline.com/castro/</x:v>
      </x:c>
      <x:c r="AB1585" s="4" t="str">
        <x:v>Coincidencia URL</x:v>
      </x:c>
      <x:c r="AC1585" s="4" t="str">
        <x:v>Publicado hasta septiembre</x:v>
      </x:c>
      <x:c r="AD1585" s="4" t="str">
        <x:v>/castro/</x:v>
      </x:c>
      <x:c r="AE1585" s="4"/>
      <x:c r="AF1585" s="16" t="b">
        <x:v>0</x:v>
      </x:c>
    </x:row>
    <x:row r="1586" ht="44" customHeight="1">
      <x:c r="A1586" s="4" t="n">
        <x:v>8536</x:v>
      </x:c>
      <x:c r="B1586" s="4" t="str">
        <x:v>https://blog.skyairline.com/paraty/</x:v>
      </x:c>
      <x:c r="C1586" s="9" t="str">
        <x:v>Paraty: guía para conocer su centro histórico, naturaleza y cultura</x:v>
      </x:c>
      <x:c r="D1586" s="17" t="d">
        <x:v>2026-03-19T00:00:00.000Z</x:v>
      </x:c>
      <x:c r="E1586" s="17" t="d">
        <x:v>2026-03-16T00:00:00.000Z</x:v>
      </x:c>
      <x:c r="F1586" s="4" t="str">
        <x:v>Destinos</x:v>
      </x:c>
      <x:c r="G1586" s="11" t="n">
        <x:v>1043</x:v>
      </x:c>
      <x:c r="H1586" s="11" t="n">
        <x:v>200</x:v>
      </x:c>
      <x:c r="I1586" s="11" t="n">
        <x:v>1</x:v>
      </x:c>
      <x:c r="J1586" s="4" t="str">
        <x:v>https://blog.skyairline.com/paraty/</x:v>
      </x:c>
      <x:c r="K1586" s="16" t="b">
        <x:v>0</x:v>
      </x:c>
      <x:c r="L1586" s="11" t="n">
        <x:v>0</x:v>
      </x:c>
      <x:c r="M1586" s="11" t="n">
        <x:v>0</x:v>
      </x:c>
      <x:c r="N1586" s="4"/>
      <x:c r="O1586" s="4"/>
      <x:c r="P1586" s="11" t="n">
        <x:v>1</x:v>
      </x:c>
      <x:c r="Q1586" s="11" t="n">
        <x:v>0</x:v>
      </x:c>
      <x:c r="R1586" s="11" t="str">
        <x:f>IF(OR(P1586="",Q1586=""),"",Q1586-P1586)</x:f>
      </x:c>
      <x:c r="S1586" s="13" t="str">
        <x:f>IF(OR(P1586="",Q1586="",P1586=0),"",((Q1586/30)/(P1586/31))-1)</x:f>
      </x:c>
      <x:c r="T1586" s="11" t="n">
        <x:v>258</x:v>
      </x:c>
      <x:c r="U1586" s="11" t="n">
        <x:v>688</x:v>
      </x:c>
      <x:c r="V1586" s="14" t="n">
        <x:v>0</x:v>
      </x:c>
      <x:c r="W1586" s="12" t="n">
        <x:v>11.013081395348838</x:v>
      </x:c>
      <x:c r="X1586" s="11" t="n">
        <x:v>1</x:v>
      </x:c>
      <x:c r="Y1586" s="11" t="n">
        <x:v>1</x:v>
      </x:c>
      <x:c r="Z1586" s="4" t="str">
        <x:v>https://blog.skyairline.com/paraty/</x:v>
      </x:c>
      <x:c r="AA1586" s="4" t="str">
        <x:v>https://blog.skyairline.com/paraty/</x:v>
      </x:c>
      <x:c r="AB1586" s="4" t="str">
        <x:v>Coincidencia URL</x:v>
      </x:c>
      <x:c r="AC1586" s="4" t="str">
        <x:v>Publicado hasta septiembre</x:v>
      </x:c>
      <x:c r="AD1586" s="4" t="str">
        <x:v>/paraty/</x:v>
      </x:c>
      <x:c r="AE1586" s="4"/>
      <x:c r="AF1586" s="16" t="b">
        <x:v>0</x:v>
      </x:c>
    </x:row>
    <x:row r="1587" ht="44" customHeight="1">
      <x:c r="A1587" s="4" t="n">
        <x:v>8545</x:v>
      </x:c>
      <x:c r="B1587" s="4" t="str">
        <x:v>https://blog.skyairline.com/pasajes-a-osorno/</x:v>
      </x:c>
      <x:c r="C1587" s="9" t="str">
        <x:v>Pasajes a Osorno: cómo planificar tu viaje y qué hacer al llegar</x:v>
      </x:c>
      <x:c r="D1587" s="17" t="d">
        <x:v>2026-03-21T00:00:00.000Z</x:v>
      </x:c>
      <x:c r="E1587" s="17" t="d">
        <x:v>2026-03-16T00:00:00.000Z</x:v>
      </x:c>
      <x:c r="F1587" s="4" t="str">
        <x:v>Planificación de Viaje</x:v>
      </x:c>
      <x:c r="G1587" s="11" t="n">
        <x:v>1096</x:v>
      </x:c>
      <x:c r="H1587" s="11" t="n">
        <x:v>200</x:v>
      </x:c>
      <x:c r="I1587" s="11" t="n">
        <x:v>1</x:v>
      </x:c>
      <x:c r="J1587" s="4" t="str">
        <x:v>https://blog.skyairline.com/pasajes-a-osorno/</x:v>
      </x:c>
      <x:c r="K1587" s="16" t="b">
        <x:v>0</x:v>
      </x:c>
      <x:c r="L1587" s="11" t="n">
        <x:v>0</x:v>
      </x:c>
      <x:c r="M1587" s="11" t="n">
        <x:v>0</x:v>
      </x:c>
      <x:c r="N1587" s="4"/>
      <x:c r="O1587" s="4"/>
      <x:c r="P1587" s="11" t="n">
        <x:v>0</x:v>
      </x:c>
      <x:c r="Q1587" s="11" t="n">
        <x:v>0</x:v>
      </x:c>
      <x:c r="R1587" s="11" t="str">
        <x:f>IF(OR(P1587="",Q1587=""),"",Q1587-P1587)</x:f>
      </x:c>
      <x:c r="S1587" s="13" t="str">
        <x:f>IF(OR(P1587="",Q1587="",P1587=0),"",((Q1587/30)/(P1587/31))-1)</x:f>
      </x:c>
      <x:c r="T1587" s="11" t="n">
        <x:v>638</x:v>
      </x:c>
      <x:c r="U1587" s="11" t="n">
        <x:v>560</x:v>
      </x:c>
      <x:c r="V1587" s="14" t="n">
        <x:v>0</x:v>
      </x:c>
      <x:c r="W1587" s="12" t="n">
        <x:v>8.35892857142857</x:v>
      </x:c>
      <x:c r="X1587" s="11"/>
      <x:c r="Y1587" s="11"/>
      <x:c r="Z1587" s="4" t="str">
        <x:v>https://blog.skyairline.com/pasajes-a-osorno/</x:v>
      </x:c>
      <x:c r="AA1587" s="4" t="str">
        <x:v>https://blog.skyairline.com/pasajes-a-osorno/</x:v>
      </x:c>
      <x:c r="AB1587" s="4" t="str">
        <x:v>Coincidencia URL</x:v>
      </x:c>
      <x:c r="AC1587" s="4" t="str">
        <x:v>Publicado hasta septiembre</x:v>
      </x:c>
      <x:c r="AD1587" s="4"/>
      <x:c r="AE1587" s="4"/>
      <x:c r="AF1587" s="16" t="b">
        <x:v>0</x:v>
      </x:c>
    </x:row>
    <x:row r="1588" ht="44" customHeight="1">
      <x:c r="A1588" s="4" t="n">
        <x:v>8554</x:v>
      </x:c>
      <x:c r="B1588" s="4" t="str">
        <x:v>https://blog.skyairline.com/parque-nacional-torres-del-paine-3/</x:v>
      </x:c>
      <x:c r="C1588" s="9" t="str">
        <x:v>Parque Nacional Torres del Paine: cómo planificar tu visita, rutas y consejos clave</x:v>
      </x:c>
      <x:c r="D1588" s="17" t="d">
        <x:v>2026-03-24T00:00:00.000Z</x:v>
      </x:c>
      <x:c r="E1588" s="17" t="d">
        <x:v>2026-03-16T00:00:00.000Z</x:v>
      </x:c>
      <x:c r="F1588" s="4" t="str">
        <x:v>Destinos</x:v>
      </x:c>
      <x:c r="G1588" s="11" t="n">
        <x:v>1103</x:v>
      </x:c>
      <x:c r="H1588" s="11" t="n">
        <x:v>200</x:v>
      </x:c>
      <x:c r="I1588" s="11" t="n">
        <x:v>1</x:v>
      </x:c>
      <x:c r="J1588" s="4" t="str">
        <x:v>https://blog.skyairline.com/parque-nacional-torres-del-paine-3/</x:v>
      </x:c>
      <x:c r="K1588" s="16" t="b">
        <x:v>0</x:v>
      </x:c>
      <x:c r="L1588" s="11" t="n">
        <x:v>0</x:v>
      </x:c>
      <x:c r="M1588" s="11" t="n">
        <x:v>0</x:v>
      </x:c>
      <x:c r="N1588" s="4"/>
      <x:c r="O1588" s="4"/>
      <x:c r="P1588" s="11"/>
      <x:c r="Q1588" s="11" t="n">
        <x:v>0</x:v>
      </x:c>
      <x:c r="R1588" s="11" t="str">
        <x:f>IF(OR(P1588="",Q1588=""),"",Q1588-P1588)</x:f>
      </x:c>
      <x:c r="S1588" s="13" t="str">
        <x:f>IF(OR(P1588="",Q1588="",P1588=0),"",((Q1588/30)/(P1588/31))-1)</x:f>
      </x:c>
      <x:c r="T1588" s="11"/>
      <x:c r="U1588" s="11" t="n">
        <x:v>3</x:v>
      </x:c>
      <x:c r="V1588" s="14" t="n">
        <x:v>0</x:v>
      </x:c>
      <x:c r="W1588" s="12" t="n">
        <x:v>9.666666666666666</x:v>
      </x:c>
      <x:c r="X1588" s="11" t="n">
        <x:v>2</x:v>
      </x:c>
      <x:c r="Y1588" s="11" t="n">
        <x:v>1</x:v>
      </x:c>
      <x:c r="Z1588" s="4"/>
      <x:c r="AA1588" s="4" t="str">
        <x:v>https://blog.skyairline.com/parque-nacional-torres-del-paine-3/</x:v>
      </x:c>
      <x:c r="AB1588" s="4" t="str">
        <x:v>Coincidencia URL</x:v>
      </x:c>
      <x:c r="AC1588" s="4" t="str">
        <x:v>Publicado hasta septiembre</x:v>
      </x:c>
      <x:c r="AD1588" s="4" t="str">
        <x:v>/parque-nacional-torres-del-paine-3/</x:v>
      </x:c>
      <x:c r="AE1588" s="4"/>
      <x:c r="AF1588" s="16" t="b">
        <x:v>0</x:v>
      </x:c>
    </x:row>
    <x:row r="1589" ht="44" customHeight="1">
      <x:c r="A1589" s="4" t="n">
        <x:v>8564</x:v>
      </x:c>
      <x:c r="B1589" s="4" t="str">
        <x:v>https://blog.skyairline.com/frutillar/</x:v>
      </x:c>
      <x:c r="C1589" s="9" t="str">
        <x:v>Qué hacer en Frutillar entre música, lago y arquitectura del sur de Chile</x:v>
      </x:c>
      <x:c r="D1589" s="17" t="d">
        <x:v>2026-03-26T00:00:00.000Z</x:v>
      </x:c>
      <x:c r="E1589" s="17" t="d">
        <x:v>2026-03-24T00:00:00.000Z</x:v>
      </x:c>
      <x:c r="F1589" s="4" t="str">
        <x:v>Destinos</x:v>
      </x:c>
      <x:c r="G1589" s="11" t="n">
        <x:v>1054</x:v>
      </x:c>
      <x:c r="H1589" s="11" t="n">
        <x:v>200</x:v>
      </x:c>
      <x:c r="I1589" s="11" t="n">
        <x:v>1</x:v>
      </x:c>
      <x:c r="J1589" s="4" t="str">
        <x:v>https://blog.skyairline.com/frutillar/</x:v>
      </x:c>
      <x:c r="K1589" s="16" t="b">
        <x:v>0</x:v>
      </x:c>
      <x:c r="L1589" s="11" t="n">
        <x:v>0</x:v>
      </x:c>
      <x:c r="M1589" s="11" t="n">
        <x:v>0</x:v>
      </x:c>
      <x:c r="N1589" s="4"/>
      <x:c r="O1589" s="4"/>
      <x:c r="P1589" s="11" t="n">
        <x:v>0</x:v>
      </x:c>
      <x:c r="Q1589" s="11" t="n">
        <x:v>0</x:v>
      </x:c>
      <x:c r="R1589" s="11" t="str">
        <x:f>IF(OR(P1589="",Q1589=""),"",Q1589-P1589)</x:f>
      </x:c>
      <x:c r="S1589" s="13" t="str">
        <x:f>IF(OR(P1589="",Q1589="",P1589=0),"",((Q1589/30)/(P1589/31))-1)</x:f>
      </x:c>
      <x:c r="T1589" s="11" t="n">
        <x:v>45</x:v>
      </x:c>
      <x:c r="U1589" s="11" t="n">
        <x:v>31</x:v>
      </x:c>
      <x:c r="V1589" s="14" t="n">
        <x:v>0</x:v>
      </x:c>
      <x:c r="W1589" s="12" t="n">
        <x:v>13.483870967741936</x:v>
      </x:c>
      <x:c r="X1589" s="11"/>
      <x:c r="Y1589" s="11"/>
      <x:c r="Z1589" s="4" t="str">
        <x:v>https://blog.skyairline.com/frutillar/</x:v>
      </x:c>
      <x:c r="AA1589" s="4" t="str">
        <x:v>https://blog.skyairline.com/frutillar/</x:v>
      </x:c>
      <x:c r="AB1589" s="4" t="str">
        <x:v>Coincidencia URL</x:v>
      </x:c>
      <x:c r="AC1589" s="4" t="str">
        <x:v>Publicado hasta septiembre</x:v>
      </x:c>
      <x:c r="AD1589" s="4"/>
      <x:c r="AE1589" s="4"/>
      <x:c r="AF1589" s="16" t="b">
        <x:v>0</x:v>
      </x:c>
    </x:row>
    <x:row r="1590" ht="44" customHeight="1">
      <x:c r="A1590" s="4" t="n">
        <x:v>8567</x:v>
      </x:c>
      <x:c r="B1590" s="4" t="str">
        <x:v>https://blog.skyairline.com/playas-imperdibles-buzios/</x:v>
      </x:c>
      <x:c r="C1590" s="9" t="str">
        <x:v>Playas imperdibles y consejos para disfrutar en Búzios</x:v>
      </x:c>
      <x:c r="D1590" s="17" t="d">
        <x:v>2026-03-25T00:00:00.000Z</x:v>
      </x:c>
      <x:c r="E1590" s="17" t="d">
        <x:v>2026-03-24T00:00:00.000Z</x:v>
      </x:c>
      <x:c r="F1590" s="4" t="str">
        <x:v>Uncategorized</x:v>
      </x:c>
      <x:c r="G1590" s="11" t="n">
        <x:v>1031</x:v>
      </x:c>
      <x:c r="H1590" s="11" t="n">
        <x:v>200</x:v>
      </x:c>
      <x:c r="I1590" s="11" t="n">
        <x:v>1</x:v>
      </x:c>
      <x:c r="J1590" s="4" t="str">
        <x:v>https://blog.skyairline.com/playas-imperdibles-buzios/</x:v>
      </x:c>
      <x:c r="K1590" s="16" t="b">
        <x:v>0</x:v>
      </x:c>
      <x:c r="L1590" s="11" t="n">
        <x:v>0</x:v>
      </x:c>
      <x:c r="M1590" s="11" t="n">
        <x:v>0</x:v>
      </x:c>
      <x:c r="N1590" s="4"/>
      <x:c r="O1590" s="4"/>
      <x:c r="P1590" s="11" t="n">
        <x:v>0</x:v>
      </x:c>
      <x:c r="Q1590" s="11" t="n">
        <x:v>0</x:v>
      </x:c>
      <x:c r="R1590" s="11" t="str">
        <x:f>IF(OR(P1590="",Q1590=""),"",Q1590-P1590)</x:f>
      </x:c>
      <x:c r="S1590" s="13" t="str">
        <x:f>IF(OR(P1590="",Q1590="",P1590=0),"",((Q1590/30)/(P1590/31))-1)</x:f>
      </x:c>
      <x:c r="T1590" s="11" t="n">
        <x:v>13</x:v>
      </x:c>
      <x:c r="U1590" s="11" t="n">
        <x:v>40</x:v>
      </x:c>
      <x:c r="V1590" s="14" t="n">
        <x:v>0</x:v>
      </x:c>
      <x:c r="W1590" s="12" t="n">
        <x:v>6.925</x:v>
      </x:c>
      <x:c r="X1590" s="11"/>
      <x:c r="Y1590" s="11"/>
      <x:c r="Z1590" s="4" t="str">
        <x:v>https://blog.skyairline.com/playas-imperdibles-buzios/</x:v>
      </x:c>
      <x:c r="AA1590" s="4" t="str">
        <x:v>https://blog.skyairline.com/playas-imperdibles-buzios/</x:v>
      </x:c>
      <x:c r="AB1590" s="4" t="str">
        <x:v>Coincidencia URL</x:v>
      </x:c>
      <x:c r="AC1590" s="4" t="str">
        <x:v>Publicado hasta septiembre</x:v>
      </x:c>
      <x:c r="AD1590" s="4"/>
      <x:c r="AE1590" s="4"/>
      <x:c r="AF1590" s="16" t="b">
        <x:v>0</x:v>
      </x:c>
    </x:row>
    <x:row r="1591" ht="44" customHeight="1">
      <x:c r="A1591" s="4" t="n">
        <x:v>8574</x:v>
      </x:c>
      <x:c r="B1591" s="4" t="str">
        <x:v>https://blog.skyairline.com/lican-ray/</x:v>
      </x:c>
      <x:c r="C1591" s="9" t="str">
        <x:v>Qué hacer, dónde alojarse y panoramas imperdibles en Lican Ray</x:v>
      </x:c>
      <x:c r="D1591" s="17" t="d">
        <x:v>2026-03-27T00:00:00.000Z</x:v>
      </x:c>
      <x:c r="E1591" s="17" t="d">
        <x:v>2026-03-24T00:00:00.000Z</x:v>
      </x:c>
      <x:c r="F1591" s="4" t="str">
        <x:v>Destinos</x:v>
      </x:c>
      <x:c r="G1591" s="11" t="n">
        <x:v>970</x:v>
      </x:c>
      <x:c r="H1591" s="11" t="n">
        <x:v>200</x:v>
      </x:c>
      <x:c r="I1591" s="11" t="n">
        <x:v>1</x:v>
      </x:c>
      <x:c r="J1591" s="4" t="str">
        <x:v>https://blog.skyairline.com/lican-ray/</x:v>
      </x:c>
      <x:c r="K1591" s="16" t="b">
        <x:v>0</x:v>
      </x:c>
      <x:c r="L1591" s="11" t="n">
        <x:v>0</x:v>
      </x:c>
      <x:c r="M1591" s="11" t="n">
        <x:v>0</x:v>
      </x:c>
      <x:c r="N1591" s="4"/>
      <x:c r="O1591" s="4"/>
      <x:c r="P1591" s="11" t="n">
        <x:v>1</x:v>
      </x:c>
      <x:c r="Q1591" s="11" t="n">
        <x:v>0</x:v>
      </x:c>
      <x:c r="R1591" s="11" t="str">
        <x:f>IF(OR(P1591="",Q1591=""),"",Q1591-P1591)</x:f>
      </x:c>
      <x:c r="S1591" s="13" t="str">
        <x:f>IF(OR(P1591="",Q1591="",P1591=0),"",((Q1591/30)/(P1591/31))-1)</x:f>
      </x:c>
      <x:c r="T1591" s="11" t="n">
        <x:v>164</x:v>
      </x:c>
      <x:c r="U1591" s="11" t="n">
        <x:v>159</x:v>
      </x:c>
      <x:c r="V1591" s="14" t="n">
        <x:v>0</x:v>
      </x:c>
      <x:c r="W1591" s="12" t="n">
        <x:v>14.427672955974844</x:v>
      </x:c>
      <x:c r="X1591" s="11"/>
      <x:c r="Y1591" s="11"/>
      <x:c r="Z1591" s="4" t="str">
        <x:v>https://blog.skyairline.com/lican-ray/</x:v>
      </x:c>
      <x:c r="AA1591" s="4" t="str">
        <x:v>https://blog.skyairline.com/lican-ray/</x:v>
      </x:c>
      <x:c r="AB1591" s="4" t="str">
        <x:v>Coincidencia URL</x:v>
      </x:c>
      <x:c r="AC1591" s="4" t="str">
        <x:v>Publicado hasta septiembre</x:v>
      </x:c>
      <x:c r="AD1591" s="4"/>
      <x:c r="AE1591" s="4"/>
      <x:c r="AF1591" s="16" t="b">
        <x:v>0</x:v>
      </x:c>
    </x:row>
    <x:row r="1592" ht="44" customHeight="1">
      <x:c r="A1592" s="4" t="n">
        <x:v>8578</x:v>
      </x:c>
      <x:c r="B1592" s="4" t="str">
        <x:v>https://blog.skyairline.com/san-carlos-bariloche/</x:v>
      </x:c>
      <x:c r="C1592" s="9" t="str">
        <x:v>San Carlos de Bariloche: qué hacer, cuándo ir y cómo armar tu viaje paso a paso</x:v>
      </x:c>
      <x:c r="D1592" s="17" t="d">
        <x:v>2026-03-28T00:00:00.000Z</x:v>
      </x:c>
      <x:c r="E1592" s="17" t="d">
        <x:v>2026-03-24T00:00:00.000Z</x:v>
      </x:c>
      <x:c r="F1592" s="4" t="str">
        <x:v>Bariloche, Destinos</x:v>
      </x:c>
      <x:c r="G1592" s="11" t="n">
        <x:v>1058</x:v>
      </x:c>
      <x:c r="H1592" s="11" t="n">
        <x:v>200</x:v>
      </x:c>
      <x:c r="I1592" s="11" t="n">
        <x:v>1</x:v>
      </x:c>
      <x:c r="J1592" s="4" t="str">
        <x:v>https://blog.skyairline.com/san-carlos-bariloche/</x:v>
      </x:c>
      <x:c r="K1592" s="16" t="b">
        <x:v>0</x:v>
      </x:c>
      <x:c r="L1592" s="11" t="n">
        <x:v>0</x:v>
      </x:c>
      <x:c r="M1592" s="11" t="n">
        <x:v>0</x:v>
      </x:c>
      <x:c r="N1592" s="4"/>
      <x:c r="O1592" s="4"/>
      <x:c r="P1592" s="11" t="n">
        <x:v>0</x:v>
      </x:c>
      <x:c r="Q1592" s="11" t="n">
        <x:v>0</x:v>
      </x:c>
      <x:c r="R1592" s="11" t="str">
        <x:f>IF(OR(P1592="",Q1592=""),"",Q1592-P1592)</x:f>
      </x:c>
      <x:c r="S1592" s="13" t="str">
        <x:f>IF(OR(P1592="",Q1592="",P1592=0),"",((Q1592/30)/(P1592/31))-1)</x:f>
      </x:c>
      <x:c r="T1592" s="11" t="n">
        <x:v>114</x:v>
      </x:c>
      <x:c r="U1592" s="11" t="n">
        <x:v>145</x:v>
      </x:c>
      <x:c r="V1592" s="14" t="n">
        <x:v>0</x:v>
      </x:c>
      <x:c r="W1592" s="12" t="n">
        <x:v>14.310344827586206</x:v>
      </x:c>
      <x:c r="X1592" s="11"/>
      <x:c r="Y1592" s="11"/>
      <x:c r="Z1592" s="4" t="str">
        <x:v>https://blog.skyairline.com/san-carlos-bariloche/</x:v>
      </x:c>
      <x:c r="AA1592" s="4" t="str">
        <x:v>https://blog.skyairline.com/san-carlos-bariloche/</x:v>
      </x:c>
      <x:c r="AB1592" s="4" t="str">
        <x:v>Coincidencia URL</x:v>
      </x:c>
      <x:c r="AC1592" s="4" t="str">
        <x:v>Publicado hasta septiembre</x:v>
      </x:c>
      <x:c r="AD1592" s="4"/>
      <x:c r="AE1592" s="4"/>
      <x:c r="AF1592" s="16" t="b">
        <x:v>0</x:v>
      </x:c>
    </x:row>
    <x:row r="1593" ht="44" customHeight="1">
      <x:c r="A1593" s="4" t="n">
        <x:v>8600</x:v>
      </x:c>
      <x:c r="B1593" s="4" t="str">
        <x:v>https://blog.skyairline.com/cafe-tortoni/</x:v>
      </x:c>
      <x:c r="C1593" s="9" t="str">
        <x:v>Café Tortoni: historia, sabores y tango en un mismo lugar de Buenos Aires</x:v>
      </x:c>
      <x:c r="D1593" s="17" t="d">
        <x:v>2026-09-04T00:00:00.000Z</x:v>
      </x:c>
      <x:c r="E1593" s="17" t="d">
        <x:v>2026-09-04T00:00:00.000Z</x:v>
      </x:c>
      <x:c r="F1593" s="4" t="str">
        <x:v>Destinos</x:v>
      </x:c>
      <x:c r="G1593" s="11" t="n">
        <x:v>997</x:v>
      </x:c>
      <x:c r="H1593" s="11" t="n">
        <x:v>200</x:v>
      </x:c>
      <x:c r="I1593" s="11" t="n">
        <x:v>1</x:v>
      </x:c>
      <x:c r="J1593" s="4" t="str">
        <x:v>https://blog.skyairline.com/cafe-tortoni/</x:v>
      </x:c>
      <x:c r="K1593" s="16" t="b">
        <x:v>0</x:v>
      </x:c>
      <x:c r="L1593" s="11" t="n">
        <x:v>0</x:v>
      </x:c>
      <x:c r="M1593" s="11" t="n">
        <x:v>0</x:v>
      </x:c>
      <x:c r="N1593" s="4"/>
      <x:c r="O1593" s="4"/>
      <x:c r="P1593" s="11"/>
      <x:c r="Q1593" s="11" t="n">
        <x:v>0</x:v>
      </x:c>
      <x:c r="R1593" s="11" t="str">
        <x:f>IF(OR(P1593="",Q1593=""),"",Q1593-P1593)</x:f>
      </x:c>
      <x:c r="S1593" s="13" t="str">
        <x:f>IF(OR(P1593="",Q1593="",P1593=0),"",((Q1593/30)/(P1593/31))-1)</x:f>
      </x:c>
      <x:c r="T1593" s="11"/>
      <x:c r="U1593" s="11" t="n">
        <x:v>722</x:v>
      </x:c>
      <x:c r="V1593" s="14" t="n">
        <x:v>0</x:v>
      </x:c>
      <x:c r="W1593" s="12" t="n">
        <x:v>8.121883656509695</x:v>
      </x:c>
      <x:c r="X1593" s="11"/>
      <x:c r="Y1593" s="11"/>
      <x:c r="Z1593" s="4"/>
      <x:c r="AA1593" s="4" t="str">
        <x:v>https://blog.skyairline.com/cafe-tortoni/</x:v>
      </x:c>
      <x:c r="AB1593" s="4" t="str">
        <x:v>Coincidencia URL</x:v>
      </x:c>
      <x:c r="AC1593" s="4" t="str">
        <x:v>Publicado hasta septiembre</x:v>
      </x:c>
      <x:c r="AD1593" s="4"/>
      <x:c r="AE1593" s="4"/>
      <x:c r="AF1593" s="16" t="b">
        <x:v>0</x:v>
      </x:c>
    </x:row>
    <x:row r="1594" ht="44" customHeight="1">
      <x:c r="A1594" s="4" t="n">
        <x:v>8616</x:v>
      </x:c>
      <x:c r="B1594" s="4" t="str">
        <x:v>https://blog.skyairline.com/compromiso-en-las-alturas-sky-y-la-restauracion-de-las-torres-del-paine/</x:v>
      </x:c>
      <x:c r="C1594" s="9" t="str">
        <x:v>Compromiso en las alturas: SKY y la restauración de las Torres del Paine</x:v>
      </x:c>
      <x:c r="D1594" s="17" t="d">
        <x:v>2026-04-07T00:00:00.000Z</x:v>
      </x:c>
      <x:c r="E1594" s="17" t="d">
        <x:v>2026-04-07T00:00:00.000Z</x:v>
      </x:c>
      <x:c r="F1594" s="4" t="str">
        <x:v>Noticias</x:v>
      </x:c>
      <x:c r="G1594" s="11" t="n">
        <x:v>172</x:v>
      </x:c>
      <x:c r="H1594" s="11" t="n">
        <x:v>200</x:v>
      </x:c>
      <x:c r="I1594" s="11" t="n">
        <x:v>1</x:v>
      </x:c>
      <x:c r="J1594" s="4" t="str">
        <x:v>https://blog.skyairline.com/compromiso-en-las-alturas-sky-y-la-restauracion-de-las-torres-del-paine/</x:v>
      </x:c>
      <x:c r="K1594" s="16" t="b">
        <x:v>0</x:v>
      </x:c>
      <x:c r="L1594" s="11" t="n">
        <x:v>0</x:v>
      </x:c>
      <x:c r="M1594" s="11" t="n">
        <x:v>0</x:v>
      </x:c>
      <x:c r="N1594" s="4"/>
      <x:c r="O1594" s="4"/>
      <x:c r="P1594" s="11" t="n">
        <x:v>0</x:v>
      </x:c>
      <x:c r="Q1594" s="11" t="n">
        <x:v>0</x:v>
      </x:c>
      <x:c r="R1594" s="11" t="str">
        <x:f>IF(OR(P1594="",Q1594=""),"",Q1594-P1594)</x:f>
      </x:c>
      <x:c r="S1594" s="13" t="str">
        <x:f>IF(OR(P1594="",Q1594="",P1594=0),"",((Q1594/30)/(P1594/31))-1)</x:f>
      </x:c>
      <x:c r="T1594" s="11" t="n">
        <x:v>9</x:v>
      </x:c>
      <x:c r="U1594" s="11" t="n">
        <x:v>5</x:v>
      </x:c>
      <x:c r="V1594" s="14" t="n">
        <x:v>0</x:v>
      </x:c>
      <x:c r="W1594" s="12" t="n">
        <x:v>7.8</x:v>
      </x:c>
      <x:c r="X1594" s="11"/>
      <x:c r="Y1594" s="11"/>
      <x:c r="Z1594" s="4" t="str">
        <x:v>https://blog.skyairline.com/compromiso-en-las-alturas-sky-y-la-restauracion-de-las-torres-del-paine/</x:v>
      </x:c>
      <x:c r="AA1594" s="4" t="str">
        <x:v>https://blog.skyairline.com/compromiso-en-las-alturas-sky-y-la-restauracion-de-las-torres-del-paine/</x:v>
      </x:c>
      <x:c r="AB1594" s="4" t="str">
        <x:v>Coincidencia URL</x:v>
      </x:c>
      <x:c r="AC1594" s="4" t="str">
        <x:v>Publicado hasta septiembre</x:v>
      </x:c>
      <x:c r="AD1594" s="4"/>
      <x:c r="AE1594" s="4"/>
      <x:c r="AF1594" s="16" t="b">
        <x:v>0</x:v>
      </x:c>
    </x:row>
    <x:row r="1595" ht="44" customHeight="1">
      <x:c r="A1595" s="4" t="n">
        <x:v>8619</x:v>
      </x:c>
      <x:c r="B1595" s="4" t="str">
        <x:v>https://blog.skyairline.com/sky-airline-cumple-7-anos-en-peru/</x:v>
      </x:c>
      <x:c r="C1595" s="9" t="str">
        <x:v>SKY Airline cumple 7 años en Perú</x:v>
      </x:c>
      <x:c r="D1595" s="17" t="d">
        <x:v>2026-04-07T00:00:00.000Z</x:v>
      </x:c>
      <x:c r="E1595" s="17" t="d">
        <x:v>2026-04-07T00:00:00.000Z</x:v>
      </x:c>
      <x:c r="F1595" s="4" t="str">
        <x:v>Noticias</x:v>
      </x:c>
      <x:c r="G1595" s="11" t="n">
        <x:v>200</x:v>
      </x:c>
      <x:c r="H1595" s="11" t="n">
        <x:v>200</x:v>
      </x:c>
      <x:c r="I1595" s="11" t="n">
        <x:v>1</x:v>
      </x:c>
      <x:c r="J1595" s="4" t="str">
        <x:v>https://blog.skyairline.com/sky-airline-cumple-7-anos-en-peru/</x:v>
      </x:c>
      <x:c r="K1595" s="16" t="b">
        <x:v>0</x:v>
      </x:c>
      <x:c r="L1595" s="11" t="n">
        <x:v>0</x:v>
      </x:c>
      <x:c r="M1595" s="11" t="n">
        <x:v>0</x:v>
      </x:c>
      <x:c r="N1595" s="4"/>
      <x:c r="O1595" s="4"/>
      <x:c r="P1595" s="11" t="n">
        <x:v>4</x:v>
      </x:c>
      <x:c r="Q1595" s="11" t="n">
        <x:v>0</x:v>
      </x:c>
      <x:c r="R1595" s="11" t="str">
        <x:f>IF(OR(P1595="",Q1595=""),"",Q1595-P1595)</x:f>
      </x:c>
      <x:c r="S1595" s="13" t="str">
        <x:f>IF(OR(P1595="",Q1595="",P1595=0),"",((Q1595/30)/(P1595/31))-1)</x:f>
      </x:c>
      <x:c r="T1595" s="11" t="n">
        <x:v>235</x:v>
      </x:c>
      <x:c r="U1595" s="11" t="n">
        <x:v>173</x:v>
      </x:c>
      <x:c r="V1595" s="14" t="n">
        <x:v>0</x:v>
      </x:c>
      <x:c r="W1595" s="12" t="n">
        <x:v>4.23121387283237</x:v>
      </x:c>
      <x:c r="X1595" s="11" t="n">
        <x:v>2</x:v>
      </x:c>
      <x:c r="Y1595" s="11" t="n">
        <x:v>3</x:v>
      </x:c>
      <x:c r="Z1595" s="4" t="str">
        <x:v>https://blog.skyairline.com/sky-airline-cumple-7-anos-en-peru/</x:v>
      </x:c>
      <x:c r="AA1595" s="4" t="str">
        <x:v>https://blog.skyairline.com/sky-airline-cumple-7-anos-en-peru/</x:v>
      </x:c>
      <x:c r="AB1595" s="4" t="str">
        <x:v>Coincidencia URL</x:v>
      </x:c>
      <x:c r="AC1595" s="4" t="str">
        <x:v>Publicado hasta septiembre</x:v>
      </x:c>
      <x:c r="AD1595" s="4" t="str">
        <x:v>/sky-airline-cumple-7-anos-en-peru/</x:v>
      </x:c>
      <x:c r="AE1595" s="4"/>
      <x:c r="AF1595" s="16" t="b">
        <x:v>0</x:v>
      </x:c>
    </x:row>
    <x:row r="1596" ht="44" customHeight="1">
      <x:c r="A1596" s="4" t="n">
        <x:v>8651</x:v>
      </x:c>
      <x:c r="B1596" s="4" t="str">
        <x:v>https://blog.skyairline.com/viajes-rio-de-janeiro-itinerario/</x:v>
      </x:c>
      <x:c r="C1596" s="9" t="str">
        <x:v>Viajes a Río de Janeiro: itinerario recomendado, barrios y qué hacer</x:v>
      </x:c>
      <x:c r="D1596" s="17" t="d">
        <x:v>2026-04-15T00:00:00.000Z</x:v>
      </x:c>
      <x:c r="E1596" s="17" t="d">
        <x:v>2026-04-14T00:00:00.000Z</x:v>
      </x:c>
      <x:c r="F1596" s="4" t="str">
        <x:v>Destinos</x:v>
      </x:c>
      <x:c r="G1596" s="11" t="n">
        <x:v>1061</x:v>
      </x:c>
      <x:c r="H1596" s="11" t="n">
        <x:v>200</x:v>
      </x:c>
      <x:c r="I1596" s="11" t="n">
        <x:v>1</x:v>
      </x:c>
      <x:c r="J1596" s="4" t="str">
        <x:v>https://blog.skyairline.com/viajes-rio-de-janeiro-itinerario/</x:v>
      </x:c>
      <x:c r="K1596" s="16" t="b">
        <x:v>0</x:v>
      </x:c>
      <x:c r="L1596" s="11" t="n">
        <x:v>0</x:v>
      </x:c>
      <x:c r="M1596" s="11" t="n">
        <x:v>0</x:v>
      </x:c>
      <x:c r="N1596" s="4"/>
      <x:c r="O1596" s="4"/>
      <x:c r="P1596" s="11" t="n">
        <x:v>0</x:v>
      </x:c>
      <x:c r="Q1596" s="11" t="n">
        <x:v>0</x:v>
      </x:c>
      <x:c r="R1596" s="11" t="str">
        <x:f>IF(OR(P1596="",Q1596=""),"",Q1596-P1596)</x:f>
      </x:c>
      <x:c r="S1596" s="13" t="str">
        <x:f>IF(OR(P1596="",Q1596="",P1596=0),"",((Q1596/30)/(P1596/31))-1)</x:f>
      </x:c>
      <x:c r="T1596" s="11" t="n">
        <x:v>208</x:v>
      </x:c>
      <x:c r="U1596" s="11" t="n">
        <x:v>64</x:v>
      </x:c>
      <x:c r="V1596" s="14" t="n">
        <x:v>0</x:v>
      </x:c>
      <x:c r="W1596" s="12" t="n">
        <x:v>10.78125</x:v>
      </x:c>
      <x:c r="X1596" s="11"/>
      <x:c r="Y1596" s="11"/>
      <x:c r="Z1596" s="4" t="str">
        <x:v>https://blog.skyairline.com/viajes-rio-de-janeiro-itinerario/</x:v>
      </x:c>
      <x:c r="AA1596" s="4" t="str">
        <x:v>https://blog.skyairline.com/viajes-rio-de-janeiro-itinerario/</x:v>
      </x:c>
      <x:c r="AB1596" s="4" t="str">
        <x:v>Coincidencia URL</x:v>
      </x:c>
      <x:c r="AC1596" s="4" t="str">
        <x:v>Publicado hasta septiembre</x:v>
      </x:c>
      <x:c r="AD1596" s="4"/>
      <x:c r="AE1596" s="4"/>
      <x:c r="AF1596" s="16" t="b">
        <x:v>0</x:v>
      </x:c>
    </x:row>
    <x:row r="1597" ht="44" customHeight="1">
      <x:c r="A1597" s="4" t="n">
        <x:v>8690</x:v>
      </x:c>
      <x:c r="B1597" s="4" t="str">
        <x:v>https://blog.skyairline.com/sky-impulsa-el-turismo-cultural-y-destaca-destinos-para-reconectar-con-el-legado-del-peru/</x:v>
      </x:c>
      <x:c r="C1597" s="9" t="str">
        <x:v>SKY impulsa el turismo cultural y destaca destinos para reconectar con el legado del Perú</x:v>
      </x:c>
      <x:c r="D1597" s="17" t="d">
        <x:v>2026-05-04T00:00:00.000Z</x:v>
      </x:c>
      <x:c r="E1597" s="17" t="d">
        <x:v>2026-05-04T00:00:00.000Z</x:v>
      </x:c>
      <x:c r="F1597" s="4" t="str">
        <x:v>Noticias</x:v>
      </x:c>
      <x:c r="G1597" s="11" t="n">
        <x:v>234</x:v>
      </x:c>
      <x:c r="H1597" s="11" t="n">
        <x:v>200</x:v>
      </x:c>
      <x:c r="I1597" s="11" t="n">
        <x:v>1</x:v>
      </x:c>
      <x:c r="J1597" s="4" t="str">
        <x:v>https://blog.skyairline.com/sky-impulsa-el-turismo-cultural-y-destaca-destinos-para-reconectar-con-el-legado-del-peru/</x:v>
      </x:c>
      <x:c r="K1597" s="16" t="b">
        <x:v>0</x:v>
      </x:c>
      <x:c r="L1597" s="11" t="n">
        <x:v>0</x:v>
      </x:c>
      <x:c r="M1597" s="11" t="n">
        <x:v>0</x:v>
      </x:c>
      <x:c r="N1597" s="4"/>
      <x:c r="O1597" s="4"/>
      <x:c r="P1597" s="11" t="n">
        <x:v>1</x:v>
      </x:c>
      <x:c r="Q1597" s="11" t="n">
        <x:v>0</x:v>
      </x:c>
      <x:c r="R1597" s="11" t="str">
        <x:f>IF(OR(P1597="",Q1597=""),"",Q1597-P1597)</x:f>
      </x:c>
      <x:c r="S1597" s="13" t="str">
        <x:f>IF(OR(P1597="",Q1597="",P1597=0),"",((Q1597/30)/(P1597/31))-1)</x:f>
      </x:c>
      <x:c r="T1597" s="11" t="n">
        <x:v>9</x:v>
      </x:c>
      <x:c r="U1597" s="11" t="n">
        <x:v>12</x:v>
      </x:c>
      <x:c r="V1597" s="14" t="n">
        <x:v>0</x:v>
      </x:c>
      <x:c r="W1597" s="12" t="n">
        <x:v>4.833333333333334</x:v>
      </x:c>
      <x:c r="X1597" s="11"/>
      <x:c r="Y1597" s="11"/>
      <x:c r="Z1597" s="4" t="str">
        <x:v>https://blog.skyairline.com/sky-impulsa-el-turismo-cultural-y-destaca-destinos-para-reconectar-con-el-legado-del-peru/</x:v>
      </x:c>
      <x:c r="AA1597" s="4" t="str">
        <x:v>https://blog.skyairline.com/sky-impulsa-el-turismo-cultural-y-destaca-destinos-para-reconectar-con-el-legado-del-peru/</x:v>
      </x:c>
      <x:c r="AB1597" s="4" t="str">
        <x:v>Coincidencia URL</x:v>
      </x:c>
      <x:c r="AC1597" s="4" t="str">
        <x:v>Publicado hasta septiembre</x:v>
      </x:c>
      <x:c r="AD1597" s="4"/>
      <x:c r="AE1597" s="4"/>
      <x:c r="AF1597" s="16" t="b">
        <x:v>0</x:v>
      </x:c>
    </x:row>
    <x:row r="1598" ht="44" customHeight="1">
      <x:c r="A1598" s="4" t="n">
        <x:v>8699</x:v>
      </x:c>
      <x:c r="B1598" s="4" t="str">
        <x:v>https://blog.skyairline.com/sky-expande-su-venta-a-10-mercados-internacionales/</x:v>
      </x:c>
      <x:c r="C1598" s="9" t="str">
        <x:v>SKY expande su venta a 10 mercados internacionales</x:v>
      </x:c>
      <x:c r="D1598" s="17" t="d">
        <x:v>2026-05-04T00:00:00.000Z</x:v>
      </x:c>
      <x:c r="E1598" s="17" t="d">
        <x:v>2026-05-08T00:00:00.000Z</x:v>
      </x:c>
      <x:c r="F1598" s="4" t="str">
        <x:v>Noticias</x:v>
      </x:c>
      <x:c r="G1598" s="11" t="n">
        <x:v>182</x:v>
      </x:c>
      <x:c r="H1598" s="11" t="n">
        <x:v>200</x:v>
      </x:c>
      <x:c r="I1598" s="11" t="n">
        <x:v>1</x:v>
      </x:c>
      <x:c r="J1598" s="4" t="str">
        <x:v>https://blog.skyairline.com/sky-expande-su-venta-a-10-mercados-internacionales/</x:v>
      </x:c>
      <x:c r="K1598" s="16" t="b">
        <x:v>0</x:v>
      </x:c>
      <x:c r="L1598" s="11" t="n">
        <x:v>0</x:v>
      </x:c>
      <x:c r="M1598" s="11" t="n">
        <x:v>0</x:v>
      </x:c>
      <x:c r="N1598" s="4"/>
      <x:c r="O1598" s="4"/>
      <x:c r="P1598" s="11" t="n">
        <x:v>1</x:v>
      </x:c>
      <x:c r="Q1598" s="11" t="n">
        <x:v>0</x:v>
      </x:c>
      <x:c r="R1598" s="11" t="str">
        <x:f>IF(OR(P1598="",Q1598=""),"",Q1598-P1598)</x:f>
      </x:c>
      <x:c r="S1598" s="13" t="str">
        <x:f>IF(OR(P1598="",Q1598="",P1598=0),"",((Q1598/30)/(P1598/31))-1)</x:f>
      </x:c>
      <x:c r="T1598" s="11" t="n">
        <x:v>62</x:v>
      </x:c>
      <x:c r="U1598" s="11" t="n">
        <x:v>43</x:v>
      </x:c>
      <x:c r="V1598" s="14" t="n">
        <x:v>0</x:v>
      </x:c>
      <x:c r="W1598" s="12" t="n">
        <x:v>6.069767441860465</x:v>
      </x:c>
      <x:c r="X1598" s="11"/>
      <x:c r="Y1598" s="11"/>
      <x:c r="Z1598" s="4" t="str">
        <x:v>https://blog.skyairline.com/sky-expande-su-venta-a-10-mercados-internacionales/</x:v>
      </x:c>
      <x:c r="AA1598" s="4" t="str">
        <x:v>https://blog.skyairline.com/sky-expande-su-venta-a-10-mercados-internacionales/</x:v>
      </x:c>
      <x:c r="AB1598" s="4" t="str">
        <x:v>Coincidencia URL</x:v>
      </x:c>
      <x:c r="AC1598" s="4" t="str">
        <x:v>Publicado hasta septiembre</x:v>
      </x:c>
      <x:c r="AD1598" s="4"/>
      <x:c r="AE1598" s="4"/>
      <x:c r="AF1598" s="16" t="b">
        <x:v>0</x:v>
      </x:c>
    </x:row>
    <x:row r="1599" ht="44" customHeight="1">
      <x:c r="A1599" s="4" t="n">
        <x:v>8706</x:v>
      </x:c>
      <x:c r="B1599" s="4" t="str">
        <x:v>https://blog.skyairline.com/salvador-bahia-que-hacer-viaje-cultural-gastronomico/</x:v>
      </x:c>
      <x:c r="C1599" s="9" t="str">
        <x:v>Salvador de Bahía: qué hacer (más allá de la playa) en un viaje cultural y gastronómico</x:v>
      </x:c>
      <x:c r="D1599" s="17" t="d">
        <x:v>2026-05-07T00:00:00.000Z</x:v>
      </x:c>
      <x:c r="E1599" s="17" t="d">
        <x:v>2026-05-05T00:00:00.000Z</x:v>
      </x:c>
      <x:c r="F1599" s="4" t="str">
        <x:v>Destinos</x:v>
      </x:c>
      <x:c r="G1599" s="11" t="n">
        <x:v>991</x:v>
      </x:c>
      <x:c r="H1599" s="11" t="n">
        <x:v>200</x:v>
      </x:c>
      <x:c r="I1599" s="11" t="n">
        <x:v>1</x:v>
      </x:c>
      <x:c r="J1599" s="4" t="str">
        <x:v>https://blog.skyairline.com/salvador-bahia-que-hacer-viaje-cultural-gastronomico/</x:v>
      </x:c>
      <x:c r="K1599" s="16" t="b">
        <x:v>0</x:v>
      </x:c>
      <x:c r="L1599" s="11" t="n">
        <x:v>0</x:v>
      </x:c>
      <x:c r="M1599" s="11" t="n">
        <x:v>0</x:v>
      </x:c>
      <x:c r="N1599" s="4"/>
      <x:c r="O1599" s="4"/>
      <x:c r="P1599" s="11" t="n">
        <x:v>0</x:v>
      </x:c>
      <x:c r="Q1599" s="11" t="n">
        <x:v>0</x:v>
      </x:c>
      <x:c r="R1599" s="11" t="str">
        <x:f>IF(OR(P1599="",Q1599=""),"",Q1599-P1599)</x:f>
      </x:c>
      <x:c r="S1599" s="13" t="str">
        <x:f>IF(OR(P1599="",Q1599="",P1599=0),"",((Q1599/30)/(P1599/31))-1)</x:f>
      </x:c>
      <x:c r="T1599" s="11" t="n">
        <x:v>32</x:v>
      </x:c>
      <x:c r="U1599" s="11" t="n">
        <x:v>44</x:v>
      </x:c>
      <x:c r="V1599" s="14" t="n">
        <x:v>0</x:v>
      </x:c>
      <x:c r="W1599" s="12" t="n">
        <x:v>9.772727272727273</x:v>
      </x:c>
      <x:c r="X1599" s="11"/>
      <x:c r="Y1599" s="11"/>
      <x:c r="Z1599" s="4" t="str">
        <x:v>https://blog.skyairline.com/salvador-bahia-que-hacer-viaje-cultural-gastronomico/</x:v>
      </x:c>
      <x:c r="AA1599" s="4" t="str">
        <x:v>https://blog.skyairline.com/salvador-bahia-que-hacer-viaje-cultural-gastronomico/</x:v>
      </x:c>
      <x:c r="AB1599" s="4" t="str">
        <x:v>Coincidencia URL</x:v>
      </x:c>
      <x:c r="AC1599" s="4" t="str">
        <x:v>Publicado hasta septiembre</x:v>
      </x:c>
      <x:c r="AD1599" s="4"/>
      <x:c r="AE1599" s="4"/>
      <x:c r="AF1599" s="16" t="b">
        <x:v>0</x:v>
      </x:c>
    </x:row>
    <x:row r="1600" ht="44" customHeight="1">
      <x:c r="A1600" s="4" t="n">
        <x:v>8740</x:v>
      </x:c>
      <x:c r="B1600" s="4" t="str">
        <x:v>https://blog.skyairline.com/que-hacer-punta-arenas/</x:v>
      </x:c>
      <x:c r="C1600" s="9" t="str">
        <x:v>Qué hacer en Punta Arenas: panoramas imperdibles, excursiones y consejos</x:v>
      </x:c>
      <x:c r="D1600" s="17" t="d">
        <x:v>2026-05-12T00:00:00.000Z</x:v>
      </x:c>
      <x:c r="E1600" s="17" t="d">
        <x:v>2026-05-11T00:00:00.000Z</x:v>
      </x:c>
      <x:c r="F1600" s="4" t="str">
        <x:v>Destinos</x:v>
      </x:c>
      <x:c r="G1600" s="11" t="n">
        <x:v>1139</x:v>
      </x:c>
      <x:c r="H1600" s="11" t="n">
        <x:v>200</x:v>
      </x:c>
      <x:c r="I1600" s="11" t="n">
        <x:v>1</x:v>
      </x:c>
      <x:c r="J1600" s="4" t="str">
        <x:v>https://blog.skyairline.com/que-hacer-punta-arenas/</x:v>
      </x:c>
      <x:c r="K1600" s="16" t="b">
        <x:v>0</x:v>
      </x:c>
      <x:c r="L1600" s="11" t="n">
        <x:v>0</x:v>
      </x:c>
      <x:c r="M1600" s="11" t="n">
        <x:v>0</x:v>
      </x:c>
      <x:c r="N1600" s="4"/>
      <x:c r="O1600" s="4"/>
      <x:c r="P1600" s="11" t="n">
        <x:v>0</x:v>
      </x:c>
      <x:c r="Q1600" s="11" t="n">
        <x:v>0</x:v>
      </x:c>
      <x:c r="R1600" s="11" t="str">
        <x:f>IF(OR(P1600="",Q1600=""),"",Q1600-P1600)</x:f>
      </x:c>
      <x:c r="S1600" s="13" t="str">
        <x:f>IF(OR(P1600="",Q1600="",P1600=0),"",((Q1600/30)/(P1600/31))-1)</x:f>
      </x:c>
      <x:c r="T1600" s="11" t="n">
        <x:v>6</x:v>
      </x:c>
      <x:c r="U1600" s="11" t="n">
        <x:v>93</x:v>
      </x:c>
      <x:c r="V1600" s="14" t="n">
        <x:v>0</x:v>
      </x:c>
      <x:c r="W1600" s="12" t="n">
        <x:v>31.602150537634408</x:v>
      </x:c>
      <x:c r="X1600" s="11"/>
      <x:c r="Y1600" s="11"/>
      <x:c r="Z1600" s="4" t="str">
        <x:v>https://blog.skyairline.com/que-hacer-punta-arenas/</x:v>
      </x:c>
      <x:c r="AA1600" s="4" t="str">
        <x:v>https://blog.skyairline.com/que-hacer-punta-arenas/</x:v>
      </x:c>
      <x:c r="AB1600" s="4" t="str">
        <x:v>Coincidencia URL</x:v>
      </x:c>
      <x:c r="AC1600" s="4" t="str">
        <x:v>Publicado hasta septiembre</x:v>
      </x:c>
      <x:c r="AD1600" s="4"/>
      <x:c r="AE1600" s="4"/>
      <x:c r="AF1600" s="16" t="b">
        <x:v>0</x:v>
      </x:c>
    </x:row>
    <x:row r="1601" ht="44" customHeight="1">
      <x:c r="A1601" s="4" t="n">
        <x:v>8743</x:v>
      </x:c>
      <x:c r="B1601" s="4" t="str">
        <x:v>https://blog.skyairline.com/como-escoger-carpa-ideal/</x:v>
      </x:c>
      <x:c r="C1601" s="9" t="str">
        <x:v>Cómo escoger la carpa ideal para viajar (tipos, usos y checklist)</x:v>
      </x:c>
      <x:c r="D1601" s="17" t="d">
        <x:v>2026-05-13T00:00:00.000Z</x:v>
      </x:c>
      <x:c r="E1601" s="17" t="d">
        <x:v>2026-05-11T00:00:00.000Z</x:v>
      </x:c>
      <x:c r="F1601" s="4" t="str">
        <x:v>Planificación de Viaje</x:v>
      </x:c>
      <x:c r="G1601" s="11" t="n">
        <x:v>1032</x:v>
      </x:c>
      <x:c r="H1601" s="11" t="n">
        <x:v>200</x:v>
      </x:c>
      <x:c r="I1601" s="11" t="n">
        <x:v>1</x:v>
      </x:c>
      <x:c r="J1601" s="4" t="str">
        <x:v>https://blog.skyairline.com/como-escoger-carpa-ideal/</x:v>
      </x:c>
      <x:c r="K1601" s="16" t="b">
        <x:v>0</x:v>
      </x:c>
      <x:c r="L1601" s="11" t="n">
        <x:v>0</x:v>
      </x:c>
      <x:c r="M1601" s="11" t="n">
        <x:v>0</x:v>
      </x:c>
      <x:c r="N1601" s="4"/>
      <x:c r="O1601" s="4"/>
      <x:c r="P1601" s="11" t="n">
        <x:v>1</x:v>
      </x:c>
      <x:c r="Q1601" s="11" t="n">
        <x:v>0</x:v>
      </x:c>
      <x:c r="R1601" s="11" t="str">
        <x:f>IF(OR(P1601="",Q1601=""),"",Q1601-P1601)</x:f>
      </x:c>
      <x:c r="S1601" s="13" t="str">
        <x:f>IF(OR(P1601="",Q1601="",P1601=0),"",((Q1601/30)/(P1601/31))-1)</x:f>
      </x:c>
      <x:c r="T1601" s="11" t="n">
        <x:v>72</x:v>
      </x:c>
      <x:c r="U1601" s="11" t="n">
        <x:v>48</x:v>
      </x:c>
      <x:c r="V1601" s="14" t="n">
        <x:v>0</x:v>
      </x:c>
      <x:c r="W1601" s="12" t="n">
        <x:v>7.645833333333333</x:v>
      </x:c>
      <x:c r="X1601" s="11"/>
      <x:c r="Y1601" s="11"/>
      <x:c r="Z1601" s="4" t="str">
        <x:v>https://blog.skyairline.com/como-escoger-carpa-ideal/</x:v>
      </x:c>
      <x:c r="AA1601" s="4" t="str">
        <x:v>https://blog.skyairline.com/como-escoger-carpa-ideal/</x:v>
      </x:c>
      <x:c r="AB1601" s="4" t="str">
        <x:v>Coincidencia URL</x:v>
      </x:c>
      <x:c r="AC1601" s="4" t="str">
        <x:v>Publicado hasta septiembre</x:v>
      </x:c>
      <x:c r="AD1601" s="4"/>
      <x:c r="AE1601" s="4"/>
      <x:c r="AF1601" s="16" t="b">
        <x:v>0</x:v>
      </x:c>
    </x:row>
    <x:row r="1602" ht="44" customHeight="1">
      <x:c r="A1602" s="4" t="n">
        <x:v>8756</x:v>
      </x:c>
      <x:c r="B1602" s="4" t="str">
        <x:v>https://blog.skyairline.com/gastronomia-del-peru/</x:v>
      </x:c>
      <x:c r="C1602" s="9" t="str">
        <x:v>Gastronomía del Perú: platos imperdibles, mercados y experiencias para comer como local</x:v>
      </x:c>
      <x:c r="D1602" s="17" t="d">
        <x:v>2026-05-20T00:00:00.000Z</x:v>
      </x:c>
      <x:c r="E1602" s="17" t="d">
        <x:v>2026-05-12T00:00:00.000Z</x:v>
      </x:c>
      <x:c r="F1602" s="4" t="str">
        <x:v>Cultura</x:v>
      </x:c>
      <x:c r="G1602" s="11" t="n">
        <x:v>1098</x:v>
      </x:c>
      <x:c r="H1602" s="11" t="n">
        <x:v>200</x:v>
      </x:c>
      <x:c r="I1602" s="11" t="n">
        <x:v>1</x:v>
      </x:c>
      <x:c r="J1602" s="4" t="str">
        <x:v>https://blog.skyairline.com/gastronomia-del-peru/</x:v>
      </x:c>
      <x:c r="K1602" s="16" t="b">
        <x:v>0</x:v>
      </x:c>
      <x:c r="L1602" s="11" t="n">
        <x:v>0</x:v>
      </x:c>
      <x:c r="M1602" s="11" t="n">
        <x:v>0</x:v>
      </x:c>
      <x:c r="N1602" s="4"/>
      <x:c r="O1602" s="4"/>
      <x:c r="P1602" s="11" t="n">
        <x:v>1</x:v>
      </x:c>
      <x:c r="Q1602" s="11" t="n">
        <x:v>0</x:v>
      </x:c>
      <x:c r="R1602" s="11" t="str">
        <x:f>IF(OR(P1602="",Q1602=""),"",Q1602-P1602)</x:f>
      </x:c>
      <x:c r="S1602" s="13" t="str">
        <x:f>IF(OR(P1602="",Q1602="",P1602=0),"",((Q1602/30)/(P1602/31))-1)</x:f>
      </x:c>
      <x:c r="T1602" s="11" t="n">
        <x:v>538</x:v>
      </x:c>
      <x:c r="U1602" s="11" t="n">
        <x:v>171</x:v>
      </x:c>
      <x:c r="V1602" s="14" t="n">
        <x:v>0</x:v>
      </x:c>
      <x:c r="W1602" s="12" t="n">
        <x:v>36.1812865497076</x:v>
      </x:c>
      <x:c r="X1602" s="11" t="n">
        <x:v>1</x:v>
      </x:c>
      <x:c r="Y1602" s="11" t="n">
        <x:v>1</x:v>
      </x:c>
      <x:c r="Z1602" s="4" t="str">
        <x:v>https://blog.skyairline.com/gastronomia-del-peru/</x:v>
      </x:c>
      <x:c r="AA1602" s="4" t="str">
        <x:v>https://blog.skyairline.com/gastronomia-del-peru/</x:v>
      </x:c>
      <x:c r="AB1602" s="4" t="str">
        <x:v>Coincidencia URL</x:v>
      </x:c>
      <x:c r="AC1602" s="4" t="str">
        <x:v>Publicado hasta septiembre</x:v>
      </x:c>
      <x:c r="AD1602" s="4" t="str">
        <x:v>/gastronomia-del-peru/</x:v>
      </x:c>
      <x:c r="AE1602" s="4"/>
      <x:c r="AF1602" s="16" t="b">
        <x:v>0</x:v>
      </x:c>
    </x:row>
    <x:row r="1603" ht="44" customHeight="1">
      <x:c r="A1603" s="4" t="n">
        <x:v>8777</x:v>
      </x:c>
      <x:c r="B1603" s="4" t="str">
        <x:v>https://blog.skyairline.com/temperatura-lima/</x:v>
      </x:c>
      <x:c r="C1603" s="9" t="str">
        <x:v>Temperatura en Lima: cómo es el clima por estación y qué llevar en tu maleta</x:v>
      </x:c>
      <x:c r="D1603" s="17" t="d">
        <x:v>2026-05-26T00:00:00.000Z</x:v>
      </x:c>
      <x:c r="E1603" s="17" t="d">
        <x:v>2026-05-20T00:00:00.000Z</x:v>
      </x:c>
      <x:c r="F1603" s="4" t="str">
        <x:v>Planificación de Viaje</x:v>
      </x:c>
      <x:c r="G1603" s="11" t="n">
        <x:v>1074</x:v>
      </x:c>
      <x:c r="H1603" s="11" t="n">
        <x:v>200</x:v>
      </x:c>
      <x:c r="I1603" s="11" t="n">
        <x:v>2</x:v>
      </x:c>
      <x:c r="J1603" s="4" t="str">
        <x:v>https://blog.skyairline.com/temperatura-lima/</x:v>
      </x:c>
      <x:c r="K1603" s="16" t="b">
        <x:v>0</x:v>
      </x:c>
      <x:c r="L1603" s="11" t="n">
        <x:v>0</x:v>
      </x:c>
      <x:c r="M1603" s="11" t="n">
        <x:v>0</x:v>
      </x:c>
      <x:c r="N1603" s="4"/>
      <x:c r="O1603" s="4"/>
      <x:c r="P1603" s="11" t="n">
        <x:v>1</x:v>
      </x:c>
      <x:c r="Q1603" s="11" t="n">
        <x:v>0</x:v>
      </x:c>
      <x:c r="R1603" s="11" t="str">
        <x:f>IF(OR(P1603="",Q1603=""),"",Q1603-P1603)</x:f>
      </x:c>
      <x:c r="S1603" s="13" t="str">
        <x:f>IF(OR(P1603="",Q1603="",P1603=0),"",((Q1603/30)/(P1603/31))-1)</x:f>
      </x:c>
      <x:c r="T1603" s="11" t="n">
        <x:v>2067</x:v>
      </x:c>
      <x:c r="U1603" s="11" t="n">
        <x:v>1415</x:v>
      </x:c>
      <x:c r="V1603" s="14" t="n">
        <x:v>0</x:v>
      </x:c>
      <x:c r="W1603" s="12" t="n">
        <x:v>8.595053003533568</x:v>
      </x:c>
      <x:c r="X1603" s="11" t="n">
        <x:v>1</x:v>
      </x:c>
      <x:c r="Y1603" s="11" t="n">
        <x:v>1</x:v>
      </x:c>
      <x:c r="Z1603" s="4" t="str">
        <x:v>https://blog.skyairline.com/temperatura-lima/</x:v>
      </x:c>
      <x:c r="AA1603" s="4" t="str">
        <x:v>https://blog.skyairline.com/temperatura-lima/</x:v>
      </x:c>
      <x:c r="AB1603" s="4" t="str">
        <x:v>Coincidencia URL</x:v>
      </x:c>
      <x:c r="AC1603" s="4" t="str">
        <x:v>Publicado hasta septiembre</x:v>
      </x:c>
      <x:c r="AD1603" s="4" t="str">
        <x:v>/temperatura-lima/</x:v>
      </x:c>
      <x:c r="AE1603" s="4"/>
      <x:c r="AF1603" s="16" t="b">
        <x:v>0</x:v>
      </x:c>
    </x:row>
    <x:row r="1604" ht="44" customHeight="1">
      <x:c r="A1604" s="4" t="n">
        <x:v>8782</x:v>
      </x:c>
      <x:c r="B1604" s="4" t="str">
        <x:v>https://blog.skyairline.com/dia-de-los-patrimonios/</x:v>
      </x:c>
      <x:c r="C1604" s="9" t="str">
        <x:v>Día de los Patrimonios en Chile: guía para disfrutar la fiesta cultural</x:v>
      </x:c>
      <x:c r="D1604" s="17" t="d">
        <x:v>2026-05-25T00:00:00.000Z</x:v>
      </x:c>
      <x:c r="E1604" s="17" t="d">
        <x:v>2026-05-25T00:00:00.000Z</x:v>
      </x:c>
      <x:c r="F1604" s="4" t="str">
        <x:v>Cultura</x:v>
      </x:c>
      <x:c r="G1604" s="11" t="n">
        <x:v>1107</x:v>
      </x:c>
      <x:c r="H1604" s="11" t="n">
        <x:v>200</x:v>
      </x:c>
      <x:c r="I1604" s="11" t="n">
        <x:v>1</x:v>
      </x:c>
      <x:c r="J1604" s="4" t="str">
        <x:v>https://blog.skyairline.com/dia-de-los-patrimonios/</x:v>
      </x:c>
      <x:c r="K1604" s="16" t="b">
        <x:v>0</x:v>
      </x:c>
      <x:c r="L1604" s="11" t="n">
        <x:v>0</x:v>
      </x:c>
      <x:c r="M1604" s="11" t="n">
        <x:v>0</x:v>
      </x:c>
      <x:c r="N1604" s="4"/>
      <x:c r="O1604" s="4"/>
      <x:c r="P1604" s="11" t="n">
        <x:v>0</x:v>
      </x:c>
      <x:c r="Q1604" s="11" t="n">
        <x:v>0</x:v>
      </x:c>
      <x:c r="R1604" s="11" t="str">
        <x:f>IF(OR(P1604="",Q1604=""),"",Q1604-P1604)</x:f>
      </x:c>
      <x:c r="S1604" s="13" t="str">
        <x:f>IF(OR(P1604="",Q1604="",P1604=0),"",((Q1604/30)/(P1604/31))-1)</x:f>
      </x:c>
      <x:c r="T1604" s="11" t="n">
        <x:v>34</x:v>
      </x:c>
      <x:c r="U1604" s="11" t="n">
        <x:v>21</x:v>
      </x:c>
      <x:c r="V1604" s="14" t="n">
        <x:v>0</x:v>
      </x:c>
      <x:c r="W1604" s="12" t="n">
        <x:v>6.9523809523809526</x:v>
      </x:c>
      <x:c r="X1604" s="11"/>
      <x:c r="Y1604" s="11"/>
      <x:c r="Z1604" s="4" t="str">
        <x:v>https://blog.skyairline.com/dia-de-los-patrimonios/</x:v>
      </x:c>
      <x:c r="AA1604" s="4" t="str">
        <x:v>https://blog.skyairline.com/dia-de-los-patrimonios/</x:v>
      </x:c>
      <x:c r="AB1604" s="4" t="str">
        <x:v>Coincidencia URL</x:v>
      </x:c>
      <x:c r="AC1604" s="4" t="str">
        <x:v>Publicado hasta septiembre</x:v>
      </x:c>
      <x:c r="AD1604" s="4"/>
      <x:c r="AE1604" s="4"/>
      <x:c r="AF1604" s="16" t="b">
        <x:v>0</x:v>
      </x:c>
    </x:row>
    <x:row r="1605" ht="44" customHeight="1">
      <x:c r="A1605" s="4" t="n">
        <x:v>8787</x:v>
      </x:c>
      <x:c r="B1605" s="4" t="str">
        <x:v>https://blog.skyairline.com/puerto-varas/</x:v>
      </x:c>
      <x:c r="C1605" s="9" t="str">
        <x:v>Puerto Varas: no dejes de conocer sus alrededores</x:v>
      </x:c>
      <x:c r="D1605" s="17" t="d">
        <x:v>2026-05-28T00:00:00.000Z</x:v>
      </x:c>
      <x:c r="E1605" s="17" t="d">
        <x:v>2026-05-25T00:00:00.000Z</x:v>
      </x:c>
      <x:c r="F1605" s="4" t="str">
        <x:v>Destinos</x:v>
      </x:c>
      <x:c r="G1605" s="11" t="n">
        <x:v>967</x:v>
      </x:c>
      <x:c r="H1605" s="11" t="n">
        <x:v>200</x:v>
      </x:c>
      <x:c r="I1605" s="11" t="n">
        <x:v>1</x:v>
      </x:c>
      <x:c r="J1605" s="4" t="str">
        <x:v>https://blog.skyairline.com/puerto-varas/</x:v>
      </x:c>
      <x:c r="K1605" s="16" t="b">
        <x:v>0</x:v>
      </x:c>
      <x:c r="L1605" s="11" t="n">
        <x:v>0</x:v>
      </x:c>
      <x:c r="M1605" s="11" t="n">
        <x:v>0</x:v>
      </x:c>
      <x:c r="N1605" s="4"/>
      <x:c r="O1605" s="4"/>
      <x:c r="P1605" s="11" t="n">
        <x:v>1</x:v>
      </x:c>
      <x:c r="Q1605" s="11" t="n">
        <x:v>0</x:v>
      </x:c>
      <x:c r="R1605" s="11" t="str">
        <x:f>IF(OR(P1605="",Q1605=""),"",Q1605-P1605)</x:f>
      </x:c>
      <x:c r="S1605" s="13" t="str">
        <x:f>IF(OR(P1605="",Q1605="",P1605=0),"",((Q1605/30)/(P1605/31))-1)</x:f>
      </x:c>
      <x:c r="T1605" s="11" t="n">
        <x:v>75</x:v>
      </x:c>
      <x:c r="U1605" s="11" t="n">
        <x:v>42</x:v>
      </x:c>
      <x:c r="V1605" s="14" t="n">
        <x:v>0</x:v>
      </x:c>
      <x:c r="W1605" s="12" t="n">
        <x:v>11.142857142857142</x:v>
      </x:c>
      <x:c r="X1605" s="11"/>
      <x:c r="Y1605" s="11"/>
      <x:c r="Z1605" s="4" t="str">
        <x:v>https://blog.skyairline.com/puerto-varas/</x:v>
      </x:c>
      <x:c r="AA1605" s="4" t="str">
        <x:v>https://blog.skyairline.com/puerto-varas/</x:v>
      </x:c>
      <x:c r="AB1605" s="4" t="str">
        <x:v>Coincidencia URL</x:v>
      </x:c>
      <x:c r="AC1605" s="4" t="str">
        <x:v>Publicado hasta septiembre</x:v>
      </x:c>
      <x:c r="AD1605" s="4"/>
      <x:c r="AE1605" s="4"/>
      <x:c r="AF1605" s="16" t="b">
        <x:v>0</x:v>
      </x:c>
    </x:row>
    <x:row r="1606" ht="44" customHeight="1">
      <x:c r="A1606" s="4" t="n">
        <x:v>8788</x:v>
      </x:c>
      <x:c r="B1606" s="4" t="str">
        <x:v>https://blog.skyairline.com/que-hacer-chiloe/</x:v>
      </x:c>
      <x:c r="C1606" s="9" t="str">
        <x:v>Qué hacer en Chiloé: iglesias, mitología y mar</x:v>
      </x:c>
      <x:c r="D1606" s="17" t="d">
        <x:v>2026-05-28T00:00:00.000Z</x:v>
      </x:c>
      <x:c r="E1606" s="17" t="d">
        <x:v>2026-05-25T00:00:00.000Z</x:v>
      </x:c>
      <x:c r="F1606" s="4" t="str">
        <x:v>Destinos</x:v>
      </x:c>
      <x:c r="G1606" s="11" t="n">
        <x:v>988</x:v>
      </x:c>
      <x:c r="H1606" s="11" t="n">
        <x:v>200</x:v>
      </x:c>
      <x:c r="I1606" s="11" t="n">
        <x:v>1</x:v>
      </x:c>
      <x:c r="J1606" s="4" t="str">
        <x:v>https://blog.skyairline.com/que-hacer-chiloe/</x:v>
      </x:c>
      <x:c r="K1606" s="16" t="b">
        <x:v>0</x:v>
      </x:c>
      <x:c r="L1606" s="11" t="n">
        <x:v>0</x:v>
      </x:c>
      <x:c r="M1606" s="11" t="n">
        <x:v>0</x:v>
      </x:c>
      <x:c r="N1606" s="4"/>
      <x:c r="O1606" s="4"/>
      <x:c r="P1606" s="11" t="n">
        <x:v>0</x:v>
      </x:c>
      <x:c r="Q1606" s="11" t="n">
        <x:v>0</x:v>
      </x:c>
      <x:c r="R1606" s="11" t="str">
        <x:f>IF(OR(P1606="",Q1606=""),"",Q1606-P1606)</x:f>
      </x:c>
      <x:c r="S1606" s="13" t="str">
        <x:f>IF(OR(P1606="",Q1606="",P1606=0),"",((Q1606/30)/(P1606/31))-1)</x:f>
      </x:c>
      <x:c r="T1606" s="11" t="n">
        <x:v>112</x:v>
      </x:c>
      <x:c r="U1606" s="11" t="n">
        <x:v>29</x:v>
      </x:c>
      <x:c r="V1606" s="14" t="n">
        <x:v>0</x:v>
      </x:c>
      <x:c r="W1606" s="12" t="n">
        <x:v>12.620689655172415</x:v>
      </x:c>
      <x:c r="X1606" s="11"/>
      <x:c r="Y1606" s="11"/>
      <x:c r="Z1606" s="4" t="str">
        <x:v>https://blog.skyairline.com/que-hacer-chiloe/</x:v>
      </x:c>
      <x:c r="AA1606" s="4" t="str">
        <x:v>https://blog.skyairline.com/que-hacer-chiloe/</x:v>
      </x:c>
      <x:c r="AB1606" s="4" t="str">
        <x:v>Coincidencia URL</x:v>
      </x:c>
      <x:c r="AC1606" s="4" t="str">
        <x:v>Publicado hasta septiembre</x:v>
      </x:c>
      <x:c r="AD1606" s="4"/>
      <x:c r="AE1606" s="4"/>
      <x:c r="AF1606" s="16" t="b">
        <x:v>0</x:v>
      </x:c>
    </x:row>
    <x:row r="1607" ht="44" customHeight="1">
      <x:c r="A1607" s="4" t="n">
        <x:v>8801</x:v>
      </x:c>
      <x:c r="B1607" s="4" t="str">
        <x:v>https://blog.skyairline.com/trekking-lugares-chile/</x:v>
      </x:c>
      <x:c r="C1607" s="9" t="str">
        <x:v>Trekking: lugares de Chile donde practicarlo</x:v>
      </x:c>
      <x:c r="D1607" s="17" t="d">
        <x:v>2026-06-01T00:00:00.000Z</x:v>
      </x:c>
      <x:c r="E1607" s="17" t="d">
        <x:v>2026-05-27T00:00:00.000Z</x:v>
      </x:c>
      <x:c r="F1607" s="4" t="str">
        <x:v>Destinos</x:v>
      </x:c>
      <x:c r="G1607" s="11" t="n">
        <x:v>986</x:v>
      </x:c>
      <x:c r="H1607" s="11" t="n">
        <x:v>200</x:v>
      </x:c>
      <x:c r="I1607" s="11" t="n">
        <x:v>1</x:v>
      </x:c>
      <x:c r="J1607" s="4" t="str">
        <x:v>https://blog.skyairline.com/trekking-lugares-chile/</x:v>
      </x:c>
      <x:c r="K1607" s="16" t="b">
        <x:v>0</x:v>
      </x:c>
      <x:c r="L1607" s="11" t="n">
        <x:v>0</x:v>
      </x:c>
      <x:c r="M1607" s="11" t="n">
        <x:v>0</x:v>
      </x:c>
      <x:c r="N1607" s="4"/>
      <x:c r="O1607" s="4"/>
      <x:c r="P1607" s="11" t="n">
        <x:v>0</x:v>
      </x:c>
      <x:c r="Q1607" s="11" t="n">
        <x:v>0</x:v>
      </x:c>
      <x:c r="R1607" s="11" t="str">
        <x:f>IF(OR(P1607="",Q1607=""),"",Q1607-P1607)</x:f>
      </x:c>
      <x:c r="S1607" s="13" t="str">
        <x:f>IF(OR(P1607="",Q1607="",P1607=0),"",((Q1607/30)/(P1607/31))-1)</x:f>
      </x:c>
      <x:c r="T1607" s="11" t="n">
        <x:v>283</x:v>
      </x:c>
      <x:c r="U1607" s="11" t="n">
        <x:v>82</x:v>
      </x:c>
      <x:c r="V1607" s="14" t="n">
        <x:v>0</x:v>
      </x:c>
      <x:c r="W1607" s="12" t="n">
        <x:v>41.40243902439025</x:v>
      </x:c>
      <x:c r="X1607" s="11"/>
      <x:c r="Y1607" s="11"/>
      <x:c r="Z1607" s="4" t="str">
        <x:v>https://blog.skyairline.com/trekking-lugares-chile/</x:v>
      </x:c>
      <x:c r="AA1607" s="4" t="str">
        <x:v>https://blog.skyairline.com/trekking-lugares-chile/</x:v>
      </x:c>
      <x:c r="AB1607" s="4" t="str">
        <x:v>Coincidencia URL</x:v>
      </x:c>
      <x:c r="AC1607" s="4" t="str">
        <x:v>Publicado hasta septiembre</x:v>
      </x:c>
      <x:c r="AD1607" s="4"/>
      <x:c r="AE1607" s="4"/>
      <x:c r="AF1607" s="16" t="b">
        <x:v>0</x:v>
      </x:c>
    </x:row>
    <x:row r="1608" ht="44" customHeight="1">
      <x:c r="A1608" s="4" t="n">
        <x:v>8804</x:v>
      </x:c>
      <x:c r="B1608" s="4" t="str">
        <x:v>https://blog.skyairline.com/volcan-villarrica/</x:v>
      </x:c>
      <x:c r="C1608" s="9" t="str">
        <x:v>Volcán Villarrica: adrenalina y naturaleza viva</x:v>
      </x:c>
      <x:c r="D1608" s="17" t="d">
        <x:v>2026-05-31T00:00:00.000Z</x:v>
      </x:c>
      <x:c r="E1608" s="17" t="d">
        <x:v>2026-05-27T00:00:00.000Z</x:v>
      </x:c>
      <x:c r="F1608" s="4" t="str">
        <x:v>Destinos</x:v>
      </x:c>
      <x:c r="G1608" s="11" t="n">
        <x:v>998</x:v>
      </x:c>
      <x:c r="H1608" s="11" t="n">
        <x:v>200</x:v>
      </x:c>
      <x:c r="I1608" s="11" t="n">
        <x:v>1</x:v>
      </x:c>
      <x:c r="J1608" s="4" t="str">
        <x:v>https://blog.skyairline.com/volcan-villarrica/</x:v>
      </x:c>
      <x:c r="K1608" s="16" t="b">
        <x:v>0</x:v>
      </x:c>
      <x:c r="L1608" s="11" t="n">
        <x:v>0</x:v>
      </x:c>
      <x:c r="M1608" s="11" t="n">
        <x:v>0</x:v>
      </x:c>
      <x:c r="N1608" s="4"/>
      <x:c r="O1608" s="4"/>
      <x:c r="P1608" s="11" t="n">
        <x:v>0</x:v>
      </x:c>
      <x:c r="Q1608" s="11" t="n">
        <x:v>0</x:v>
      </x:c>
      <x:c r="R1608" s="11" t="str">
        <x:f>IF(OR(P1608="",Q1608=""),"",Q1608-P1608)</x:f>
      </x:c>
      <x:c r="S1608" s="13" t="str">
        <x:f>IF(OR(P1608="",Q1608="",P1608=0),"",((Q1608/30)/(P1608/31))-1)</x:f>
      </x:c>
      <x:c r="T1608" s="11" t="n">
        <x:v>438</x:v>
      </x:c>
      <x:c r="U1608" s="11" t="n">
        <x:v>337</x:v>
      </x:c>
      <x:c r="V1608" s="14" t="n">
        <x:v>0</x:v>
      </x:c>
      <x:c r="W1608" s="12" t="n">
        <x:v>14.991097922848665</x:v>
      </x:c>
      <x:c r="X1608" s="11" t="n">
        <x:v>1</x:v>
      </x:c>
      <x:c r="Y1608" s="11" t="n">
        <x:v>1</x:v>
      </x:c>
      <x:c r="Z1608" s="4" t="str">
        <x:v>https://blog.skyairline.com/volcan-villarrica/</x:v>
      </x:c>
      <x:c r="AA1608" s="4" t="str">
        <x:v>https://blog.skyairline.com/volcan-villarrica/</x:v>
      </x:c>
      <x:c r="AB1608" s="4" t="str">
        <x:v>Coincidencia URL</x:v>
      </x:c>
      <x:c r="AC1608" s="4" t="str">
        <x:v>Publicado hasta septiembre</x:v>
      </x:c>
      <x:c r="AD1608" s="4" t="str">
        <x:v>/volcan-villarrica/</x:v>
      </x:c>
      <x:c r="AE1608" s="4"/>
      <x:c r="AF1608" s="16" t="b">
        <x:v>0</x:v>
      </x:c>
    </x:row>
    <x:row r="1609" ht="44" customHeight="1">
      <x:c r="A1609" s="4" t="n">
        <x:v>8818</x:v>
      </x:c>
      <x:c r="B1609" s="4" t="str">
        <x:v>https://blog.skyairline.com/que-hacer-valparaiso/</x:v>
      </x:c>
      <x:c r="C1609" s="9" t="str">
        <x:v>Qué hacer en Valparaíso: Patrimonio de la Humanidad</x:v>
      </x:c>
      <x:c r="D1609" s="17" t="d">
        <x:v>2026-06-05T00:00:00.000Z</x:v>
      </x:c>
      <x:c r="E1609" s="17" t="d">
        <x:v>2026-05-27T00:00:00.000Z</x:v>
      </x:c>
      <x:c r="F1609" s="4" t="str">
        <x:v>Destinos</x:v>
      </x:c>
      <x:c r="G1609" s="11" t="n">
        <x:v>1018</x:v>
      </x:c>
      <x:c r="H1609" s="11" t="n">
        <x:v>200</x:v>
      </x:c>
      <x:c r="I1609" s="11" t="n">
        <x:v>1</x:v>
      </x:c>
      <x:c r="J1609" s="4" t="str">
        <x:v>https://blog.skyairline.com/que-hacer-valparaiso/</x:v>
      </x:c>
      <x:c r="K1609" s="16" t="b">
        <x:v>0</x:v>
      </x:c>
      <x:c r="L1609" s="11" t="n">
        <x:v>0</x:v>
      </x:c>
      <x:c r="M1609" s="11" t="n">
        <x:v>0</x:v>
      </x:c>
      <x:c r="N1609" s="4"/>
      <x:c r="O1609" s="4"/>
      <x:c r="P1609" s="11" t="n">
        <x:v>0</x:v>
      </x:c>
      <x:c r="Q1609" s="11" t="n">
        <x:v>0</x:v>
      </x:c>
      <x:c r="R1609" s="11" t="str">
        <x:f>IF(OR(P1609="",Q1609=""),"",Q1609-P1609)</x:f>
      </x:c>
      <x:c r="S1609" s="13" t="str">
        <x:f>IF(OR(P1609="",Q1609="",P1609=0),"",((Q1609/30)/(P1609/31))-1)</x:f>
      </x:c>
      <x:c r="T1609" s="11" t="n">
        <x:v>12</x:v>
      </x:c>
      <x:c r="U1609" s="11" t="n">
        <x:v>18</x:v>
      </x:c>
      <x:c r="V1609" s="14" t="n">
        <x:v>0</x:v>
      </x:c>
      <x:c r="W1609" s="12" t="n">
        <x:v>4.888888888888889</x:v>
      </x:c>
      <x:c r="X1609" s="11"/>
      <x:c r="Y1609" s="11"/>
      <x:c r="Z1609" s="4" t="str">
        <x:v>https://blog.skyairline.com/que-hacer-valparaiso/</x:v>
      </x:c>
      <x:c r="AA1609" s="4" t="str">
        <x:v>https://blog.skyairline.com/que-hacer-valparaiso/</x:v>
      </x:c>
      <x:c r="AB1609" s="4" t="str">
        <x:v>Coincidencia URL</x:v>
      </x:c>
      <x:c r="AC1609" s="4" t="str">
        <x:v>Publicado hasta septiembre</x:v>
      </x:c>
      <x:c r="AD1609" s="4"/>
      <x:c r="AE1609" s="4"/>
      <x:c r="AF1609" s="16" t="b">
        <x:v>0</x:v>
      </x:c>
    </x:row>
    <x:row r="1610" ht="44" customHeight="1">
      <x:c r="A1610" s="4" t="n">
        <x:v>8842</x:v>
      </x:c>
      <x:c r="B1610" s="4" t="str">
        <x:v>https://blog.skyairline.com/destinos-andinos-concentraron-mas-de-la-mitad-de-los-pasajeros-de-sky-en-el-primer-trimestre-de-2026/</x:v>
      </x:c>
      <x:c r="C1610" s="9" t="str">
        <x:v>Destinos andinos concentraron más de la mitad de los pasajeros</x:v>
      </x:c>
      <x:c r="D1610" s="17" t="d">
        <x:v>2026-06-02T00:00:00.000Z</x:v>
      </x:c>
      <x:c r="E1610" s="17" t="d">
        <x:v>2026-06-04T00:00:00.000Z</x:v>
      </x:c>
      <x:c r="F1610" s="4" t="str">
        <x:v>Noticias</x:v>
      </x:c>
      <x:c r="G1610" s="11" t="n">
        <x:v>203</x:v>
      </x:c>
      <x:c r="H1610" s="11" t="n">
        <x:v>200</x:v>
      </x:c>
      <x:c r="I1610" s="11" t="n">
        <x:v>1</x:v>
      </x:c>
      <x:c r="J1610" s="4" t="str">
        <x:v>https://blog.skyairline.com/destinos-andinos-concentraron-mas-de-la-mitad-de-los-pasajeros-de-sky-en-el-primer-trimestre-de-2026/</x:v>
      </x:c>
      <x:c r="K1610" s="16" t="b">
        <x:v>0</x:v>
      </x:c>
      <x:c r="L1610" s="11" t="n">
        <x:v>0</x:v>
      </x:c>
      <x:c r="M1610" s="11" t="n">
        <x:v>0</x:v>
      </x:c>
      <x:c r="N1610" s="4"/>
      <x:c r="O1610" s="4"/>
      <x:c r="P1610" s="11" t="n">
        <x:v>0</x:v>
      </x:c>
      <x:c r="Q1610" s="11" t="n">
        <x:v>0</x:v>
      </x:c>
      <x:c r="R1610" s="11" t="str">
        <x:f>IF(OR(P1610="",Q1610=""),"",Q1610-P1610)</x:f>
      </x:c>
      <x:c r="S1610" s="13" t="str">
        <x:f>IF(OR(P1610="",Q1610="",P1610=0),"",((Q1610/30)/(P1610/31))-1)</x:f>
      </x:c>
      <x:c r="T1610" s="11" t="n">
        <x:v>9</x:v>
      </x:c>
      <x:c r="U1610" s="11" t="n">
        <x:v>2</x:v>
      </x:c>
      <x:c r="V1610" s="14" t="n">
        <x:v>0</x:v>
      </x:c>
      <x:c r="W1610" s="12" t="n">
        <x:v>5</x:v>
      </x:c>
      <x:c r="X1610" s="11"/>
      <x:c r="Y1610" s="11"/>
      <x:c r="Z1610" s="4" t="str">
        <x:v>https://blog.skyairline.com/destinos-andinos-concentraron-mas-de-la-mitad-de-los-pasajeros-de-sky-en-el-primer-trimestre-de-2026/</x:v>
      </x:c>
      <x:c r="AA1610" s="4" t="str">
        <x:v>https://blog.skyairline.com/destinos-andinos-concentraron-mas-de-la-mitad-de-los-pasajeros-de-sky-en-el-primer-trimestre-de-2026/</x:v>
      </x:c>
      <x:c r="AB1610" s="4" t="str">
        <x:v>Coincidencia URL</x:v>
      </x:c>
      <x:c r="AC1610" s="4" t="str">
        <x:v>Publicado hasta septiembre</x:v>
      </x:c>
      <x:c r="AD1610" s="4"/>
      <x:c r="AE1610" s="4"/>
      <x:c r="AF1610" s="16" t="b">
        <x:v>0</x:v>
      </x:c>
    </x:row>
    <x:row r="1611" ht="44" customHeight="1">
      <x:c r="A1611" s="4" t="n">
        <x:v>8859</x:v>
      </x:c>
      <x:c r="B1611" s="4" t="str">
        <x:v>https://blog.skyairline.com/que-hacer-lima/</x:v>
      </x:c>
      <x:c r="C1611" s="9" t="str">
        <x:v>Qué hacer en Lima: gastronomía, historia y turismo</x:v>
      </x:c>
      <x:c r="D1611" s="17" t="d">
        <x:v>2026-06-08T00:00:00.000Z</x:v>
      </x:c>
      <x:c r="E1611" s="17" t="d">
        <x:v>2026-06-05T00:00:00.000Z</x:v>
      </x:c>
      <x:c r="F1611" s="4" t="str">
        <x:v>Destinos</x:v>
      </x:c>
      <x:c r="G1611" s="11" t="n">
        <x:v>1062</x:v>
      </x:c>
      <x:c r="H1611" s="11" t="n">
        <x:v>200</x:v>
      </x:c>
      <x:c r="I1611" s="11" t="n">
        <x:v>1</x:v>
      </x:c>
      <x:c r="J1611" s="4" t="str">
        <x:v>https://blog.skyairline.com/que-hacer-lima/</x:v>
      </x:c>
      <x:c r="K1611" s="16" t="b">
        <x:v>0</x:v>
      </x:c>
      <x:c r="L1611" s="11" t="n">
        <x:v>0</x:v>
      </x:c>
      <x:c r="M1611" s="11" t="n">
        <x:v>0</x:v>
      </x:c>
      <x:c r="N1611" s="4"/>
      <x:c r="O1611" s="4"/>
      <x:c r="P1611" s="11" t="n">
        <x:v>0</x:v>
      </x:c>
      <x:c r="Q1611" s="11" t="n">
        <x:v>0</x:v>
      </x:c>
      <x:c r="R1611" s="11" t="str">
        <x:f>IF(OR(P1611="",Q1611=""),"",Q1611-P1611)</x:f>
      </x:c>
      <x:c r="S1611" s="13" t="str">
        <x:f>IF(OR(P1611="",Q1611="",P1611=0),"",((Q1611/30)/(P1611/31))-1)</x:f>
      </x:c>
      <x:c r="T1611" s="11" t="n">
        <x:v>8</x:v>
      </x:c>
      <x:c r="U1611" s="11" t="n">
        <x:v>9</x:v>
      </x:c>
      <x:c r="V1611" s="14" t="n">
        <x:v>0</x:v>
      </x:c>
      <x:c r="W1611" s="12" t="n">
        <x:v>32.44444444444444</x:v>
      </x:c>
      <x:c r="X1611" s="11" t="n">
        <x:v>2</x:v>
      </x:c>
      <x:c r="Y1611" s="11" t="n">
        <x:v>2</x:v>
      </x:c>
      <x:c r="Z1611" s="4" t="str">
        <x:v>https://blog.skyairline.com/que-hacer-lima/</x:v>
      </x:c>
      <x:c r="AA1611" s="4" t="str">
        <x:v>https://blog.skyairline.com/que-hacer-lima/</x:v>
      </x:c>
      <x:c r="AB1611" s="4" t="str">
        <x:v>Coincidencia URL</x:v>
      </x:c>
      <x:c r="AC1611" s="4" t="str">
        <x:v>Publicado hasta septiembre</x:v>
      </x:c>
      <x:c r="AD1611" s="4" t="str">
        <x:v>/que-hacer-lima/</x:v>
      </x:c>
      <x:c r="AE1611" s="4"/>
      <x:c r="AF1611" s="16" t="b">
        <x:v>0</x:v>
      </x:c>
    </x:row>
    <x:row r="1612" ht="44" customHeight="1">
      <x:c r="A1612" s="4" t="n">
        <x:v>8862</x:v>
      </x:c>
      <x:c r="B1612" s="4" t="str">
        <x:v>https://blog.skyairline.com/que-hacer-en-buenos-aires/</x:v>
      </x:c>
      <x:c r="C1612" s="9" t="str">
        <x:v>Qué hacer en Buenos Aires: Disfruta tu viaje a la ciudad porteña</x:v>
      </x:c>
      <x:c r="D1612" s="17" t="d">
        <x:v>2026-06-09T00:00:00.000Z</x:v>
      </x:c>
      <x:c r="E1612" s="17" t="d">
        <x:v>2026-06-05T00:00:00.000Z</x:v>
      </x:c>
      <x:c r="F1612" s="4" t="str">
        <x:v>Planificación de Viaje</x:v>
      </x:c>
      <x:c r="G1612" s="11" t="n">
        <x:v>1014</x:v>
      </x:c>
      <x:c r="H1612" s="11" t="n">
        <x:v>200</x:v>
      </x:c>
      <x:c r="I1612" s="11" t="n">
        <x:v>1</x:v>
      </x:c>
      <x:c r="J1612" s="4" t="str">
        <x:v>https://blog.skyairline.com/que-hacer-en-buenos-aires/</x:v>
      </x:c>
      <x:c r="K1612" s="16" t="b">
        <x:v>0</x:v>
      </x:c>
      <x:c r="L1612" s="11" t="n">
        <x:v>0</x:v>
      </x:c>
      <x:c r="M1612" s="11" t="n">
        <x:v>0</x:v>
      </x:c>
      <x:c r="N1612" s="4"/>
      <x:c r="O1612" s="4"/>
      <x:c r="P1612" s="11" t="n">
        <x:v>0</x:v>
      </x:c>
      <x:c r="Q1612" s="11" t="n">
        <x:v>0</x:v>
      </x:c>
      <x:c r="R1612" s="11" t="str">
        <x:f>IF(OR(P1612="",Q1612=""),"",Q1612-P1612)</x:f>
      </x:c>
      <x:c r="S1612" s="13" t="str">
        <x:f>IF(OR(P1612="",Q1612="",P1612=0),"",((Q1612/30)/(P1612/31))-1)</x:f>
      </x:c>
      <x:c r="T1612" s="11" t="n">
        <x:v>12</x:v>
      </x:c>
      <x:c r="U1612" s="11" t="n">
        <x:v>6</x:v>
      </x:c>
      <x:c r="V1612" s="14" t="n">
        <x:v>0</x:v>
      </x:c>
      <x:c r="W1612" s="12" t="n">
        <x:v>6.333333333333333</x:v>
      </x:c>
      <x:c r="X1612" s="11" t="n">
        <x:v>1</x:v>
      </x:c>
      <x:c r="Y1612" s="11" t="n">
        <x:v>2</x:v>
      </x:c>
      <x:c r="Z1612" s="4" t="str">
        <x:v>https://blog.skyairline.com/que-hacer-en-buenos-aires/</x:v>
      </x:c>
      <x:c r="AA1612" s="4" t="str">
        <x:v>https://blog.skyairline.com/que-hacer-en-buenos-aires/</x:v>
      </x:c>
      <x:c r="AB1612" s="4" t="str">
        <x:v>Coincidencia URL</x:v>
      </x:c>
      <x:c r="AC1612" s="4" t="str">
        <x:v>Publicado hasta septiembre</x:v>
      </x:c>
      <x:c r="AD1612" s="4" t="str">
        <x:v>/que-hacer-en-buenos-aires/</x:v>
      </x:c>
      <x:c r="AE1612" s="4"/>
      <x:c r="AF1612" s="16" t="b">
        <x:v>0</x:v>
      </x:c>
    </x:row>
    <x:row r="1613" ht="44" customHeight="1">
      <x:c r="A1613" s="4" t="n">
        <x:v>8863</x:v>
      </x:c>
      <x:c r="B1613" s="4" t="str">
        <x:v>https://blog.skyairline.com/feriados-largos/</x:v>
      </x:c>
      <x:c r="C1613" s="9" t="str">
        <x:v>Ideas para aprovechar los feriados largos viajando</x:v>
      </x:c>
      <x:c r="D1613" s="17" t="d">
        <x:v>2026-06-09T00:00:00.000Z</x:v>
      </x:c>
      <x:c r="E1613" s="17" t="d">
        <x:v>2026-06-05T00:00:00.000Z</x:v>
      </x:c>
      <x:c r="F1613" s="4" t="str">
        <x:v>Planificación de Viaje</x:v>
      </x:c>
      <x:c r="G1613" s="11" t="n">
        <x:v>986</x:v>
      </x:c>
      <x:c r="H1613" s="11" t="n">
        <x:v>200</x:v>
      </x:c>
      <x:c r="I1613" s="11" t="n">
        <x:v>1</x:v>
      </x:c>
      <x:c r="J1613" s="4" t="str">
        <x:v>https://blog.skyairline.com/feriados-largos/</x:v>
      </x:c>
      <x:c r="K1613" s="16" t="b">
        <x:v>0</x:v>
      </x:c>
      <x:c r="L1613" s="11" t="n">
        <x:v>0</x:v>
      </x:c>
      <x:c r="M1613" s="11" t="n">
        <x:v>0</x:v>
      </x:c>
      <x:c r="N1613" s="4"/>
      <x:c r="O1613" s="4"/>
      <x:c r="P1613" s="11" t="n">
        <x:v>0</x:v>
      </x:c>
      <x:c r="Q1613" s="11" t="n">
        <x:v>0</x:v>
      </x:c>
      <x:c r="R1613" s="11" t="str">
        <x:f>IF(OR(P1613="",Q1613=""),"",Q1613-P1613)</x:f>
      </x:c>
      <x:c r="S1613" s="13" t="str">
        <x:f>IF(OR(P1613="",Q1613="",P1613=0),"",((Q1613/30)/(P1613/31))-1)</x:f>
      </x:c>
      <x:c r="T1613" s="11" t="n">
        <x:v>10</x:v>
      </x:c>
      <x:c r="U1613" s="11" t="n">
        <x:v>13</x:v>
      </x:c>
      <x:c r="V1613" s="14" t="n">
        <x:v>0</x:v>
      </x:c>
      <x:c r="W1613" s="12" t="n">
        <x:v>3.3846153846153846</x:v>
      </x:c>
      <x:c r="X1613" s="11"/>
      <x:c r="Y1613" s="11"/>
      <x:c r="Z1613" s="4" t="str">
        <x:v>https://blog.skyairline.com/feriados-largos/</x:v>
      </x:c>
      <x:c r="AA1613" s="4" t="str">
        <x:v>https://blog.skyairline.com/feriados-largos/</x:v>
      </x:c>
      <x:c r="AB1613" s="4" t="str">
        <x:v>Coincidencia URL</x:v>
      </x:c>
      <x:c r="AC1613" s="4" t="str">
        <x:v>Publicado hasta septiembre</x:v>
      </x:c>
      <x:c r="AD1613" s="4"/>
      <x:c r="AE1613" s="4"/>
      <x:c r="AF1613" s="16" t="b">
        <x:v>0</x:v>
      </x:c>
    </x:row>
    <x:row r="1614" ht="44" customHeight="1">
      <x:c r="A1614" s="4" t="n">
        <x:v>8867</x:v>
      </x:c>
      <x:c r="B1614" s="4" t="str">
        <x:v>https://blog.skyairline.com/que-hacer-tarapoto/</x:v>
      </x:c>
      <x:c r="C1614" s="9" t="str">
        <x:v>Qué hacer en Tarapoto: naturaleza y chocolates</x:v>
      </x:c>
      <x:c r="D1614" s="17" t="d">
        <x:v>2026-06-10T00:00:00.000Z</x:v>
      </x:c>
      <x:c r="E1614" s="17" t="d">
        <x:v>2026-06-08T00:00:00.000Z</x:v>
      </x:c>
      <x:c r="F1614" s="4" t="str">
        <x:v>Planificación de Viaje</x:v>
      </x:c>
      <x:c r="G1614" s="11" t="n">
        <x:v>1025</x:v>
      </x:c>
      <x:c r="H1614" s="11" t="n">
        <x:v>200</x:v>
      </x:c>
      <x:c r="I1614" s="11" t="n">
        <x:v>1</x:v>
      </x:c>
      <x:c r="J1614" s="4" t="str">
        <x:v>https://blog.skyairline.com/que-hacer-tarapoto/</x:v>
      </x:c>
      <x:c r="K1614" s="16" t="b">
        <x:v>0</x:v>
      </x:c>
      <x:c r="L1614" s="11" t="n">
        <x:v>0</x:v>
      </x:c>
      <x:c r="M1614" s="11" t="n">
        <x:v>0</x:v>
      </x:c>
      <x:c r="N1614" s="4"/>
      <x:c r="O1614" s="4"/>
      <x:c r="P1614" s="11" t="n">
        <x:v>0</x:v>
      </x:c>
      <x:c r="Q1614" s="11" t="n">
        <x:v>0</x:v>
      </x:c>
      <x:c r="R1614" s="11" t="str">
        <x:f>IF(OR(P1614="",Q1614=""),"",Q1614-P1614)</x:f>
      </x:c>
      <x:c r="S1614" s="13" t="str">
        <x:f>IF(OR(P1614="",Q1614="",P1614=0),"",((Q1614/30)/(P1614/31))-1)</x:f>
      </x:c>
      <x:c r="T1614" s="11" t="n">
        <x:v>502</x:v>
      </x:c>
      <x:c r="U1614" s="11" t="n">
        <x:v>55</x:v>
      </x:c>
      <x:c r="V1614" s="14" t="n">
        <x:v>0</x:v>
      </x:c>
      <x:c r="W1614" s="12" t="n">
        <x:v>23.454545454545453</x:v>
      </x:c>
      <x:c r="X1614" s="11" t="n">
        <x:v>2</x:v>
      </x:c>
      <x:c r="Y1614" s="11" t="n">
        <x:v>1</x:v>
      </x:c>
      <x:c r="Z1614" s="4" t="str">
        <x:v>https://blog.skyairline.com/que-hacer-tarapoto/</x:v>
      </x:c>
      <x:c r="AA1614" s="4" t="str">
        <x:v>https://blog.skyairline.com/que-hacer-tarapoto/</x:v>
      </x:c>
      <x:c r="AB1614" s="4" t="str">
        <x:v>Coincidencia URL</x:v>
      </x:c>
      <x:c r="AC1614" s="4" t="str">
        <x:v>Publicado hasta septiembre</x:v>
      </x:c>
      <x:c r="AD1614" s="4" t="str">
        <x:v>/que-hacer-tarapoto/</x:v>
      </x:c>
      <x:c r="AE1614" s="4"/>
      <x:c r="AF1614" s="16" t="b">
        <x:v>0</x:v>
      </x:c>
    </x:row>
    <x:row r="1615" ht="44" customHeight="1">
      <x:c r="A1615" s="4" t="n">
        <x:v>8874</x:v>
      </x:c>
      <x:c r="B1615" s="4" t="str">
        <x:v>https://blog.skyairline.com/tango-porteno/</x:v>
      </x:c>
      <x:c r="C1615" s="9" t="str">
        <x:v>Tango Porteño, dónde vivir esta experiencia en tu viaje a Buenos Aires</x:v>
      </x:c>
      <x:c r="D1615" s="17" t="d">
        <x:v>2026-06-15T00:00:00.000Z</x:v>
      </x:c>
      <x:c r="E1615" s="17" t="d">
        <x:v>2026-06-05T00:00:00.000Z</x:v>
      </x:c>
      <x:c r="F1615" s="4" t="str">
        <x:v>Cultura</x:v>
      </x:c>
      <x:c r="G1615" s="11" t="n">
        <x:v>998</x:v>
      </x:c>
      <x:c r="H1615" s="11" t="n">
        <x:v>200</x:v>
      </x:c>
      <x:c r="I1615" s="11" t="n">
        <x:v>1</x:v>
      </x:c>
      <x:c r="J1615" s="4" t="str">
        <x:v>https://blog.skyairline.com/tango-porteno/</x:v>
      </x:c>
      <x:c r="K1615" s="16" t="b">
        <x:v>0</x:v>
      </x:c>
      <x:c r="L1615" s="11" t="n">
        <x:v>0</x:v>
      </x:c>
      <x:c r="M1615" s="11" t="n">
        <x:v>0</x:v>
      </x:c>
      <x:c r="N1615" s="4"/>
      <x:c r="O1615" s="4"/>
      <x:c r="P1615" s="11" t="n">
        <x:v>0</x:v>
      </x:c>
      <x:c r="Q1615" s="11" t="n">
        <x:v>0</x:v>
      </x:c>
      <x:c r="R1615" s="11" t="str">
        <x:f>IF(OR(P1615="",Q1615=""),"",Q1615-P1615)</x:f>
      </x:c>
      <x:c r="S1615" s="13" t="str">
        <x:f>IF(OR(P1615="",Q1615="",P1615=0),"",((Q1615/30)/(P1615/31))-1)</x:f>
      </x:c>
      <x:c r="T1615" s="11" t="n">
        <x:v>75</x:v>
      </x:c>
      <x:c r="U1615" s="11" t="n">
        <x:v>88</x:v>
      </x:c>
      <x:c r="V1615" s="14" t="n">
        <x:v>0</x:v>
      </x:c>
      <x:c r="W1615" s="12" t="n">
        <x:v>9.352272727272727</x:v>
      </x:c>
      <x:c r="X1615" s="11"/>
      <x:c r="Y1615" s="11"/>
      <x:c r="Z1615" s="4" t="str">
        <x:v>https://blog.skyairline.com/tango-porteno/</x:v>
      </x:c>
      <x:c r="AA1615" s="4" t="str">
        <x:v>https://blog.skyairline.com/tango-porteno/</x:v>
      </x:c>
      <x:c r="AB1615" s="4" t="str">
        <x:v>Coincidencia URL</x:v>
      </x:c>
      <x:c r="AC1615" s="4" t="str">
        <x:v>Publicado hasta septiembre</x:v>
      </x:c>
      <x:c r="AD1615" s="4"/>
      <x:c r="AE1615" s="4"/>
      <x:c r="AF1615" s="16" t="b">
        <x:v>0</x:v>
      </x:c>
    </x:row>
    <x:row r="1616" ht="44" customHeight="1">
      <x:c r="A1616" s="4" t="n">
        <x:v>8875</x:v>
      </x:c>
      <x:c r="B1616" s="4" t="str">
        <x:v>https://blog.skyairline.com/huanchaco/</x:v>
      </x:c>
      <x:c r="C1616" s="9" t="str">
        <x:v>Huanchaco: surf y artesanías a 15 minutos de Trujillo</x:v>
      </x:c>
      <x:c r="D1616" s="17" t="d">
        <x:v>2026-06-14T00:00:00.000Z</x:v>
      </x:c>
      <x:c r="E1616" s="17" t="d">
        <x:v>2026-06-05T00:00:00.000Z</x:v>
      </x:c>
      <x:c r="F1616" s="4" t="str">
        <x:v>Destinos</x:v>
      </x:c>
      <x:c r="G1616" s="11" t="n">
        <x:v>1017</x:v>
      </x:c>
      <x:c r="H1616" s="11" t="n">
        <x:v>200</x:v>
      </x:c>
      <x:c r="I1616" s="11" t="n">
        <x:v>1</x:v>
      </x:c>
      <x:c r="J1616" s="4" t="str">
        <x:v>https://blog.skyairline.com/huanchaco/</x:v>
      </x:c>
      <x:c r="K1616" s="16" t="b">
        <x:v>0</x:v>
      </x:c>
      <x:c r="L1616" s="11" t="n">
        <x:v>0</x:v>
      </x:c>
      <x:c r="M1616" s="11" t="n">
        <x:v>0</x:v>
      </x:c>
      <x:c r="N1616" s="4"/>
      <x:c r="O1616" s="4"/>
      <x:c r="P1616" s="11" t="n">
        <x:v>2</x:v>
      </x:c>
      <x:c r="Q1616" s="11" t="n">
        <x:v>0</x:v>
      </x:c>
      <x:c r="R1616" s="11" t="str">
        <x:f>IF(OR(P1616="",Q1616=""),"",Q1616-P1616)</x:f>
      </x:c>
      <x:c r="S1616" s="13" t="str">
        <x:f>IF(OR(P1616="",Q1616="",P1616=0),"",((Q1616/30)/(P1616/31))-1)</x:f>
      </x:c>
      <x:c r="T1616" s="11" t="n">
        <x:v>101</x:v>
      </x:c>
      <x:c r="U1616" s="11" t="n">
        <x:v>75</x:v>
      </x:c>
      <x:c r="V1616" s="14" t="n">
        <x:v>0</x:v>
      </x:c>
      <x:c r="W1616" s="12" t="n">
        <x:v>8.906666666666666</x:v>
      </x:c>
      <x:c r="X1616" s="11"/>
      <x:c r="Y1616" s="11"/>
      <x:c r="Z1616" s="4" t="str">
        <x:v>https://blog.skyairline.com/huanchaco/</x:v>
      </x:c>
      <x:c r="AA1616" s="4" t="str">
        <x:v>https://blog.skyairline.com/huanchaco/</x:v>
      </x:c>
      <x:c r="AB1616" s="4" t="str">
        <x:v>Coincidencia URL</x:v>
      </x:c>
      <x:c r="AC1616" s="4" t="str">
        <x:v>Publicado hasta septiembre</x:v>
      </x:c>
      <x:c r="AD1616" s="4"/>
      <x:c r="AE1616" s="4"/>
      <x:c r="AF1616" s="16" t="b">
        <x:v>0</x:v>
      </x:c>
    </x:row>
    <x:row r="1617" ht="44" customHeight="1">
      <x:c r="A1617" s="4" t="n">
        <x:v>8876</x:v>
      </x:c>
      <x:c r="B1617" s="4" t="str">
        <x:v>https://blog.skyairline.com/laguna-humantay/</x:v>
      </x:c>
      <x:c r="C1617" s="9" t="str">
        <x:v>Trekking en la Laguna Humantay</x:v>
      </x:c>
      <x:c r="D1617" s="17" t="d">
        <x:v>2026-06-13T00:00:00.000Z</x:v>
      </x:c>
      <x:c r="E1617" s="17" t="d">
        <x:v>2026-06-05T00:00:00.000Z</x:v>
      </x:c>
      <x:c r="F1617" s="4" t="str">
        <x:v>Destinos</x:v>
      </x:c>
      <x:c r="G1617" s="11" t="n">
        <x:v>1017</x:v>
      </x:c>
      <x:c r="H1617" s="11" t="n">
        <x:v>200</x:v>
      </x:c>
      <x:c r="I1617" s="11" t="n">
        <x:v>1</x:v>
      </x:c>
      <x:c r="J1617" s="4" t="str">
        <x:v>https://blog.skyairline.com/laguna-humantay/</x:v>
      </x:c>
      <x:c r="K1617" s="16" t="b">
        <x:v>0</x:v>
      </x:c>
      <x:c r="L1617" s="11" t="n">
        <x:v>0</x:v>
      </x:c>
      <x:c r="M1617" s="11" t="n">
        <x:v>0</x:v>
      </x:c>
      <x:c r="N1617" s="4"/>
      <x:c r="O1617" s="4"/>
      <x:c r="P1617" s="11" t="n">
        <x:v>0</x:v>
      </x:c>
      <x:c r="Q1617" s="11" t="n">
        <x:v>0</x:v>
      </x:c>
      <x:c r="R1617" s="11" t="str">
        <x:f>IF(OR(P1617="",Q1617=""),"",Q1617-P1617)</x:f>
      </x:c>
      <x:c r="S1617" s="13" t="str">
        <x:f>IF(OR(P1617="",Q1617="",P1617=0),"",((Q1617/30)/(P1617/31))-1)</x:f>
      </x:c>
      <x:c r="T1617" s="11" t="n">
        <x:v>49</x:v>
      </x:c>
      <x:c r="U1617" s="11" t="n">
        <x:v>21</x:v>
      </x:c>
      <x:c r="V1617" s="14" t="n">
        <x:v>0</x:v>
      </x:c>
      <x:c r="W1617" s="12" t="n">
        <x:v>13.666666666666666</x:v>
      </x:c>
      <x:c r="X1617" s="11"/>
      <x:c r="Y1617" s="11"/>
      <x:c r="Z1617" s="4" t="str">
        <x:v>https://blog.skyairline.com/laguna-humantay/</x:v>
      </x:c>
      <x:c r="AA1617" s="4" t="str">
        <x:v>https://blog.skyairline.com/laguna-humantay/</x:v>
      </x:c>
      <x:c r="AB1617" s="4" t="str">
        <x:v>Coincidencia URL</x:v>
      </x:c>
      <x:c r="AC1617" s="4" t="str">
        <x:v>Publicado hasta septiembre</x:v>
      </x:c>
      <x:c r="AD1617" s="4"/>
      <x:c r="AE1617" s="4"/>
      <x:c r="AF1617" s="16" t="b">
        <x:v>0</x:v>
      </x:c>
    </x:row>
    <x:row r="1618" ht="44" customHeight="1">
      <x:c r="A1618" s="4" t="n">
        <x:v>8877</x:v>
      </x:c>
      <x:c r="B1618" s="4" t="str">
        <x:v>https://blog.skyairline.com/feriados-largos-2/</x:v>
      </x:c>
      <x:c r="C1618" s="9" t="str">
        <x:v>5 ideas para aprovechar los feriados largos</x:v>
      </x:c>
      <x:c r="D1618" s="17" t="d">
        <x:v>2026-06-12T00:00:00.000Z</x:v>
      </x:c>
      <x:c r="E1618" s="17" t="d">
        <x:v>2026-06-05T00:00:00.000Z</x:v>
      </x:c>
      <x:c r="F1618" s="4" t="str">
        <x:v>Planificación de Viaje</x:v>
      </x:c>
      <x:c r="G1618" s="11" t="n">
        <x:v>1040</x:v>
      </x:c>
      <x:c r="H1618" s="11" t="n">
        <x:v>200</x:v>
      </x:c>
      <x:c r="I1618" s="11" t="n">
        <x:v>1</x:v>
      </x:c>
      <x:c r="J1618" s="4" t="str">
        <x:v>https://blog.skyairline.com/feriados-largos-2/</x:v>
      </x:c>
      <x:c r="K1618" s="16" t="b">
        <x:v>0</x:v>
      </x:c>
      <x:c r="L1618" s="11" t="n">
        <x:v>0</x:v>
      </x:c>
      <x:c r="M1618" s="11" t="n">
        <x:v>0</x:v>
      </x:c>
      <x:c r="N1618" s="4"/>
      <x:c r="O1618" s="4"/>
      <x:c r="P1618" s="11" t="n">
        <x:v>0</x:v>
      </x:c>
      <x:c r="Q1618" s="11" t="n">
        <x:v>0</x:v>
      </x:c>
      <x:c r="R1618" s="11" t="str">
        <x:f>IF(OR(P1618="",Q1618=""),"",Q1618-P1618)</x:f>
      </x:c>
      <x:c r="S1618" s="13" t="str">
        <x:f>IF(OR(P1618="",Q1618="",P1618=0),"",((Q1618/30)/(P1618/31))-1)</x:f>
      </x:c>
      <x:c r="T1618" s="11" t="n">
        <x:v>35</x:v>
      </x:c>
      <x:c r="U1618" s="11" t="n">
        <x:v>21</x:v>
      </x:c>
      <x:c r="V1618" s="14" t="n">
        <x:v>0</x:v>
      </x:c>
      <x:c r="W1618" s="12" t="n">
        <x:v>5.333333333333333</x:v>
      </x:c>
      <x:c r="X1618" s="11"/>
      <x:c r="Y1618" s="11"/>
      <x:c r="Z1618" s="4" t="str">
        <x:v>https://blog.skyairline.com/feriados-largos-2/</x:v>
      </x:c>
      <x:c r="AA1618" s="4" t="str">
        <x:v>https://blog.skyairline.com/feriados-largos-2/</x:v>
      </x:c>
      <x:c r="AB1618" s="4" t="str">
        <x:v>Coincidencia URL</x:v>
      </x:c>
      <x:c r="AC1618" s="4" t="str">
        <x:v>Publicado hasta septiembre</x:v>
      </x:c>
      <x:c r="AD1618" s="4"/>
      <x:c r="AE1618" s="4"/>
      <x:c r="AF1618" s="16" t="b">
        <x:v>0</x:v>
      </x:c>
    </x:row>
    <x:row r="1619" ht="44" customHeight="1">
      <x:c r="A1619" s="4" t="n">
        <x:v>8923</x:v>
      </x:c>
      <x:c r="B1619" s="4" t="str">
        <x:v>https://blog.skyairline.com/dunas-de-concon/</x:v>
      </x:c>
      <x:c r="C1619" s="9" t="str">
        <x:v>Dunas de Concón: Deportes, atardeceres y naturaleza</x:v>
      </x:c>
      <x:c r="D1619" s="17" t="d">
        <x:v>2026-06-17T00:00:00.000Z</x:v>
      </x:c>
      <x:c r="E1619" s="17" t="d">
        <x:v>2026-06-16T00:00:00.000Z</x:v>
      </x:c>
      <x:c r="F1619" s="4" t="str">
        <x:v>Destinos</x:v>
      </x:c>
      <x:c r="G1619" s="11" t="n">
        <x:v>1135</x:v>
      </x:c>
      <x:c r="H1619" s="11" t="n">
        <x:v>200</x:v>
      </x:c>
      <x:c r="I1619" s="11" t="n">
        <x:v>1</x:v>
      </x:c>
      <x:c r="J1619" s="4" t="str">
        <x:v>https://blog.skyairline.com/dunas-de-concon/</x:v>
      </x:c>
      <x:c r="K1619" s="16" t="b">
        <x:v>0</x:v>
      </x:c>
      <x:c r="L1619" s="11" t="n">
        <x:v>0</x:v>
      </x:c>
      <x:c r="M1619" s="11" t="n">
        <x:v>0</x:v>
      </x:c>
      <x:c r="N1619" s="4"/>
      <x:c r="O1619" s="4"/>
      <x:c r="P1619" s="11" t="n">
        <x:v>2</x:v>
      </x:c>
      <x:c r="Q1619" s="11" t="n">
        <x:v>0</x:v>
      </x:c>
      <x:c r="R1619" s="11" t="str">
        <x:f>IF(OR(P1619="",Q1619=""),"",Q1619-P1619)</x:f>
      </x:c>
      <x:c r="S1619" s="13" t="str">
        <x:f>IF(OR(P1619="",Q1619="",P1619=0),"",((Q1619/30)/(P1619/31))-1)</x:f>
      </x:c>
      <x:c r="T1619" s="11" t="n">
        <x:v>329</x:v>
      </x:c>
      <x:c r="U1619" s="11" t="n">
        <x:v>347</x:v>
      </x:c>
      <x:c r="V1619" s="14" t="n">
        <x:v>0</x:v>
      </x:c>
      <x:c r="W1619" s="12" t="n">
        <x:v>9.959654178674352</x:v>
      </x:c>
      <x:c r="X1619" s="11"/>
      <x:c r="Y1619" s="11"/>
      <x:c r="Z1619" s="4" t="str">
        <x:v>https://blog.skyairline.com/dunas-de-concon/</x:v>
      </x:c>
      <x:c r="AA1619" s="4" t="str">
        <x:v>https://blog.skyairline.com/dunas-de-concon/</x:v>
      </x:c>
      <x:c r="AB1619" s="4" t="str">
        <x:v>Coincidencia URL</x:v>
      </x:c>
      <x:c r="AC1619" s="4" t="str">
        <x:v>Publicado hasta septiembre</x:v>
      </x:c>
      <x:c r="AD1619" s="4"/>
      <x:c r="AE1619" s="4"/>
      <x:c r="AF1619" s="16" t="b">
        <x:v>0</x:v>
      </x:c>
    </x:row>
    <x:row r="1620" ht="44" customHeight="1">
      <x:c r="A1620" s="4" t="n">
        <x:v>8932</x:v>
      </x:c>
      <x:c r="B1620" s="4" t="str">
        <x:v>https://blog.skyairline.com/pasajes-miami/</x:v>
      </x:c>
      <x:c r="C1620" s="9" t="str">
        <x:v>Pasajes a Miami, un destino de lujo a 6 horas de Lima</x:v>
      </x:c>
      <x:c r="D1620" s="17" t="d">
        <x:v>2026-06-20T00:00:00.000Z</x:v>
      </x:c>
      <x:c r="E1620" s="17" t="d">
        <x:v>2026-06-17T00:00:00.000Z</x:v>
      </x:c>
      <x:c r="F1620" s="4" t="str">
        <x:v>Planificación de Viaje</x:v>
      </x:c>
      <x:c r="G1620" s="11" t="n">
        <x:v>1005</x:v>
      </x:c>
      <x:c r="H1620" s="11" t="n">
        <x:v>200</x:v>
      </x:c>
      <x:c r="I1620" s="11" t="n">
        <x:v>1</x:v>
      </x:c>
      <x:c r="J1620" s="4" t="str">
        <x:v>https://blog.skyairline.com/pasajes-miami/</x:v>
      </x:c>
      <x:c r="K1620" s="16" t="b">
        <x:v>0</x:v>
      </x:c>
      <x:c r="L1620" s="11" t="n">
        <x:v>0</x:v>
      </x:c>
      <x:c r="M1620" s="11" t="n">
        <x:v>0</x:v>
      </x:c>
      <x:c r="N1620" s="4"/>
      <x:c r="O1620" s="4"/>
      <x:c r="P1620" s="11" t="n">
        <x:v>0</x:v>
      </x:c>
      <x:c r="Q1620" s="11" t="n">
        <x:v>0</x:v>
      </x:c>
      <x:c r="R1620" s="11" t="str">
        <x:f>IF(OR(P1620="",Q1620=""),"",Q1620-P1620)</x:f>
      </x:c>
      <x:c r="S1620" s="13" t="str">
        <x:f>IF(OR(P1620="",Q1620="",P1620=0),"",((Q1620/30)/(P1620/31))-1)</x:f>
      </x:c>
      <x:c r="T1620" s="11" t="n">
        <x:v>122</x:v>
      </x:c>
      <x:c r="U1620" s="11" t="n">
        <x:v>127</x:v>
      </x:c>
      <x:c r="V1620" s="14" t="n">
        <x:v>0</x:v>
      </x:c>
      <x:c r="W1620" s="12" t="n">
        <x:v>8.566929133858267</x:v>
      </x:c>
      <x:c r="X1620" s="11" t="n">
        <x:v>2</x:v>
      </x:c>
      <x:c r="Y1620" s="11" t="n">
        <x:v>2</x:v>
      </x:c>
      <x:c r="Z1620" s="4" t="str">
        <x:v>https://blog.skyairline.com/pasajes-miami/</x:v>
      </x:c>
      <x:c r="AA1620" s="4" t="str">
        <x:v>https://blog.skyairline.com/pasajes-miami/</x:v>
      </x:c>
      <x:c r="AB1620" s="4" t="str">
        <x:v>Coincidencia URL</x:v>
      </x:c>
      <x:c r="AC1620" s="4" t="str">
        <x:v>Publicado hasta septiembre</x:v>
      </x:c>
      <x:c r="AD1620" s="4" t="str">
        <x:v>/pasajes-miami/</x:v>
      </x:c>
      <x:c r="AE1620" s="4"/>
      <x:c r="AF1620" s="16" t="b">
        <x:v>0</x:v>
      </x:c>
    </x:row>
    <x:row r="1621" ht="44" customHeight="1">
      <x:c r="A1621" s="4" t="n">
        <x:v>8933</x:v>
      </x:c>
      <x:c r="B1621" s="4" t="str">
        <x:v>https://blog.skyairline.com/que-visitar-montevideo/</x:v>
      </x:c>
      <x:c r="C1621" s="9" t="str">
        <x:v>¿Qué visitar en Montevideo? 5 excelentes ideas para tu viaje</x:v>
      </x:c>
      <x:c r="D1621" s="17" t="d">
        <x:v>2026-06-21T00:00:00.000Z</x:v>
      </x:c>
      <x:c r="E1621" s="17" t="d">
        <x:v>2026-06-17T00:00:00.000Z</x:v>
      </x:c>
      <x:c r="F1621" s="4" t="str">
        <x:v>Planificación de Viaje</x:v>
      </x:c>
      <x:c r="G1621" s="11" t="n">
        <x:v>1014</x:v>
      </x:c>
      <x:c r="H1621" s="11" t="n">
        <x:v>200</x:v>
      </x:c>
      <x:c r="I1621" s="11" t="n">
        <x:v>1</x:v>
      </x:c>
      <x:c r="J1621" s="4" t="str">
        <x:v>https://blog.skyairline.com/que-visitar-montevideo/</x:v>
      </x:c>
      <x:c r="K1621" s="16" t="b">
        <x:v>0</x:v>
      </x:c>
      <x:c r="L1621" s="11" t="n">
        <x:v>0</x:v>
      </x:c>
      <x:c r="M1621" s="11" t="n">
        <x:v>0</x:v>
      </x:c>
      <x:c r="N1621" s="4"/>
      <x:c r="O1621" s="4"/>
      <x:c r="P1621" s="11" t="n">
        <x:v>0</x:v>
      </x:c>
      <x:c r="Q1621" s="11" t="n">
        <x:v>0</x:v>
      </x:c>
      <x:c r="R1621" s="11" t="str">
        <x:f>IF(OR(P1621="",Q1621=""),"",Q1621-P1621)</x:f>
      </x:c>
      <x:c r="S1621" s="13" t="str">
        <x:f>IF(OR(P1621="",Q1621="",P1621=0),"",((Q1621/30)/(P1621/31))-1)</x:f>
      </x:c>
      <x:c r="T1621" s="11" t="n">
        <x:v>26</x:v>
      </x:c>
      <x:c r="U1621" s="11" t="n">
        <x:v>15</x:v>
      </x:c>
      <x:c r="V1621" s="14" t="n">
        <x:v>0</x:v>
      </x:c>
      <x:c r="W1621" s="12" t="n">
        <x:v>9.266666666666667</x:v>
      </x:c>
      <x:c r="X1621" s="11" t="n">
        <x:v>1</x:v>
      </x:c>
      <x:c r="Y1621" s="11" t="n">
        <x:v>1</x:v>
      </x:c>
      <x:c r="Z1621" s="4" t="str">
        <x:v>https://blog.skyairline.com/que-visitar-montevideo/</x:v>
      </x:c>
      <x:c r="AA1621" s="4" t="str">
        <x:v>https://blog.skyairline.com/que-visitar-montevideo/</x:v>
      </x:c>
      <x:c r="AB1621" s="4" t="str">
        <x:v>Coincidencia URL</x:v>
      </x:c>
      <x:c r="AC1621" s="4" t="str">
        <x:v>Publicado hasta septiembre</x:v>
      </x:c>
      <x:c r="AD1621" s="4" t="str">
        <x:v>/que-visitar-montevideo/</x:v>
      </x:c>
      <x:c r="AE1621" s="4"/>
      <x:c r="AF1621" s="16" t="b">
        <x:v>0</x:v>
      </x:c>
    </x:row>
    <x:row r="1622" ht="44" customHeight="1">
      <x:c r="A1622" s="4" t="n">
        <x:v>8934</x:v>
      </x:c>
      <x:c r="B1622" s="4" t="str">
        <x:v>https://blog.skyairline.com/pasajes-montevideo/</x:v>
      </x:c>
      <x:c r="C1622" s="9" t="str">
        <x:v>Pasajes a Montevideo: Vuelos directos desde Santiago</x:v>
      </x:c>
      <x:c r="D1622" s="17" t="d">
        <x:v>2026-06-22T00:00:00.000Z</x:v>
      </x:c>
      <x:c r="E1622" s="17" t="d">
        <x:v>2026-06-17T00:00:00.000Z</x:v>
      </x:c>
      <x:c r="F1622" s="4" t="str">
        <x:v>Uncategorized</x:v>
      </x:c>
      <x:c r="G1622" s="11" t="n">
        <x:v>971</x:v>
      </x:c>
      <x:c r="H1622" s="11" t="n">
        <x:v>200</x:v>
      </x:c>
      <x:c r="I1622" s="11" t="n">
        <x:v>1</x:v>
      </x:c>
      <x:c r="J1622" s="4" t="str">
        <x:v>https://blog.skyairline.com/pasajes-montevideo/</x:v>
      </x:c>
      <x:c r="K1622" s="16" t="b">
        <x:v>0</x:v>
      </x:c>
      <x:c r="L1622" s="11" t="n">
        <x:v>0</x:v>
      </x:c>
      <x:c r="M1622" s="11" t="n">
        <x:v>0</x:v>
      </x:c>
      <x:c r="N1622" s="4"/>
      <x:c r="O1622" s="4"/>
      <x:c r="P1622" s="11" t="n">
        <x:v>0</x:v>
      </x:c>
      <x:c r="Q1622" s="11" t="n">
        <x:v>0</x:v>
      </x:c>
      <x:c r="R1622" s="11" t="str">
        <x:f>IF(OR(P1622="",Q1622=""),"",Q1622-P1622)</x:f>
      </x:c>
      <x:c r="S1622" s="13" t="str">
        <x:f>IF(OR(P1622="",Q1622="",P1622=0),"",((Q1622/30)/(P1622/31))-1)</x:f>
      </x:c>
      <x:c r="T1622" s="11" t="n">
        <x:v>470</x:v>
      </x:c>
      <x:c r="U1622" s="11" t="n">
        <x:v>1014</x:v>
      </x:c>
      <x:c r="V1622" s="14" t="n">
        <x:v>0</x:v>
      </x:c>
      <x:c r="W1622" s="12" t="n">
        <x:v>8.396449704142011</x:v>
      </x:c>
      <x:c r="X1622" s="11"/>
      <x:c r="Y1622" s="11"/>
      <x:c r="Z1622" s="4" t="str">
        <x:v>https://blog.skyairline.com/pasajes-montevideo/</x:v>
      </x:c>
      <x:c r="AA1622" s="4" t="str">
        <x:v>https://blog.skyairline.com/pasajes-montevideo/</x:v>
      </x:c>
      <x:c r="AB1622" s="4" t="str">
        <x:v>Coincidencia URL</x:v>
      </x:c>
      <x:c r="AC1622" s="4" t="str">
        <x:v>Publicado hasta septiembre</x:v>
      </x:c>
      <x:c r="AD1622" s="4"/>
      <x:c r="AE1622" s="4"/>
      <x:c r="AF1622" s="16" t="b">
        <x:v>0</x:v>
      </x:c>
    </x:row>
    <x:row r="1623" ht="44" customHeight="1">
      <x:c r="A1623" s="4" t="n">
        <x:v>8967</x:v>
      </x:c>
      <x:c r="B1623" s="4" t="str">
        <x:v>https://blog.skyairline.com/vuelos-a-chiclayo/</x:v>
      </x:c>
      <x:c r="C1623" s="9" t="str">
        <x:v>Vuelos a Chiclayo: Guía completa para tu viaje</x:v>
      </x:c>
      <x:c r="D1623" s="17" t="d">
        <x:v>2026-07-02T00:00:00.000Z</x:v>
      </x:c>
      <x:c r="E1623" s="17" t="d">
        <x:v>2026-07-02T00:00:00.000Z</x:v>
      </x:c>
      <x:c r="F1623" s="4" t="str">
        <x:v>Planificación de Viaje</x:v>
      </x:c>
      <x:c r="G1623" s="11" t="n">
        <x:v>1054</x:v>
      </x:c>
      <x:c r="H1623" s="11" t="n">
        <x:v>200</x:v>
      </x:c>
      <x:c r="I1623" s="11" t="n">
        <x:v>1</x:v>
      </x:c>
      <x:c r="J1623" s="4" t="str">
        <x:v>https://blog.skyairline.com/vuelos-a-chiclayo/</x:v>
      </x:c>
      <x:c r="K1623" s="16" t="b">
        <x:v>0</x:v>
      </x:c>
      <x:c r="L1623" s="11" t="n">
        <x:v>0</x:v>
      </x:c>
      <x:c r="M1623" s="11" t="n">
        <x:v>0</x:v>
      </x:c>
      <x:c r="N1623" s="4"/>
      <x:c r="O1623" s="4"/>
      <x:c r="P1623" s="11" t="n">
        <x:v>1</x:v>
      </x:c>
      <x:c r="Q1623" s="11" t="n">
        <x:v>0</x:v>
      </x:c>
      <x:c r="R1623" s="11" t="str">
        <x:f>IF(OR(P1623="",Q1623=""),"",Q1623-P1623)</x:f>
      </x:c>
      <x:c r="S1623" s="13" t="str">
        <x:f>IF(OR(P1623="",Q1623="",P1623=0),"",((Q1623/30)/(P1623/31))-1)</x:f>
      </x:c>
      <x:c r="T1623" s="11" t="n">
        <x:v>115</x:v>
      </x:c>
      <x:c r="U1623" s="11" t="n">
        <x:v>66</x:v>
      </x:c>
      <x:c r="V1623" s="14" t="n">
        <x:v>0</x:v>
      </x:c>
      <x:c r="W1623" s="12" t="n">
        <x:v>16.742424242424242</x:v>
      </x:c>
      <x:c r="X1623" s="11"/>
      <x:c r="Y1623" s="11"/>
      <x:c r="Z1623" s="4" t="str">
        <x:v>https://blog.skyairline.com/vuelos-a-chiclayo/</x:v>
      </x:c>
      <x:c r="AA1623" s="4" t="str">
        <x:v>https://blog.skyairline.com/vuelos-a-chiclayo/</x:v>
      </x:c>
      <x:c r="AB1623" s="4" t="str">
        <x:v>Coincidencia URL</x:v>
      </x:c>
      <x:c r="AC1623" s="4" t="str">
        <x:v>Publicado hasta septiembre</x:v>
      </x:c>
      <x:c r="AD1623" s="4"/>
      <x:c r="AE1623" s="4"/>
      <x:c r="AF1623" s="16" t="b">
        <x:v>0</x:v>
      </x:c>
    </x:row>
    <x:row r="1624" ht="44" customHeight="1">
      <x:c r="A1624" s="4" t="n">
        <x:v>8970</x:v>
      </x:c>
      <x:c r="B1624" s="4" t="str">
        <x:v>https://blog.skyairline.com/el-ateneo-grand-splendid/</x:v>
      </x:c>
      <x:c r="C1624" s="9" t="str">
        <x:v>Ateneo Grand Splendid: La librería que debes visitar en tu viaje a Buenos Aires</x:v>
      </x:c>
      <x:c r="D1624" s="17" t="d">
        <x:v>2026-09-03T00:00:00.000Z</x:v>
      </x:c>
      <x:c r="E1624" s="17" t="d">
        <x:v>2026-09-04T00:00:00.000Z</x:v>
      </x:c>
      <x:c r="F1624" s="4" t="str">
        <x:v>Destinos</x:v>
      </x:c>
      <x:c r="G1624" s="11" t="n">
        <x:v>972</x:v>
      </x:c>
      <x:c r="H1624" s="11" t="n">
        <x:v>200</x:v>
      </x:c>
      <x:c r="I1624" s="11" t="n">
        <x:v>1</x:v>
      </x:c>
      <x:c r="J1624" s="4" t="str">
        <x:v>https://blog.skyairline.com/el-ateneo-grand-splendid/</x:v>
      </x:c>
      <x:c r="K1624" s="16" t="b">
        <x:v>0</x:v>
      </x:c>
      <x:c r="L1624" s="11" t="n">
        <x:v>0</x:v>
      </x:c>
      <x:c r="M1624" s="11" t="n">
        <x:v>0</x:v>
      </x:c>
      <x:c r="N1624" s="4"/>
      <x:c r="O1624" s="4"/>
      <x:c r="P1624" s="11"/>
      <x:c r="Q1624" s="11" t="n">
        <x:v>0</x:v>
      </x:c>
      <x:c r="R1624" s="11" t="str">
        <x:f>IF(OR(P1624="",Q1624=""),"",Q1624-P1624)</x:f>
      </x:c>
      <x:c r="S1624" s="13" t="str">
        <x:f>IF(OR(P1624="",Q1624="",P1624=0),"",((Q1624/30)/(P1624/31))-1)</x:f>
      </x:c>
      <x:c r="T1624" s="11"/>
      <x:c r="U1624" s="11" t="n">
        <x:v>615</x:v>
      </x:c>
      <x:c r="V1624" s="14" t="n">
        <x:v>0</x:v>
      </x:c>
      <x:c r="W1624" s="12" t="n">
        <x:v>8.695934959349593</x:v>
      </x:c>
      <x:c r="X1624" s="11" t="n">
        <x:v>3</x:v>
      </x:c>
      <x:c r="Y1624" s="11" t="n">
        <x:v>3</x:v>
      </x:c>
      <x:c r="Z1624" s="4"/>
      <x:c r="AA1624" s="4" t="str">
        <x:v>https://blog.skyairline.com/el-ateneo-grand-splendid/</x:v>
      </x:c>
      <x:c r="AB1624" s="4" t="str">
        <x:v>Coincidencia URL</x:v>
      </x:c>
      <x:c r="AC1624" s="4" t="str">
        <x:v>Publicado hasta septiembre</x:v>
      </x:c>
      <x:c r="AD1624" s="4" t="str">
        <x:v>/el-ateneo-grand-splendid/</x:v>
      </x:c>
      <x:c r="AE1624" s="4"/>
      <x:c r="AF1624" s="16" t="b">
        <x:v>0</x:v>
      </x:c>
    </x:row>
    <x:row r="1625" ht="44" customHeight="1">
      <x:c r="A1625" s="4" t="n">
        <x:v>8978</x:v>
      </x:c>
      <x:c r="B1625" s="4" t="str">
        <x:v>https://blog.skyairline.com/cabo-polonio/</x:v>
      </x:c>
      <x:c r="C1625" s="9" t="str">
        <x:v>Cabo Polonio: un destino de Uruguay que invita a la desconexión total</x:v>
      </x:c>
      <x:c r="D1625" s="17" t="d">
        <x:v>2026-07-02T00:00:00.000Z</x:v>
      </x:c>
      <x:c r="E1625" s="17" t="d">
        <x:v>2026-07-02T00:00:00.000Z</x:v>
      </x:c>
      <x:c r="F1625" s="4" t="str">
        <x:v>Destinos</x:v>
      </x:c>
      <x:c r="G1625" s="11" t="n">
        <x:v>994</x:v>
      </x:c>
      <x:c r="H1625" s="11" t="n">
        <x:v>200</x:v>
      </x:c>
      <x:c r="I1625" s="11" t="n">
        <x:v>1</x:v>
      </x:c>
      <x:c r="J1625" s="4" t="str">
        <x:v>https://blog.skyairline.com/cabo-polonio/</x:v>
      </x:c>
      <x:c r="K1625" s="16" t="b">
        <x:v>0</x:v>
      </x:c>
      <x:c r="L1625" s="11" t="n">
        <x:v>0</x:v>
      </x:c>
      <x:c r="M1625" s="11" t="n">
        <x:v>0</x:v>
      </x:c>
      <x:c r="N1625" s="4"/>
      <x:c r="O1625" s="4"/>
      <x:c r="P1625" s="11" t="n">
        <x:v>0</x:v>
      </x:c>
      <x:c r="Q1625" s="11" t="n">
        <x:v>0</x:v>
      </x:c>
      <x:c r="R1625" s="11" t="str">
        <x:f>IF(OR(P1625="",Q1625=""),"",Q1625-P1625)</x:f>
      </x:c>
      <x:c r="S1625" s="13" t="str">
        <x:f>IF(OR(P1625="",Q1625="",P1625=0),"",((Q1625/30)/(P1625/31))-1)</x:f>
      </x:c>
      <x:c r="T1625" s="11" t="n">
        <x:v>8</x:v>
      </x:c>
      <x:c r="U1625" s="11" t="n">
        <x:v>15</x:v>
      </x:c>
      <x:c r="V1625" s="14" t="n">
        <x:v>0</x:v>
      </x:c>
      <x:c r="W1625" s="12" t="n">
        <x:v>8.466666666666667</x:v>
      </x:c>
      <x:c r="X1625" s="11"/>
      <x:c r="Y1625" s="11"/>
      <x:c r="Z1625" s="4" t="str">
        <x:v>https://blog.skyairline.com/cabo-polonio/</x:v>
      </x:c>
      <x:c r="AA1625" s="4" t="str">
        <x:v>https://blog.skyairline.com/cabo-polonio/</x:v>
      </x:c>
      <x:c r="AB1625" s="4" t="str">
        <x:v>Coincidencia URL</x:v>
      </x:c>
      <x:c r="AC1625" s="4" t="str">
        <x:v>Publicado hasta septiembre</x:v>
      </x:c>
      <x:c r="AD1625" s="4"/>
      <x:c r="AE1625" s="4"/>
      <x:c r="AF1625" s="16" t="b">
        <x:v>0</x:v>
      </x:c>
    </x:row>
    <x:row r="1626" ht="44" customHeight="1">
      <x:c r="A1626" s="4" t="n">
        <x:v>8980</x:v>
      </x:c>
      <x:c r="B1626" s="4" t="str">
        <x:v>https://blog.skyairline.com/punta-del-este-sky/</x:v>
      </x:c>
      <x:c r="C1626" s="9" t="str">
        <x:v>Prepara tu viaje a Punta del Este con SKY Airline</x:v>
      </x:c>
      <x:c r="D1626" s="17" t="d">
        <x:v>2026-07-03T00:00:00.000Z</x:v>
      </x:c>
      <x:c r="E1626" s="17" t="d">
        <x:v>2026-07-03T00:00:00.000Z</x:v>
      </x:c>
      <x:c r="F1626" s="4" t="str">
        <x:v>Planificación de Viaje</x:v>
      </x:c>
      <x:c r="G1626" s="11" t="n">
        <x:v>1003</x:v>
      </x:c>
      <x:c r="H1626" s="11" t="n">
        <x:v>200</x:v>
      </x:c>
      <x:c r="I1626" s="11" t="n">
        <x:v>1</x:v>
      </x:c>
      <x:c r="J1626" s="4" t="str">
        <x:v>https://blog.skyairline.com/punta-del-este-sky/</x:v>
      </x:c>
      <x:c r="K1626" s="16" t="b">
        <x:v>0</x:v>
      </x:c>
      <x:c r="L1626" s="11" t="n">
        <x:v>0</x:v>
      </x:c>
      <x:c r="M1626" s="11" t="n">
        <x:v>0</x:v>
      </x:c>
      <x:c r="N1626" s="4"/>
      <x:c r="O1626" s="4"/>
      <x:c r="P1626" s="11" t="n">
        <x:v>0</x:v>
      </x:c>
      <x:c r="Q1626" s="11" t="n">
        <x:v>0</x:v>
      </x:c>
      <x:c r="R1626" s="11" t="str">
        <x:f>IF(OR(P1626="",Q1626=""),"",Q1626-P1626)</x:f>
      </x:c>
      <x:c r="S1626" s="13" t="str">
        <x:f>IF(OR(P1626="",Q1626="",P1626=0),"",((Q1626/30)/(P1626/31))-1)</x:f>
      </x:c>
      <x:c r="T1626" s="11" t="n">
        <x:v>20</x:v>
      </x:c>
      <x:c r="U1626" s="11" t="n">
        <x:v>28</x:v>
      </x:c>
      <x:c r="V1626" s="14" t="n">
        <x:v>0</x:v>
      </x:c>
      <x:c r="W1626" s="12" t="n">
        <x:v>7.071428571428571</x:v>
      </x:c>
      <x:c r="X1626" s="11"/>
      <x:c r="Y1626" s="11"/>
      <x:c r="Z1626" s="4" t="str">
        <x:v>https://blog.skyairline.com/punta-del-este-sky/</x:v>
      </x:c>
      <x:c r="AA1626" s="4" t="str">
        <x:v>https://blog.skyairline.com/punta-del-este-sky/</x:v>
      </x:c>
      <x:c r="AB1626" s="4" t="str">
        <x:v>Coincidencia URL</x:v>
      </x:c>
      <x:c r="AC1626" s="4" t="str">
        <x:v>Publicado hasta septiembre</x:v>
      </x:c>
      <x:c r="AD1626" s="4"/>
      <x:c r="AE1626" s="4"/>
      <x:c r="AF1626" s="16" t="b">
        <x:v>0</x:v>
      </x:c>
    </x:row>
    <x:row r="1627" ht="44" customHeight="1">
      <x:c r="A1627" s="4" t="n">
        <x:v>8982</x:v>
      </x:c>
      <x:c r="B1627" s="4" t="str">
        <x:v>https://blog.skyairline.com/plaza-de-mayo/</x:v>
      </x:c>
      <x:c r="C1627" s="9" t="str">
        <x:v>Plaza de Mayo: El corazón histórico de Buenos Aires</x:v>
      </x:c>
      <x:c r="D1627" s="17" t="d">
        <x:v>2026-07-04T00:00:00.000Z</x:v>
      </x:c>
      <x:c r="E1627" s="17" t="d">
        <x:v>2026-07-03T00:00:00.000Z</x:v>
      </x:c>
      <x:c r="F1627" s="4" t="str">
        <x:v>Destinos</x:v>
      </x:c>
      <x:c r="G1627" s="11" t="n">
        <x:v>988</x:v>
      </x:c>
      <x:c r="H1627" s="11" t="n">
        <x:v>200</x:v>
      </x:c>
      <x:c r="I1627" s="11" t="n">
        <x:v>1</x:v>
      </x:c>
      <x:c r="J1627" s="4" t="str">
        <x:v>https://blog.skyairline.com/plaza-de-mayo/</x:v>
      </x:c>
      <x:c r="K1627" s="16" t="b">
        <x:v>0</x:v>
      </x:c>
      <x:c r="L1627" s="11" t="n">
        <x:v>0</x:v>
      </x:c>
      <x:c r="M1627" s="11" t="n">
        <x:v>0</x:v>
      </x:c>
      <x:c r="N1627" s="4"/>
      <x:c r="O1627" s="4"/>
      <x:c r="P1627" s="11" t="n">
        <x:v>0</x:v>
      </x:c>
      <x:c r="Q1627" s="11" t="n">
        <x:v>0</x:v>
      </x:c>
      <x:c r="R1627" s="11" t="str">
        <x:f>IF(OR(P1627="",Q1627=""),"",Q1627-P1627)</x:f>
      </x:c>
      <x:c r="S1627" s="13" t="str">
        <x:f>IF(OR(P1627="",Q1627="",P1627=0),"",((Q1627/30)/(P1627/31))-1)</x:f>
      </x:c>
      <x:c r="T1627" s="11" t="n">
        <x:v>69</x:v>
      </x:c>
      <x:c r="U1627" s="11" t="n">
        <x:v>22</x:v>
      </x:c>
      <x:c r="V1627" s="14" t="n">
        <x:v>0</x:v>
      </x:c>
      <x:c r="W1627" s="12" t="n">
        <x:v>10.727272727272727</x:v>
      </x:c>
      <x:c r="X1627" s="11"/>
      <x:c r="Y1627" s="11"/>
      <x:c r="Z1627" s="4" t="str">
        <x:v>https://blog.skyairline.com/plaza-de-mayo/</x:v>
      </x:c>
      <x:c r="AA1627" s="4" t="str">
        <x:v>https://blog.skyairline.com/plaza-de-mayo/</x:v>
      </x:c>
      <x:c r="AB1627" s="4" t="str">
        <x:v>Coincidencia URL</x:v>
      </x:c>
      <x:c r="AC1627" s="4" t="str">
        <x:v>Publicado hasta septiembre</x:v>
      </x:c>
      <x:c r="AD1627" s="4"/>
      <x:c r="AE1627" s="4"/>
      <x:c r="AF1627" s="16" t="b">
        <x:v>0</x:v>
      </x:c>
    </x:row>
    <x:row r="1628" ht="44" customHeight="1">
      <x:c r="A1628" s="4" t="n">
        <x:v>8990</x:v>
      </x:c>
      <x:c r="B1628" s="4" t="str">
        <x:v>https://blog.skyairline.com/ushuaia/</x:v>
      </x:c>
      <x:c r="C1628" s="9" t="str">
        <x:v>Ushuaia: guía para viajar al fin del mundo</x:v>
      </x:c>
      <x:c r="D1628" s="17" t="d">
        <x:v>2026-07-06T00:00:00.000Z</x:v>
      </x:c>
      <x:c r="E1628" s="17" t="d">
        <x:v>2026-07-03T00:00:00.000Z</x:v>
      </x:c>
      <x:c r="F1628" s="4" t="str">
        <x:v>Destinos</x:v>
      </x:c>
      <x:c r="G1628" s="11" t="n">
        <x:v>1022</x:v>
      </x:c>
      <x:c r="H1628" s="11" t="n">
        <x:v>200</x:v>
      </x:c>
      <x:c r="I1628" s="11" t="n">
        <x:v>1</x:v>
      </x:c>
      <x:c r="J1628" s="4" t="str">
        <x:v>https://blog.skyairline.com/ushuaia/</x:v>
      </x:c>
      <x:c r="K1628" s="16" t="b">
        <x:v>0</x:v>
      </x:c>
      <x:c r="L1628" s="11" t="n">
        <x:v>0</x:v>
      </x:c>
      <x:c r="M1628" s="11" t="n">
        <x:v>0</x:v>
      </x:c>
      <x:c r="N1628" s="4"/>
      <x:c r="O1628" s="4"/>
      <x:c r="P1628" s="11" t="n">
        <x:v>0</x:v>
      </x:c>
      <x:c r="Q1628" s="11" t="n">
        <x:v>0</x:v>
      </x:c>
      <x:c r="R1628" s="11" t="str">
        <x:f>IF(OR(P1628="",Q1628=""),"",Q1628-P1628)</x:f>
      </x:c>
      <x:c r="S1628" s="13" t="str">
        <x:f>IF(OR(P1628="",Q1628="",P1628=0),"",((Q1628/30)/(P1628/31))-1)</x:f>
      </x:c>
      <x:c r="T1628" s="11" t="n">
        <x:v>39</x:v>
      </x:c>
      <x:c r="U1628" s="11" t="n">
        <x:v>153</x:v>
      </x:c>
      <x:c r="V1628" s="14" t="n">
        <x:v>0</x:v>
      </x:c>
      <x:c r="W1628" s="12" t="n">
        <x:v>7.084967320261438</x:v>
      </x:c>
      <x:c r="X1628" s="11"/>
      <x:c r="Y1628" s="11"/>
      <x:c r="Z1628" s="4" t="str">
        <x:v>https://blog.skyairline.com/ushuaia/</x:v>
      </x:c>
      <x:c r="AA1628" s="4" t="str">
        <x:v>https://blog.skyairline.com/ushuaia/</x:v>
      </x:c>
      <x:c r="AB1628" s="4" t="str">
        <x:v>Coincidencia URL</x:v>
      </x:c>
      <x:c r="AC1628" s="4" t="str">
        <x:v>Publicado hasta septiembre</x:v>
      </x:c>
      <x:c r="AD1628" s="4"/>
      <x:c r="AE1628" s="4"/>
      <x:c r="AF1628" s="16" t="b">
        <x:v>0</x:v>
      </x:c>
    </x:row>
    <x:row r="1629" ht="44" customHeight="1">
      <x:c r="A1629" s="4" t="n">
        <x:v>9049</x:v>
      </x:c>
      <x:c r="B1629" s="4" t="str">
        <x:v>https://blog.skyairline.com/brasilia/</x:v>
      </x:c>
      <x:c r="C1629" s="9" t="str">
        <x:v>Brasilia: una joya del modernismo urbano</x:v>
      </x:c>
      <x:c r="D1629" s="17" t="d">
        <x:v>2026-07-23T00:00:00.000Z</x:v>
      </x:c>
      <x:c r="E1629" s="17" t="d">
        <x:v>2026-07-20T00:00:00.000Z</x:v>
      </x:c>
      <x:c r="F1629" s="4" t="str">
        <x:v>Destinos</x:v>
      </x:c>
      <x:c r="G1629" s="11" t="n">
        <x:v>1070</x:v>
      </x:c>
      <x:c r="H1629" s="11" t="n">
        <x:v>200</x:v>
      </x:c>
      <x:c r="I1629" s="11" t="n">
        <x:v>1</x:v>
      </x:c>
      <x:c r="J1629" s="4" t="str">
        <x:v>https://blog.skyairline.com/brasilia/</x:v>
      </x:c>
      <x:c r="K1629" s="16" t="b">
        <x:v>0</x:v>
      </x:c>
      <x:c r="L1629" s="11" t="n">
        <x:v>0</x:v>
      </x:c>
      <x:c r="M1629" s="11" t="n">
        <x:v>0</x:v>
      </x:c>
      <x:c r="N1629" s="4"/>
      <x:c r="O1629" s="4"/>
      <x:c r="P1629" s="11" t="n">
        <x:v>1</x:v>
      </x:c>
      <x:c r="Q1629" s="11" t="n">
        <x:v>0</x:v>
      </x:c>
      <x:c r="R1629" s="11" t="str">
        <x:f>IF(OR(P1629="",Q1629=""),"",Q1629-P1629)</x:f>
      </x:c>
      <x:c r="S1629" s="13" t="str">
        <x:f>IF(OR(P1629="",Q1629="",P1629=0),"",((Q1629/30)/(P1629/31))-1)</x:f>
      </x:c>
      <x:c r="T1629" s="11" t="n">
        <x:v>52</x:v>
      </x:c>
      <x:c r="U1629" s="11" t="n">
        <x:v>47</x:v>
      </x:c>
      <x:c r="V1629" s="14" t="n">
        <x:v>0</x:v>
      </x:c>
      <x:c r="W1629" s="12" t="n">
        <x:v>7.74468085106383</x:v>
      </x:c>
      <x:c r="X1629" s="11"/>
      <x:c r="Y1629" s="11"/>
      <x:c r="Z1629" s="4" t="str">
        <x:v>https://blog.skyairline.com/brasilia/</x:v>
      </x:c>
      <x:c r="AA1629" s="4" t="str">
        <x:v>https://blog.skyairline.com/brasilia/</x:v>
      </x:c>
      <x:c r="AB1629" s="4" t="str">
        <x:v>Coincidencia URL</x:v>
      </x:c>
      <x:c r="AC1629" s="4" t="str">
        <x:v>Publicado hasta septiembre</x:v>
      </x:c>
      <x:c r="AD1629" s="4"/>
      <x:c r="AE1629" s="4"/>
      <x:c r="AF1629" s="16" t="b">
        <x:v>0</x:v>
      </x:c>
    </x:row>
    <x:row r="1630" ht="44" customHeight="1">
      <x:c r="A1630" s="4" t="n">
        <x:v>9076</x:v>
      </x:c>
      <x:c r="B1630" s="4" t="str">
        <x:v>https://blog.skyairline.com/patagonia-argentina/</x:v>
      </x:c>
      <x:c r="C1630" s="9" t="str">
        <x:v>Patagonia Argentina: principales lugares para visitar</x:v>
      </x:c>
      <x:c r="D1630" s="17" t="d">
        <x:v>2026-07-30T00:00:00.000Z</x:v>
      </x:c>
      <x:c r="E1630" s="17" t="d">
        <x:v>2026-07-28T00:00:00.000Z</x:v>
      </x:c>
      <x:c r="F1630" s="4" t="str">
        <x:v>Destinos</x:v>
      </x:c>
      <x:c r="G1630" s="11" t="n">
        <x:v>1115</x:v>
      </x:c>
      <x:c r="H1630" s="11" t="n">
        <x:v>200</x:v>
      </x:c>
      <x:c r="I1630" s="11" t="n">
        <x:v>1</x:v>
      </x:c>
      <x:c r="J1630" s="4" t="str">
        <x:v>https://blog.skyairline.com/patagonia-argentina/</x:v>
      </x:c>
      <x:c r="K1630" s="16" t="b">
        <x:v>0</x:v>
      </x:c>
      <x:c r="L1630" s="11" t="n">
        <x:v>0</x:v>
      </x:c>
      <x:c r="M1630" s="11" t="n">
        <x:v>0</x:v>
      </x:c>
      <x:c r="N1630" s="4"/>
      <x:c r="O1630" s="4"/>
      <x:c r="P1630" s="11" t="n">
        <x:v>1</x:v>
      </x:c>
      <x:c r="Q1630" s="11" t="n">
        <x:v>0</x:v>
      </x:c>
      <x:c r="R1630" s="11" t="str">
        <x:f>IF(OR(P1630="",Q1630=""),"",Q1630-P1630)</x:f>
      </x:c>
      <x:c r="S1630" s="13" t="str">
        <x:f>IF(OR(P1630="",Q1630="",P1630=0),"",((Q1630/30)/(P1630/31))-1)</x:f>
      </x:c>
      <x:c r="T1630" s="11" t="n">
        <x:v>720</x:v>
      </x:c>
      <x:c r="U1630" s="11" t="n">
        <x:v>374</x:v>
      </x:c>
      <x:c r="V1630" s="14" t="n">
        <x:v>0</x:v>
      </x:c>
      <x:c r="W1630" s="12" t="n">
        <x:v>20.810160427807485</x:v>
      </x:c>
      <x:c r="X1630" s="11"/>
      <x:c r="Y1630" s="11"/>
      <x:c r="Z1630" s="4" t="str">
        <x:v>https://blog.skyairline.com/patagonia-argentina/</x:v>
      </x:c>
      <x:c r="AA1630" s="4" t="str">
        <x:v>https://blog.skyairline.com/patagonia-argentina/</x:v>
      </x:c>
      <x:c r="AB1630" s="4" t="str">
        <x:v>Coincidencia URL</x:v>
      </x:c>
      <x:c r="AC1630" s="4" t="str">
        <x:v>Publicado hasta septiembre</x:v>
      </x:c>
      <x:c r="AD1630" s="4"/>
      <x:c r="AE1630" s="4"/>
      <x:c r="AF1630" s="16" t="b">
        <x:v>0</x:v>
      </x:c>
    </x:row>
    <x:row r="1631" ht="44" customHeight="1">
      <x:c r="A1631" s="4" t="n">
        <x:v>9079</x:v>
      </x:c>
      <x:c r="B1631" s="4" t="str">
        <x:v>https://blog.skyairline.com/clima-bariloche/</x:v>
      </x:c>
      <x:c r="C1631" s="9" t="str">
        <x:v>Clima en Bariloche: qué empacar en cada estación</x:v>
      </x:c>
      <x:c r="D1631" s="17" t="d">
        <x:v>2026-07-31T00:00:00.000Z</x:v>
      </x:c>
      <x:c r="E1631" s="17" t="d">
        <x:v>2026-07-28T00:00:00.000Z</x:v>
      </x:c>
      <x:c r="F1631" s="4" t="str">
        <x:v>Planificación de Viaje</x:v>
      </x:c>
      <x:c r="G1631" s="11" t="n">
        <x:v>1061</x:v>
      </x:c>
      <x:c r="H1631" s="11" t="n">
        <x:v>200</x:v>
      </x:c>
      <x:c r="I1631" s="11" t="n">
        <x:v>1</x:v>
      </x:c>
      <x:c r="J1631" s="4" t="str">
        <x:v>https://blog.skyairline.com/clima-bariloche/</x:v>
      </x:c>
      <x:c r="K1631" s="16" t="b">
        <x:v>0</x:v>
      </x:c>
      <x:c r="L1631" s="11" t="n">
        <x:v>0</x:v>
      </x:c>
      <x:c r="M1631" s="11" t="n">
        <x:v>0</x:v>
      </x:c>
      <x:c r="N1631" s="4"/>
      <x:c r="O1631" s="4"/>
      <x:c r="P1631" s="11" t="n">
        <x:v>3</x:v>
      </x:c>
      <x:c r="Q1631" s="11" t="n">
        <x:v>0</x:v>
      </x:c>
      <x:c r="R1631" s="11" t="str">
        <x:f>IF(OR(P1631="",Q1631=""),"",Q1631-P1631)</x:f>
      </x:c>
      <x:c r="S1631" s="13" t="str">
        <x:f>IF(OR(P1631="",Q1631="",P1631=0),"",((Q1631/30)/(P1631/31))-1)</x:f>
      </x:c>
      <x:c r="T1631" s="11" t="n">
        <x:v>1113</x:v>
      </x:c>
      <x:c r="U1631" s="11" t="n">
        <x:v>373</x:v>
      </x:c>
      <x:c r="V1631" s="14" t="n">
        <x:v>0</x:v>
      </x:c>
      <x:c r="W1631" s="12" t="n">
        <x:v>9.168900804289544</x:v>
      </x:c>
      <x:c r="X1631" s="11"/>
      <x:c r="Y1631" s="11"/>
      <x:c r="Z1631" s="4" t="str">
        <x:v>https://blog.skyairline.com/clima-bariloche/</x:v>
      </x:c>
      <x:c r="AA1631" s="4" t="str">
        <x:v>https://blog.skyairline.com/clima-bariloche/</x:v>
      </x:c>
      <x:c r="AB1631" s="4" t="str">
        <x:v>Coincidencia URL</x:v>
      </x:c>
      <x:c r="AC1631" s="4" t="str">
        <x:v>Publicado hasta septiembre</x:v>
      </x:c>
      <x:c r="AD1631" s="4"/>
      <x:c r="AE1631" s="4"/>
      <x:c r="AF1631" s="16" t="b">
        <x:v>0</x:v>
      </x:c>
    </x:row>
    <x:row r="1632" ht="44" customHeight="1">
      <x:c r="A1632" s="4" t="n">
        <x:v>9087</x:v>
      </x:c>
      <x:c r="B1632" s="4" t="str">
        <x:v>https://blog.skyairline.com/porto-alegre-brasil/</x:v>
      </x:c>
      <x:c r="C1632" s="9" t="str">
        <x:v>Vuelos a Porto Alegre, Brasil: el centro de la cultura gaúcha</x:v>
      </x:c>
      <x:c r="D1632" s="17" t="d">
        <x:v>2026-08-04T00:00:00.000Z</x:v>
      </x:c>
      <x:c r="E1632" s="17" t="d">
        <x:v>2026-07-30T00:00:00.000Z</x:v>
      </x:c>
      <x:c r="F1632" s="4" t="str">
        <x:v>Destinos</x:v>
      </x:c>
      <x:c r="G1632" s="11" t="n">
        <x:v>1004</x:v>
      </x:c>
      <x:c r="H1632" s="11" t="n">
        <x:v>200</x:v>
      </x:c>
      <x:c r="I1632" s="11" t="n">
        <x:v>1</x:v>
      </x:c>
      <x:c r="J1632" s="4" t="str">
        <x:v>https://blog.skyairline.com/porto-alegre-brasil/</x:v>
      </x:c>
      <x:c r="K1632" s="16" t="b">
        <x:v>0</x:v>
      </x:c>
      <x:c r="L1632" s="11" t="n">
        <x:v>0</x:v>
      </x:c>
      <x:c r="M1632" s="11" t="n">
        <x:v>0</x:v>
      </x:c>
      <x:c r="N1632" s="4"/>
      <x:c r="O1632" s="4"/>
      <x:c r="P1632" s="11" t="n">
        <x:v>0</x:v>
      </x:c>
      <x:c r="Q1632" s="11" t="n">
        <x:v>0</x:v>
      </x:c>
      <x:c r="R1632" s="11" t="str">
        <x:f>IF(OR(P1632="",Q1632=""),"",Q1632-P1632)</x:f>
      </x:c>
      <x:c r="S1632" s="13" t="str">
        <x:f>IF(OR(P1632="",Q1632="",P1632=0),"",((Q1632/30)/(P1632/31))-1)</x:f>
      </x:c>
      <x:c r="T1632" s="11" t="n">
        <x:v>33</x:v>
      </x:c>
      <x:c r="U1632" s="11" t="n">
        <x:v>34</x:v>
      </x:c>
      <x:c r="V1632" s="14" t="n">
        <x:v>0</x:v>
      </x:c>
      <x:c r="W1632" s="12" t="n">
        <x:v>8.558823529411764</x:v>
      </x:c>
      <x:c r="X1632" s="11"/>
      <x:c r="Y1632" s="11"/>
      <x:c r="Z1632" s="4" t="str">
        <x:v>https://blog.skyairline.com/porto-alegre-brasil/</x:v>
      </x:c>
      <x:c r="AA1632" s="4" t="str">
        <x:v>https://blog.skyairline.com/porto-alegre-brasil/</x:v>
      </x:c>
      <x:c r="AB1632" s="4" t="str">
        <x:v>Coincidencia URL</x:v>
      </x:c>
      <x:c r="AC1632" s="4" t="str">
        <x:v>Publicado hasta septiembre</x:v>
      </x:c>
      <x:c r="AD1632" s="4"/>
      <x:c r="AE1632" s="4"/>
      <x:c r="AF1632" s="16" t="b">
        <x:v>0</x:v>
      </x:c>
    </x:row>
    <x:row r="1633" ht="44" customHeight="1">
      <x:c r="A1633" s="4" t="n">
        <x:v>9119</x:v>
      </x:c>
      <x:c r="B1633" s="4" t="str">
        <x:v>https://blog.skyairline.com/sky-renueva-alianza-con-desafio-levantemos-chile/</x:v>
      </x:c>
      <x:c r="C1633" s="9" t="str">
        <x:v>SKY renueva alianza con Desafío Levantemos Chile</x:v>
      </x:c>
      <x:c r="D1633" s="17" t="d">
        <x:v>2026-08-05T00:00:00.000Z</x:v>
      </x:c>
      <x:c r="E1633" s="17" t="d">
        <x:v>2026-08-05T00:00:00.000Z</x:v>
      </x:c>
      <x:c r="F1633" s="4" t="str">
        <x:v>Noticias</x:v>
      </x:c>
      <x:c r="G1633" s="11" t="n">
        <x:v>150</x:v>
      </x:c>
      <x:c r="H1633" s="11" t="n">
        <x:v>200</x:v>
      </x:c>
      <x:c r="I1633" s="11" t="n">
        <x:v>1</x:v>
      </x:c>
      <x:c r="J1633" s="4" t="str">
        <x:v>https://blog.skyairline.com/sky-renueva-alianza-con-desafio-levantemos-chile/</x:v>
      </x:c>
      <x:c r="K1633" s="16" t="b">
        <x:v>0</x:v>
      </x:c>
      <x:c r="L1633" s="11" t="n">
        <x:v>0</x:v>
      </x:c>
      <x:c r="M1633" s="11" t="n">
        <x:v>0</x:v>
      </x:c>
      <x:c r="N1633" s="4"/>
      <x:c r="O1633" s="4"/>
      <x:c r="P1633" s="11" t="n">
        <x:v>2</x:v>
      </x:c>
      <x:c r="Q1633" s="11" t="n">
        <x:v>0</x:v>
      </x:c>
      <x:c r="R1633" s="11" t="str">
        <x:f>IF(OR(P1633="",Q1633=""),"",Q1633-P1633)</x:f>
      </x:c>
      <x:c r="S1633" s="13" t="str">
        <x:f>IF(OR(P1633="",Q1633="",P1633=0),"",((Q1633/30)/(P1633/31))-1)</x:f>
      </x:c>
      <x:c r="T1633" s="11" t="n">
        <x:v>66</x:v>
      </x:c>
      <x:c r="U1633" s="11" t="n">
        <x:v>25</x:v>
      </x:c>
      <x:c r="V1633" s="14" t="n">
        <x:v>0</x:v>
      </x:c>
      <x:c r="W1633" s="12" t="n">
        <x:v>5.64</x:v>
      </x:c>
      <x:c r="X1633" s="11"/>
      <x:c r="Y1633" s="11"/>
      <x:c r="Z1633" s="4" t="str">
        <x:v>https://blog.skyairline.com/sky-renueva-alianza-con-desafio-levantemos-chile/</x:v>
      </x:c>
      <x:c r="AA1633" s="4" t="str">
        <x:v>https://blog.skyairline.com/sky-renueva-alianza-con-desafio-levantemos-chile/</x:v>
      </x:c>
      <x:c r="AB1633" s="4" t="str">
        <x:v>Coincidencia URL</x:v>
      </x:c>
      <x:c r="AC1633" s="4" t="str">
        <x:v>Publicado hasta septiembre</x:v>
      </x:c>
      <x:c r="AD1633" s="4"/>
      <x:c r="AE1633" s="4"/>
      <x:c r="AF1633" s="16" t="b">
        <x:v>0</x:v>
      </x:c>
    </x:row>
    <x:row r="1634" ht="44" customHeight="1">
      <x:c r="A1634" s="4" t="n">
        <x:v>9141</x:v>
      </x:c>
      <x:c r="B1634" s="4" t="str">
        <x:v>https://blog.skyairline.com/chicha-morada/</x:v>
      </x:c>
      <x:c r="C1634" s="9" t="str">
        <x:v>Chicha morada y otras bebidas peruanas que debes probar en tu próximo viaje</x:v>
      </x:c>
      <x:c r="D1634" s="17" t="d">
        <x:v>2026-08-06T00:00:00.000Z</x:v>
      </x:c>
      <x:c r="E1634" s="17" t="d">
        <x:v>2026-08-06T00:00:00.000Z</x:v>
      </x:c>
      <x:c r="F1634" s="4" t="str">
        <x:v>Cultura</x:v>
      </x:c>
      <x:c r="G1634" s="11" t="n">
        <x:v>1021</x:v>
      </x:c>
      <x:c r="H1634" s="11" t="n">
        <x:v>200</x:v>
      </x:c>
      <x:c r="I1634" s="11" t="n">
        <x:v>1</x:v>
      </x:c>
      <x:c r="J1634" s="4" t="str">
        <x:v>https://blog.skyairline.com/chicha-morada/</x:v>
      </x:c>
      <x:c r="K1634" s="16" t="b">
        <x:v>0</x:v>
      </x:c>
      <x:c r="L1634" s="11" t="n">
        <x:v>0</x:v>
      </x:c>
      <x:c r="M1634" s="11" t="n">
        <x:v>0</x:v>
      </x:c>
      <x:c r="N1634" s="4"/>
      <x:c r="O1634" s="4"/>
      <x:c r="P1634" s="11" t="n">
        <x:v>0</x:v>
      </x:c>
      <x:c r="Q1634" s="11" t="n">
        <x:v>0</x:v>
      </x:c>
      <x:c r="R1634" s="11" t="str">
        <x:f>IF(OR(P1634="",Q1634=""),"",Q1634-P1634)</x:f>
      </x:c>
      <x:c r="S1634" s="13" t="str">
        <x:f>IF(OR(P1634="",Q1634="",P1634=0),"",((Q1634/30)/(P1634/31))-1)</x:f>
      </x:c>
      <x:c r="T1634" s="11" t="n">
        <x:v>96</x:v>
      </x:c>
      <x:c r="U1634" s="11" t="n">
        <x:v>100</x:v>
      </x:c>
      <x:c r="V1634" s="14" t="n">
        <x:v>0</x:v>
      </x:c>
      <x:c r="W1634" s="12" t="n">
        <x:v>16.060000000000002</x:v>
      </x:c>
      <x:c r="X1634" s="11"/>
      <x:c r="Y1634" s="11"/>
      <x:c r="Z1634" s="4" t="str">
        <x:v>https://blog.skyairline.com/chicha-morada/</x:v>
      </x:c>
      <x:c r="AA1634" s="4" t="str">
        <x:v>https://blog.skyairline.com/chicha-morada/</x:v>
      </x:c>
      <x:c r="AB1634" s="4" t="str">
        <x:v>Coincidencia URL</x:v>
      </x:c>
      <x:c r="AC1634" s="4" t="str">
        <x:v>Publicado hasta septiembre</x:v>
      </x:c>
      <x:c r="AD1634" s="4"/>
      <x:c r="AE1634" s="4"/>
      <x:c r="AF1634" s="16" t="b">
        <x:v>0</x:v>
      </x:c>
    </x:row>
    <x:row r="1635" ht="44" customHeight="1">
      <x:c r="A1635" s="4" t="n">
        <x:v>9185</x:v>
      </x:c>
      <x:c r="B1635" s="4" t="str">
        <x:v>https://blog.skyairline.com/el-chalten/</x:v>
      </x:c>
      <x:c r="C1635" s="9" t="str">
        <x:v>El Chaltén: la capital del trekking en la Patagonia Argentina</x:v>
      </x:c>
      <x:c r="D1635" s="17" t="d">
        <x:v>2026-09-01T00:00:00.000Z</x:v>
      </x:c>
      <x:c r="E1635" s="17" t="d">
        <x:v>2026-08-28T00:00:00.000Z</x:v>
      </x:c>
      <x:c r="F1635" s="4" t="str">
        <x:v>Destinos</x:v>
      </x:c>
      <x:c r="G1635" s="11" t="n">
        <x:v>1137</x:v>
      </x:c>
      <x:c r="H1635" s="11" t="n">
        <x:v>200</x:v>
      </x:c>
      <x:c r="I1635" s="11" t="n">
        <x:v>1</x:v>
      </x:c>
      <x:c r="J1635" s="4" t="str">
        <x:v>https://blog.skyairline.com/el-chalten/</x:v>
      </x:c>
      <x:c r="K1635" s="16" t="b">
        <x:v>0</x:v>
      </x:c>
      <x:c r="L1635" s="11" t="n">
        <x:v>0</x:v>
      </x:c>
      <x:c r="M1635" s="11" t="n">
        <x:v>0</x:v>
      </x:c>
      <x:c r="N1635" s="4"/>
      <x:c r="O1635" s="4"/>
      <x:c r="P1635" s="11"/>
      <x:c r="Q1635" s="11" t="n">
        <x:v>0</x:v>
      </x:c>
      <x:c r="R1635" s="11" t="str">
        <x:f>IF(OR(P1635="",Q1635=""),"",Q1635-P1635)</x:f>
      </x:c>
      <x:c r="S1635" s="13" t="str">
        <x:f>IF(OR(P1635="",Q1635="",P1635=0),"",((Q1635/30)/(P1635/31))-1)</x:f>
      </x:c>
      <x:c r="T1635" s="11"/>
      <x:c r="U1635" s="11" t="n">
        <x:v>156</x:v>
      </x:c>
      <x:c r="V1635" s="14" t="n">
        <x:v>0</x:v>
      </x:c>
      <x:c r="W1635" s="12" t="n">
        <x:v>9.615384615384615</x:v>
      </x:c>
      <x:c r="X1635" s="11" t="n">
        <x:v>8</x:v>
      </x:c>
      <x:c r="Y1635" s="11" t="n">
        <x:v>8</x:v>
      </x:c>
      <x:c r="Z1635" s="4"/>
      <x:c r="AA1635" s="4" t="str">
        <x:v>https://blog.skyairline.com/el-chalten/</x:v>
      </x:c>
      <x:c r="AB1635" s="4" t="str">
        <x:v>Coincidencia URL</x:v>
      </x:c>
      <x:c r="AC1635" s="4" t="str">
        <x:v>Publicado hasta septiembre</x:v>
      </x:c>
      <x:c r="AD1635" s="4" t="str">
        <x:v>/el-chalten/</x:v>
      </x:c>
      <x:c r="AE1635" s="4"/>
      <x:c r="AF1635" s="16" t="b">
        <x:v>0</x:v>
      </x:c>
    </x:row>
    <x:row r="1636" ht="44" customHeight="1">
      <x:c r="A1636" s="4" t="n">
        <x:v>9218</x:v>
      </x:c>
      <x:c r="B1636" s="4" t="str">
        <x:v>https://blog.skyairline.com/delta-del-tigre/</x:v>
      </x:c>
      <x:c r="C1636" s="9" t="str">
        <x:v>Escápate de Buenos Aires: Conoce Delta del Tigre</x:v>
      </x:c>
      <x:c r="D1636" s="17" t="d">
        <x:v>2026-09-02T00:00:00.000Z</x:v>
      </x:c>
      <x:c r="E1636" s="17" t="d">
        <x:v>2026-09-02T00:00:00.000Z</x:v>
      </x:c>
      <x:c r="F1636" s="4" t="str">
        <x:v>Destinos</x:v>
      </x:c>
      <x:c r="G1636" s="11" t="n">
        <x:v>1041</x:v>
      </x:c>
      <x:c r="H1636" s="11" t="n">
        <x:v>200</x:v>
      </x:c>
      <x:c r="I1636" s="11" t="n">
        <x:v>1</x:v>
      </x:c>
      <x:c r="J1636" s="4" t="str">
        <x:v>https://blog.skyairline.com/delta-del-tigre/</x:v>
      </x:c>
      <x:c r="K1636" s="16" t="b">
        <x:v>0</x:v>
      </x:c>
      <x:c r="L1636" s="11" t="n">
        <x:v>0</x:v>
      </x:c>
      <x:c r="M1636" s="11" t="n">
        <x:v>0</x:v>
      </x:c>
      <x:c r="N1636" s="4"/>
      <x:c r="O1636" s="4"/>
      <x:c r="P1636" s="11"/>
      <x:c r="Q1636" s="11" t="n">
        <x:v>0</x:v>
      </x:c>
      <x:c r="R1636" s="11" t="str">
        <x:f>IF(OR(P1636="",Q1636=""),"",Q1636-P1636)</x:f>
      </x:c>
      <x:c r="S1636" s="13" t="str">
        <x:f>IF(OR(P1636="",Q1636="",P1636=0),"",((Q1636/30)/(P1636/31))-1)</x:f>
      </x:c>
      <x:c r="T1636" s="11"/>
      <x:c r="U1636" s="11" t="n">
        <x:v>159</x:v>
      </x:c>
      <x:c r="V1636" s="14" t="n">
        <x:v>0</x:v>
      </x:c>
      <x:c r="W1636" s="12" t="n">
        <x:v>6.251572327044025</x:v>
      </x:c>
      <x:c r="X1636" s="11" t="n">
        <x:v>8</x:v>
      </x:c>
      <x:c r="Y1636" s="11" t="n">
        <x:v>9</x:v>
      </x:c>
      <x:c r="Z1636" s="4"/>
      <x:c r="AA1636" s="4" t="str">
        <x:v>https://blog.skyairline.com/delta-del-tigre/</x:v>
      </x:c>
      <x:c r="AB1636" s="4" t="str">
        <x:v>Coincidencia URL</x:v>
      </x:c>
      <x:c r="AC1636" s="4" t="str">
        <x:v>Publicado hasta septiembre</x:v>
      </x:c>
      <x:c r="AD1636" s="4" t="str">
        <x:v>/delta-del-tigre/</x:v>
      </x:c>
      <x:c r="AE1636" s="4"/>
      <x:c r="AF1636" s="16" t="b">
        <x:v>0</x:v>
      </x:c>
    </x:row>
    <x:row r="1637" ht="44" customHeight="1">
      <x:c r="A1637" s="4" t="n">
        <x:v>9228</x:v>
      </x:c>
      <x:c r="B1637" s="4" t="str">
        <x:v>https://blog.skyairline.com/lujan-de-cuyo/</x:v>
      </x:c>
      <x:c r="C1637" s="9" t="str">
        <x:v>Descubre Luján de Cuyo en tu viaje a Mendoza, la tierra del Malbec</x:v>
      </x:c>
      <x:c r="D1637" s="17" t="d">
        <x:v>2026-09-04T00:00:00.000Z</x:v>
      </x:c>
      <x:c r="E1637" s="17" t="d">
        <x:v>2026-09-04T00:00:00.000Z</x:v>
      </x:c>
      <x:c r="F1637" s="4" t="str">
        <x:v>Planificación de Viaje</x:v>
      </x:c>
      <x:c r="G1637" s="11" t="n">
        <x:v>991</x:v>
      </x:c>
      <x:c r="H1637" s="11" t="n">
        <x:v>200</x:v>
      </x:c>
      <x:c r="I1637" s="11" t="n">
        <x:v>1</x:v>
      </x:c>
      <x:c r="J1637" s="4" t="str">
        <x:v>https://blog.skyairline.com/lujan-de-cuyo/</x:v>
      </x:c>
      <x:c r="K1637" s="16" t="b">
        <x:v>0</x:v>
      </x:c>
      <x:c r="L1637" s="11" t="n">
        <x:v>0</x:v>
      </x:c>
      <x:c r="M1637" s="11" t="n">
        <x:v>0</x:v>
      </x:c>
      <x:c r="N1637" s="4"/>
      <x:c r="O1637" s="4"/>
      <x:c r="P1637" s="11"/>
      <x:c r="Q1637" s="11" t="n">
        <x:v>0</x:v>
      </x:c>
      <x:c r="R1637" s="11" t="str">
        <x:f>IF(OR(P1637="",Q1637=""),"",Q1637-P1637)</x:f>
      </x:c>
      <x:c r="S1637" s="13" t="str">
        <x:f>IF(OR(P1637="",Q1637="",P1637=0),"",((Q1637/30)/(P1637/31))-1)</x:f>
      </x:c>
      <x:c r="T1637" s="11"/>
      <x:c r="U1637" s="11" t="n">
        <x:v>71</x:v>
      </x:c>
      <x:c r="V1637" s="14" t="n">
        <x:v>0</x:v>
      </x:c>
      <x:c r="W1637" s="12" t="n">
        <x:v>10.816901408450704</x:v>
      </x:c>
      <x:c r="X1637" s="11"/>
      <x:c r="Y1637" s="11"/>
      <x:c r="Z1637" s="4"/>
      <x:c r="AA1637" s="4" t="str">
        <x:v>https://blog.skyairline.com/lujan-de-cuyo/</x:v>
      </x:c>
      <x:c r="AB1637" s="4" t="str">
        <x:v>Coincidencia URL</x:v>
      </x:c>
      <x:c r="AC1637" s="4" t="str">
        <x:v>Publicado hasta septiembre</x:v>
      </x:c>
      <x:c r="AD1637" s="4"/>
      <x:c r="AE1637" s="4"/>
      <x:c r="AF1637" s="16" t="b">
        <x:v>0</x:v>
      </x:c>
    </x:row>
    <x:row r="1638" ht="44" customHeight="1">
      <x:c r="A1638" s="4" t="n">
        <x:v>9229</x:v>
      </x:c>
      <x:c r="B1638" s="4" t="str">
        <x:v>https://blog.skyairline.com/ciudad-de-la-plata/</x:v>
      </x:c>
      <x:c r="C1638" s="9" t="str">
        <x:v>Visita la ciudad de La Plata, escapada a solo 1 hora de Buenos Aires</x:v>
      </x:c>
      <x:c r="D1638" s="17" t="d">
        <x:v>2026-09-05T00:00:00.000Z</x:v>
      </x:c>
      <x:c r="E1638" s="17" t="d">
        <x:v>2026-09-04T00:00:00.000Z</x:v>
      </x:c>
      <x:c r="F1638" s="4" t="str">
        <x:v>Destinos</x:v>
      </x:c>
      <x:c r="G1638" s="11" t="n">
        <x:v>1153</x:v>
      </x:c>
      <x:c r="H1638" s="11" t="n">
        <x:v>200</x:v>
      </x:c>
      <x:c r="I1638" s="11" t="n">
        <x:v>1</x:v>
      </x:c>
      <x:c r="J1638" s="4" t="str">
        <x:v>https://blog.skyairline.com/ciudad-de-la-plata/</x:v>
      </x:c>
      <x:c r="K1638" s="16" t="b">
        <x:v>0</x:v>
      </x:c>
      <x:c r="L1638" s="11" t="n">
        <x:v>0</x:v>
      </x:c>
      <x:c r="M1638" s="11" t="n">
        <x:v>0</x:v>
      </x:c>
      <x:c r="N1638" s="4"/>
      <x:c r="O1638" s="4"/>
      <x:c r="P1638" s="11"/>
      <x:c r="Q1638" s="11" t="n">
        <x:v>0</x:v>
      </x:c>
      <x:c r="R1638" s="11" t="str">
        <x:f>IF(OR(P1638="",Q1638=""),"",Q1638-P1638)</x:f>
      </x:c>
      <x:c r="S1638" s="13" t="str">
        <x:f>IF(OR(P1638="",Q1638="",P1638=0),"",((Q1638/30)/(P1638/31))-1)</x:f>
      </x:c>
      <x:c r="T1638" s="11"/>
      <x:c r="U1638" s="11" t="n">
        <x:v>76</x:v>
      </x:c>
      <x:c r="V1638" s="14" t="n">
        <x:v>0</x:v>
      </x:c>
      <x:c r="W1638" s="12" t="n">
        <x:v>9.223684210526315</x:v>
      </x:c>
      <x:c r="X1638" s="11"/>
      <x:c r="Y1638" s="11"/>
      <x:c r="Z1638" s="4"/>
      <x:c r="AA1638" s="4" t="str">
        <x:v>https://blog.skyairline.com/ciudad-de-la-plata/</x:v>
      </x:c>
      <x:c r="AB1638" s="4" t="str">
        <x:v>Coincidencia URL</x:v>
      </x:c>
      <x:c r="AC1638" s="4" t="str">
        <x:v>Publicado hasta septiembre</x:v>
      </x:c>
      <x:c r="AD1638" s="4"/>
      <x:c r="AE1638" s="4"/>
      <x:c r="AF1638" s="16" t="b">
        <x:v>0</x:v>
      </x:c>
    </x:row>
    <x:row r="1639" ht="44" customHeight="1">
      <x:c r="A1639" s="4" t="n">
        <x:v>9230</x:v>
      </x:c>
      <x:c r="B1639" s="4" t="str">
        <x:v>https://blog.skyairline.com/mar-del-plata/</x:v>
      </x:c>
      <x:c r="C1639" s="9" t="str">
        <x:v>Mar del Plata: mucho más que playa y mar</x:v>
      </x:c>
      <x:c r="D1639" s="17" t="d">
        <x:v>2026-09-05T00:00:00.000Z</x:v>
      </x:c>
      <x:c r="E1639" s="17" t="d">
        <x:v>2026-09-04T00:00:00.000Z</x:v>
      </x:c>
      <x:c r="F1639" s="4" t="str">
        <x:v>Destinos</x:v>
      </x:c>
      <x:c r="G1639" s="11" t="n">
        <x:v>989</x:v>
      </x:c>
      <x:c r="H1639" s="11" t="n">
        <x:v>200</x:v>
      </x:c>
      <x:c r="I1639" s="11" t="n">
        <x:v>1</x:v>
      </x:c>
      <x:c r="J1639" s="4" t="str">
        <x:v>https://blog.skyairline.com/mar-del-plata/</x:v>
      </x:c>
      <x:c r="K1639" s="16" t="b">
        <x:v>0</x:v>
      </x:c>
      <x:c r="L1639" s="11" t="n">
        <x:v>0</x:v>
      </x:c>
      <x:c r="M1639" s="11" t="n">
        <x:v>0</x:v>
      </x:c>
      <x:c r="N1639" s="4"/>
      <x:c r="O1639" s="4"/>
      <x:c r="P1639" s="11"/>
      <x:c r="Q1639" s="11" t="n">
        <x:v>0</x:v>
      </x:c>
      <x:c r="R1639" s="11" t="str">
        <x:f>IF(OR(P1639="",Q1639=""),"",Q1639-P1639)</x:f>
      </x:c>
      <x:c r="S1639" s="13" t="str">
        <x:f>IF(OR(P1639="",Q1639="",P1639=0),"",((Q1639/30)/(P1639/31))-1)</x:f>
      </x:c>
      <x:c r="T1639" s="11"/>
      <x:c r="U1639" s="11" t="n">
        <x:v>8</x:v>
      </x:c>
      <x:c r="V1639" s="14" t="n">
        <x:v>0</x:v>
      </x:c>
      <x:c r="W1639" s="12" t="n">
        <x:v>14.375</x:v>
      </x:c>
      <x:c r="X1639" s="11" t="n">
        <x:v>1</x:v>
      </x:c>
      <x:c r="Y1639" s="11" t="n">
        <x:v>1</x:v>
      </x:c>
      <x:c r="Z1639" s="4"/>
      <x:c r="AA1639" s="4" t="str">
        <x:v>https://blog.skyairline.com/mar-del-plata/</x:v>
      </x:c>
      <x:c r="AB1639" s="4" t="str">
        <x:v>Coincidencia URL</x:v>
      </x:c>
      <x:c r="AC1639" s="4" t="str">
        <x:v>Publicado hasta septiembre</x:v>
      </x:c>
      <x:c r="AD1639" s="4" t="str">
        <x:v>/mar-del-plata/</x:v>
      </x:c>
      <x:c r="AE1639" s="4"/>
      <x:c r="AF1639" s="16" t="b">
        <x:v>0</x:v>
      </x:c>
    </x:row>
    <x:row r="1640" ht="44" customHeight="1">
      <x:c r="A1640" s="4" t="n">
        <x:v>9231</x:v>
      </x:c>
      <x:c r="B1640" s="4" t="str">
        <x:v>https://blog.skyairline.com/san-antonio-de-areco/</x:v>
      </x:c>
      <x:c r="C1640" s="9" t="str">
        <x:v>Escapada a San Antonio de Areco, tradición cerca de Buenos Aires</x:v>
      </x:c>
      <x:c r="D1640" s="17" t="d">
        <x:v>2026-09-06T00:00:00.000Z</x:v>
      </x:c>
      <x:c r="E1640" s="17" t="d">
        <x:v>2026-09-04T00:00:00.000Z</x:v>
      </x:c>
      <x:c r="F1640" s="4" t="str">
        <x:v>Destinos</x:v>
      </x:c>
      <x:c r="G1640" s="11" t="n">
        <x:v>1062</x:v>
      </x:c>
      <x:c r="H1640" s="11" t="n">
        <x:v>200</x:v>
      </x:c>
      <x:c r="I1640" s="11" t="n">
        <x:v>1</x:v>
      </x:c>
      <x:c r="J1640" s="4" t="str">
        <x:v>https://blog.skyairline.com/san-antonio-de-areco/</x:v>
      </x:c>
      <x:c r="K1640" s="16" t="b">
        <x:v>0</x:v>
      </x:c>
      <x:c r="L1640" s="11" t="n">
        <x:v>0</x:v>
      </x:c>
      <x:c r="M1640" s="11" t="n">
        <x:v>0</x:v>
      </x:c>
      <x:c r="N1640" s="4"/>
      <x:c r="O1640" s="4"/>
      <x:c r="P1640" s="11"/>
      <x:c r="Q1640" s="11" t="n">
        <x:v>0</x:v>
      </x:c>
      <x:c r="R1640" s="11" t="str">
        <x:f>IF(OR(P1640="",Q1640=""),"",Q1640-P1640)</x:f>
      </x:c>
      <x:c r="S1640" s="13" t="str">
        <x:f>IF(OR(P1640="",Q1640="",P1640=0),"",((Q1640/30)/(P1640/31))-1)</x:f>
      </x:c>
      <x:c r="T1640" s="11"/>
      <x:c r="U1640" s="11" t="n">
        <x:v>36</x:v>
      </x:c>
      <x:c r="V1640" s="14" t="n">
        <x:v>0</x:v>
      </x:c>
      <x:c r="W1640" s="12" t="n">
        <x:v>10.805555555555555</x:v>
      </x:c>
      <x:c r="X1640" s="11" t="n">
        <x:v>1</x:v>
      </x:c>
      <x:c r="Y1640" s="11" t="n">
        <x:v>1</x:v>
      </x:c>
      <x:c r="Z1640" s="4"/>
      <x:c r="AA1640" s="4" t="str">
        <x:v>https://blog.skyairline.com/san-antonio-de-areco/</x:v>
      </x:c>
      <x:c r="AB1640" s="4" t="str">
        <x:v>Coincidencia URL</x:v>
      </x:c>
      <x:c r="AC1640" s="4" t="str">
        <x:v>Publicado hasta septiembre</x:v>
      </x:c>
      <x:c r="AD1640" s="4" t="str">
        <x:v>/san-antonio-de-areco/</x:v>
      </x:c>
      <x:c r="AE1640" s="4"/>
      <x:c r="AF1640" s="16" t="b">
        <x:v>0</x:v>
      </x:c>
    </x:row>
    <x:row r="1641" ht="44" customHeight="1">
      <x:c r="A1641" s="4" t="n">
        <x:v>9233</x:v>
      </x:c>
      <x:c r="B1641" s="4" t="str">
        <x:v>https://blog.skyairline.com/bahia-blanca/</x:v>
      </x:c>
      <x:c r="C1641" s="9" t="str">
        <x:v>Guía turística de Bahía Blanca: historia, cultura y mar</x:v>
      </x:c>
      <x:c r="D1641" s="17" t="d">
        <x:v>2026-09-07T00:00:00.000Z</x:v>
      </x:c>
      <x:c r="E1641" s="17" t="d">
        <x:v>2026-09-04T00:00:00.000Z</x:v>
      </x:c>
      <x:c r="F1641" s="4" t="str">
        <x:v>Destinos</x:v>
      </x:c>
      <x:c r="G1641" s="11" t="n">
        <x:v>1039</x:v>
      </x:c>
      <x:c r="H1641" s="11" t="n">
        <x:v>200</x:v>
      </x:c>
      <x:c r="I1641" s="11" t="n">
        <x:v>1</x:v>
      </x:c>
      <x:c r="J1641" s="4" t="str">
        <x:v>https://blog.skyairline.com/bahia-blanca/</x:v>
      </x:c>
      <x:c r="K1641" s="16" t="b">
        <x:v>0</x:v>
      </x:c>
      <x:c r="L1641" s="11" t="n">
        <x:v>0</x:v>
      </x:c>
      <x:c r="M1641" s="11" t="n">
        <x:v>0</x:v>
      </x:c>
      <x:c r="N1641" s="4"/>
      <x:c r="O1641" s="4"/>
      <x:c r="P1641" s="11"/>
      <x:c r="Q1641" s="11" t="n">
        <x:v>0</x:v>
      </x:c>
      <x:c r="R1641" s="11" t="str">
        <x:f>IF(OR(P1641="",Q1641=""),"",Q1641-P1641)</x:f>
      </x:c>
      <x:c r="S1641" s="13" t="str">
        <x:f>IF(OR(P1641="",Q1641="",P1641=0),"",((Q1641/30)/(P1641/31))-1)</x:f>
      </x:c>
      <x:c r="T1641" s="11"/>
      <x:c r="U1641" s="11" t="n">
        <x:v>309</x:v>
      </x:c>
      <x:c r="V1641" s="14" t="n">
        <x:v>0</x:v>
      </x:c>
      <x:c r="W1641" s="12" t="n">
        <x:v>9.268608414239482</x:v>
      </x:c>
      <x:c r="X1641" s="11" t="n">
        <x:v>1</x:v>
      </x:c>
      <x:c r="Y1641" s="11" t="n">
        <x:v>1</x:v>
      </x:c>
      <x:c r="Z1641" s="4"/>
      <x:c r="AA1641" s="4" t="str">
        <x:v>https://blog.skyairline.com/bahia-blanca/</x:v>
      </x:c>
      <x:c r="AB1641" s="4" t="str">
        <x:v>Coincidencia URL</x:v>
      </x:c>
      <x:c r="AC1641" s="4" t="str">
        <x:v>Publicado hasta septiembre</x:v>
      </x:c>
      <x:c r="AD1641" s="4" t="str">
        <x:v>/bahia-blanca/</x:v>
      </x:c>
      <x:c r="AE1641" s="4"/>
      <x:c r="AF1641" s="16" t="b">
        <x:v>0</x:v>
      </x:c>
    </x:row>
    <x:row r="1642" ht="44" customHeight="1">
      <x:c r="A1642" s="4" t="n">
        <x:v>9246</x:v>
      </x:c>
      <x:c r="B1642" s="4" t="str">
        <x:v>https://blog.skyairline.com/rosario-argentina-2/</x:v>
      </x:c>
      <x:c r="C1642" s="9" t="str">
        <x:v>Fin de semana en Rosario, Argentina</x:v>
      </x:c>
      <x:c r="D1642" s="17" t="d">
        <x:v>2026-09-07T00:00:00.000Z</x:v>
      </x:c>
      <x:c r="E1642" s="17" t="d">
        <x:v>2026-09-08T00:00:00.000Z</x:v>
      </x:c>
      <x:c r="F1642" s="4" t="str">
        <x:v>Destinos</x:v>
      </x:c>
      <x:c r="G1642" s="11" t="n">
        <x:v>1117</x:v>
      </x:c>
      <x:c r="H1642" s="11" t="n">
        <x:v>200</x:v>
      </x:c>
      <x:c r="I1642" s="11" t="n">
        <x:v>1</x:v>
      </x:c>
      <x:c r="J1642" s="4" t="str">
        <x:v>https://blog.skyairline.com/rosario-argentina-2/</x:v>
      </x:c>
      <x:c r="K1642" s="16" t="b">
        <x:v>0</x:v>
      </x:c>
      <x:c r="L1642" s="11" t="n">
        <x:v>0</x:v>
      </x:c>
      <x:c r="M1642" s="11" t="n">
        <x:v>0</x:v>
      </x:c>
      <x:c r="N1642" s="4"/>
      <x:c r="O1642" s="4"/>
      <x:c r="P1642" s="11"/>
      <x:c r="Q1642" s="11" t="n">
        <x:v>0</x:v>
      </x:c>
      <x:c r="R1642" s="11" t="str">
        <x:f>IF(OR(P1642="",Q1642=""),"",Q1642-P1642)</x:f>
      </x:c>
      <x:c r="S1642" s="13" t="str">
        <x:f>IF(OR(P1642="",Q1642="",P1642=0),"",((Q1642/30)/(P1642/31))-1)</x:f>
      </x:c>
      <x:c r="T1642" s="11"/>
      <x:c r="U1642" s="11" t="n">
        <x:v>6</x:v>
      </x:c>
      <x:c r="V1642" s="14" t="n">
        <x:v>0</x:v>
      </x:c>
      <x:c r="W1642" s="12" t="n">
        <x:v>6.833333333333333</x:v>
      </x:c>
      <x:c r="X1642" s="11" t="n">
        <x:v>1</x:v>
      </x:c>
      <x:c r="Y1642" s="11" t="n">
        <x:v>1</x:v>
      </x:c>
      <x:c r="Z1642" s="4"/>
      <x:c r="AA1642" s="4" t="str">
        <x:v>https://blog.skyairline.com/rosario-argentina-2/</x:v>
      </x:c>
      <x:c r="AB1642" s="4" t="str">
        <x:v>Coincidencia URL</x:v>
      </x:c>
      <x:c r="AC1642" s="4" t="str">
        <x:v>Publicado hasta septiembre</x:v>
      </x:c>
      <x:c r="AD1642" s="4" t="str">
        <x:v>/rosario-argentina-2/</x:v>
      </x:c>
      <x:c r="AE1642" s="4"/>
      <x:c r="AF1642" s="16" t="b">
        <x:v>0</x:v>
      </x:c>
    </x:row>
    <x:row r="1643" ht="44" customHeight="1">
      <x:c r="A1643" s="4" t="n">
        <x:v>9247</x:v>
      </x:c>
      <x:c r="B1643" s="4" t="str">
        <x:v>https://blog.skyairline.com/cordoba-argentina/</x:v>
      </x:c>
      <x:c r="C1643" s="9" t="str">
        <x:v>Qué visitar en Córdoba: Un recorrido por la capital cordobesa y sus tesoros escondidos</x:v>
      </x:c>
      <x:c r="D1643" s="17" t="d">
        <x:v>2026-09-08T00:00:00.000Z</x:v>
      </x:c>
      <x:c r="E1643" s="17" t="d">
        <x:v>2026-09-08T00:00:00.000Z</x:v>
      </x:c>
      <x:c r="F1643" s="4" t="str">
        <x:v>Destinos</x:v>
      </x:c>
      <x:c r="G1643" s="11" t="n">
        <x:v>1013</x:v>
      </x:c>
      <x:c r="H1643" s="11" t="n">
        <x:v>200</x:v>
      </x:c>
      <x:c r="I1643" s="11" t="n">
        <x:v>1</x:v>
      </x:c>
      <x:c r="J1643" s="4" t="str">
        <x:v>https://blog.skyairline.com/cordoba-argentina/</x:v>
      </x:c>
      <x:c r="K1643" s="16" t="b">
        <x:v>0</x:v>
      </x:c>
      <x:c r="L1643" s="11" t="n">
        <x:v>0</x:v>
      </x:c>
      <x:c r="M1643" s="11" t="n">
        <x:v>0</x:v>
      </x:c>
      <x:c r="N1643" s="4"/>
      <x:c r="O1643" s="4"/>
      <x:c r="P1643" s="11"/>
      <x:c r="Q1643" s="11" t="n">
        <x:v>0</x:v>
      </x:c>
      <x:c r="R1643" s="11" t="str">
        <x:f>IF(OR(P1643="",Q1643=""),"",Q1643-P1643)</x:f>
      </x:c>
      <x:c r="S1643" s="13" t="str">
        <x:f>IF(OR(P1643="",Q1643="",P1643=0),"",((Q1643/30)/(P1643/31))-1)</x:f>
      </x:c>
      <x:c r="T1643" s="11"/>
      <x:c r="U1643" s="11" t="n">
        <x:v>40</x:v>
      </x:c>
      <x:c r="V1643" s="14" t="n">
        <x:v>0</x:v>
      </x:c>
      <x:c r="W1643" s="12" t="n">
        <x:v>6.525</x:v>
      </x:c>
      <x:c r="X1643" s="11"/>
      <x:c r="Y1643" s="11"/>
      <x:c r="Z1643" s="4"/>
      <x:c r="AA1643" s="4" t="str">
        <x:v>https://blog.skyairline.com/cordoba-argentina/</x:v>
      </x:c>
      <x:c r="AB1643" s="4" t="str">
        <x:v>Coincidencia URL</x:v>
      </x:c>
      <x:c r="AC1643" s="4" t="str">
        <x:v>Publicado hasta septiembre</x:v>
      </x:c>
      <x:c r="AD1643" s="4"/>
      <x:c r="AE1643" s="4"/>
      <x:c r="AF1643" s="16" t="b">
        <x:v>0</x:v>
      </x:c>
    </x:row>
    <x:row r="1644" ht="44" customHeight="1">
      <x:c r="A1644" s="4" t="n">
        <x:v>9248</x:v>
      </x:c>
      <x:c r="B1644" s="4" t="str">
        <x:v>https://blog.skyairline.com/neuquen/</x:v>
      </x:c>
      <x:c r="C1644" s="9" t="str">
        <x:v>Neuquén: puerta de entrada a la Patagonia y la prehistoria</x:v>
      </x:c>
      <x:c r="D1644" s="17" t="d">
        <x:v>2026-09-08T00:00:00.000Z</x:v>
      </x:c>
      <x:c r="E1644" s="17" t="d">
        <x:v>2026-09-08T00:00:00.000Z</x:v>
      </x:c>
      <x:c r="F1644" s="4" t="str">
        <x:v>Destinos</x:v>
      </x:c>
      <x:c r="G1644" s="11" t="n">
        <x:v>1030</x:v>
      </x:c>
      <x:c r="H1644" s="11" t="n">
        <x:v>200</x:v>
      </x:c>
      <x:c r="I1644" s="11" t="n">
        <x:v>1</x:v>
      </x:c>
      <x:c r="J1644" s="4" t="str">
        <x:v>https://blog.skyairline.com/neuquen/</x:v>
      </x:c>
      <x:c r="K1644" s="16" t="b">
        <x:v>0</x:v>
      </x:c>
      <x:c r="L1644" s="11" t="n">
        <x:v>0</x:v>
      </x:c>
      <x:c r="M1644" s="11" t="n">
        <x:v>0</x:v>
      </x:c>
      <x:c r="N1644" s="4"/>
      <x:c r="O1644" s="4"/>
      <x:c r="P1644" s="11"/>
      <x:c r="Q1644" s="11" t="n">
        <x:v>0</x:v>
      </x:c>
      <x:c r="R1644" s="11" t="str">
        <x:f>IF(OR(P1644="",Q1644=""),"",Q1644-P1644)</x:f>
      </x:c>
      <x:c r="S1644" s="13" t="str">
        <x:f>IF(OR(P1644="",Q1644="",P1644=0),"",((Q1644/30)/(P1644/31))-1)</x:f>
      </x:c>
      <x:c r="T1644" s="11"/>
      <x:c r="U1644" s="11" t="n">
        <x:v>149</x:v>
      </x:c>
      <x:c r="V1644" s="14" t="n">
        <x:v>0</x:v>
      </x:c>
      <x:c r="W1644" s="12" t="n">
        <x:v>7.557046979865772</x:v>
      </x:c>
      <x:c r="X1644" s="11" t="n">
        <x:v>2</x:v>
      </x:c>
      <x:c r="Y1644" s="11" t="n">
        <x:v>2</x:v>
      </x:c>
      <x:c r="Z1644" s="4"/>
      <x:c r="AA1644" s="4" t="str">
        <x:v>https://blog.skyairline.com/neuquen/</x:v>
      </x:c>
      <x:c r="AB1644" s="4" t="str">
        <x:v>Coincidencia URL</x:v>
      </x:c>
      <x:c r="AC1644" s="4" t="str">
        <x:v>Publicado hasta septiembre</x:v>
      </x:c>
      <x:c r="AD1644" s="4" t="str">
        <x:v>/neuquen/</x:v>
      </x:c>
      <x:c r="AE1644" s="4"/>
      <x:c r="AF1644" s="16" t="b">
        <x:v>0</x:v>
      </x:c>
    </x:row>
    <x:row r="1645" ht="44" customHeight="1">
      <x:c r="A1645" s="4" t="n">
        <x:v>9255</x:v>
      </x:c>
      <x:c r="B1645" s="4" t="str">
        <x:v>https://blog.skyairline.com/puerto-iguazu/</x:v>
      </x:c>
      <x:c r="C1645" s="9" t="str">
        <x:v>Puerto Iguazú: guía para visitar las cataratas</x:v>
      </x:c>
      <x:c r="D1645" s="17" t="d">
        <x:v>2026-09-09T00:00:00.000Z</x:v>
      </x:c>
      <x:c r="E1645" s="17" t="d">
        <x:v>2026-09-08T00:00:00.000Z</x:v>
      </x:c>
      <x:c r="F1645" s="4" t="str">
        <x:v>Destinos</x:v>
      </x:c>
      <x:c r="G1645" s="11" t="n">
        <x:v>1069</x:v>
      </x:c>
      <x:c r="H1645" s="11" t="n">
        <x:v>200</x:v>
      </x:c>
      <x:c r="I1645" s="11" t="n">
        <x:v>1</x:v>
      </x:c>
      <x:c r="J1645" s="4" t="str">
        <x:v>https://blog.skyairline.com/puerto-iguazu/</x:v>
      </x:c>
      <x:c r="K1645" s="16" t="b">
        <x:v>0</x:v>
      </x:c>
      <x:c r="L1645" s="11" t="n">
        <x:v>0</x:v>
      </x:c>
      <x:c r="M1645" s="11" t="n">
        <x:v>0</x:v>
      </x:c>
      <x:c r="N1645" s="4"/>
      <x:c r="O1645" s="4"/>
      <x:c r="P1645" s="11"/>
      <x:c r="Q1645" s="11" t="n">
        <x:v>0</x:v>
      </x:c>
      <x:c r="R1645" s="11" t="str">
        <x:f>IF(OR(P1645="",Q1645=""),"",Q1645-P1645)</x:f>
      </x:c>
      <x:c r="S1645" s="13" t="str">
        <x:f>IF(OR(P1645="",Q1645="",P1645=0),"",((Q1645/30)/(P1645/31))-1)</x:f>
      </x:c>
      <x:c r="T1645" s="11"/>
      <x:c r="U1645" s="11" t="n">
        <x:v>181</x:v>
      </x:c>
      <x:c r="V1645" s="14" t="n">
        <x:v>0</x:v>
      </x:c>
      <x:c r="W1645" s="12" t="n">
        <x:v>9.762430939226519</x:v>
      </x:c>
      <x:c r="X1645" s="11" t="n">
        <x:v>2</x:v>
      </x:c>
      <x:c r="Y1645" s="11" t="n">
        <x:v>2</x:v>
      </x:c>
      <x:c r="Z1645" s="4"/>
      <x:c r="AA1645" s="4" t="str">
        <x:v>https://blog.skyairline.com/puerto-iguazu/</x:v>
      </x:c>
      <x:c r="AB1645" s="4" t="str">
        <x:v>Coincidencia URL</x:v>
      </x:c>
      <x:c r="AC1645" s="4" t="str">
        <x:v>Publicado hasta septiembre</x:v>
      </x:c>
      <x:c r="AD1645" s="4" t="str">
        <x:v>/puerto-iguazu/</x:v>
      </x:c>
      <x:c r="AE1645" s="4"/>
      <x:c r="AF1645" s="16" t="b">
        <x:v>0</x:v>
      </x:c>
    </x:row>
    <x:row r="1646" ht="44" customHeight="1">
      <x:c r="A1646" s="4" t="n">
        <x:v>9256</x:v>
      </x:c>
      <x:c r="B1646" s="4" t="str">
        <x:v>https://blog.skyairline.com/salta/</x:v>
      </x:c>
      <x:c r="C1646" s="9" t="str">
        <x:v>Qué hacer en Salta Capital: guía para descubrir &amp;#8216;La Linda’</x:v>
      </x:c>
      <x:c r="D1646" s="17" t="d">
        <x:v>2026-09-09T00:00:00.000Z</x:v>
      </x:c>
      <x:c r="E1646" s="17" t="d">
        <x:v>2026-09-08T00:00:00.000Z</x:v>
      </x:c>
      <x:c r="F1646" s="4" t="str">
        <x:v>Destinos</x:v>
      </x:c>
      <x:c r="G1646" s="11" t="n">
        <x:v>1020</x:v>
      </x:c>
      <x:c r="H1646" s="11" t="n">
        <x:v>200</x:v>
      </x:c>
      <x:c r="I1646" s="11" t="n">
        <x:v>1</x:v>
      </x:c>
      <x:c r="J1646" s="4" t="str">
        <x:v>https://blog.skyairline.com/salta/</x:v>
      </x:c>
      <x:c r="K1646" s="16" t="b">
        <x:v>0</x:v>
      </x:c>
      <x:c r="L1646" s="11" t="n">
        <x:v>0</x:v>
      </x:c>
      <x:c r="M1646" s="11" t="n">
        <x:v>0</x:v>
      </x:c>
      <x:c r="N1646" s="4"/>
      <x:c r="O1646" s="4"/>
      <x:c r="P1646" s="11"/>
      <x:c r="Q1646" s="11" t="n">
        <x:v>0</x:v>
      </x:c>
      <x:c r="R1646" s="11" t="str">
        <x:f>IF(OR(P1646="",Q1646=""),"",Q1646-P1646)</x:f>
      </x:c>
      <x:c r="S1646" s="13" t="str">
        <x:f>IF(OR(P1646="",Q1646="",P1646=0),"",((Q1646/30)/(P1646/31))-1)</x:f>
      </x:c>
      <x:c r="T1646" s="11"/>
      <x:c r="U1646" s="11" t="n">
        <x:v>143</x:v>
      </x:c>
      <x:c r="V1646" s="14" t="n">
        <x:v>0</x:v>
      </x:c>
      <x:c r="W1646" s="12" t="n">
        <x:v>10.888111888111888</x:v>
      </x:c>
      <x:c r="X1646" s="11"/>
      <x:c r="Y1646" s="11"/>
      <x:c r="Z1646" s="4"/>
      <x:c r="AA1646" s="4" t="str">
        <x:v>https://blog.skyairline.com/salta/</x:v>
      </x:c>
      <x:c r="AB1646" s="4" t="str">
        <x:v>Coincidencia URL</x:v>
      </x:c>
      <x:c r="AC1646" s="4" t="str">
        <x:v>Publicado hasta septiembre</x:v>
      </x:c>
      <x:c r="AD1646" s="4"/>
      <x:c r="AE1646" s="4"/>
      <x:c r="AF1646" s="16" t="b">
        <x:v>0</x:v>
      </x:c>
    </x:row>
    <x:row r="1647" ht="44" customHeight="1">
      <x:c r="A1647" s="4" t="n">
        <x:v>9276</x:v>
      </x:c>
      <x:c r="B1647" s="4" t="str">
        <x:v>https://blog.skyairline.com/saltos-del-petrohue/</x:v>
      </x:c>
      <x:c r="C1647" s="9" t="str">
        <x:v>Saltos del Petrohué: visita este punto turístico ubicado a 64 km de Puerto Varas</x:v>
      </x:c>
      <x:c r="D1647" s="17" t="d">
        <x:v>2026-09-13T00:00:00.000Z</x:v>
      </x:c>
      <x:c r="E1647" s="17" t="d">
        <x:v>2026-09-09T00:00:00.000Z</x:v>
      </x:c>
      <x:c r="F1647" s="4" t="str">
        <x:v>Planificación de Viaje</x:v>
      </x:c>
      <x:c r="G1647" s="11" t="n">
        <x:v>979</x:v>
      </x:c>
      <x:c r="H1647" s="11" t="n">
        <x:v>200</x:v>
      </x:c>
      <x:c r="I1647" s="11" t="n">
        <x:v>1</x:v>
      </x:c>
      <x:c r="J1647" s="4" t="str">
        <x:v>https://blog.skyairline.com/saltos-del-petrohue/</x:v>
      </x:c>
      <x:c r="K1647" s="16" t="b">
        <x:v>0</x:v>
      </x:c>
      <x:c r="L1647" s="11" t="n">
        <x:v>0</x:v>
      </x:c>
      <x:c r="M1647" s="11" t="n">
        <x:v>0</x:v>
      </x:c>
      <x:c r="N1647" s="4"/>
      <x:c r="O1647" s="4"/>
      <x:c r="P1647" s="11"/>
      <x:c r="Q1647" s="11" t="n">
        <x:v>0</x:v>
      </x:c>
      <x:c r="R1647" s="11" t="str">
        <x:f>IF(OR(P1647="",Q1647=""),"",Q1647-P1647)</x:f>
      </x:c>
      <x:c r="S1647" s="13" t="str">
        <x:f>IF(OR(P1647="",Q1647="",P1647=0),"",((Q1647/30)/(P1647/31))-1)</x:f>
      </x:c>
      <x:c r="T1647" s="11"/>
      <x:c r="U1647" s="11" t="n">
        <x:v>252</x:v>
      </x:c>
      <x:c r="V1647" s="14" t="n">
        <x:v>0</x:v>
      </x:c>
      <x:c r="W1647" s="12" t="n">
        <x:v>9.583333333333334</x:v>
      </x:c>
      <x:c r="X1647" s="11" t="n">
        <x:v>4</x:v>
      </x:c>
      <x:c r="Y1647" s="11" t="n">
        <x:v>5</x:v>
      </x:c>
      <x:c r="Z1647" s="4"/>
      <x:c r="AA1647" s="4" t="str">
        <x:v>https://blog.skyairline.com/saltos-del-petrohue/</x:v>
      </x:c>
      <x:c r="AB1647" s="4" t="str">
        <x:v>Coincidencia URL</x:v>
      </x:c>
      <x:c r="AC1647" s="4" t="str">
        <x:v>Publicado hasta septiembre</x:v>
      </x:c>
      <x:c r="AD1647" s="4" t="str">
        <x:v>/saltos-del-petrohue/</x:v>
      </x:c>
      <x:c r="AE1647" s="4"/>
      <x:c r="AF1647" s="16" t="b">
        <x:v>0</x:v>
      </x:c>
    </x:row>
    <x:row r="1648" ht="44" customHeight="1">
      <x:c r="A1648" s="4" t="n">
        <x:v>9282</x:v>
      </x:c>
      <x:c r="B1648" s="4" t="str">
        <x:v>https://blog.skyairline.com/blumenau/</x:v>
      </x:c>
      <x:c r="C1648" s="9" t="str">
        <x:v>Guía turística de Blumenau: la capital alemana y de la cerveza en el sur de Brasil</x:v>
      </x:c>
      <x:c r="D1648" s="17" t="d">
        <x:v>2026-09-14T00:00:00.000Z</x:v>
      </x:c>
      <x:c r="E1648" s="17" t="d">
        <x:v>2026-09-09T00:00:00.000Z</x:v>
      </x:c>
      <x:c r="F1648" s="4" t="str">
        <x:v>Destinos</x:v>
      </x:c>
      <x:c r="G1648" s="11" t="n">
        <x:v>1036</x:v>
      </x:c>
      <x:c r="H1648" s="11" t="n">
        <x:v>200</x:v>
      </x:c>
      <x:c r="I1648" s="11" t="n">
        <x:v>1</x:v>
      </x:c>
      <x:c r="J1648" s="4" t="str">
        <x:v>https://blog.skyairline.com/blumenau/</x:v>
      </x:c>
      <x:c r="K1648" s="16" t="b">
        <x:v>0</x:v>
      </x:c>
      <x:c r="L1648" s="11" t="n">
        <x:v>0</x:v>
      </x:c>
      <x:c r="M1648" s="11" t="n">
        <x:v>0</x:v>
      </x:c>
      <x:c r="N1648" s="4"/>
      <x:c r="O1648" s="4"/>
      <x:c r="P1648" s="11"/>
      <x:c r="Q1648" s="11" t="n">
        <x:v>0</x:v>
      </x:c>
      <x:c r="R1648" s="11" t="str">
        <x:f>IF(OR(P1648="",Q1648=""),"",Q1648-P1648)</x:f>
      </x:c>
      <x:c r="S1648" s="13" t="str">
        <x:f>IF(OR(P1648="",Q1648="",P1648=0),"",((Q1648/30)/(P1648/31))-1)</x:f>
      </x:c>
      <x:c r="T1648" s="11"/>
      <x:c r="U1648" s="11" t="n">
        <x:v>418</x:v>
      </x:c>
      <x:c r="V1648" s="14" t="n">
        <x:v>0</x:v>
      </x:c>
      <x:c r="W1648" s="12" t="n">
        <x:v>10.263157894736842</x:v>
      </x:c>
      <x:c r="X1648" s="11" t="n">
        <x:v>2</x:v>
      </x:c>
      <x:c r="Y1648" s="11" t="n">
        <x:v>2</x:v>
      </x:c>
      <x:c r="Z1648" s="4"/>
      <x:c r="AA1648" s="4" t="str">
        <x:v>https://blog.skyairline.com/blumenau
https://blog.skyairline.com/blumenau/</x:v>
      </x:c>
      <x:c r="AB1648" s="4" t="str">
        <x:v>Alias slash agregado</x:v>
      </x:c>
      <x:c r="AC1648" s="4" t="str">
        <x:v>Publicado hasta septiembre</x:v>
      </x:c>
      <x:c r="AD1648" s="4" t="str">
        <x:v>/blumenau/</x:v>
      </x:c>
      <x:c r="AE1648" s="4"/>
      <x:c r="AF1648" s="16" t="b">
        <x:v>0</x:v>
      </x:c>
    </x:row>
    <x:row r="1649" ht="44" customHeight="1">
      <x:c r="A1649" s="4" t="n">
        <x:v>9285</x:v>
      </x:c>
      <x:c r="B1649" s="4" t="str">
        <x:v>https://blog.skyairline.com/gramado/</x:v>
      </x:c>
      <x:c r="C1649" s="9" t="str">
        <x:v>Guía turística de Gramado: un cuento de hadas a 2 horas de Porto Alegre</x:v>
      </x:c>
      <x:c r="D1649" s="17" t="d">
        <x:v>2026-09-15T00:00:00.000Z</x:v>
      </x:c>
      <x:c r="E1649" s="17" t="d">
        <x:v>2026-09-09T00:00:00.000Z</x:v>
      </x:c>
      <x:c r="F1649" s="4" t="str">
        <x:v>Destinos</x:v>
      </x:c>
      <x:c r="G1649" s="11" t="n">
        <x:v>985</x:v>
      </x:c>
      <x:c r="H1649" s="11" t="n">
        <x:v>200</x:v>
      </x:c>
      <x:c r="I1649" s="11" t="n">
        <x:v>1</x:v>
      </x:c>
      <x:c r="J1649" s="4" t="str">
        <x:v>https://blog.skyairline.com/gramado/</x:v>
      </x:c>
      <x:c r="K1649" s="16" t="b">
        <x:v>0</x:v>
      </x:c>
      <x:c r="L1649" s="11" t="n">
        <x:v>0</x:v>
      </x:c>
      <x:c r="M1649" s="11" t="n">
        <x:v>0</x:v>
      </x:c>
      <x:c r="N1649" s="4"/>
      <x:c r="O1649" s="4"/>
      <x:c r="P1649" s="11"/>
      <x:c r="Q1649" s="11" t="n">
        <x:v>0</x:v>
      </x:c>
      <x:c r="R1649" s="11" t="str">
        <x:f>IF(OR(P1649="",Q1649=""),"",Q1649-P1649)</x:f>
      </x:c>
      <x:c r="S1649" s="13" t="str">
        <x:f>IF(OR(P1649="",Q1649="",P1649=0),"",((Q1649/30)/(P1649/31))-1)</x:f>
      </x:c>
      <x:c r="T1649" s="11"/>
      <x:c r="U1649" s="11" t="n">
        <x:v>344</x:v>
      </x:c>
      <x:c r="V1649" s="14" t="n">
        <x:v>0</x:v>
      </x:c>
      <x:c r="W1649" s="12" t="n">
        <x:v>10.921511627906977</x:v>
      </x:c>
      <x:c r="X1649" s="11" t="n">
        <x:v>2</x:v>
      </x:c>
      <x:c r="Y1649" s="11" t="n">
        <x:v>2</x:v>
      </x:c>
      <x:c r="Z1649" s="4"/>
      <x:c r="AA1649" s="4" t="str">
        <x:v>https://blog.skyairline.com/gramado/</x:v>
      </x:c>
      <x:c r="AB1649" s="4" t="str">
        <x:v>Coincidencia URL</x:v>
      </x:c>
      <x:c r="AC1649" s="4" t="str">
        <x:v>Publicado hasta septiembre</x:v>
      </x:c>
      <x:c r="AD1649" s="4" t="str">
        <x:v>/gramado/</x:v>
      </x:c>
      <x:c r="AE1649" s="4"/>
      <x:c r="AF1649" s="16" t="b">
        <x:v>0</x:v>
      </x:c>
    </x:row>
    <x:row r="1650" ht="44" customHeight="1">
      <x:c r="A1650" s="4" t="n">
        <x:v>9288</x:v>
      </x:c>
      <x:c r="B1650" s="4" t="str">
        <x:v>https://blog.skyairline.com/pomerode/</x:v>
      </x:c>
      <x:c r="C1650" s="9" t="str">
        <x:v>Guía turística de Pomerode: una ciudad con una fuerte influencia alemana</x:v>
      </x:c>
      <x:c r="D1650" s="17" t="d">
        <x:v>2026-09-15T00:00:00.000Z</x:v>
      </x:c>
      <x:c r="E1650" s="17" t="d">
        <x:v>2026-09-09T00:00:00.000Z</x:v>
      </x:c>
      <x:c r="F1650" s="4" t="str">
        <x:v>Destinos</x:v>
      </x:c>
      <x:c r="G1650" s="11" t="n">
        <x:v>1143</x:v>
      </x:c>
      <x:c r="H1650" s="11" t="n">
        <x:v>200</x:v>
      </x:c>
      <x:c r="I1650" s="11" t="n">
        <x:v>1</x:v>
      </x:c>
      <x:c r="J1650" s="4" t="str">
        <x:v>https://blog.skyairline.com/pomerode/</x:v>
      </x:c>
      <x:c r="K1650" s="16" t="b">
        <x:v>0</x:v>
      </x:c>
      <x:c r="L1650" s="11" t="n">
        <x:v>0</x:v>
      </x:c>
      <x:c r="M1650" s="11" t="n">
        <x:v>0</x:v>
      </x:c>
      <x:c r="N1650" s="4"/>
      <x:c r="O1650" s="4"/>
      <x:c r="P1650" s="11"/>
      <x:c r="Q1650" s="11" t="n">
        <x:v>0</x:v>
      </x:c>
      <x:c r="R1650" s="11" t="str">
        <x:f>IF(OR(P1650="",Q1650=""),"",Q1650-P1650)</x:f>
      </x:c>
      <x:c r="S1650" s="13" t="str">
        <x:f>IF(OR(P1650="",Q1650="",P1650=0),"",((Q1650/30)/(P1650/31))-1)</x:f>
      </x:c>
      <x:c r="T1650" s="11"/>
      <x:c r="U1650" s="11" t="n">
        <x:v>225</x:v>
      </x:c>
      <x:c r="V1650" s="14" t="n">
        <x:v>0</x:v>
      </x:c>
      <x:c r="W1650" s="12" t="n">
        <x:v>8.755555555555556</x:v>
      </x:c>
      <x:c r="X1650" s="11" t="n">
        <x:v>2</x:v>
      </x:c>
      <x:c r="Y1650" s="11" t="n">
        <x:v>2</x:v>
      </x:c>
      <x:c r="Z1650" s="4"/>
      <x:c r="AA1650" s="4" t="str">
        <x:v>https://blog.skyairline.com/pomerode/</x:v>
      </x:c>
      <x:c r="AB1650" s="4" t="str">
        <x:v>Coincidencia URL</x:v>
      </x:c>
      <x:c r="AC1650" s="4" t="str">
        <x:v>Publicado hasta septiembre</x:v>
      </x:c>
      <x:c r="AD1650" s="4" t="str">
        <x:v>/pomerode/</x:v>
      </x:c>
      <x:c r="AE1650" s="4"/>
      <x:c r="AF1650" s="16" t="b">
        <x:v>0</x:v>
      </x:c>
    </x:row>
    <x:row r="1651" ht="44" customHeight="1">
      <x:c r="A1651" s="4" t="n">
        <x:v>9294</x:v>
      </x:c>
      <x:c r="B1651" s="4" t="str">
        <x:v>https://blog.skyairline.com/campos-do-jordao/</x:v>
      </x:c>
      <x:c r="C1651" s="9" t="str">
        <x:v>Campos do Jordão: uno de los destinos más románticos de Brasil</x:v>
      </x:c>
      <x:c r="D1651" s="17" t="d">
        <x:v>2026-09-16T00:00:00.000Z</x:v>
      </x:c>
      <x:c r="E1651" s="17" t="d">
        <x:v>2026-09-09T00:00:00.000Z</x:v>
      </x:c>
      <x:c r="F1651" s="4" t="str">
        <x:v>Destinos</x:v>
      </x:c>
      <x:c r="G1651" s="11" t="n">
        <x:v>1131</x:v>
      </x:c>
      <x:c r="H1651" s="11" t="n">
        <x:v>200</x:v>
      </x:c>
      <x:c r="I1651" s="11" t="n">
        <x:v>1</x:v>
      </x:c>
      <x:c r="J1651" s="4" t="str">
        <x:v>https://blog.skyairline.com/campos-do-jordao/</x:v>
      </x:c>
      <x:c r="K1651" s="16" t="b">
        <x:v>0</x:v>
      </x:c>
      <x:c r="L1651" s="11" t="n">
        <x:v>0</x:v>
      </x:c>
      <x:c r="M1651" s="11" t="n">
        <x:v>0</x:v>
      </x:c>
      <x:c r="N1651" s="4"/>
      <x:c r="O1651" s="4"/>
      <x:c r="P1651" s="11"/>
      <x:c r="Q1651" s="11" t="n">
        <x:v>0</x:v>
      </x:c>
      <x:c r="R1651" s="11" t="str">
        <x:f>IF(OR(P1651="",Q1651=""),"",Q1651-P1651)</x:f>
      </x:c>
      <x:c r="S1651" s="13" t="str">
        <x:f>IF(OR(P1651="",Q1651="",P1651=0),"",((Q1651/30)/(P1651/31))-1)</x:f>
      </x:c>
      <x:c r="T1651" s="11"/>
      <x:c r="U1651" s="11" t="n">
        <x:v>19</x:v>
      </x:c>
      <x:c r="V1651" s="14" t="n">
        <x:v>0</x:v>
      </x:c>
      <x:c r="W1651" s="12" t="n">
        <x:v>6.894736842105263</x:v>
      </x:c>
      <x:c r="X1651" s="11"/>
      <x:c r="Y1651" s="11"/>
      <x:c r="Z1651" s="4"/>
      <x:c r="AA1651" s="4" t="str">
        <x:v>https://blog.skyairline.com/campos-do-jordao/</x:v>
      </x:c>
      <x:c r="AB1651" s="4" t="str">
        <x:v>Coincidencia URL</x:v>
      </x:c>
      <x:c r="AC1651" s="4" t="str">
        <x:v>Publicado hasta septiembre</x:v>
      </x:c>
      <x:c r="AD1651" s="4"/>
      <x:c r="AE1651" s="4"/>
      <x:c r="AF1651" s="16" t="b">
        <x:v>0</x:v>
      </x:c>
    </x:row>
    <x:row r="1652" ht="44" customHeight="1">
      <x:c r="A1652" s="4" t="n">
        <x:v>9297</x:v>
      </x:c>
      <x:c r="B1652" s="4" t="str">
        <x:v>https://blog.skyairline.com/peulla/</x:v>
      </x:c>
      <x:c r="C1652" s="9" t="str">
        <x:v>Peulla: visita esta pequeña villa ecológica escondida en la Patagonia chilena</x:v>
      </x:c>
      <x:c r="D1652" s="17" t="d">
        <x:v>2026-09-17T00:00:00.000Z</x:v>
      </x:c>
      <x:c r="E1652" s="17" t="d">
        <x:v>2026-09-09T00:00:00.000Z</x:v>
      </x:c>
      <x:c r="F1652" s="4" t="str">
        <x:v>Destinos</x:v>
      </x:c>
      <x:c r="G1652" s="11" t="n">
        <x:v>1100</x:v>
      </x:c>
      <x:c r="H1652" s="11" t="n">
        <x:v>200</x:v>
      </x:c>
      <x:c r="I1652" s="11" t="n">
        <x:v>1</x:v>
      </x:c>
      <x:c r="J1652" s="4" t="str">
        <x:v>https://blog.skyairline.com/peulla/</x:v>
      </x:c>
      <x:c r="K1652" s="16" t="b">
        <x:v>0</x:v>
      </x:c>
      <x:c r="L1652" s="11" t="n">
        <x:v>0</x:v>
      </x:c>
      <x:c r="M1652" s="11" t="n">
        <x:v>0</x:v>
      </x:c>
      <x:c r="N1652" s="4"/>
      <x:c r="O1652" s="4"/>
      <x:c r="P1652" s="11"/>
      <x:c r="Q1652" s="11" t="n">
        <x:v>0</x:v>
      </x:c>
      <x:c r="R1652" s="11" t="str">
        <x:f>IF(OR(P1652="",Q1652=""),"",Q1652-P1652)</x:f>
      </x:c>
      <x:c r="S1652" s="13" t="str">
        <x:f>IF(OR(P1652="",Q1652="",P1652=0),"",((Q1652/30)/(P1652/31))-1)</x:f>
      </x:c>
      <x:c r="T1652" s="11"/>
      <x:c r="U1652" s="11" t="n">
        <x:v>48</x:v>
      </x:c>
      <x:c r="V1652" s="14" t="n">
        <x:v>0</x:v>
      </x:c>
      <x:c r="W1652" s="12" t="n">
        <x:v>10.375</x:v>
      </x:c>
      <x:c r="X1652" s="11"/>
      <x:c r="Y1652" s="11"/>
      <x:c r="Z1652" s="4"/>
      <x:c r="AA1652" s="4" t="str">
        <x:v>https://blog.skyairline.com/peulla/</x:v>
      </x:c>
      <x:c r="AB1652" s="4" t="str">
        <x:v>Coincidencia URL</x:v>
      </x:c>
      <x:c r="AC1652" s="4" t="str">
        <x:v>Publicado hasta septiembre</x:v>
      </x:c>
      <x:c r="AD1652" s="4"/>
      <x:c r="AE1652" s="4"/>
      <x:c r="AF1652" s="16" t="b">
        <x:v>0</x:v>
      </x:c>
    </x:row>
    <x:row r="1653" ht="44" customHeight="1">
      <x:c r="A1653" s="4" t="n">
        <x:v>9300</x:v>
      </x:c>
      <x:c r="B1653" s="4" t="str">
        <x:v>https://blog.skyairline.com/curitiba/</x:v>
      </x:c>
      <x:c r="C1653" s="9" t="str">
        <x:v>Guía turística de Curitiba: una ciudad inteligente</x:v>
      </x:c>
      <x:c r="D1653" s="17" t="d">
        <x:v>2026-09-17T00:00:00.000Z</x:v>
      </x:c>
      <x:c r="E1653" s="17" t="d">
        <x:v>2026-09-09T00:00:00.000Z</x:v>
      </x:c>
      <x:c r="F1653" s="4" t="str">
        <x:v>Destinos</x:v>
      </x:c>
      <x:c r="G1653" s="11" t="n">
        <x:v>1025</x:v>
      </x:c>
      <x:c r="H1653" s="11" t="n">
        <x:v>200</x:v>
      </x:c>
      <x:c r="I1653" s="11" t="n">
        <x:v>1</x:v>
      </x:c>
      <x:c r="J1653" s="4" t="str">
        <x:v>https://blog.skyairline.com/curitiba/</x:v>
      </x:c>
      <x:c r="K1653" s="16" t="b">
        <x:v>0</x:v>
      </x:c>
      <x:c r="L1653" s="11" t="n">
        <x:v>0</x:v>
      </x:c>
      <x:c r="M1653" s="11" t="n">
        <x:v>0</x:v>
      </x:c>
      <x:c r="N1653" s="4"/>
      <x:c r="O1653" s="4"/>
      <x:c r="P1653" s="11"/>
      <x:c r="Q1653" s="11" t="n">
        <x:v>0</x:v>
      </x:c>
      <x:c r="R1653" s="11" t="str">
        <x:f>IF(OR(P1653="",Q1653=""),"",Q1653-P1653)</x:f>
      </x:c>
      <x:c r="S1653" s="13" t="str">
        <x:f>IF(OR(P1653="",Q1653="",P1653=0),"",((Q1653/30)/(P1653/31))-1)</x:f>
      </x:c>
      <x:c r="T1653" s="11"/>
      <x:c r="U1653" s="11" t="n">
        <x:v>136</x:v>
      </x:c>
      <x:c r="V1653" s="14" t="n">
        <x:v>0</x:v>
      </x:c>
      <x:c r="W1653" s="12" t="n">
        <x:v>8.933823529411764</x:v>
      </x:c>
      <x:c r="X1653" s="11"/>
      <x:c r="Y1653" s="11"/>
      <x:c r="Z1653" s="4"/>
      <x:c r="AA1653" s="4" t="str">
        <x:v>https://blog.skyairline.com/curitiba/</x:v>
      </x:c>
      <x:c r="AB1653" s="4" t="str">
        <x:v>Coincidencia URL</x:v>
      </x:c>
      <x:c r="AC1653" s="4" t="str">
        <x:v>Publicado hasta septiembre</x:v>
      </x:c>
      <x:c r="AD1653" s="4"/>
      <x:c r="AE1653" s="4"/>
      <x:c r="AF1653" s="16" t="b">
        <x:v>0</x:v>
      </x:c>
    </x:row>
    <x:row r="1654" ht="44" customHeight="1">
      <x:c r="A1654" s="4" t="n">
        <x:v>9304</x:v>
      </x:c>
      <x:c r="B1654" s="4" t="str">
        <x:v>https://blog.skyairline.com/puerto-madryn/</x:v>
      </x:c>
      <x:c r="C1654" s="9" t="str">
        <x:v>Puerto Madryn: es un destino con fama mundial para disfrutar del avisaje de la fauna marina</x:v>
      </x:c>
      <x:c r="D1654" s="17" t="d">
        <x:v>2026-09-21T00:00:00.000Z</x:v>
      </x:c>
      <x:c r="E1654" s="17" t="d">
        <x:v>2026-09-15T00:00:00.000Z</x:v>
      </x:c>
      <x:c r="F1654" s="4" t="str">
        <x:v>Destinos</x:v>
      </x:c>
      <x:c r="G1654" s="11" t="n">
        <x:v>998</x:v>
      </x:c>
      <x:c r="H1654" s="11" t="n">
        <x:v>200</x:v>
      </x:c>
      <x:c r="I1654" s="11" t="n">
        <x:v>1</x:v>
      </x:c>
      <x:c r="J1654" s="4" t="str">
        <x:v>https://blog.skyairline.com/puerto-madryn/</x:v>
      </x:c>
      <x:c r="K1654" s="16" t="b">
        <x:v>0</x:v>
      </x:c>
      <x:c r="L1654" s="11" t="n">
        <x:v>0</x:v>
      </x:c>
      <x:c r="M1654" s="11" t="n">
        <x:v>0</x:v>
      </x:c>
      <x:c r="N1654" s="4"/>
      <x:c r="O1654" s="4"/>
      <x:c r="P1654" s="11"/>
      <x:c r="Q1654" s="11" t="n">
        <x:v>0</x:v>
      </x:c>
      <x:c r="R1654" s="11" t="str">
        <x:f>IF(OR(P1654="",Q1654=""),"",Q1654-P1654)</x:f>
      </x:c>
      <x:c r="S1654" s="13" t="str">
        <x:f>IF(OR(P1654="",Q1654="",P1654=0),"",((Q1654/30)/(P1654/31))-1)</x:f>
      </x:c>
      <x:c r="T1654" s="11"/>
      <x:c r="U1654" s="11" t="n">
        <x:v>36</x:v>
      </x:c>
      <x:c r="V1654" s="14" t="n">
        <x:v>0</x:v>
      </x:c>
      <x:c r="W1654" s="12" t="n">
        <x:v>5.833333333333333</x:v>
      </x:c>
      <x:c r="X1654" s="11" t="n">
        <x:v>1</x:v>
      </x:c>
      <x:c r="Y1654" s="11" t="n">
        <x:v>1</x:v>
      </x:c>
      <x:c r="Z1654" s="4"/>
      <x:c r="AA1654" s="4" t="str">
        <x:v>https://blog.skyairline.com/puerto-madryn/</x:v>
      </x:c>
      <x:c r="AB1654" s="4" t="str">
        <x:v>Coincidencia URL</x:v>
      </x:c>
      <x:c r="AC1654" s="4" t="str">
        <x:v>Publicado hasta septiembre</x:v>
      </x:c>
      <x:c r="AD1654" s="4" t="str">
        <x:v>/puerto-madryn/</x:v>
      </x:c>
      <x:c r="AE1654" s="4"/>
      <x:c r="AF1654" s="16" t="b">
        <x:v>0</x:v>
      </x:c>
    </x:row>
    <x:row r="1655" ht="44" customHeight="1">
      <x:c r="A1655" s="4" t="n">
        <x:v>9306</x:v>
      </x:c>
      <x:c r="B1655" s="4" t="str">
        <x:v>https://blog.skyairline.com/vuelos-talara/</x:v>
      </x:c>
      <x:c r="C1655" s="9" t="str">
        <x:v>Vuelos a Talara: la entrada a las playas de las costas peruanas</x:v>
      </x:c>
      <x:c r="D1655" s="17" t="d">
        <x:v>2026-09-19T00:00:00.000Z</x:v>
      </x:c>
      <x:c r="E1655" s="17" t="d">
        <x:v>2026-09-15T00:00:00.000Z</x:v>
      </x:c>
      <x:c r="F1655" s="4" t="str">
        <x:v>Destinos</x:v>
      </x:c>
      <x:c r="G1655" s="11" t="n">
        <x:v>1003</x:v>
      </x:c>
      <x:c r="H1655" s="11" t="n">
        <x:v>200</x:v>
      </x:c>
      <x:c r="I1655" s="11" t="n">
        <x:v>1</x:v>
      </x:c>
      <x:c r="J1655" s="4" t="str">
        <x:v>https://blog.skyairline.com/vuelos-talara/</x:v>
      </x:c>
      <x:c r="K1655" s="16" t="b">
        <x:v>0</x:v>
      </x:c>
      <x:c r="L1655" s="11" t="n">
        <x:v>0</x:v>
      </x:c>
      <x:c r="M1655" s="11" t="n">
        <x:v>0</x:v>
      </x:c>
      <x:c r="N1655" s="4"/>
      <x:c r="O1655" s="4"/>
      <x:c r="P1655" s="11"/>
      <x:c r="Q1655" s="11" t="n">
        <x:v>0</x:v>
      </x:c>
      <x:c r="R1655" s="11" t="str">
        <x:f>IF(OR(P1655="",Q1655=""),"",Q1655-P1655)</x:f>
      </x:c>
      <x:c r="S1655" s="13" t="str">
        <x:f>IF(OR(P1655="",Q1655="",P1655=0),"",((Q1655/30)/(P1655/31))-1)</x:f>
      </x:c>
      <x:c r="T1655" s="11"/>
      <x:c r="U1655" s="11" t="n">
        <x:v>87</x:v>
      </x:c>
      <x:c r="V1655" s="14" t="n">
        <x:v>0</x:v>
      </x:c>
      <x:c r="W1655" s="12" t="n">
        <x:v>4.74712643678161</x:v>
      </x:c>
      <x:c r="X1655" s="11" t="n">
        <x:v>3</x:v>
      </x:c>
      <x:c r="Y1655" s="11" t="n">
        <x:v>3</x:v>
      </x:c>
      <x:c r="Z1655" s="4"/>
      <x:c r="AA1655" s="4" t="str">
        <x:v>https://blog.skyairline.com/vuelos-talara/</x:v>
      </x:c>
      <x:c r="AB1655" s="4" t="str">
        <x:v>Coincidencia URL</x:v>
      </x:c>
      <x:c r="AC1655" s="4" t="str">
        <x:v>Publicado hasta septiembre</x:v>
      </x:c>
      <x:c r="AD1655" s="4" t="str">
        <x:v>/vuelos-talara/</x:v>
      </x:c>
      <x:c r="AE1655" s="4"/>
      <x:c r="AF1655" s="16" t="b">
        <x:v>0</x:v>
      </x:c>
    </x:row>
    <x:row r="1656" ht="44" customHeight="1">
      <x:c r="A1656" s="4" t="n">
        <x:v>9308</x:v>
      </x:c>
      <x:c r="B1656" s="4" t="str">
        <x:v>https://blog.skyairline.com/vuelos-a-cajamarca/</x:v>
      </x:c>
      <x:c r="C1656" s="9" t="str">
        <x:v>Vuelos a Cajamarca Perú: el principal escenario del encuentro entre el Imperio Inca y los españoles</x:v>
      </x:c>
      <x:c r="D1656" s="17" t="d">
        <x:v>2026-09-18T00:00:00.000Z</x:v>
      </x:c>
      <x:c r="E1656" s="17" t="d">
        <x:v>2026-09-15T00:00:00.000Z</x:v>
      </x:c>
      <x:c r="F1656" s="4" t="str">
        <x:v>Destinos</x:v>
      </x:c>
      <x:c r="G1656" s="11" t="n">
        <x:v>987</x:v>
      </x:c>
      <x:c r="H1656" s="11" t="n">
        <x:v>200</x:v>
      </x:c>
      <x:c r="I1656" s="11" t="n">
        <x:v>1</x:v>
      </x:c>
      <x:c r="J1656" s="4" t="str">
        <x:v>https://blog.skyairline.com/vuelos-a-cajamarca/</x:v>
      </x:c>
      <x:c r="K1656" s="16" t="b">
        <x:v>0</x:v>
      </x:c>
      <x:c r="L1656" s="11" t="n">
        <x:v>0</x:v>
      </x:c>
      <x:c r="M1656" s="11" t="n">
        <x:v>0</x:v>
      </x:c>
      <x:c r="N1656" s="4"/>
      <x:c r="O1656" s="4"/>
      <x:c r="P1656" s="11"/>
      <x:c r="Q1656" s="11" t="n">
        <x:v>0</x:v>
      </x:c>
      <x:c r="R1656" s="11" t="str">
        <x:f>IF(OR(P1656="",Q1656=""),"",Q1656-P1656)</x:f>
      </x:c>
      <x:c r="S1656" s="13" t="str">
        <x:f>IF(OR(P1656="",Q1656="",P1656=0),"",((Q1656/30)/(P1656/31))-1)</x:f>
      </x:c>
      <x:c r="T1656" s="11"/>
      <x:c r="U1656" s="11" t="n">
        <x:v>24</x:v>
      </x:c>
      <x:c r="V1656" s="14" t="n">
        <x:v>0</x:v>
      </x:c>
      <x:c r="W1656" s="12" t="n">
        <x:v>9.458333333333334</x:v>
      </x:c>
      <x:c r="X1656" s="11"/>
      <x:c r="Y1656" s="11"/>
      <x:c r="Z1656" s="4"/>
      <x:c r="AA1656" s="4" t="str">
        <x:v>https://blog.skyairline.com/vuelos-a-cajamarca/</x:v>
      </x:c>
      <x:c r="AB1656" s="4" t="str">
        <x:v>Coincidencia URL</x:v>
      </x:c>
      <x:c r="AC1656" s="4" t="str">
        <x:v>Publicado hasta septiembre</x:v>
      </x:c>
      <x:c r="AD1656" s="4"/>
      <x:c r="AE1656" s="4"/>
      <x:c r="AF1656" s="16" t="b">
        <x:v>0</x:v>
      </x:c>
    </x:row>
    <x:row r="1657" ht="44" customHeight="1">
      <x:c r="A1657" s="4" t="n">
        <x:v>9322</x:v>
      </x:c>
      <x:c r="B1657" s="4" t="str">
        <x:v>https://blog.skyairline.com/peninsula-valdes/</x:v>
      </x:c>
      <x:c r="C1657" s="9" t="str">
        <x:v>Península Valdés: el santuario de fauna marina en la Patagonia</x:v>
      </x:c>
      <x:c r="D1657" s="17" t="d">
        <x:v>2026-09-24T00:00:00.000Z</x:v>
      </x:c>
      <x:c r="E1657" s="17" t="d">
        <x:v>2026-09-21T00:00:00.000Z</x:v>
      </x:c>
      <x:c r="F1657" s="4" t="str">
        <x:v>Destinos</x:v>
      </x:c>
      <x:c r="G1657" s="11" t="n">
        <x:v>991</x:v>
      </x:c>
      <x:c r="H1657" s="11" t="n">
        <x:v>200</x:v>
      </x:c>
      <x:c r="I1657" s="11" t="n">
        <x:v>1</x:v>
      </x:c>
      <x:c r="J1657" s="4" t="str">
        <x:v>https://blog.skyairline.com/peninsula-valdes/</x:v>
      </x:c>
      <x:c r="K1657" s="16" t="b">
        <x:v>0</x:v>
      </x:c>
      <x:c r="L1657" s="11" t="n">
        <x:v>0</x:v>
      </x:c>
      <x:c r="M1657" s="11" t="n">
        <x:v>0</x:v>
      </x:c>
      <x:c r="N1657" s="4"/>
      <x:c r="O1657" s="4"/>
      <x:c r="P1657" s="11"/>
      <x:c r="Q1657" s="11" t="n">
        <x:v>0</x:v>
      </x:c>
      <x:c r="R1657" s="11" t="str">
        <x:f>IF(OR(P1657="",Q1657=""),"",Q1657-P1657)</x:f>
      </x:c>
      <x:c r="S1657" s="13" t="str">
        <x:f>IF(OR(P1657="",Q1657="",P1657=0),"",((Q1657/30)/(P1657/31))-1)</x:f>
      </x:c>
      <x:c r="T1657" s="11"/>
      <x:c r="U1657" s="11" t="n">
        <x:v>39</x:v>
      </x:c>
      <x:c r="V1657" s="14" t="n">
        <x:v>0</x:v>
      </x:c>
      <x:c r="W1657" s="12" t="n">
        <x:v>6.538461538461538</x:v>
      </x:c>
      <x:c r="X1657" s="11" t="n">
        <x:v>2</x:v>
      </x:c>
      <x:c r="Y1657" s="11" t="n">
        <x:v>2</x:v>
      </x:c>
      <x:c r="Z1657" s="4"/>
      <x:c r="AA1657" s="4" t="str">
        <x:v>https://blog.skyairline.com/peninsula-valdes/</x:v>
      </x:c>
      <x:c r="AB1657" s="4" t="str">
        <x:v>Coincidencia URL</x:v>
      </x:c>
      <x:c r="AC1657" s="4" t="str">
        <x:v>Publicado hasta septiembre</x:v>
      </x:c>
      <x:c r="AD1657" s="4" t="str">
        <x:v>/peninsula-valdes/</x:v>
      </x:c>
      <x:c r="AE1657" s="4"/>
      <x:c r="AF1657" s="16" t="b">
        <x:v>0</x:v>
      </x:c>
    </x:row>
    <x:row r="1658" ht="44" customHeight="1">
      <x:c r="A1658" s="4" t="n">
        <x:v>9323</x:v>
      </x:c>
      <x:c r="B1658" s="4" t="str">
        <x:v>https://blog.skyairline.com/parque-nacional-los-glaciares/</x:v>
      </x:c>
      <x:c r="C1658" s="9" t="str">
        <x:v>Parque Nacional Los Glaciares: elige entre El Calafate o El Chaltén</x:v>
      </x:c>
      <x:c r="D1658" s="17" t="d">
        <x:v>2026-09-24T00:00:00.000Z</x:v>
      </x:c>
      <x:c r="E1658" s="17" t="d">
        <x:v>2026-09-21T00:00:00.000Z</x:v>
      </x:c>
      <x:c r="F1658" s="4" t="str">
        <x:v>Destinos</x:v>
      </x:c>
      <x:c r="G1658" s="11" t="n">
        <x:v>1029</x:v>
      </x:c>
      <x:c r="H1658" s="11" t="n">
        <x:v>200</x:v>
      </x:c>
      <x:c r="I1658" s="11" t="n">
        <x:v>1</x:v>
      </x:c>
      <x:c r="J1658" s="4" t="str">
        <x:v>https://blog.skyairline.com/parque-nacional-los-glaciares/</x:v>
      </x:c>
      <x:c r="K1658" s="16" t="b">
        <x:v>0</x:v>
      </x:c>
      <x:c r="L1658" s="11" t="n">
        <x:v>0</x:v>
      </x:c>
      <x:c r="M1658" s="11" t="n">
        <x:v>0</x:v>
      </x:c>
      <x:c r="N1658" s="4"/>
      <x:c r="O1658" s="4"/>
      <x:c r="P1658" s="11"/>
      <x:c r="Q1658" s="11" t="n">
        <x:v>0</x:v>
      </x:c>
      <x:c r="R1658" s="11" t="str">
        <x:f>IF(OR(P1658="",Q1658=""),"",Q1658-P1658)</x:f>
      </x:c>
      <x:c r="S1658" s="13" t="str">
        <x:f>IF(OR(P1658="",Q1658="",P1658=0),"",((Q1658/30)/(P1658/31))-1)</x:f>
      </x:c>
      <x:c r="T1658" s="11"/>
      <x:c r="U1658" s="11" t="n">
        <x:v>62</x:v>
      </x:c>
      <x:c r="V1658" s="14" t="n">
        <x:v>0</x:v>
      </x:c>
      <x:c r="W1658" s="12" t="n">
        <x:v>7.483870967741935</x:v>
      </x:c>
      <x:c r="X1658" s="11" t="n">
        <x:v>1</x:v>
      </x:c>
      <x:c r="Y1658" s="11" t="n">
        <x:v>1</x:v>
      </x:c>
      <x:c r="Z1658" s="4"/>
      <x:c r="AA1658" s="4" t="str">
        <x:v>https://blog.skyairline.com/parque-nacional-los-glaciares/</x:v>
      </x:c>
      <x:c r="AB1658" s="4" t="str">
        <x:v>Coincidencia URL</x:v>
      </x:c>
      <x:c r="AC1658" s="4" t="str">
        <x:v>Publicado hasta septiembre</x:v>
      </x:c>
      <x:c r="AD1658" s="4" t="str">
        <x:v>/parque-nacional-los-glaciares/</x:v>
      </x:c>
      <x:c r="AE1658" s="4"/>
      <x:c r="AF1658" s="16" t="b">
        <x:v>0</x:v>
      </x:c>
    </x:row>
    <x:row r="1659" ht="44" customHeight="1">
      <x:c r="A1659" s="4" t="n">
        <x:v>9324</x:v>
      </x:c>
      <x:c r="B1659" s="4" t="str">
        <x:v>https://blog.skyairline.com/turismo-esquel/</x:v>
      </x:c>
      <x:c r="C1659" s="9" t="str">
        <x:v>Guía de turismo en Esquel: qué ver y hacer en la joya de la cordillera patagónica</x:v>
      </x:c>
      <x:c r="D1659" s="17" t="d">
        <x:v>2026-09-23T00:00:00.000Z</x:v>
      </x:c>
      <x:c r="E1659" s="17" t="d">
        <x:v>2026-09-21T00:00:00.000Z</x:v>
      </x:c>
      <x:c r="F1659" s="4" t="str">
        <x:v>Destinos</x:v>
      </x:c>
      <x:c r="G1659" s="11" t="n">
        <x:v>1021</x:v>
      </x:c>
      <x:c r="H1659" s="11" t="n">
        <x:v>200</x:v>
      </x:c>
      <x:c r="I1659" s="11" t="n">
        <x:v>1</x:v>
      </x:c>
      <x:c r="J1659" s="4" t="str">
        <x:v>https://blog.skyairline.com/turismo-esquel/</x:v>
      </x:c>
      <x:c r="K1659" s="16" t="b">
        <x:v>0</x:v>
      </x:c>
      <x:c r="L1659" s="11" t="n">
        <x:v>0</x:v>
      </x:c>
      <x:c r="M1659" s="11" t="n">
        <x:v>0</x:v>
      </x:c>
      <x:c r="N1659" s="4"/>
      <x:c r="O1659" s="4"/>
      <x:c r="P1659" s="11"/>
      <x:c r="Q1659" s="11" t="n">
        <x:v>0</x:v>
      </x:c>
      <x:c r="R1659" s="11" t="str">
        <x:f>IF(OR(P1659="",Q1659=""),"",Q1659-P1659)</x:f>
      </x:c>
      <x:c r="S1659" s="13" t="str">
        <x:f>IF(OR(P1659="",Q1659="",P1659=0),"",((Q1659/30)/(P1659/31))-1)</x:f>
      </x:c>
      <x:c r="T1659" s="11"/>
      <x:c r="U1659" s="11" t="n">
        <x:v>77</x:v>
      </x:c>
      <x:c r="V1659" s="14" t="n">
        <x:v>0</x:v>
      </x:c>
      <x:c r="W1659" s="12" t="n">
        <x:v>6.103896103896104</x:v>
      </x:c>
      <x:c r="X1659" s="11"/>
      <x:c r="Y1659" s="11"/>
      <x:c r="Z1659" s="4"/>
      <x:c r="AA1659" s="4" t="str">
        <x:v>https://blog.skyairline.com/turismo-esquel/</x:v>
      </x:c>
      <x:c r="AB1659" s="4" t="str">
        <x:v>Coincidencia URL</x:v>
      </x:c>
      <x:c r="AC1659" s="4" t="str">
        <x:v>Publicado hasta septiembre</x:v>
      </x:c>
      <x:c r="AD1659" s="4"/>
      <x:c r="AE1659" s="4"/>
      <x:c r="AF1659" s="16" t="b">
        <x:v>0</x:v>
      </x:c>
    </x:row>
    <x:row r="1660" ht="44" customHeight="1">
      <x:c r="A1660" s="4" t="n">
        <x:v>9325</x:v>
      </x:c>
      <x:c r="B1660" s="4" t="str">
        <x:v>https://blog.skyairline.com/comodoro-rivadavia/</x:v>
      </x:c>
      <x:c r="C1660" s="9" t="str">
        <x:v>Comodoro Rivadavia: naturaleza, aventura e historia industrial</x:v>
      </x:c>
      <x:c r="D1660" s="17" t="d">
        <x:v>2026-09-23T00:00:00.000Z</x:v>
      </x:c>
      <x:c r="E1660" s="17" t="d">
        <x:v>2026-09-21T00:00:00.000Z</x:v>
      </x:c>
      <x:c r="F1660" s="4" t="str">
        <x:v>Destinos</x:v>
      </x:c>
      <x:c r="G1660" s="11" t="n">
        <x:v>995</x:v>
      </x:c>
      <x:c r="H1660" s="11" t="n">
        <x:v>200</x:v>
      </x:c>
      <x:c r="I1660" s="11" t="n">
        <x:v>1</x:v>
      </x:c>
      <x:c r="J1660" s="4" t="str">
        <x:v>https://blog.skyairline.com/comodoro-rivadavia/</x:v>
      </x:c>
      <x:c r="K1660" s="16" t="b">
        <x:v>0</x:v>
      </x:c>
      <x:c r="L1660" s="11" t="n">
        <x:v>0</x:v>
      </x:c>
      <x:c r="M1660" s="11" t="n">
        <x:v>0</x:v>
      </x:c>
      <x:c r="N1660" s="4"/>
      <x:c r="O1660" s="4"/>
      <x:c r="P1660" s="11"/>
      <x:c r="Q1660" s="11" t="n">
        <x:v>0</x:v>
      </x:c>
      <x:c r="R1660" s="11" t="str">
        <x:f>IF(OR(P1660="",Q1660=""),"",Q1660-P1660)</x:f>
      </x:c>
      <x:c r="S1660" s="13" t="str">
        <x:f>IF(OR(P1660="",Q1660="",P1660=0),"",((Q1660/30)/(P1660/31))-1)</x:f>
      </x:c>
      <x:c r="T1660" s="11"/>
      <x:c r="U1660" s="11" t="n">
        <x:v>587</x:v>
      </x:c>
      <x:c r="V1660" s="14" t="n">
        <x:v>0</x:v>
      </x:c>
      <x:c r="W1660" s="12" t="n">
        <x:v>9.545144804088586</x:v>
      </x:c>
      <x:c r="X1660" s="11"/>
      <x:c r="Y1660" s="11"/>
      <x:c r="Z1660" s="4"/>
      <x:c r="AA1660" s="4" t="str">
        <x:v>https://blog.skyairline.com/comodoro-rivadavia/</x:v>
      </x:c>
      <x:c r="AB1660" s="4" t="str">
        <x:v>Coincidencia URL</x:v>
      </x:c>
      <x:c r="AC1660" s="4" t="str">
        <x:v>Publicado hasta septiembre</x:v>
      </x:c>
      <x:c r="AD1660" s="4"/>
      <x:c r="AE1660" s="4"/>
      <x:c r="AF1660" s="16" t="b">
        <x:v>0</x:v>
      </x:c>
    </x:row>
    <x:row r="1661" ht="44" customHeight="1">
      <x:c r="A1661" s="4" t="n">
        <x:v>9326</x:v>
      </x:c>
      <x:c r="B1661" s="4" t="str">
        <x:v>https://blog.skyairline.com/llanada-grande/</x:v>
      </x:c>
      <x:c r="C1661" s="9" t="str">
        <x:v>Llanada Grande: una aventura que te ayudará a desconectarte completamente del caos</x:v>
      </x:c>
      <x:c r="D1661" s="17" t="d">
        <x:v>2026-09-22T00:00:00.000Z</x:v>
      </x:c>
      <x:c r="E1661" s="17" t="d">
        <x:v>2026-09-21T00:00:00.000Z</x:v>
      </x:c>
      <x:c r="F1661" s="4" t="str">
        <x:v>Destinos</x:v>
      </x:c>
      <x:c r="G1661" s="11" t="n">
        <x:v>1051</x:v>
      </x:c>
      <x:c r="H1661" s="11" t="n">
        <x:v>200</x:v>
      </x:c>
      <x:c r="I1661" s="11" t="n">
        <x:v>1</x:v>
      </x:c>
      <x:c r="J1661" s="4" t="str">
        <x:v>https://blog.skyairline.com/llanada-grande/</x:v>
      </x:c>
      <x:c r="K1661" s="16" t="b">
        <x:v>0</x:v>
      </x:c>
      <x:c r="L1661" s="11" t="n">
        <x:v>0</x:v>
      </x:c>
      <x:c r="M1661" s="11" t="n">
        <x:v>0</x:v>
      </x:c>
      <x:c r="N1661" s="4"/>
      <x:c r="O1661" s="4"/>
      <x:c r="P1661" s="11"/>
      <x:c r="Q1661" s="11" t="n">
        <x:v>0</x:v>
      </x:c>
      <x:c r="R1661" s="11" t="str">
        <x:f>IF(OR(P1661="",Q1661=""),"",Q1661-P1661)</x:f>
      </x:c>
      <x:c r="S1661" s="13" t="str">
        <x:f>IF(OR(P1661="",Q1661="",P1661=0),"",((Q1661/30)/(P1661/31))-1)</x:f>
      </x:c>
      <x:c r="T1661" s="11"/>
      <x:c r="U1661" s="11" t="n">
        <x:v>548</x:v>
      </x:c>
      <x:c r="V1661" s="14" t="n">
        <x:v>0</x:v>
      </x:c>
      <x:c r="W1661" s="12" t="n">
        <x:v>9.343065693430656</x:v>
      </x:c>
      <x:c r="X1661" s="11" t="n">
        <x:v>3</x:v>
      </x:c>
      <x:c r="Y1661" s="11" t="n">
        <x:v>3</x:v>
      </x:c>
      <x:c r="Z1661" s="4"/>
      <x:c r="AA1661" s="4" t="str">
        <x:v>https://blog.skyairline.com/llanada-grande/</x:v>
      </x:c>
      <x:c r="AB1661" s="4" t="str">
        <x:v>Coincidencia URL</x:v>
      </x:c>
      <x:c r="AC1661" s="4" t="str">
        <x:v>Publicado hasta septiembre</x:v>
      </x:c>
      <x:c r="AD1661" s="4" t="str">
        <x:v>/llanada-grande/</x:v>
      </x:c>
      <x:c r="AE1661" s="4"/>
      <x:c r="AF1661" s="16" t="b">
        <x:v>0</x:v>
      </x:c>
    </x:row>
    <x:row r="1662" ht="44" customHeight="1">
      <x:c r="A1662" s="4" t="n">
        <x:v>9327</x:v>
      </x:c>
      <x:c r="B1662" s="4" t="str">
        <x:v>https://blog.skyairline.com/trelew/</x:v>
      </x:c>
      <x:c r="C1662" s="9" t="str">
        <x:v>Trelew: paleontología y la herencia galesa en un mismo lugar</x:v>
      </x:c>
      <x:c r="D1662" s="17" t="d">
        <x:v>2026-09-22T00:00:00.000Z</x:v>
      </x:c>
      <x:c r="E1662" s="17" t="d">
        <x:v>2026-09-21T00:00:00.000Z</x:v>
      </x:c>
      <x:c r="F1662" s="4" t="str">
        <x:v>Destinos</x:v>
      </x:c>
      <x:c r="G1662" s="11" t="n">
        <x:v>1003</x:v>
      </x:c>
      <x:c r="H1662" s="11" t="n">
        <x:v>200</x:v>
      </x:c>
      <x:c r="I1662" s="11" t="n">
        <x:v>1</x:v>
      </x:c>
      <x:c r="J1662" s="4" t="str">
        <x:v>https://blog.skyairline.com/trelew/</x:v>
      </x:c>
      <x:c r="K1662" s="16" t="b">
        <x:v>0</x:v>
      </x:c>
      <x:c r="L1662" s="11" t="n">
        <x:v>0</x:v>
      </x:c>
      <x:c r="M1662" s="11" t="n">
        <x:v>0</x:v>
      </x:c>
      <x:c r="N1662" s="4"/>
      <x:c r="O1662" s="4"/>
      <x:c r="P1662" s="11"/>
      <x:c r="Q1662" s="11" t="n">
        <x:v>0</x:v>
      </x:c>
      <x:c r="R1662" s="11" t="str">
        <x:f>IF(OR(P1662="",Q1662=""),"",Q1662-P1662)</x:f>
      </x:c>
      <x:c r="S1662" s="13" t="str">
        <x:f>IF(OR(P1662="",Q1662="",P1662=0),"",((Q1662/30)/(P1662/31))-1)</x:f>
      </x:c>
      <x:c r="T1662" s="11"/>
      <x:c r="U1662" s="11" t="n">
        <x:v>129</x:v>
      </x:c>
      <x:c r="V1662" s="14" t="n">
        <x:v>0</x:v>
      </x:c>
      <x:c r="W1662" s="12" t="n">
        <x:v>6.27906976744186</x:v>
      </x:c>
      <x:c r="X1662" s="11"/>
      <x:c r="Y1662" s="11"/>
      <x:c r="Z1662" s="4"/>
      <x:c r="AA1662" s="4" t="str">
        <x:v>https://blog.skyairline.com/trelew/</x:v>
      </x:c>
      <x:c r="AB1662" s="4" t="str">
        <x:v>Coincidencia URL</x:v>
      </x:c>
      <x:c r="AC1662" s="4" t="str">
        <x:v>Publicado hasta septiembre</x:v>
      </x:c>
      <x:c r="AD1662" s="4"/>
      <x:c r="AE1662" s="4"/>
      <x:c r="AF1662" s="16" t="b">
        <x:v>0</x:v>
      </x:c>
    </x:row>
    <x:row r="1663" ht="44" customHeight="1">
      <x:c r="A1663" s="4" t="n">
        <x:v>9328</x:v>
      </x:c>
      <x:c r="B1663" s="4" t="str">
        <x:v>https://blog.skyairline.com/villa-la-angostura/</x:v>
      </x:c>
      <x:c r="C1663" s="9" t="str">
        <x:v>Villa La Angostura: paz y tranquilidad a 80 kilómetros de Bariloche</x:v>
      </x:c>
      <x:c r="D1663" s="17" t="d">
        <x:v>2026-09-21T00:00:00.000Z</x:v>
      </x:c>
      <x:c r="E1663" s="17" t="d">
        <x:v>2026-09-21T00:00:00.000Z</x:v>
      </x:c>
      <x:c r="F1663" s="4" t="str">
        <x:v>Destinos</x:v>
      </x:c>
      <x:c r="G1663" s="11" t="n">
        <x:v>1063</x:v>
      </x:c>
      <x:c r="H1663" s="11" t="n">
        <x:v>200</x:v>
      </x:c>
      <x:c r="I1663" s="11" t="n">
        <x:v>1</x:v>
      </x:c>
      <x:c r="J1663" s="4" t="str">
        <x:v>https://blog.skyairline.com/villa-la-angostura/</x:v>
      </x:c>
      <x:c r="K1663" s="16" t="b">
        <x:v>0</x:v>
      </x:c>
      <x:c r="L1663" s="11" t="n">
        <x:v>0</x:v>
      </x:c>
      <x:c r="M1663" s="11" t="n">
        <x:v>0</x:v>
      </x:c>
      <x:c r="N1663" s="4"/>
      <x:c r="O1663" s="4"/>
      <x:c r="P1663" s="11"/>
      <x:c r="Q1663" s="11" t="n">
        <x:v>0</x:v>
      </x:c>
      <x:c r="R1663" s="11" t="str">
        <x:f>IF(OR(P1663="",Q1663=""),"",Q1663-P1663)</x:f>
      </x:c>
      <x:c r="S1663" s="13" t="str">
        <x:f>IF(OR(P1663="",Q1663="",P1663=0),"",((Q1663/30)/(P1663/31))-1)</x:f>
      </x:c>
      <x:c r="T1663" s="11"/>
      <x:c r="U1663" s="11" t="n">
        <x:v>76</x:v>
      </x:c>
      <x:c r="V1663" s="14" t="n">
        <x:v>0</x:v>
      </x:c>
      <x:c r="W1663" s="12" t="n">
        <x:v>8.223684210526315</x:v>
      </x:c>
      <x:c r="X1663" s="11"/>
      <x:c r="Y1663" s="11"/>
      <x:c r="Z1663" s="4"/>
      <x:c r="AA1663" s="4" t="str">
        <x:v>https://blog.skyairline.com/villa-la-angostura/</x:v>
      </x:c>
      <x:c r="AB1663" s="4" t="str">
        <x:v>Coincidencia URL</x:v>
      </x:c>
      <x:c r="AC1663" s="4" t="str">
        <x:v>Publicado hasta septiembre</x:v>
      </x:c>
      <x:c r="AD1663" s="4"/>
      <x:c r="AE1663" s="4"/>
      <x:c r="AF1663" s="16" t="b">
        <x:v>0</x:v>
      </x:c>
    </x:row>
    <x:row r="1664" ht="44" customHeight="1">
      <x:c r="A1664" s="4" t="n">
        <x:v>9347</x:v>
      </x:c>
      <x:c r="B1664" s="4" t="str">
        <x:v>https://blog.skyairline.com/churrascaria/</x:v>
      </x:c>
      <x:c r="C1664" s="9" t="str">
        <x:v>¿Qué es una churrascaría y por qué debes visitar una en tu viaje a Brasil?</x:v>
      </x:c>
      <x:c r="D1664" s="17" t="d">
        <x:v>2026-09-27T00:00:00.000Z</x:v>
      </x:c>
      <x:c r="E1664" s="17" t="d">
        <x:v>2026-09-21T00:00:00.000Z</x:v>
      </x:c>
      <x:c r="F1664" s="4" t="str">
        <x:v>Cultura</x:v>
      </x:c>
      <x:c r="G1664" s="11" t="n">
        <x:v>1117</x:v>
      </x:c>
      <x:c r="H1664" s="11" t="n">
        <x:v>200</x:v>
      </x:c>
      <x:c r="I1664" s="11" t="n">
        <x:v>1</x:v>
      </x:c>
      <x:c r="J1664" s="4" t="str">
        <x:v>https://blog.skyairline.com/churrascaria/</x:v>
      </x:c>
      <x:c r="K1664" s="16" t="b">
        <x:v>0</x:v>
      </x:c>
      <x:c r="L1664" s="11" t="n">
        <x:v>0</x:v>
      </x:c>
      <x:c r="M1664" s="11" t="n">
        <x:v>0</x:v>
      </x:c>
      <x:c r="N1664" s="4"/>
      <x:c r="O1664" s="4"/>
      <x:c r="P1664" s="11"/>
      <x:c r="Q1664" s="11" t="n">
        <x:v>0</x:v>
      </x:c>
      <x:c r="R1664" s="11" t="str">
        <x:f>IF(OR(P1664="",Q1664=""),"",Q1664-P1664)</x:f>
      </x:c>
      <x:c r="S1664" s="13" t="str">
        <x:f>IF(OR(P1664="",Q1664="",P1664=0),"",((Q1664/30)/(P1664/31))-1)</x:f>
      </x:c>
      <x:c r="T1664" s="11"/>
      <x:c r="U1664" s="11" t="n">
        <x:v>208</x:v>
      </x:c>
      <x:c r="V1664" s="14" t="n">
        <x:v>0</x:v>
      </x:c>
      <x:c r="W1664" s="12" t="n">
        <x:v>5.3125</x:v>
      </x:c>
      <x:c r="X1664" s="11"/>
      <x:c r="Y1664" s="11"/>
      <x:c r="Z1664" s="4"/>
      <x:c r="AA1664" s="4" t="str">
        <x:v>https://blog.skyairline.com/churrascaria/</x:v>
      </x:c>
      <x:c r="AB1664" s="4" t="str">
        <x:v>Coincidencia URL</x:v>
      </x:c>
      <x:c r="AC1664" s="4" t="str">
        <x:v>Publicado hasta septiembre</x:v>
      </x:c>
      <x:c r="AD1664" s="4"/>
      <x:c r="AE1664" s="4"/>
      <x:c r="AF1664" s="16" t="b">
        <x:v>0</x:v>
      </x:c>
    </x:row>
    <x:row r="1665" ht="44" customHeight="1">
      <x:c r="A1665" s="4" t="n">
        <x:v>9348</x:v>
      </x:c>
      <x:c r="B1665" s="4" t="str">
        <x:v>https://blog.skyairline.com/moqueca/</x:v>
      </x:c>
      <x:c r="C1665" s="9" t="str">
        <x:v>Moqueca: qué es y dónde probar este plato típico de Brasil</x:v>
      </x:c>
      <x:c r="D1665" s="17" t="d">
        <x:v>2026-09-26T00:00:00.000Z</x:v>
      </x:c>
      <x:c r="E1665" s="17" t="d">
        <x:v>2026-09-21T00:00:00.000Z</x:v>
      </x:c>
      <x:c r="F1665" s="4" t="str">
        <x:v>Destinos</x:v>
      </x:c>
      <x:c r="G1665" s="11" t="n">
        <x:v>984</x:v>
      </x:c>
      <x:c r="H1665" s="11" t="n">
        <x:v>200</x:v>
      </x:c>
      <x:c r="I1665" s="11" t="n">
        <x:v>1</x:v>
      </x:c>
      <x:c r="J1665" s="4" t="str">
        <x:v>https://blog.skyairline.com/moqueca/</x:v>
      </x:c>
      <x:c r="K1665" s="16" t="b">
        <x:v>0</x:v>
      </x:c>
      <x:c r="L1665" s="11" t="n">
        <x:v>0</x:v>
      </x:c>
      <x:c r="M1665" s="11" t="n">
        <x:v>0</x:v>
      </x:c>
      <x:c r="N1665" s="4"/>
      <x:c r="O1665" s="4"/>
      <x:c r="P1665" s="11"/>
      <x:c r="Q1665" s="11" t="n">
        <x:v>0</x:v>
      </x:c>
      <x:c r="R1665" s="11" t="str">
        <x:f>IF(OR(P1665="",Q1665=""),"",Q1665-P1665)</x:f>
      </x:c>
      <x:c r="S1665" s="13" t="str">
        <x:f>IF(OR(P1665="",Q1665="",P1665=0),"",((Q1665/30)/(P1665/31))-1)</x:f>
      </x:c>
      <x:c r="T1665" s="11"/>
      <x:c r="U1665" s="11" t="n">
        <x:v>218</x:v>
      </x:c>
      <x:c r="V1665" s="14" t="n">
        <x:v>0</x:v>
      </x:c>
      <x:c r="W1665" s="12" t="n">
        <x:v>7.160550458715596</x:v>
      </x:c>
      <x:c r="X1665" s="11" t="n">
        <x:v>2</x:v>
      </x:c>
      <x:c r="Y1665" s="11" t="n">
        <x:v>5</x:v>
      </x:c>
      <x:c r="Z1665" s="4"/>
      <x:c r="AA1665" s="4" t="str">
        <x:v>https://blog.skyairline.com/moqueca/</x:v>
      </x:c>
      <x:c r="AB1665" s="4" t="str">
        <x:v>Coincidencia URL</x:v>
      </x:c>
      <x:c r="AC1665" s="4" t="str">
        <x:v>Publicado hasta septiembre</x:v>
      </x:c>
      <x:c r="AD1665" s="4" t="str">
        <x:v>/moqueca/</x:v>
      </x:c>
      <x:c r="AE1665" s="4"/>
      <x:c r="AF1665" s="16" t="b">
        <x:v>0</x:v>
      </x:c>
    </x:row>
    <x:row r="1666" ht="44" customHeight="1">
      <x:c r="A1666" s="4" t="n">
        <x:v>9353</x:v>
      </x:c>
      <x:c r="B1666" s="4" t="str">
        <x:v>https://blog.skyairline.com/caipirina/</x:v>
      </x:c>
      <x:c r="C1666" s="9" t="str">
        <x:v>Caipiriña: la bebida que todos quieren probar al llegar a Brasil</x:v>
      </x:c>
      <x:c r="D1666" s="17" t="d">
        <x:v>2026-09-28T00:00:00.000Z</x:v>
      </x:c>
      <x:c r="E1666" s="17" t="d">
        <x:v>2026-09-21T00:00:00.000Z</x:v>
      </x:c>
      <x:c r="F1666" s="4" t="str">
        <x:v>Cultura</x:v>
      </x:c>
      <x:c r="G1666" s="11" t="n">
        <x:v>1050</x:v>
      </x:c>
      <x:c r="H1666" s="11" t="n">
        <x:v>200</x:v>
      </x:c>
      <x:c r="I1666" s="11" t="n">
        <x:v>1</x:v>
      </x:c>
      <x:c r="J1666" s="4" t="str">
        <x:v>https://blog.skyairline.com/caipirina/</x:v>
      </x:c>
      <x:c r="K1666" s="16" t="b">
        <x:v>0</x:v>
      </x:c>
      <x:c r="L1666" s="11" t="n">
        <x:v>0</x:v>
      </x:c>
      <x:c r="M1666" s="11" t="n">
        <x:v>0</x:v>
      </x:c>
      <x:c r="N1666" s="4"/>
      <x:c r="O1666" s="4"/>
      <x:c r="P1666" s="11"/>
      <x:c r="Q1666" s="11" t="n">
        <x:v>0</x:v>
      </x:c>
      <x:c r="R1666" s="11" t="str">
        <x:f>IF(OR(P1666="",Q1666=""),"",Q1666-P1666)</x:f>
      </x:c>
      <x:c r="S1666" s="13" t="str">
        <x:f>IF(OR(P1666="",Q1666="",P1666=0),"",((Q1666/30)/(P1666/31))-1)</x:f>
      </x:c>
      <x:c r="T1666" s="11"/>
      <x:c r="U1666" s="11" t="n">
        <x:v>201</x:v>
      </x:c>
      <x:c r="V1666" s="14" t="n">
        <x:v>0</x:v>
      </x:c>
      <x:c r="W1666" s="12" t="n">
        <x:v>8.925373134328357</x:v>
      </x:c>
      <x:c r="X1666" s="11" t="n">
        <x:v>2</x:v>
      </x:c>
      <x:c r="Y1666" s="11" t="n">
        <x:v>2</x:v>
      </x:c>
      <x:c r="Z1666" s="4"/>
      <x:c r="AA1666" s="4" t="str">
        <x:v>https://blog.skyairline.com/caipirina/</x:v>
      </x:c>
      <x:c r="AB1666" s="4" t="str">
        <x:v>Coincidencia URL</x:v>
      </x:c>
      <x:c r="AC1666" s="4" t="str">
        <x:v>Publicado hasta septiembre</x:v>
      </x:c>
      <x:c r="AD1666" s="4" t="str">
        <x:v>/caipirina/</x:v>
      </x:c>
      <x:c r="AE1666" s="4"/>
      <x:c r="AF1666" s="16" t="b">
        <x:v>0</x:v>
      </x:c>
    </x:row>
    <x:row r="1667" ht="44" customHeight="1">
      <x:c r="A1667" s="4" t="n">
        <x:v>9364</x:v>
      </x:c>
      <x:c r="B1667" s="4" t="str">
        <x:v>https://blog.skyairline.com/playa-las-docas/</x:v>
      </x:c>
      <x:c r="C1667" s="9" t="str">
        <x:v>Playa Las Docas, un paraíso natural a 2 horas de Santiago</x:v>
      </x:c>
      <x:c r="D1667" s="17" t="d">
        <x:v>2026-09-30T00:00:00.000Z</x:v>
      </x:c>
      <x:c r="E1667" s="17" t="d">
        <x:v>2026-09-22T00:00:00.000Z</x:v>
      </x:c>
      <x:c r="F1667" s="4" t="str">
        <x:v>Destinos</x:v>
      </x:c>
      <x:c r="G1667" s="11" t="n">
        <x:v>1049</x:v>
      </x:c>
      <x:c r="H1667" s="11" t="n">
        <x:v>200</x:v>
      </x:c>
      <x:c r="I1667" s="11" t="n">
        <x:v>1</x:v>
      </x:c>
      <x:c r="J1667" s="4" t="str">
        <x:v>https://blog.skyairline.com/playa-las-docas/</x:v>
      </x:c>
      <x:c r="K1667" s="16" t="b">
        <x:v>0</x:v>
      </x:c>
      <x:c r="L1667" s="11" t="n">
        <x:v>0</x:v>
      </x:c>
      <x:c r="M1667" s="11" t="n">
        <x:v>0</x:v>
      </x:c>
      <x:c r="N1667" s="4"/>
      <x:c r="O1667" s="4"/>
      <x:c r="P1667" s="11"/>
      <x:c r="Q1667" s="11" t="n">
        <x:v>0</x:v>
      </x:c>
      <x:c r="R1667" s="11" t="str">
        <x:f>IF(OR(P1667="",Q1667=""),"",Q1667-P1667)</x:f>
      </x:c>
      <x:c r="S1667" s="13" t="str">
        <x:f>IF(OR(P1667="",Q1667="",P1667=0),"",((Q1667/30)/(P1667/31))-1)</x:f>
      </x:c>
      <x:c r="T1667" s="11"/>
      <x:c r="U1667" s="11" t="n">
        <x:v>9</x:v>
      </x:c>
      <x:c r="V1667" s="14" t="n">
        <x:v>0</x:v>
      </x:c>
      <x:c r="W1667" s="12" t="n">
        <x:v>5</x:v>
      </x:c>
      <x:c r="X1667" s="11"/>
      <x:c r="Y1667" s="11"/>
      <x:c r="Z1667" s="4"/>
      <x:c r="AA1667" s="4" t="str">
        <x:v>https://blog.skyairline.com/playa-las-docas/</x:v>
      </x:c>
      <x:c r="AB1667" s="4" t="str">
        <x:v>Coincidencia URL</x:v>
      </x:c>
      <x:c r="AC1667" s="4" t="str">
        <x:v>Publicado hasta septiembre</x:v>
      </x:c>
      <x:c r="AD1667" s="4"/>
      <x:c r="AE1667" s="4"/>
      <x:c r="AF1667" s="16" t="b">
        <x:v>0</x:v>
      </x:c>
    </x:row>
    <x:row r="1668" ht="44" customHeight="1">
      <x:c r="A1668" s="4" t="n">
        <x:v>9365</x:v>
      </x:c>
      <x:c r="B1668" s="4" t="str">
        <x:v>https://blog.skyairline.com/playa-los-cuervos/</x:v>
      </x:c>
      <x:c r="C1668" s="9" t="str">
        <x:v>Playa Los Cuervos: un tesoro escondido en la región del Biobío</x:v>
      </x:c>
      <x:c r="D1668" s="17" t="d">
        <x:v>2026-09-29T00:00:00.000Z</x:v>
      </x:c>
      <x:c r="E1668" s="17" t="d">
        <x:v>2026-09-22T00:00:00.000Z</x:v>
      </x:c>
      <x:c r="F1668" s="4" t="str">
        <x:v>Destinos</x:v>
      </x:c>
      <x:c r="G1668" s="11" t="n">
        <x:v>1025</x:v>
      </x:c>
      <x:c r="H1668" s="11" t="n">
        <x:v>200</x:v>
      </x:c>
      <x:c r="I1668" s="11" t="n">
        <x:v>1</x:v>
      </x:c>
      <x:c r="J1668" s="4" t="str">
        <x:v>https://blog.skyairline.com/playa-los-cuervos/</x:v>
      </x:c>
      <x:c r="K1668" s="16" t="b">
        <x:v>0</x:v>
      </x:c>
      <x:c r="L1668" s="11" t="n">
        <x:v>0</x:v>
      </x:c>
      <x:c r="M1668" s="11" t="n">
        <x:v>0</x:v>
      </x:c>
      <x:c r="N1668" s="4"/>
      <x:c r="O1668" s="4"/>
      <x:c r="P1668" s="11"/>
      <x:c r="Q1668" s="11" t="n">
        <x:v>0</x:v>
      </x:c>
      <x:c r="R1668" s="11" t="str">
        <x:f>IF(OR(P1668="",Q1668=""),"",Q1668-P1668)</x:f>
      </x:c>
      <x:c r="S1668" s="13" t="str">
        <x:f>IF(OR(P1668="",Q1668="",P1668=0),"",((Q1668/30)/(P1668/31))-1)</x:f>
      </x:c>
      <x:c r="T1668" s="11"/>
      <x:c r="U1668" s="11" t="n">
        <x:v>26</x:v>
      </x:c>
      <x:c r="V1668" s="14" t="n">
        <x:v>0</x:v>
      </x:c>
      <x:c r="W1668" s="12" t="n">
        <x:v>9.192307692307692</x:v>
      </x:c>
      <x:c r="X1668" s="11"/>
      <x:c r="Y1668" s="11"/>
      <x:c r="Z1668" s="4"/>
      <x:c r="AA1668" s="4" t="str">
        <x:v>https://blog.skyairline.com/playa-los-cuervos/</x:v>
      </x:c>
      <x:c r="AB1668" s="4" t="str">
        <x:v>Coincidencia URL</x:v>
      </x:c>
      <x:c r="AC1668" s="4" t="str">
        <x:v>Publicado hasta septiembre</x:v>
      </x:c>
      <x:c r="AD1668" s="4"/>
      <x:c r="AE1668" s="4"/>
      <x:c r="AF1668" s="16" t="b">
        <x:v>0</x:v>
      </x:c>
    </x:row>
    <x:row r="1669" ht="44" customHeight="1">
      <x:c r="A1669" s="4" t="n">
        <x:v>9405</x:v>
      </x:c>
      <x:c r="B1669" s="4" t="str">
        <x:v>https://blog.skyairline.com/sky-se-une-a-desafio-levantemos-chile-para-apoyar-a-familias-afectadas-por-las-lluvias-en-el-norte/</x:v>
      </x:c>
      <x:c r="C1669" s="9" t="str">
        <x:v>SKY se une a Desafío Levantemos Chile para apoyar a familias del norte</x:v>
      </x:c>
      <x:c r="D1669" s="17" t="d">
        <x:v>2026-09-28T00:00:00.000Z</x:v>
      </x:c>
      <x:c r="E1669" s="17" t="d">
        <x:v>2026-09-28T00:00:00.000Z</x:v>
      </x:c>
      <x:c r="F1669" s="4" t="str">
        <x:v>Noticias</x:v>
      </x:c>
      <x:c r="G1669" s="11" t="n">
        <x:v>168</x:v>
      </x:c>
      <x:c r="H1669" s="11" t="n">
        <x:v>200</x:v>
      </x:c>
      <x:c r="I1669" s="11" t="n">
        <x:v>1</x:v>
      </x:c>
      <x:c r="J1669" s="4" t="str">
        <x:v>https://blog.skyairline.com/sky-se-une-a-desafio-levantemos-chile-para-apoyar-a-familias-afectadas-por-las-lluvias-en-el-norte/</x:v>
      </x:c>
      <x:c r="K1669" s="16" t="b">
        <x:v>0</x:v>
      </x:c>
      <x:c r="L1669" s="11" t="n">
        <x:v>0</x:v>
      </x:c>
      <x:c r="M1669" s="11" t="n">
        <x:v>0</x:v>
      </x:c>
      <x:c r="N1669" s="4"/>
      <x:c r="O1669" s="4"/>
      <x:c r="P1669" s="11"/>
      <x:c r="Q1669" s="11" t="n">
        <x:v>0</x:v>
      </x:c>
      <x:c r="R1669" s="11" t="str">
        <x:f>IF(OR(P1669="",Q1669=""),"",Q1669-P1669)</x:f>
      </x:c>
      <x:c r="S1669" s="13" t="str">
        <x:f>IF(OR(P1669="",Q1669="",P1669=0),"",((Q1669/30)/(P1669/31))-1)</x:f>
      </x:c>
      <x:c r="T1669" s="11"/>
      <x:c r="U1669" s="11" t="n">
        <x:v>50</x:v>
      </x:c>
      <x:c r="V1669" s="14" t="n">
        <x:v>0</x:v>
      </x:c>
      <x:c r="W1669" s="12" t="n">
        <x:v>7.66</x:v>
      </x:c>
      <x:c r="X1669" s="11" t="n">
        <x:v>1</x:v>
      </x:c>
      <x:c r="Y1669" s="11" t="n">
        <x:v>1</x:v>
      </x:c>
      <x:c r="Z1669" s="4"/>
      <x:c r="AA1669" s="4" t="str">
        <x:v>https://blog.skyairline.com/sky-se-une-a-desafio-levantemos-chile-para-apoyar-a-familias-afectadas-por-las-lluvias-en-el-norte/</x:v>
      </x:c>
      <x:c r="AB1669" s="4" t="str">
        <x:v>Coincidencia URL</x:v>
      </x:c>
      <x:c r="AC1669" s="4" t="str">
        <x:v>Publicado hasta septiembre</x:v>
      </x:c>
      <x:c r="AD1669" s="4" t="str">
        <x:v>/sky-se-une-a-desafio-levantemos-chile-para-apoyar-a-familias-afectadas-por-las-lluvias-en-el-norte/</x:v>
      </x:c>
      <x:c r="AE1669" s="4"/>
      <x:c r="AF1669" s="16" t="b">
        <x:v>0</x:v>
      </x:c>
    </x:row>
    <x:row r="1670" ht="44" customHeight="1">
      <x:c r="A1670" s="4" t="n">
        <x:v>9419</x:v>
      </x:c>
      <x:c r="B1670" s="4" t="str">
        <x:v>https://blog.skyairline.com/sky-fortalece-la-conectividad-entre-lima-y-cajamarca/</x:v>
      </x:c>
      <x:c r="C1670" s="9" t="str">
        <x:v>SKY fortalece la conectividad entre Lima y Cajamarca</x:v>
      </x:c>
      <x:c r="D1670" s="17" t="d">
        <x:v>2026-09-28T00:00:00.000Z</x:v>
      </x:c>
      <x:c r="E1670" s="17" t="d">
        <x:v>2026-09-28T00:00:00.000Z</x:v>
      </x:c>
      <x:c r="F1670" s="4" t="str">
        <x:v>Noticias</x:v>
      </x:c>
      <x:c r="G1670" s="11" t="n">
        <x:v>147</x:v>
      </x:c>
      <x:c r="H1670" s="11" t="n">
        <x:v>200</x:v>
      </x:c>
      <x:c r="I1670" s="11" t="n">
        <x:v>1</x:v>
      </x:c>
      <x:c r="J1670" s="4" t="str">
        <x:v>https://blog.skyairline.com/sky-fortalece-la-conectividad-entre-lima-y-cajamarca/</x:v>
      </x:c>
      <x:c r="K1670" s="16" t="b">
        <x:v>0</x:v>
      </x:c>
      <x:c r="L1670" s="11" t="n">
        <x:v>0</x:v>
      </x:c>
      <x:c r="M1670" s="11" t="n">
        <x:v>0</x:v>
      </x:c>
      <x:c r="N1670" s="4"/>
      <x:c r="O1670" s="4"/>
      <x:c r="P1670" s="11"/>
      <x:c r="Q1670" s="11" t="n">
        <x:v>0</x:v>
      </x:c>
      <x:c r="R1670" s="11" t="str">
        <x:f>IF(OR(P1670="",Q1670=""),"",Q1670-P1670)</x:f>
      </x:c>
      <x:c r="S1670" s="13" t="str">
        <x:f>IF(OR(P1670="",Q1670="",P1670=0),"",((Q1670/30)/(P1670/31))-1)</x:f>
      </x:c>
      <x:c r="T1670" s="11"/>
      <x:c r="U1670" s="11" t="n">
        <x:v>80</x:v>
      </x:c>
      <x:c r="V1670" s="14" t="n">
        <x:v>0</x:v>
      </x:c>
      <x:c r="W1670" s="12" t="n">
        <x:v>2.975</x:v>
      </x:c>
      <x:c r="X1670" s="11" t="n">
        <x:v>3</x:v>
      </x:c>
      <x:c r="Y1670" s="11" t="n">
        <x:v>4</x:v>
      </x:c>
      <x:c r="Z1670" s="4"/>
      <x:c r="AA1670" s="4" t="str">
        <x:v>https://blog.skyairline.com/sky-fortalece-la-conectividad-entre-lima-y-cajamarca/</x:v>
      </x:c>
      <x:c r="AB1670" s="4" t="str">
        <x:v>Coincidencia URL</x:v>
      </x:c>
      <x:c r="AC1670" s="4" t="str">
        <x:v>Publicado hasta septiembre</x:v>
      </x:c>
      <x:c r="AD1670" s="4" t="str">
        <x:v>/sky-fortalece-la-conectividad-entre-lima-y-cajamarca/</x:v>
      </x:c>
      <x:c r="AE1670" s="4"/>
      <x:c r="AF1670" s="16" t="b">
        <x:v>0</x:v>
      </x:c>
    </x:row>
    <x:row r="1671" ht="44" customHeight="1">
      <x:c r="A1671" s="4" t="n">
        <x:v>9422</x:v>
      </x:c>
      <x:c r="B1671" s="4" t="str">
        <x:v>https://blog.skyairline.com/nuevos-mercados-para-empresarios-gracias-a-sky-y-perucamaras/</x:v>
      </x:c>
      <x:c r="C1671" s="9" t="str">
        <x:v>Nuevos mercados para empresarios gracias a SKY y PERUCÁMARAS</x:v>
      </x:c>
      <x:c r="D1671" s="17" t="d">
        <x:v>2026-09-28T00:00:00.000Z</x:v>
      </x:c>
      <x:c r="E1671" s="17" t="d">
        <x:v>2026-09-28T00:00:00.000Z</x:v>
      </x:c>
      <x:c r="F1671" s="4" t="str">
        <x:v>Noticias</x:v>
      </x:c>
      <x:c r="G1671" s="11" t="n">
        <x:v>202</x:v>
      </x:c>
      <x:c r="H1671" s="11" t="n">
        <x:v>200</x:v>
      </x:c>
      <x:c r="I1671" s="11" t="n">
        <x:v>1</x:v>
      </x:c>
      <x:c r="J1671" s="4" t="str">
        <x:v>https://blog.skyairline.com/nuevos-mercados-para-empresarios-gracias-a-sky-y-perucamaras/</x:v>
      </x:c>
      <x:c r="K1671" s="16" t="b">
        <x:v>0</x:v>
      </x:c>
      <x:c r="L1671" s="11" t="n">
        <x:v>0</x:v>
      </x:c>
      <x:c r="M1671" s="11" t="n">
        <x:v>0</x:v>
      </x:c>
      <x:c r="N1671" s="4"/>
      <x:c r="O1671" s="4"/>
      <x:c r="P1671" s="11"/>
      <x:c r="Q1671" s="11" t="n">
        <x:v>0</x:v>
      </x:c>
      <x:c r="R1671" s="11" t="str">
        <x:f>IF(OR(P1671="",Q1671=""),"",Q1671-P1671)</x:f>
      </x:c>
      <x:c r="S1671" s="13" t="str">
        <x:f>IF(OR(P1671="",Q1671="",P1671=0),"",((Q1671/30)/(P1671/31))-1)</x:f>
      </x:c>
      <x:c r="T1671" s="11"/>
      <x:c r="U1671" s="11" t="n">
        <x:v>59</x:v>
      </x:c>
      <x:c r="V1671" s="14" t="n">
        <x:v>0</x:v>
      </x:c>
      <x:c r="W1671" s="12" t="n">
        <x:v>3.593220338983051</x:v>
      </x:c>
      <x:c r="X1671" s="11" t="n">
        <x:v>4</x:v>
      </x:c>
      <x:c r="Y1671" s="11" t="n">
        <x:v>4</x:v>
      </x:c>
      <x:c r="Z1671" s="4"/>
      <x:c r="AA1671" s="4" t="str">
        <x:v>https://blog.skyairline.com/nuevos-mercados-para-empresarios-gracias-a-sky-y-perucamaras/</x:v>
      </x:c>
      <x:c r="AB1671" s="4" t="str">
        <x:v>Coincidencia URL</x:v>
      </x:c>
      <x:c r="AC1671" s="4" t="str">
        <x:v>Publicado hasta septiembre</x:v>
      </x:c>
      <x:c r="AD1671" s="4" t="str">
        <x:v>/nuevos-mercados-para-empresarios-gracias-a-sky-y-perucamaras/</x:v>
      </x:c>
      <x:c r="AE1671" s="4"/>
      <x:c r="AF1671" s="16" t="b">
        <x:v>0</x:v>
      </x:c>
    </x:row>
    <x:row r="1672" ht="44" customHeight="1">
      <x:c r="A1672" s="4" t="n">
        <x:v>4</x:v>
      </x:c>
      <x:c r="B1672" s="4" t="str">
        <x:v>https://blog.skyairline.com/hola-mundo/</x:v>
      </x:c>
      <x:c r="C1672" s="9" t="str">
        <x:v>¡Hola Mundo!</x:v>
      </x:c>
      <x:c r="D1672" s="17" t="d">
        <x:v>2025-07-29T00:00:00.000Z</x:v>
      </x:c>
      <x:c r="E1672" s="17" t="d">
        <x:v>2025-07-29T00:00:00.000Z</x:v>
      </x:c>
      <x:c r="F1672" s="4" t="str">
        <x:v>Uncategorized</x:v>
      </x:c>
      <x:c r="G1672" s="11" t="n">
        <x:v>15</x:v>
      </x:c>
      <x:c r="H1672" s="11" t="n">
        <x:v>200</x:v>
      </x:c>
      <x:c r="I1672" s="11" t="n">
        <x:v>1</x:v>
      </x:c>
      <x:c r="J1672" s="4" t="str">
        <x:v>https://blog.skyairline.com/hola-mundo/</x:v>
      </x:c>
      <x:c r="K1672" s="16" t="b">
        <x:v>0</x:v>
      </x:c>
      <x:c r="L1672" s="11" t="n">
        <x:v>0</x:v>
      </x:c>
      <x:c r="M1672" s="11" t="n">
        <x:v>0</x:v>
      </x:c>
      <x:c r="N1672" s="4"/>
      <x:c r="O1672" s="4"/>
      <x:c r="P1672" s="11"/>
      <x:c r="Q1672" s="11"/>
      <x:c r="R1672" s="11" t="str">
        <x:f>IF(OR(P1672="",Q1672=""),"",Q1672-P1672)</x:f>
      </x:c>
      <x:c r="S1672" s="13" t="str">
        <x:f>IF(OR(P1672="",Q1672="",P1672=0),"",((Q1672/30)/(P1672/31))-1)</x:f>
      </x:c>
      <x:c r="T1672" s="11"/>
      <x:c r="U1672" s="11"/>
      <x:c r="V1672" s="14"/>
      <x:c r="W1672" s="12"/>
      <x:c r="X1672" s="11"/>
      <x:c r="Y1672" s="11"/>
      <x:c r="Z1672" s="4"/>
      <x:c r="AA1672" s="4"/>
      <x:c r="AB1672" s="4" t="str">
        <x:v>Sin fila GSC</x:v>
      </x:c>
      <x:c r="AC1672" s="4" t="str">
        <x:v>Publicado hasta septiembre</x:v>
      </x:c>
      <x:c r="AD1672" s="4"/>
      <x:c r="AE1672" s="4" t="str">
        <x:v>Demo</x:v>
      </x:c>
      <x:c r="AF1672" s="16" t="b">
        <x:v>0</x:v>
      </x:c>
    </x:row>
    <x:row r="1673" ht="44" customHeight="1">
      <x:c r="A1673" s="4" t="n">
        <x:v>803</x:v>
      </x:c>
      <x:c r="B1673" s="4" t="str">
        <x:v>https://blog.skyairline.com/avanzamos-en-merco-talento-chile-2021/</x:v>
      </x:c>
      <x:c r="C1673" s="9" t="str">
        <x:v>¡Avanzamos en Merco Talento Chile 2021!</x:v>
      </x:c>
      <x:c r="D1673" s="17" t="d">
        <x:v>2021-08-30T00:00:00.000Z</x:v>
      </x:c>
      <x:c r="E1673" s="17" t="d">
        <x:v>2021-08-30T00:00:00.000Z</x:v>
      </x:c>
      <x:c r="F1673" s="4" t="str">
        <x:v>Noticias</x:v>
      </x:c>
      <x:c r="G1673" s="11" t="n">
        <x:v>76</x:v>
      </x:c>
      <x:c r="H1673" s="11" t="n">
        <x:v>200</x:v>
      </x:c>
      <x:c r="I1673" s="11" t="n">
        <x:v>1</x:v>
      </x:c>
      <x:c r="J1673" s="4" t="str">
        <x:v>https://blog.skyairline.com/avanzamos-en-merco-talento-chile-2021/</x:v>
      </x:c>
      <x:c r="K1673" s="16" t="b">
        <x:v>0</x:v>
      </x:c>
      <x:c r="L1673" s="11" t="n">
        <x:v>0</x:v>
      </x:c>
      <x:c r="M1673" s="11" t="n">
        <x:v>0</x:v>
      </x:c>
      <x:c r="N1673" s="4"/>
      <x:c r="O1673" s="4"/>
      <x:c r="P1673" s="11" t="n">
        <x:v>0</x:v>
      </x:c>
      <x:c r="Q1673" s="11"/>
      <x:c r="R1673" s="11" t="str">
        <x:f>IF(OR(P1673="",Q1673=""),"",Q1673-P1673)</x:f>
      </x:c>
      <x:c r="S1673" s="13" t="str">
        <x:f>IF(OR(P1673="",Q1673="",P1673=0),"",((Q1673/30)/(P1673/31))-1)</x:f>
      </x:c>
      <x:c r="T1673" s="11" t="n">
        <x:v>5</x:v>
      </x:c>
      <x:c r="U1673" s="11"/>
      <x:c r="V1673" s="14"/>
      <x:c r="W1673" s="12"/>
      <x:c r="X1673" s="11"/>
      <x:c r="Y1673" s="11"/>
      <x:c r="Z1673" s="4" t="str">
        <x:v>https://blog.skyairline.com/avanzamos-en-merco-talento-chile-2021/</x:v>
      </x:c>
      <x:c r="AA1673" s="4"/>
      <x:c r="AB1673" s="4" t="str">
        <x:v>Coincidencia URL</x:v>
      </x:c>
      <x:c r="AC1673" s="4" t="str">
        <x:v>Publicado hasta septiembre</x:v>
      </x:c>
      <x:c r="AD1673" s="4"/>
      <x:c r="AE1673" s="4"/>
      <x:c r="AF1673" s="16" t="b">
        <x:v>0</x:v>
      </x:c>
    </x:row>
    <x:row r="1674" ht="44" customHeight="1">
      <x:c r="A1674" s="4" t="n">
        <x:v>843</x:v>
      </x:c>
      <x:c r="B1674" s="4" t="str">
        <x:v>https://blog.skyairline.com/vacunacion-en-chile/</x:v>
      </x:c>
      <x:c r="C1674" s="9" t="str">
        <x:v>Vacunación en Chile: ¿Una esperanza para los viajes?</x:v>
      </x:c>
      <x:c r="D1674" s="17" t="d">
        <x:v>2021-09-16T00:00:00.000Z</x:v>
      </x:c>
      <x:c r="E1674" s="17" t="d">
        <x:v>2021-09-16T00:00:00.000Z</x:v>
      </x:c>
      <x:c r="F1674" s="4" t="str">
        <x:v>Destinos</x:v>
      </x:c>
      <x:c r="G1674" s="11" t="n">
        <x:v>1016</x:v>
      </x:c>
      <x:c r="H1674" s="11" t="n">
        <x:v>200</x:v>
      </x:c>
      <x:c r="I1674" s="11" t="n">
        <x:v>1</x:v>
      </x:c>
      <x:c r="J1674" s="4" t="str">
        <x:v>https://blog.skyairline.com/vacunacion-en-chile/</x:v>
      </x:c>
      <x:c r="K1674" s="16" t="b">
        <x:v>0</x:v>
      </x:c>
      <x:c r="L1674" s="11" t="n">
        <x:v>0</x:v>
      </x:c>
      <x:c r="M1674" s="11" t="n">
        <x:v>3</x:v>
      </x:c>
      <x:c r="N1674" s="4"/>
      <x:c r="O1674" s="4"/>
      <x:c r="P1674" s="11" t="n">
        <x:v>0</x:v>
      </x:c>
      <x:c r="Q1674" s="11"/>
      <x:c r="R1674" s="11" t="str">
        <x:f>IF(OR(P1674="",Q1674=""),"",Q1674-P1674)</x:f>
      </x:c>
      <x:c r="S1674" s="13" t="str">
        <x:f>IF(OR(P1674="",Q1674="",P1674=0),"",((Q1674/30)/(P1674/31))-1)</x:f>
      </x:c>
      <x:c r="T1674" s="11" t="n">
        <x:v>3</x:v>
      </x:c>
      <x:c r="U1674" s="11"/>
      <x:c r="V1674" s="14"/>
      <x:c r="W1674" s="12"/>
      <x:c r="X1674" s="11"/>
      <x:c r="Y1674" s="11"/>
      <x:c r="Z1674" s="4" t="str">
        <x:v>https://blog.skyairline.com/vacunacion-en-chile/</x:v>
      </x:c>
      <x:c r="AA1674" s="4"/>
      <x:c r="AB1674" s="4" t="str">
        <x:v>Coincidencia URL</x:v>
      </x:c>
      <x:c r="AC1674" s="4" t="str">
        <x:v>Publicado hasta septiembre</x:v>
      </x:c>
      <x:c r="AD1674" s="4"/>
      <x:c r="AE1674" s="4"/>
      <x:c r="AF1674" s="16" t="b">
        <x:v>0</x:v>
      </x:c>
    </x:row>
    <x:row r="1675" ht="44" customHeight="1">
      <x:c r="A1675" s="4" t="n">
        <x:v>985</x:v>
      </x:c>
      <x:c r="B1675" s="4" t="str">
        <x:v>https://blog.skyairline.com/verano-seguro/</x:v>
      </x:c>
      <x:c r="C1675" s="9" t="str">
        <x:v>Verano seguro en tiempos de pandemia: 8 consejos que nos han dado las autoridades</x:v>
      </x:c>
      <x:c r="D1675" s="17" t="d">
        <x:v>2021-10-27T00:00:00.000Z</x:v>
      </x:c>
      <x:c r="E1675" s="17" t="d">
        <x:v>2021-10-27T00:00:00.000Z</x:v>
      </x:c>
      <x:c r="F1675" s="4" t="str">
        <x:v>Noticias</x:v>
      </x:c>
      <x:c r="G1675" s="11" t="n">
        <x:v>1079</x:v>
      </x:c>
      <x:c r="H1675" s="11" t="n">
        <x:v>200</x:v>
      </x:c>
      <x:c r="I1675" s="11" t="n">
        <x:v>1</x:v>
      </x:c>
      <x:c r="J1675" s="4" t="str">
        <x:v>https://blog.skyairline.com/verano-seguro/</x:v>
      </x:c>
      <x:c r="K1675" s="16" t="b">
        <x:v>0</x:v>
      </x:c>
      <x:c r="L1675" s="11" t="n">
        <x:v>0</x:v>
      </x:c>
      <x:c r="M1675" s="11" t="n">
        <x:v>3</x:v>
      </x:c>
      <x:c r="N1675" s="4"/>
      <x:c r="O1675" s="4"/>
      <x:c r="P1675" s="11" t="n">
        <x:v>0</x:v>
      </x:c>
      <x:c r="Q1675" s="11"/>
      <x:c r="R1675" s="11" t="str">
        <x:f>IF(OR(P1675="",Q1675=""),"",Q1675-P1675)</x:f>
      </x:c>
      <x:c r="S1675" s="13" t="str">
        <x:f>IF(OR(P1675="",Q1675="",P1675=0),"",((Q1675/30)/(P1675/31))-1)</x:f>
      </x:c>
      <x:c r="T1675" s="11" t="n">
        <x:v>1</x:v>
      </x:c>
      <x:c r="U1675" s="11"/>
      <x:c r="V1675" s="14"/>
      <x:c r="W1675" s="12"/>
      <x:c r="X1675" s="11"/>
      <x:c r="Y1675" s="11"/>
      <x:c r="Z1675" s="4" t="str">
        <x:v>https://blog.skyairline.com/verano-seguro/</x:v>
      </x:c>
      <x:c r="AA1675" s="4"/>
      <x:c r="AB1675" s="4" t="str">
        <x:v>Coincidencia URL</x:v>
      </x:c>
      <x:c r="AC1675" s="4" t="str">
        <x:v>Publicado hasta septiembre</x:v>
      </x:c>
      <x:c r="AD1675" s="4"/>
      <x:c r="AE1675" s="4"/>
      <x:c r="AF1675" s="16" t="b">
        <x:v>0</x:v>
      </x:c>
    </x:row>
    <x:row r="1676" ht="44" customHeight="1">
      <x:c r="A1676" s="4" t="n">
        <x:v>1476</x:v>
      </x:c>
      <x:c r="B1676" s="4" t="str">
        <x:v>https://blog.skyairline.com/actividades-con-menor-riesgo-de-contagio/</x:v>
      </x:c>
      <x:c r="C1676" s="9" t="str">
        <x:v>Las 8 actividades con menor riesgo de contagio durante un viaje</x:v>
      </x:c>
      <x:c r="D1676" s="17" t="d">
        <x:v>2022-03-01T00:00:00.000Z</x:v>
      </x:c>
      <x:c r="E1676" s="17" t="d">
        <x:v>2022-03-01T00:00:00.000Z</x:v>
      </x:c>
      <x:c r="F1676" s="4" t="str">
        <x:v>Planificación de Viaje</x:v>
      </x:c>
      <x:c r="G1676" s="11" t="n">
        <x:v>1004</x:v>
      </x:c>
      <x:c r="H1676" s="11" t="n">
        <x:v>200</x:v>
      </x:c>
      <x:c r="I1676" s="11" t="n">
        <x:v>1</x:v>
      </x:c>
      <x:c r="J1676" s="4" t="str">
        <x:v>https://blog.skyairline.com/actividades-con-menor-riesgo-de-contagio/</x:v>
      </x:c>
      <x:c r="K1676" s="16" t="b">
        <x:v>0</x:v>
      </x:c>
      <x:c r="L1676" s="11" t="n">
        <x:v>0</x:v>
      </x:c>
      <x:c r="M1676" s="11" t="n">
        <x:v>5</x:v>
      </x:c>
      <x:c r="N1676" s="4"/>
      <x:c r="O1676" s="4"/>
      <x:c r="P1676" s="11"/>
      <x:c r="Q1676" s="11"/>
      <x:c r="R1676" s="11" t="str">
        <x:f>IF(OR(P1676="",Q1676=""),"",Q1676-P1676)</x:f>
      </x:c>
      <x:c r="S1676" s="13" t="str">
        <x:f>IF(OR(P1676="",Q1676="",P1676=0),"",((Q1676/30)/(P1676/31))-1)</x:f>
      </x:c>
      <x:c r="T1676" s="11"/>
      <x:c r="U1676" s="11"/>
      <x:c r="V1676" s="14"/>
      <x:c r="W1676" s="12"/>
      <x:c r="X1676" s="11"/>
      <x:c r="Y1676" s="11"/>
      <x:c r="Z1676" s="4"/>
      <x:c r="AA1676" s="4"/>
      <x:c r="AB1676" s="4" t="str">
        <x:v>Sin fila GSC</x:v>
      </x:c>
      <x:c r="AC1676" s="4" t="str">
        <x:v>Publicado hasta septiembre</x:v>
      </x:c>
      <x:c r="AD1676" s="4"/>
      <x:c r="AE1676" s="4"/>
      <x:c r="AF1676" s="16" t="b">
        <x:v>0</x:v>
      </x:c>
    </x:row>
    <x:row r="1677" ht="44" customHeight="1">
      <x:c r="A1677" s="4" t="n">
        <x:v>2323</x:v>
      </x:c>
      <x:c r="B1677" s="4" t="str">
        <x:v>https://blog.skyairline.com/chilenos-eligen-volar-en-fiestas-patrias-pasajeros-aumentan-en-un-41-con-respecto-a-2021/</x:v>
      </x:c>
      <x:c r="C1677" s="9" t="str">
        <x:v>Chilenos eligen volar en Fiestas Patrias: Pasajeros aumentan en un 41% con respecto a 2021</x:v>
      </x:c>
      <x:c r="D1677" s="17" t="d">
        <x:v>2022-09-23T00:00:00.000Z</x:v>
      </x:c>
      <x:c r="E1677" s="17" t="d">
        <x:v>2022-09-23T00:00:00.000Z</x:v>
      </x:c>
      <x:c r="F1677" s="4" t="str">
        <x:v>Noticias</x:v>
      </x:c>
      <x:c r="G1677" s="11" t="n">
        <x:v>560</x:v>
      </x:c>
      <x:c r="H1677" s="11" t="n">
        <x:v>200</x:v>
      </x:c>
      <x:c r="I1677" s="11" t="n">
        <x:v>1</x:v>
      </x:c>
      <x:c r="J1677" s="4" t="str">
        <x:v>https://blog.skyairline.com/chilenos-eligen-volar-en-fiestas-patrias-pasajeros-aumentan-en-un-41-con-respecto-a-2021/</x:v>
      </x:c>
      <x:c r="K1677" s="16" t="b">
        <x:v>0</x:v>
      </x:c>
      <x:c r="L1677" s="11" t="n">
        <x:v>0</x:v>
      </x:c>
      <x:c r="M1677" s="11" t="n">
        <x:v>0</x:v>
      </x:c>
      <x:c r="N1677" s="4"/>
      <x:c r="O1677" s="4"/>
      <x:c r="P1677" s="11" t="n">
        <x:v>0</x:v>
      </x:c>
      <x:c r="Q1677" s="11"/>
      <x:c r="R1677" s="11" t="str">
        <x:f>IF(OR(P1677="",Q1677=""),"",Q1677-P1677)</x:f>
      </x:c>
      <x:c r="S1677" s="13" t="str">
        <x:f>IF(OR(P1677="",Q1677="",P1677=0),"",((Q1677/30)/(P1677/31))-1)</x:f>
      </x:c>
      <x:c r="T1677" s="11" t="n">
        <x:v>4</x:v>
      </x:c>
      <x:c r="U1677" s="11"/>
      <x:c r="V1677" s="14"/>
      <x:c r="W1677" s="12"/>
      <x:c r="X1677" s="11" t="n">
        <x:v>1</x:v>
      </x:c>
      <x:c r="Y1677" s="11" t="n">
        <x:v>1</x:v>
      </x:c>
      <x:c r="Z1677" s="4" t="str">
        <x:v>https://blog.skyairline.com/chilenos-eligen-volar-en-fiestas-patrias-pasajeros-aumentan-en-un-41-con-respecto-a-2021/</x:v>
      </x:c>
      <x:c r="AA1677" s="4"/>
      <x:c r="AB1677" s="4" t="str">
        <x:v>Coincidencia URL</x:v>
      </x:c>
      <x:c r="AC1677" s="4" t="str">
        <x:v>Publicado hasta septiembre</x:v>
      </x:c>
      <x:c r="AD1677" s="4" t="str">
        <x:v>/chilenos-eligen-volar-en-fiestas-patrias-pasajeros-aumentan-en-un-41-con-respecto-a-2021/</x:v>
      </x:c>
      <x:c r="AE1677" s="4"/>
      <x:c r="AF1677" s="16" t="b">
        <x:v>0</x:v>
      </x:c>
    </x:row>
    <x:row r="1678" ht="44" customHeight="1">
      <x:c r="A1678" s="4" t="n">
        <x:v>2436</x:v>
      </x:c>
      <x:c r="B1678" s="4" t="str">
        <x:v>https://blog.skyairline.com/para-navidad/</x:v>
      </x:c>
      <x:c r="C1678" s="9" t="str">
        <x:v>10 mejores destinos que puedes considerar para Navidad este 2022</x:v>
      </x:c>
      <x:c r="D1678" s="17" t="d">
        <x:v>2022-10-30T00:00:00.000Z</x:v>
      </x:c>
      <x:c r="E1678" s="17" t="d">
        <x:v>2022-10-30T00:00:00.000Z</x:v>
      </x:c>
      <x:c r="F1678" s="4" t="str">
        <x:v>Destinos</x:v>
      </x:c>
      <x:c r="G1678" s="11" t="n">
        <x:v>1156</x:v>
      </x:c>
      <x:c r="H1678" s="11" t="n">
        <x:v>200</x:v>
      </x:c>
      <x:c r="I1678" s="11" t="n">
        <x:v>1</x:v>
      </x:c>
      <x:c r="J1678" s="4" t="str">
        <x:v>https://blog.skyairline.com/para-navidad/</x:v>
      </x:c>
      <x:c r="K1678" s="16" t="b">
        <x:v>0</x:v>
      </x:c>
      <x:c r="L1678" s="11" t="n">
        <x:v>0</x:v>
      </x:c>
      <x:c r="M1678" s="11" t="n">
        <x:v>4</x:v>
      </x:c>
      <x:c r="N1678" s="4"/>
      <x:c r="O1678" s="4"/>
      <x:c r="P1678" s="11"/>
      <x:c r="Q1678" s="11"/>
      <x:c r="R1678" s="11" t="str">
        <x:f>IF(OR(P1678="",Q1678=""),"",Q1678-P1678)</x:f>
      </x:c>
      <x:c r="S1678" s="13" t="str">
        <x:f>IF(OR(P1678="",Q1678="",P1678=0),"",((Q1678/30)/(P1678/31))-1)</x:f>
      </x:c>
      <x:c r="T1678" s="11"/>
      <x:c r="U1678" s="11"/>
      <x:c r="V1678" s="14"/>
      <x:c r="W1678" s="12"/>
      <x:c r="X1678" s="11"/>
      <x:c r="Y1678" s="11"/>
      <x:c r="Z1678" s="4"/>
      <x:c r="AA1678" s="4"/>
      <x:c r="AB1678" s="4" t="str">
        <x:v>Sin fila GSC</x:v>
      </x:c>
      <x:c r="AC1678" s="4" t="str">
        <x:v>Publicado hasta septiembre</x:v>
      </x:c>
      <x:c r="AD1678" s="4"/>
      <x:c r="AE1678" s="4"/>
      <x:c r="AF1678" s="16" t="b">
        <x:v>0</x:v>
      </x:c>
    </x:row>
    <x:row r="1679" ht="44" customHeight="1">
      <x:c r="A1679" s="4" t="n">
        <x:v>2499</x:v>
      </x:c>
      <x:c r="B1679" s="4" t="str">
        <x:v>https://blog.skyairline.com/miami-de-noche/</x:v>
      </x:c>
      <x:c r="C1679" s="9" t="str">
        <x:v>¿Qué hacer en Miami de noche? ¡Te damos 10 tips clave!</x:v>
      </x:c>
      <x:c r="D1679" s="17" t="d">
        <x:v>2022-11-23T00:00:00.000Z</x:v>
      </x:c>
      <x:c r="E1679" s="17" t="d">
        <x:v>2022-11-23T00:00:00.000Z</x:v>
      </x:c>
      <x:c r="F1679" s="4" t="str">
        <x:v>Destinos</x:v>
      </x:c>
      <x:c r="G1679" s="11" t="n">
        <x:v>930</x:v>
      </x:c>
      <x:c r="H1679" s="11" t="n">
        <x:v>200</x:v>
      </x:c>
      <x:c r="I1679" s="11" t="n">
        <x:v>1</x:v>
      </x:c>
      <x:c r="J1679" s="4" t="str">
        <x:v>https://blog.skyairline.com/miami-de-noche/</x:v>
      </x:c>
      <x:c r="K1679" s="16" t="b">
        <x:v>0</x:v>
      </x:c>
      <x:c r="L1679" s="11" t="n">
        <x:v>0</x:v>
      </x:c>
      <x:c r="M1679" s="11" t="n">
        <x:v>4</x:v>
      </x:c>
      <x:c r="N1679" s="4"/>
      <x:c r="O1679" s="4"/>
      <x:c r="P1679" s="11"/>
      <x:c r="Q1679" s="11"/>
      <x:c r="R1679" s="11" t="str">
        <x:f>IF(OR(P1679="",Q1679=""),"",Q1679-P1679)</x:f>
      </x:c>
      <x:c r="S1679" s="13" t="str">
        <x:f>IF(OR(P1679="",Q1679="",P1679=0),"",((Q1679/30)/(P1679/31))-1)</x:f>
      </x:c>
      <x:c r="T1679" s="11"/>
      <x:c r="U1679" s="11"/>
      <x:c r="V1679" s="14"/>
      <x:c r="W1679" s="12"/>
      <x:c r="X1679" s="11"/>
      <x:c r="Y1679" s="11"/>
      <x:c r="Z1679" s="4"/>
      <x:c r="AA1679" s="4"/>
      <x:c r="AB1679" s="4" t="str">
        <x:v>Sin fila GSC</x:v>
      </x:c>
      <x:c r="AC1679" s="4" t="str">
        <x:v>Publicado hasta septiembre</x:v>
      </x:c>
      <x:c r="AD1679" s="4"/>
      <x:c r="AE1679" s="4"/>
      <x:c r="AF1679" s="16" t="b">
        <x:v>0</x:v>
      </x:c>
    </x:row>
    <x:row r="1680" ht="44" customHeight="1">
      <x:c r="A1680" s="4" t="n">
        <x:v>2605</x:v>
      </x:c>
      <x:c r="B1680" s="4" t="str">
        <x:v>https://blog.skyairline.com/mejores-destinos-en-verano/</x:v>
      </x:c>
      <x:c r="C1680" s="9" t="str">
        <x:v>Mejores destinos en Verano: ¡conócelos!</x:v>
      </x:c>
      <x:c r="D1680" s="17" t="d">
        <x:v>2022-12-26T00:00:00.000Z</x:v>
      </x:c>
      <x:c r="E1680" s="17" t="d">
        <x:v>2022-12-26T00:00:00.000Z</x:v>
      </x:c>
      <x:c r="F1680" s="4" t="str">
        <x:v>Destinos</x:v>
      </x:c>
      <x:c r="G1680" s="11" t="n">
        <x:v>972</x:v>
      </x:c>
      <x:c r="H1680" s="11" t="n">
        <x:v>200</x:v>
      </x:c>
      <x:c r="I1680" s="11" t="n">
        <x:v>1</x:v>
      </x:c>
      <x:c r="J1680" s="4" t="str">
        <x:v>https://blog.skyairline.com/mejores-destinos-en-verano/</x:v>
      </x:c>
      <x:c r="K1680" s="16" t="b">
        <x:v>0</x:v>
      </x:c>
      <x:c r="L1680" s="11" t="n">
        <x:v>0</x:v>
      </x:c>
      <x:c r="M1680" s="11" t="n">
        <x:v>3</x:v>
      </x:c>
      <x:c r="N1680" s="4"/>
      <x:c r="O1680" s="4"/>
      <x:c r="P1680" s="11"/>
      <x:c r="Q1680" s="11"/>
      <x:c r="R1680" s="11" t="str">
        <x:f>IF(OR(P1680="",Q1680=""),"",Q1680-P1680)</x:f>
      </x:c>
      <x:c r="S1680" s="13" t="str">
        <x:f>IF(OR(P1680="",Q1680="",P1680=0),"",((Q1680/30)/(P1680/31))-1)</x:f>
      </x:c>
      <x:c r="T1680" s="11"/>
      <x:c r="U1680" s="11"/>
      <x:c r="V1680" s="14"/>
      <x:c r="W1680" s="12"/>
      <x:c r="X1680" s="11"/>
      <x:c r="Y1680" s="11"/>
      <x:c r="Z1680" s="4"/>
      <x:c r="AA1680" s="4"/>
      <x:c r="AB1680" s="4" t="str">
        <x:v>Sin fila GSC</x:v>
      </x:c>
      <x:c r="AC1680" s="4" t="str">
        <x:v>Publicado hasta septiembre</x:v>
      </x:c>
      <x:c r="AD1680" s="4"/>
      <x:c r="AE1680" s="4"/>
      <x:c r="AF1680" s="16" t="b">
        <x:v>0</x:v>
      </x:c>
    </x:row>
    <x:row r="1681" ht="44" customHeight="1">
      <x:c r="A1681" s="4" t="n">
        <x:v>2636</x:v>
      </x:c>
      <x:c r="B1681" s="4" t="str">
        <x:v>https://blog.skyairline.com/sky-inicio-vuelos-entre-lima-y-talara-con-7-000-mil-tickets-vendidos/</x:v>
      </x:c>
      <x:c r="C1681" s="9" t="str">
        <x:v>SKY INICIÓ VUELOS ENTRE LIMA Y TALARA CON 7.000 MIL TICKETS VENDIDOS</x:v>
      </x:c>
      <x:c r="D1681" s="17" t="d">
        <x:v>2022-12-26T00:00:00.000Z</x:v>
      </x:c>
      <x:c r="E1681" s="17" t="d">
        <x:v>2022-12-26T00:00:00.000Z</x:v>
      </x:c>
      <x:c r="F1681" s="4" t="str">
        <x:v>Noticias</x:v>
      </x:c>
      <x:c r="G1681" s="11" t="n">
        <x:v>285</x:v>
      </x:c>
      <x:c r="H1681" s="11" t="n">
        <x:v>200</x:v>
      </x:c>
      <x:c r="I1681" s="11" t="n">
        <x:v>1</x:v>
      </x:c>
      <x:c r="J1681" s="4" t="str">
        <x:v>https://blog.skyairline.com/sky-inicio-vuelos-entre-lima-y-talara-con-7-000-mil-tickets-vendidos/</x:v>
      </x:c>
      <x:c r="K1681" s="16" t="b">
        <x:v>0</x:v>
      </x:c>
      <x:c r="L1681" s="11" t="n">
        <x:v>0</x:v>
      </x:c>
      <x:c r="M1681" s="11" t="n">
        <x:v>0</x:v>
      </x:c>
      <x:c r="N1681" s="4"/>
      <x:c r="O1681" s="4"/>
      <x:c r="P1681" s="11"/>
      <x:c r="Q1681" s="11"/>
      <x:c r="R1681" s="11" t="str">
        <x:f>IF(OR(P1681="",Q1681=""),"",Q1681-P1681)</x:f>
      </x:c>
      <x:c r="S1681" s="13" t="str">
        <x:f>IF(OR(P1681="",Q1681="",P1681=0),"",((Q1681/30)/(P1681/31))-1)</x:f>
      </x:c>
      <x:c r="T1681" s="11"/>
      <x:c r="U1681" s="11"/>
      <x:c r="V1681" s="14"/>
      <x:c r="W1681" s="12"/>
      <x:c r="X1681" s="11"/>
      <x:c r="Y1681" s="11"/>
      <x:c r="Z1681" s="4"/>
      <x:c r="AA1681" s="4"/>
      <x:c r="AB1681" s="4" t="str">
        <x:v>Sin fila GSC</x:v>
      </x:c>
      <x:c r="AC1681" s="4" t="str">
        <x:v>Publicado hasta septiembre</x:v>
      </x:c>
      <x:c r="AD1681" s="4"/>
      <x:c r="AE1681" s="4"/>
      <x:c r="AF1681" s="16" t="b">
        <x:v>0</x:v>
      </x:c>
    </x:row>
    <x:row r="1682" ht="44" customHeight="1">
      <x:c r="A1682" s="4" t="n">
        <x:v>2901</x:v>
      </x:c>
      <x:c r="B1682" s="4" t="str">
        <x:v>https://blog.skyairline.com/viajar-en-2023-a-chile/</x:v>
      </x:c>
      <x:c r="C1682" s="9" t="str">
        <x:v>Viajar en 2023: ¿a dónde ir en Chile?</x:v>
      </x:c>
      <x:c r="D1682" s="17" t="d">
        <x:v>2023-05-03T00:00:00.000Z</x:v>
      </x:c>
      <x:c r="E1682" s="17" t="d">
        <x:v>2023-05-03T00:00:00.000Z</x:v>
      </x:c>
      <x:c r="F1682" s="4" t="str">
        <x:v>Destinos</x:v>
      </x:c>
      <x:c r="G1682" s="11" t="n">
        <x:v>1108</x:v>
      </x:c>
      <x:c r="H1682" s="11" t="n">
        <x:v>200</x:v>
      </x:c>
      <x:c r="I1682" s="11" t="n">
        <x:v>1</x:v>
      </x:c>
      <x:c r="J1682" s="4" t="str">
        <x:v>https://blog.skyairline.com/viajar-en-2023-a-chile/</x:v>
      </x:c>
      <x:c r="K1682" s="16" t="b">
        <x:v>0</x:v>
      </x:c>
      <x:c r="L1682" s="11" t="n">
        <x:v>0</x:v>
      </x:c>
      <x:c r="M1682" s="11" t="n">
        <x:v>13</x:v>
      </x:c>
      <x:c r="N1682" s="4"/>
      <x:c r="O1682" s="4"/>
      <x:c r="P1682" s="11"/>
      <x:c r="Q1682" s="11"/>
      <x:c r="R1682" s="11" t="str">
        <x:f>IF(OR(P1682="",Q1682=""),"",Q1682-P1682)</x:f>
      </x:c>
      <x:c r="S1682" s="13" t="str">
        <x:f>IF(OR(P1682="",Q1682="",P1682=0),"",((Q1682/30)/(P1682/31))-1)</x:f>
      </x:c>
      <x:c r="T1682" s="11"/>
      <x:c r="U1682" s="11"/>
      <x:c r="V1682" s="14"/>
      <x:c r="W1682" s="12"/>
      <x:c r="X1682" s="11"/>
      <x:c r="Y1682" s="11"/>
      <x:c r="Z1682" s="4"/>
      <x:c r="AA1682" s="4"/>
      <x:c r="AB1682" s="4" t="str">
        <x:v>Sin fila GSC</x:v>
      </x:c>
      <x:c r="AC1682" s="4" t="str">
        <x:v>Publicado hasta septiembre</x:v>
      </x:c>
      <x:c r="AD1682" s="4"/>
      <x:c r="AE1682" s="4"/>
      <x:c r="AF1682" s="16" t="b">
        <x:v>0</x:v>
      </x:c>
    </x:row>
    <x:row r="1683" ht="44" customHeight="1">
      <x:c r="A1683" s="4" t="n">
        <x:v>3231</x:v>
      </x:c>
      <x:c r="B1683" s="4" t="str">
        <x:v>https://blog.skyairline.com/puerto-montt-que-hacer-invierno/</x:v>
      </x:c>
      <x:c r="C1683" s="9" t="str">
        <x:v>Puerto Montt en invierno: ¿qué esperar durante tu viaje?</x:v>
      </x:c>
      <x:c r="D1683" s="17" t="d">
        <x:v>2023-08-09T00:00:00.000Z</x:v>
      </x:c>
      <x:c r="E1683" s="17" t="d">
        <x:v>2023-08-09T00:00:00.000Z</x:v>
      </x:c>
      <x:c r="F1683" s="4" t="str">
        <x:v>Destinos</x:v>
      </x:c>
      <x:c r="G1683" s="11" t="n">
        <x:v>1031</x:v>
      </x:c>
      <x:c r="H1683" s="11" t="n">
        <x:v>200</x:v>
      </x:c>
      <x:c r="I1683" s="11" t="n">
        <x:v>1</x:v>
      </x:c>
      <x:c r="J1683" s="4" t="str">
        <x:v>https://blog.skyairline.com/puerto-montt-que-hacer-invierno/</x:v>
      </x:c>
      <x:c r="K1683" s="16" t="b">
        <x:v>0</x:v>
      </x:c>
      <x:c r="L1683" s="11" t="n">
        <x:v>0</x:v>
      </x:c>
      <x:c r="M1683" s="11" t="n">
        <x:v>5</x:v>
      </x:c>
      <x:c r="N1683" s="4"/>
      <x:c r="O1683" s="4"/>
      <x:c r="P1683" s="11"/>
      <x:c r="Q1683" s="11"/>
      <x:c r="R1683" s="11" t="str">
        <x:f>IF(OR(P1683="",Q1683=""),"",Q1683-P1683)</x:f>
      </x:c>
      <x:c r="S1683" s="13" t="str">
        <x:f>IF(OR(P1683="",Q1683="",P1683=0),"",((Q1683/30)/(P1683/31))-1)</x:f>
      </x:c>
      <x:c r="T1683" s="11"/>
      <x:c r="U1683" s="11"/>
      <x:c r="V1683" s="14"/>
      <x:c r="W1683" s="12"/>
      <x:c r="X1683" s="11"/>
      <x:c r="Y1683" s="11"/>
      <x:c r="Z1683" s="4"/>
      <x:c r="AA1683" s="4"/>
      <x:c r="AB1683" s="4" t="str">
        <x:v>Sin fila GSC</x:v>
      </x:c>
      <x:c r="AC1683" s="4" t="str">
        <x:v>Publicado hasta septiembre</x:v>
      </x:c>
      <x:c r="AD1683" s="4"/>
      <x:c r="AE1683" s="4"/>
      <x:c r="AF1683" s="16" t="b">
        <x:v>1</x:v>
      </x:c>
    </x:row>
    <x:row r="1684" ht="44" customHeight="1">
      <x:c r="A1684" s="4" t="n">
        <x:v>3587</x:v>
      </x:c>
      <x:c r="B1684" s="4" t="str">
        <x:v>https://blog.skyairline.com/estuvimos-presentes-en-la-cardioton/</x:v>
      </x:c>
      <x:c r="C1684" s="9" t="str">
        <x:v>Estuvimos presentes en la «Cardiotón»</x:v>
      </x:c>
      <x:c r="D1684" s="17" t="d">
        <x:v>2023-10-26T00:00:00.000Z</x:v>
      </x:c>
      <x:c r="E1684" s="17" t="d">
        <x:v>2023-10-26T00:00:00.000Z</x:v>
      </x:c>
      <x:c r="F1684" s="4" t="str">
        <x:v>Compromiso SKY</x:v>
      </x:c>
      <x:c r="G1684" s="11" t="n">
        <x:v>116</x:v>
      </x:c>
      <x:c r="H1684" s="11" t="n">
        <x:v>200</x:v>
      </x:c>
      <x:c r="I1684" s="11" t="n">
        <x:v>1</x:v>
      </x:c>
      <x:c r="J1684" s="4" t="str">
        <x:v>https://blog.skyairline.com/estuvimos-presentes-en-la-cardioton/</x:v>
      </x:c>
      <x:c r="K1684" s="16" t="b">
        <x:v>0</x:v>
      </x:c>
      <x:c r="L1684" s="11" t="n">
        <x:v>0</x:v>
      </x:c>
      <x:c r="M1684" s="11" t="n">
        <x:v>0</x:v>
      </x:c>
      <x:c r="N1684" s="4"/>
      <x:c r="O1684" s="4"/>
      <x:c r="P1684" s="11"/>
      <x:c r="Q1684" s="11"/>
      <x:c r="R1684" s="11" t="str">
        <x:f>IF(OR(P1684="",Q1684=""),"",Q1684-P1684)</x:f>
      </x:c>
      <x:c r="S1684" s="13" t="str">
        <x:f>IF(OR(P1684="",Q1684="",P1684=0),"",((Q1684/30)/(P1684/31))-1)</x:f>
      </x:c>
      <x:c r="T1684" s="11"/>
      <x:c r="U1684" s="11"/>
      <x:c r="V1684" s="14"/>
      <x:c r="W1684" s="12"/>
      <x:c r="X1684" s="11"/>
      <x:c r="Y1684" s="11"/>
      <x:c r="Z1684" s="4"/>
      <x:c r="AA1684" s="4"/>
      <x:c r="AB1684" s="4" t="str">
        <x:v>Sin fila GSC</x:v>
      </x:c>
      <x:c r="AC1684" s="4" t="str">
        <x:v>Publicado hasta septiembre</x:v>
      </x:c>
      <x:c r="AD1684" s="4"/>
      <x:c r="AE1684" s="4"/>
      <x:c r="AF1684" s="16" t="b">
        <x:v>0</x:v>
      </x:c>
    </x:row>
    <x:row r="1685" ht="44" customHeight="1">
      <x:c r="A1685" s="4" t="n">
        <x:v>3821</x:v>
      </x:c>
      <x:c r="B1685" s="4" t="str">
        <x:v>https://blog.skyairline.com/papa-noel-cambio-el-trineo-por-un-avion/</x:v>
      </x:c>
      <x:c r="C1685" s="9" t="str">
        <x:v>¡Papá Noel cambió el trineo por un avión!</x:v>
      </x:c>
      <x:c r="D1685" s="17" t="d">
        <x:v>2023-12-21T00:00:00.000Z</x:v>
      </x:c>
      <x:c r="E1685" s="17" t="d">
        <x:v>2023-12-21T00:00:00.000Z</x:v>
      </x:c>
      <x:c r="F1685" s="4" t="str">
        <x:v>Noticias</x:v>
      </x:c>
      <x:c r="G1685" s="11" t="n">
        <x:v>373</x:v>
      </x:c>
      <x:c r="H1685" s="11" t="n">
        <x:v>200</x:v>
      </x:c>
      <x:c r="I1685" s="11" t="n">
        <x:v>1</x:v>
      </x:c>
      <x:c r="J1685" s="4" t="str">
        <x:v>https://blog.skyairline.com/papa-noel-cambio-el-trineo-por-un-avion/</x:v>
      </x:c>
      <x:c r="K1685" s="16" t="b">
        <x:v>0</x:v>
      </x:c>
      <x:c r="L1685" s="11" t="n">
        <x:v>0</x:v>
      </x:c>
      <x:c r="M1685" s="11" t="n">
        <x:v>0</x:v>
      </x:c>
      <x:c r="N1685" s="4"/>
      <x:c r="O1685" s="4"/>
      <x:c r="P1685" s="11"/>
      <x:c r="Q1685" s="11"/>
      <x:c r="R1685" s="11" t="str">
        <x:f>IF(OR(P1685="",Q1685=""),"",Q1685-P1685)</x:f>
      </x:c>
      <x:c r="S1685" s="13" t="str">
        <x:f>IF(OR(P1685="",Q1685="",P1685=0),"",((Q1685/30)/(P1685/31))-1)</x:f>
      </x:c>
      <x:c r="T1685" s="11"/>
      <x:c r="U1685" s="11"/>
      <x:c r="V1685" s="14"/>
      <x:c r="W1685" s="12"/>
      <x:c r="X1685" s="11"/>
      <x:c r="Y1685" s="11"/>
      <x:c r="Z1685" s="4"/>
      <x:c r="AA1685" s="4"/>
      <x:c r="AB1685" s="4" t="str">
        <x:v>Sin fila GSC</x:v>
      </x:c>
      <x:c r="AC1685" s="4" t="str">
        <x:v>Publicado hasta septiembre</x:v>
      </x:c>
      <x:c r="AD1685" s="4"/>
      <x:c r="AE1685" s="4"/>
      <x:c r="AF1685" s="16" t="b">
        <x:v>0</x:v>
      </x:c>
    </x:row>
    <x:row r="1686" ht="44" customHeight="1">
      <x:c r="A1686" s="4" t="n">
        <x:v>3828</x:v>
      </x:c>
      <x:c r="B1686" s="4" t="str">
        <x:v>https://blog.skyairline.com/recibimos-el-premio-innovacion-en-la-creacion-de-datos-que-generan-valor-en-el-mundo-operacional/</x:v>
      </x:c>
      <x:c r="C1686" s="9" t="str">
        <x:v>Recibimos el premio «Innovación en la Creación de Datos que Generan Valor en el Mundo Operacional»</x:v>
      </x:c>
      <x:c r="D1686" s="17" t="d">
        <x:v>2023-12-22T00:00:00.000Z</x:v>
      </x:c>
      <x:c r="E1686" s="17" t="d">
        <x:v>2023-12-22T00:00:00.000Z</x:v>
      </x:c>
      <x:c r="F1686" s="4" t="str">
        <x:v>Noticias</x:v>
      </x:c>
      <x:c r="G1686" s="11" t="n">
        <x:v>121</x:v>
      </x:c>
      <x:c r="H1686" s="11" t="n">
        <x:v>200</x:v>
      </x:c>
      <x:c r="I1686" s="11" t="n">
        <x:v>1</x:v>
      </x:c>
      <x:c r="J1686" s="4" t="str">
        <x:v>https://blog.skyairline.com/recibimos-el-premio-innovacion-en-la-creacion-de-datos-que-generan-valor-en-el-mundo-operacional/</x:v>
      </x:c>
      <x:c r="K1686" s="16" t="b">
        <x:v>0</x:v>
      </x:c>
      <x:c r="L1686" s="11" t="n">
        <x:v>0</x:v>
      </x:c>
      <x:c r="M1686" s="11" t="n">
        <x:v>1</x:v>
      </x:c>
      <x:c r="N1686" s="4"/>
      <x:c r="O1686" s="4"/>
      <x:c r="P1686" s="11"/>
      <x:c r="Q1686" s="11"/>
      <x:c r="R1686" s="11" t="str">
        <x:f>IF(OR(P1686="",Q1686=""),"",Q1686-P1686)</x:f>
      </x:c>
      <x:c r="S1686" s="13" t="str">
        <x:f>IF(OR(P1686="",Q1686="",P1686=0),"",((Q1686/30)/(P1686/31))-1)</x:f>
      </x:c>
      <x:c r="T1686" s="11"/>
      <x:c r="U1686" s="11"/>
      <x:c r="V1686" s="14"/>
      <x:c r="W1686" s="12"/>
      <x:c r="X1686" s="11"/>
      <x:c r="Y1686" s="11"/>
      <x:c r="Z1686" s="4"/>
      <x:c r="AA1686" s="4"/>
      <x:c r="AB1686" s="4" t="str">
        <x:v>Sin fila GSC</x:v>
      </x:c>
      <x:c r="AC1686" s="4" t="str">
        <x:v>Publicado hasta septiembre</x:v>
      </x:c>
      <x:c r="AD1686" s="4"/>
      <x:c r="AE1686" s="4"/>
      <x:c r="AF1686" s="16" t="b">
        <x:v>0</x:v>
      </x:c>
    </x:row>
    <x:row r="1687" ht="44" customHeight="1">
      <x:c r="A1687" s="4" t="n">
        <x:v>3875</x:v>
      </x:c>
      <x:c r="B1687" s="4" t="str">
        <x:v>https://blog.skyairline.com/como-aprender-idioma/</x:v>
      </x:c>
      <x:c r="C1687" s="9" t="str">
        <x:v>Cómo aprender un idioma: 7 consejos para hacerlo rápidamente</x:v>
      </x:c>
      <x:c r="D1687" s="17" t="d">
        <x:v>2023-12-17T00:00:00.000Z</x:v>
      </x:c>
      <x:c r="E1687" s="17" t="d">
        <x:v>2023-12-17T00:00:00.000Z</x:v>
      </x:c>
      <x:c r="F1687" s="4" t="str">
        <x:v>Planificación de Viaje</x:v>
      </x:c>
      <x:c r="G1687" s="11" t="n">
        <x:v>1090</x:v>
      </x:c>
      <x:c r="H1687" s="11" t="n">
        <x:v>200</x:v>
      </x:c>
      <x:c r="I1687" s="11" t="n">
        <x:v>1</x:v>
      </x:c>
      <x:c r="J1687" s="4" t="str">
        <x:v>https://blog.skyairline.com/como-aprender-idioma/</x:v>
      </x:c>
      <x:c r="K1687" s="16" t="b">
        <x:v>0</x:v>
      </x:c>
      <x:c r="L1687" s="11" t="n">
        <x:v>0</x:v>
      </x:c>
      <x:c r="M1687" s="11" t="n">
        <x:v>3</x:v>
      </x:c>
      <x:c r="N1687" s="4"/>
      <x:c r="O1687" s="4"/>
      <x:c r="P1687" s="11"/>
      <x:c r="Q1687" s="11"/>
      <x:c r="R1687" s="11" t="str">
        <x:f>IF(OR(P1687="",Q1687=""),"",Q1687-P1687)</x:f>
      </x:c>
      <x:c r="S1687" s="13" t="str">
        <x:f>IF(OR(P1687="",Q1687="",P1687=0),"",((Q1687/30)/(P1687/31))-1)</x:f>
      </x:c>
      <x:c r="T1687" s="11"/>
      <x:c r="U1687" s="11"/>
      <x:c r="V1687" s="14"/>
      <x:c r="W1687" s="12"/>
      <x:c r="X1687" s="11"/>
      <x:c r="Y1687" s="11"/>
      <x:c r="Z1687" s="4"/>
      <x:c r="AA1687" s="4"/>
      <x:c r="AB1687" s="4" t="str">
        <x:v>Sin fila GSC</x:v>
      </x:c>
      <x:c r="AC1687" s="4" t="str">
        <x:v>Publicado hasta septiembre</x:v>
      </x:c>
      <x:c r="AD1687" s="4"/>
      <x:c r="AE1687" s="4"/>
      <x:c r="AF1687" s="16" t="b">
        <x:v>1</x:v>
      </x:c>
    </x:row>
    <x:row r="1688" ht="44" customHeight="1">
      <x:c r="A1688" s="4" t="n">
        <x:v>4068</x:v>
      </x:c>
      <x:c r="B1688" s="4" t="str">
        <x:v>https://blog.skyairline.com/sky-conecto-con-la-alegria-de-los-carnavales-de-juliaca-ayacucho-y-arequipa/</x:v>
      </x:c>
      <x:c r="C1688" s="9" t="str">
        <x:v>SKY conectó con la alegría de los Carnavales de Juliaca, Ayacucho y Arequipa</x:v>
      </x:c>
      <x:c r="D1688" s="17" t="d">
        <x:v>2024-02-19T00:00:00.000Z</x:v>
      </x:c>
      <x:c r="E1688" s="17" t="d">
        <x:v>2024-02-19T00:00:00.000Z</x:v>
      </x:c>
      <x:c r="F1688" s="4" t="str">
        <x:v>Noticias</x:v>
      </x:c>
      <x:c r="G1688" s="11" t="n">
        <x:v>357</x:v>
      </x:c>
      <x:c r="H1688" s="11" t="n">
        <x:v>200</x:v>
      </x:c>
      <x:c r="I1688" s="11" t="n">
        <x:v>1</x:v>
      </x:c>
      <x:c r="J1688" s="4" t="str">
        <x:v>https://blog.skyairline.com/sky-conecto-con-la-alegria-de-los-carnavales-de-juliaca-ayacucho-y-arequipa/</x:v>
      </x:c>
      <x:c r="K1688" s="16" t="b">
        <x:v>0</x:v>
      </x:c>
      <x:c r="L1688" s="11" t="n">
        <x:v>0</x:v>
      </x:c>
      <x:c r="M1688" s="11" t="n">
        <x:v>0</x:v>
      </x:c>
      <x:c r="N1688" s="4"/>
      <x:c r="O1688" s="4"/>
      <x:c r="P1688" s="11" t="n">
        <x:v>0</x:v>
      </x:c>
      <x:c r="Q1688" s="11"/>
      <x:c r="R1688" s="11" t="str">
        <x:f>IF(OR(P1688="",Q1688=""),"",Q1688-P1688)</x:f>
      </x:c>
      <x:c r="S1688" s="13" t="str">
        <x:f>IF(OR(P1688="",Q1688="",P1688=0),"",((Q1688/30)/(P1688/31))-1)</x:f>
      </x:c>
      <x:c r="T1688" s="11" t="n">
        <x:v>5</x:v>
      </x:c>
      <x:c r="U1688" s="11"/>
      <x:c r="V1688" s="14"/>
      <x:c r="W1688" s="12"/>
      <x:c r="X1688" s="11"/>
      <x:c r="Y1688" s="11"/>
      <x:c r="Z1688" s="4" t="str">
        <x:v>https://blog.skyairline.com/sky-conecto-con-la-alegria-de-los-carnavales-de-juliaca-ayacucho-y-arequipa/</x:v>
      </x:c>
      <x:c r="AA1688" s="4"/>
      <x:c r="AB1688" s="4" t="str">
        <x:v>Coincidencia URL</x:v>
      </x:c>
      <x:c r="AC1688" s="4" t="str">
        <x:v>Publicado hasta septiembre</x:v>
      </x:c>
      <x:c r="AD1688" s="4"/>
      <x:c r="AE1688" s="4"/>
      <x:c r="AF1688" s="16" t="b">
        <x:v>0</x:v>
      </x:c>
    </x:row>
    <x:row r="1689" ht="44" customHeight="1">
      <x:c r="A1689" s="4" t="n">
        <x:v>5076</x:v>
      </x:c>
      <x:c r="B1689" s="4" t="str">
        <x:v>https://blog.skyairline.com/sky-realizo-la-cueca-a-mayor-altura-del-mundo/</x:v>
      </x:c>
      <x:c r="C1689" s="9" t="str">
        <x:v>SKY realizó la cueca a mayor altura del mundo</x:v>
      </x:c>
      <x:c r="D1689" s="17" t="d">
        <x:v>2024-10-05T00:00:00.000Z</x:v>
      </x:c>
      <x:c r="E1689" s="17" t="d">
        <x:v>2024-10-05T00:00:00.000Z</x:v>
      </x:c>
      <x:c r="F1689" s="4" t="str">
        <x:v>Noticias</x:v>
      </x:c>
      <x:c r="G1689" s="11" t="n">
        <x:v>262</x:v>
      </x:c>
      <x:c r="H1689" s="11" t="n">
        <x:v>200</x:v>
      </x:c>
      <x:c r="I1689" s="11" t="n">
        <x:v>1</x:v>
      </x:c>
      <x:c r="J1689" s="4" t="str">
        <x:v>https://blog.skyairline.com/sky-realizo-la-cueca-a-mayor-altura-del-mundo/</x:v>
      </x:c>
      <x:c r="K1689" s="16" t="b">
        <x:v>0</x:v>
      </x:c>
      <x:c r="L1689" s="11" t="n">
        <x:v>0</x:v>
      </x:c>
      <x:c r="M1689" s="11" t="n">
        <x:v>0</x:v>
      </x:c>
      <x:c r="N1689" s="4"/>
      <x:c r="O1689" s="4"/>
      <x:c r="P1689" s="11"/>
      <x:c r="Q1689" s="11"/>
      <x:c r="R1689" s="11" t="str">
        <x:f>IF(OR(P1689="",Q1689=""),"",Q1689-P1689)</x:f>
      </x:c>
      <x:c r="S1689" s="13" t="str">
        <x:f>IF(OR(P1689="",Q1689="",P1689=0),"",((Q1689/30)/(P1689/31))-1)</x:f>
      </x:c>
      <x:c r="T1689" s="11"/>
      <x:c r="U1689" s="11"/>
      <x:c r="V1689" s="14"/>
      <x:c r="W1689" s="12"/>
      <x:c r="X1689" s="11"/>
      <x:c r="Y1689" s="11"/>
      <x:c r="Z1689" s="4"/>
      <x:c r="AA1689" s="4"/>
      <x:c r="AB1689" s="4" t="str">
        <x:v>Sin fila GSC</x:v>
      </x:c>
      <x:c r="AC1689" s="4" t="str">
        <x:v>Publicado hasta septiembre</x:v>
      </x:c>
      <x:c r="AD1689" s="4"/>
      <x:c r="AE1689" s="4"/>
      <x:c r="AF1689" s="16" t="b">
        <x:v>0</x:v>
      </x:c>
    </x:row>
    <x:row r="1690" ht="44" customHeight="1">
      <x:c r="A1690" s="4" t="n">
        <x:v>5431</x:v>
      </x:c>
      <x:c r="B1690" s="4" t="str">
        <x:v>https://blog.skyairline.com/chile-sky-airline-proyecta-mas-de-330-mil-viajeros-para-las-fiestas-de-fin-de-ano/</x:v>
      </x:c>
      <x:c r="C1690" s="9" t="str">
        <x:v>Chile: SKY Airline proyecta más de 330 mil viajeros para las fiestas de fin de año</x:v>
      </x:c>
      <x:c r="D1690" s="17" t="d">
        <x:v>2024-12-07T00:00:00.000Z</x:v>
      </x:c>
      <x:c r="E1690" s="17" t="d">
        <x:v>2024-12-07T00:00:00.000Z</x:v>
      </x:c>
      <x:c r="F1690" s="4" t="str">
        <x:v>Sin categoría</x:v>
      </x:c>
      <x:c r="G1690" s="11" t="n">
        <x:v>677</x:v>
      </x:c>
      <x:c r="H1690" s="11" t="n">
        <x:v>200</x:v>
      </x:c>
      <x:c r="I1690" s="11" t="n">
        <x:v>1</x:v>
      </x:c>
      <x:c r="J1690" s="4" t="str">
        <x:v>https://blog.skyairline.com/chile-sky-airline-proyecta-mas-de-330-mil-viajeros-para-las-fiestas-de-fin-de-ano/</x:v>
      </x:c>
      <x:c r="K1690" s="16" t="b">
        <x:v>0</x:v>
      </x:c>
      <x:c r="L1690" s="11" t="n">
        <x:v>0</x:v>
      </x:c>
      <x:c r="M1690" s="11" t="n">
        <x:v>0</x:v>
      </x:c>
      <x:c r="N1690" s="4"/>
      <x:c r="O1690" s="4"/>
      <x:c r="P1690" s="11"/>
      <x:c r="Q1690" s="11"/>
      <x:c r="R1690" s="11" t="str">
        <x:f>IF(OR(P1690="",Q1690=""),"",Q1690-P1690)</x:f>
      </x:c>
      <x:c r="S1690" s="13" t="str">
        <x:f>IF(OR(P1690="",Q1690="",P1690=0),"",((Q1690/30)/(P1690/31))-1)</x:f>
      </x:c>
      <x:c r="T1690" s="11"/>
      <x:c r="U1690" s="11"/>
      <x:c r="V1690" s="14"/>
      <x:c r="W1690" s="12"/>
      <x:c r="X1690" s="11"/>
      <x:c r="Y1690" s="11"/>
      <x:c r="Z1690" s="4"/>
      <x:c r="AA1690" s="4"/>
      <x:c r="AB1690" s="4" t="str">
        <x:v>Sin fila GSC</x:v>
      </x:c>
      <x:c r="AC1690" s="4" t="str">
        <x:v>Publicado hasta septiembre</x:v>
      </x:c>
      <x:c r="AD1690" s="4"/>
      <x:c r="AE1690" s="4"/>
      <x:c r="AF1690" s="16" t="b">
        <x:v>0</x:v>
      </x:c>
    </x:row>
    <x:row r="1691" ht="44" customHeight="1">
      <x:c r="A1691" s="4" t="n">
        <x:v>6226</x:v>
      </x:c>
      <x:c r="B1691" s="4" t="str">
        <x:v>https://blog.skyairline.com/camping-en-chile/</x:v>
      </x:c>
      <x:c r="C1691" s="9" t="str">
        <x:v>Paisajes impresionantes que puedes ver haciendo camping en Chile</x:v>
      </x:c>
      <x:c r="D1691" s="17" t="d">
        <x:v>2025-06-19T00:00:00.000Z</x:v>
      </x:c>
      <x:c r="E1691" s="17" t="d">
        <x:v>2025-06-19T00:00:00.000Z</x:v>
      </x:c>
      <x:c r="F1691" s="4" t="str">
        <x:v>Planificación de Viaje</x:v>
      </x:c>
      <x:c r="G1691" s="11" t="n">
        <x:v>1145</x:v>
      </x:c>
      <x:c r="H1691" s="11" t="n">
        <x:v>200</x:v>
      </x:c>
      <x:c r="I1691" s="11" t="n">
        <x:v>1</x:v>
      </x:c>
      <x:c r="J1691" s="4" t="str">
        <x:v>https://blog.skyairline.com/camping-en-chile/</x:v>
      </x:c>
      <x:c r="K1691" s="16" t="b">
        <x:v>0</x:v>
      </x:c>
      <x:c r="L1691" s="11" t="n">
        <x:v>0</x:v>
      </x:c>
      <x:c r="M1691" s="11" t="n">
        <x:v>0</x:v>
      </x:c>
      <x:c r="N1691" s="4"/>
      <x:c r="O1691" s="4"/>
      <x:c r="P1691" s="11"/>
      <x:c r="Q1691" s="11"/>
      <x:c r="R1691" s="11" t="str">
        <x:f>IF(OR(P1691="",Q1691=""),"",Q1691-P1691)</x:f>
      </x:c>
      <x:c r="S1691" s="13" t="str">
        <x:f>IF(OR(P1691="",Q1691="",P1691=0),"",((Q1691/30)/(P1691/31))-1)</x:f>
      </x:c>
      <x:c r="T1691" s="11"/>
      <x:c r="U1691" s="11"/>
      <x:c r="V1691" s="14"/>
      <x:c r="W1691" s="12"/>
      <x:c r="X1691" s="11"/>
      <x:c r="Y1691" s="11"/>
      <x:c r="Z1691" s="4"/>
      <x:c r="AA1691" s="4"/>
      <x:c r="AB1691" s="4" t="str">
        <x:v>Sin fila GSC</x:v>
      </x:c>
      <x:c r="AC1691" s="4" t="str">
        <x:v>Publicado hasta septiembre</x:v>
      </x:c>
      <x:c r="AD1691" s="4"/>
      <x:c r="AE1691" s="4"/>
      <x:c r="AF1691" s="16" t="b">
        <x:v>0</x:v>
      </x:c>
    </x:row>
    <x:row r="1692" ht="44" customHeight="1">
      <x:c r="A1692" s="4" t="n">
        <x:v>9387</x:v>
      </x:c>
      <x:c r="B1692" s="4" t="str">
        <x:v>https://blog.skyairline.com/donde-queda-punta-sal/</x:v>
      </x:c>
      <x:c r="C1692" s="9" t="str">
        <x:v>¿Dónde queda Punta Sal?</x:v>
      </x:c>
      <x:c r="D1692" s="17" t="d">
        <x:v>2026-10-01T00:00:00.000Z</x:v>
      </x:c>
      <x:c r="E1692" s="17" t="d">
        <x:v>2026-09-22T00:00:00.000Z</x:v>
      </x:c>
      <x:c r="F1692" s="4" t="str">
        <x:v>Destinos</x:v>
      </x:c>
      <x:c r="G1692" s="11" t="n">
        <x:v>1017</x:v>
      </x:c>
      <x:c r="H1692" s="11" t="n">
        <x:v>200</x:v>
      </x:c>
      <x:c r="I1692" s="11" t="n">
        <x:v>1</x:v>
      </x:c>
      <x:c r="J1692" s="4" t="str">
        <x:v>https://blog.skyairline.com/donde-queda-punta-sal/</x:v>
      </x:c>
      <x:c r="K1692" s="16" t="b">
        <x:v>0</x:v>
      </x:c>
      <x:c r="L1692" s="11" t="n">
        <x:v>0</x:v>
      </x:c>
      <x:c r="M1692" s="11" t="n">
        <x:v>0</x:v>
      </x:c>
      <x:c r="N1692" s="4"/>
      <x:c r="O1692" s="4"/>
      <x:c r="P1692" s="11"/>
      <x:c r="Q1692" s="11"/>
      <x:c r="R1692" s="11" t="str">
        <x:f>IF(OR(P1692="",Q1692=""),"",Q1692-P1692)</x:f>
      </x:c>
      <x:c r="S1692" s="13" t="str">
        <x:f>IF(OR(P1692="",Q1692="",P1692=0),"",((Q1692/30)/(P1692/31))-1)</x:f>
      </x:c>
      <x:c r="T1692" s="11"/>
      <x:c r="U1692" s="11"/>
      <x:c r="V1692" s="14"/>
      <x:c r="W1692" s="12"/>
      <x:c r="X1692" s="11"/>
      <x:c r="Y1692" s="11"/>
      <x:c r="Z1692" s="4"/>
      <x:c r="AA1692" s="4"/>
      <x:c r="AB1692" s="4" t="str">
        <x:v>Sin fila GSC</x:v>
      </x:c>
      <x:c r="AC1692" s="4" t="str">
        <x:v>Publicado después del mes</x:v>
      </x:c>
      <x:c r="AD1692" s="4"/>
      <x:c r="AE1692" s="4"/>
      <x:c r="AF1692" s="16" t="b">
        <x:v>0</x:v>
      </x:c>
    </x:row>
    <x:row r="1693" ht="44" customHeight="1">
      <x:c r="A1693" s="4" t="n">
        <x:v>9388</x:v>
      </x:c>
      <x:c r="B1693" s="4" t="str">
        <x:v>https://blog.skyairline.com/vichayito/</x:v>
      </x:c>
      <x:c r="C1693" s="9" t="str">
        <x:v>Vichayito: equilibrio perfecto entre tranquilidad y servicios disponibles</x:v>
      </x:c>
      <x:c r="D1693" s="17" t="d">
        <x:v>2026-10-02T00:00:00.000Z</x:v>
      </x:c>
      <x:c r="E1693" s="17" t="d">
        <x:v>2026-09-22T00:00:00.000Z</x:v>
      </x:c>
      <x:c r="F1693" s="4" t="str">
        <x:v>Destinos</x:v>
      </x:c>
      <x:c r="G1693" s="11" t="n">
        <x:v>1070</x:v>
      </x:c>
      <x:c r="H1693" s="11" t="n">
        <x:v>200</x:v>
      </x:c>
      <x:c r="I1693" s="11" t="n">
        <x:v>1</x:v>
      </x:c>
      <x:c r="J1693" s="4" t="str">
        <x:v>https://blog.skyairline.com/vichayito/</x:v>
      </x:c>
      <x:c r="K1693" s="16" t="b">
        <x:v>0</x:v>
      </x:c>
      <x:c r="L1693" s="11" t="n">
        <x:v>0</x:v>
      </x:c>
      <x:c r="M1693" s="11" t="n">
        <x:v>0</x:v>
      </x:c>
      <x:c r="N1693" s="4"/>
      <x:c r="O1693" s="4"/>
      <x:c r="P1693" s="11"/>
      <x:c r="Q1693" s="11"/>
      <x:c r="R1693" s="11" t="str">
        <x:f>IF(OR(P1693="",Q1693=""),"",Q1693-P1693)</x:f>
      </x:c>
      <x:c r="S1693" s="13" t="str">
        <x:f>IF(OR(P1693="",Q1693="",P1693=0),"",((Q1693/30)/(P1693/31))-1)</x:f>
      </x:c>
      <x:c r="T1693" s="11"/>
      <x:c r="U1693" s="11"/>
      <x:c r="V1693" s="14"/>
      <x:c r="W1693" s="12"/>
      <x:c r="X1693" s="11"/>
      <x:c r="Y1693" s="11"/>
      <x:c r="Z1693" s="4"/>
      <x:c r="AA1693" s="4"/>
      <x:c r="AB1693" s="4" t="str">
        <x:v>Sin fila GSC</x:v>
      </x:c>
      <x:c r="AC1693" s="4" t="str">
        <x:v>Publicado después del mes</x:v>
      </x:c>
      <x:c r="AD1693" s="4"/>
      <x:c r="AE1693" s="4"/>
      <x:c r="AF1693" s="16" t="b">
        <x:v>0</x:v>
      </x:c>
    </x:row>
    <x:row r="1694" ht="44" customHeight="1">
      <x:c r="A1694" s="4" t="n">
        <x:v>9396</x:v>
      </x:c>
      <x:c r="B1694" s="4" t="str">
        <x:v>https://blog.skyairline.com/huancabamba/</x:v>
      </x:c>
      <x:c r="C1694" s="9" t="str">
        <x:v>Huancabamba: Misticismo en la Sierra de Piura</x:v>
      </x:c>
      <x:c r="D1694" s="17" t="d">
        <x:v>2026-10-05T00:00:00.000Z</x:v>
      </x:c>
      <x:c r="E1694" s="17" t="d">
        <x:v>2026-09-22T00:00:00.000Z</x:v>
      </x:c>
      <x:c r="F1694" s="4" t="str">
        <x:v>Destinos</x:v>
      </x:c>
      <x:c r="G1694" s="11" t="n">
        <x:v>1078</x:v>
      </x:c>
      <x:c r="H1694" s="11" t="n">
        <x:v>200</x:v>
      </x:c>
      <x:c r="I1694" s="11" t="n">
        <x:v>1</x:v>
      </x:c>
      <x:c r="J1694" s="4" t="str">
        <x:v>https://blog.skyairline.com/huancabamba/</x:v>
      </x:c>
      <x:c r="K1694" s="16" t="b">
        <x:v>0</x:v>
      </x:c>
      <x:c r="L1694" s="11" t="n">
        <x:v>0</x:v>
      </x:c>
      <x:c r="M1694" s="11" t="n">
        <x:v>0</x:v>
      </x:c>
      <x:c r="N1694" s="4"/>
      <x:c r="O1694" s="4"/>
      <x:c r="P1694" s="11"/>
      <x:c r="Q1694" s="11"/>
      <x:c r="R1694" s="11" t="str">
        <x:f>IF(OR(P1694="",Q1694=""),"",Q1694-P1694)</x:f>
      </x:c>
      <x:c r="S1694" s="13" t="str">
        <x:f>IF(OR(P1694="",Q1694="",P1694=0),"",((Q1694/30)/(P1694/31))-1)</x:f>
      </x:c>
      <x:c r="T1694" s="11"/>
      <x:c r="U1694" s="11"/>
      <x:c r="V1694" s="14"/>
      <x:c r="W1694" s="12"/>
      <x:c r="X1694" s="11"/>
      <x:c r="Y1694" s="11"/>
      <x:c r="Z1694" s="4"/>
      <x:c r="AA1694" s="4"/>
      <x:c r="AB1694" s="4" t="str">
        <x:v>Sin fila GSC</x:v>
      </x:c>
      <x:c r="AC1694" s="4" t="str">
        <x:v>Publicado después del mes</x:v>
      </x:c>
      <x:c r="AD1694" s="4"/>
      <x:c r="AE1694" s="4"/>
      <x:c r="AF1694" s="16" t="b">
        <x:v>0</x:v>
      </x:c>
    </x:row>
    <x:row r="1695" ht="44" customHeight="1">
      <x:c r="A1695" s="4" t="n">
        <x:v>9397</x:v>
      </x:c>
      <x:c r="B1695" s="4" t="str">
        <x:v>https://blog.skyairline.com/catacaos/</x:v>
      </x:c>
      <x:c r="C1695" s="9" t="str">
        <x:v>Catacaos: la capital artesanal de Piura</x:v>
      </x:c>
      <x:c r="D1695" s="17" t="d">
        <x:v>2026-10-06T00:00:00.000Z</x:v>
      </x:c>
      <x:c r="E1695" s="17" t="d">
        <x:v>2026-09-22T00:00:00.000Z</x:v>
      </x:c>
      <x:c r="F1695" s="4" t="str">
        <x:v>Cultura</x:v>
      </x:c>
      <x:c r="G1695" s="11" t="n">
        <x:v>989</x:v>
      </x:c>
      <x:c r="H1695" s="11" t="n">
        <x:v>200</x:v>
      </x:c>
      <x:c r="I1695" s="11" t="n">
        <x:v>1</x:v>
      </x:c>
      <x:c r="J1695" s="4" t="str">
        <x:v>https://blog.skyairline.com/catacaos/</x:v>
      </x:c>
      <x:c r="K1695" s="16" t="b">
        <x:v>0</x:v>
      </x:c>
      <x:c r="L1695" s="11" t="n">
        <x:v>0</x:v>
      </x:c>
      <x:c r="M1695" s="11" t="n">
        <x:v>0</x:v>
      </x:c>
      <x:c r="N1695" s="4"/>
      <x:c r="O1695" s="4"/>
      <x:c r="P1695" s="11"/>
      <x:c r="Q1695" s="11"/>
      <x:c r="R1695" s="11" t="str">
        <x:f>IF(OR(P1695="",Q1695=""),"",Q1695-P1695)</x:f>
      </x:c>
      <x:c r="S1695" s="13" t="str">
        <x:f>IF(OR(P1695="",Q1695="",P1695=0),"",((Q1695/30)/(P1695/31))-1)</x:f>
      </x:c>
      <x:c r="T1695" s="11"/>
      <x:c r="U1695" s="11"/>
      <x:c r="V1695" s="14"/>
      <x:c r="W1695" s="12"/>
      <x:c r="X1695" s="11"/>
      <x:c r="Y1695" s="11"/>
      <x:c r="Z1695" s="4"/>
      <x:c r="AA1695" s="4"/>
      <x:c r="AB1695" s="4" t="str">
        <x:v>Sin fila GSC</x:v>
      </x:c>
      <x:c r="AC1695" s="4" t="str">
        <x:v>Publicado después del mes</x:v>
      </x:c>
      <x:c r="AD1695" s="4"/>
      <x:c r="AE1695" s="4"/>
      <x:c r="AF1695" s="16" t="b">
        <x:v>0</x:v>
      </x:c>
    </x:row>
    <x:row r="1696" ht="44" customHeight="1">
      <x:c r="A1696" s="4" t="n">
        <x:v>9398</x:v>
      </x:c>
      <x:c r="B1696" s="4" t="str">
        <x:v>https://blog.skyairline.com/puerto-morin/</x:v>
      </x:c>
      <x:c r="C1696" s="9" t="str">
        <x:v>Puerto Morín, sumergirse en la naturaleza cerca de Trujillo</x:v>
      </x:c>
      <x:c r="D1696" s="17" t="d">
        <x:v>2026-10-07T00:00:00.000Z</x:v>
      </x:c>
      <x:c r="E1696" s="17" t="d">
        <x:v>2026-09-22T00:00:00.000Z</x:v>
      </x:c>
      <x:c r="F1696" s="4" t="str">
        <x:v>Destinos</x:v>
      </x:c>
      <x:c r="G1696" s="11" t="n">
        <x:v>1068</x:v>
      </x:c>
      <x:c r="H1696" s="11" t="n">
        <x:v>200</x:v>
      </x:c>
      <x:c r="I1696" s="11" t="n">
        <x:v>1</x:v>
      </x:c>
      <x:c r="J1696" s="4" t="str">
        <x:v>https://blog.skyairline.com/puerto-morin/</x:v>
      </x:c>
      <x:c r="K1696" s="16" t="b">
        <x:v>0</x:v>
      </x:c>
      <x:c r="L1696" s="11" t="n">
        <x:v>0</x:v>
      </x:c>
      <x:c r="M1696" s="11" t="n">
        <x:v>0</x:v>
      </x:c>
      <x:c r="N1696" s="4"/>
      <x:c r="O1696" s="4"/>
      <x:c r="P1696" s="11"/>
      <x:c r="Q1696" s="11"/>
      <x:c r="R1696" s="11" t="str">
        <x:f>IF(OR(P1696="",Q1696=""),"",Q1696-P1696)</x:f>
      </x:c>
      <x:c r="S1696" s="13" t="str">
        <x:f>IF(OR(P1696="",Q1696="",P1696=0),"",((Q1696/30)/(P1696/31))-1)</x:f>
      </x:c>
      <x:c r="T1696" s="11"/>
      <x:c r="U1696" s="11"/>
      <x:c r="V1696" s="14"/>
      <x:c r="W1696" s="12"/>
      <x:c r="X1696" s="11"/>
      <x:c r="Y1696" s="11"/>
      <x:c r="Z1696" s="4"/>
      <x:c r="AA1696" s="4"/>
      <x:c r="AB1696" s="4" t="str">
        <x:v>Sin fila GSC</x:v>
      </x:c>
      <x:c r="AC1696" s="4" t="str">
        <x:v>Publicado después del mes</x:v>
      </x:c>
      <x:c r="AD1696" s="4"/>
      <x:c r="AE1696" s="4"/>
      <x:c r="AF1696" s="16" t="b">
        <x:v>0</x:v>
      </x:c>
    </x:row>
    <x:row r="1697" ht="44" customHeight="1">
      <x:c r="A1697" s="4" t="n">
        <x:v>9425</x:v>
      </x:c>
      <x:c r="B1697" s="4" t="str">
        <x:v>https://blog.skyairline.com/huancayo/</x:v>
      </x:c>
      <x:c r="C1697" s="9" t="str">
        <x:v>Huancayo: El corazón de los Andes</x:v>
      </x:c>
      <x:c r="D1697" s="17" t="d">
        <x:v>2026-10-09T00:00:00.000Z</x:v>
      </x:c>
      <x:c r="E1697" s="17" t="d">
        <x:v>2026-10-05T00:00:00.000Z</x:v>
      </x:c>
      <x:c r="F1697" s="4" t="str">
        <x:v>Destinos</x:v>
      </x:c>
      <x:c r="G1697" s="11" t="n">
        <x:v>1046</x:v>
      </x:c>
      <x:c r="H1697" s="11" t="n">
        <x:v>200</x:v>
      </x:c>
      <x:c r="I1697" s="11" t="n">
        <x:v>1</x:v>
      </x:c>
      <x:c r="J1697" s="4" t="str">
        <x:v>https://blog.skyairline.com/huancayo/</x:v>
      </x:c>
      <x:c r="K1697" s="16" t="b">
        <x:v>0</x:v>
      </x:c>
      <x:c r="L1697" s="11" t="n">
        <x:v>0</x:v>
      </x:c>
      <x:c r="M1697" s="11" t="n">
        <x:v>0</x:v>
      </x:c>
      <x:c r="N1697" s="4"/>
      <x:c r="O1697" s="4"/>
      <x:c r="P1697" s="11"/>
      <x:c r="Q1697" s="11"/>
      <x:c r="R1697" s="11" t="str">
        <x:f>IF(OR(P1697="",Q1697=""),"",Q1697-P1697)</x:f>
      </x:c>
      <x:c r="S1697" s="13" t="str">
        <x:f>IF(OR(P1697="",Q1697="",P1697=0),"",((Q1697/30)/(P1697/31))-1)</x:f>
      </x:c>
      <x:c r="T1697" s="11"/>
      <x:c r="U1697" s="11"/>
      <x:c r="V1697" s="14"/>
      <x:c r="W1697" s="12"/>
      <x:c r="X1697" s="11"/>
      <x:c r="Y1697" s="11"/>
      <x:c r="Z1697" s="4"/>
      <x:c r="AA1697" s="4"/>
      <x:c r="AB1697" s="4" t="str">
        <x:v>Sin fila GSC</x:v>
      </x:c>
      <x:c r="AC1697" s="4" t="str">
        <x:v>Publicado después del mes</x:v>
      </x:c>
      <x:c r="AD1697" s="4"/>
      <x:c r="AE1697" s="4"/>
      <x:c r="AF1697" s="16" t="b">
        <x:v>0</x:v>
      </x:c>
    </x:row>
    <x:row r="1698" ht="44" customHeight="1">
      <x:c r="A1698" s="4" t="n">
        <x:v>9426</x:v>
      </x:c>
      <x:c r="B1698" s="4" t="str">
        <x:v>https://blog.skyairline.com/que-hacer-en-ica-peru/</x:v>
      </x:c>
      <x:c r="C1698" s="9" t="str">
        <x:v>Qué hacer en Ica Perú: La cuna del pisco</x:v>
      </x:c>
      <x:c r="D1698" s="17" t="d">
        <x:v>2026-10-08T00:00:00.000Z</x:v>
      </x:c>
      <x:c r="E1698" s="17" t="d">
        <x:v>2026-10-05T00:00:00.000Z</x:v>
      </x:c>
      <x:c r="F1698" s="4" t="str">
        <x:v>Planificación de Viaje</x:v>
      </x:c>
      <x:c r="G1698" s="11" t="n">
        <x:v>1002</x:v>
      </x:c>
      <x:c r="H1698" s="11" t="n">
        <x:v>200</x:v>
      </x:c>
      <x:c r="I1698" s="11" t="n">
        <x:v>1</x:v>
      </x:c>
      <x:c r="J1698" s="4" t="str">
        <x:v>https://blog.skyairline.com/que-hacer-en-ica-peru/</x:v>
      </x:c>
      <x:c r="K1698" s="16" t="b">
        <x:v>0</x:v>
      </x:c>
      <x:c r="L1698" s="11" t="n">
        <x:v>0</x:v>
      </x:c>
      <x:c r="M1698" s="11" t="n">
        <x:v>0</x:v>
      </x:c>
      <x:c r="N1698" s="4"/>
      <x:c r="O1698" s="4"/>
      <x:c r="P1698" s="11"/>
      <x:c r="Q1698" s="11"/>
      <x:c r="R1698" s="11" t="str">
        <x:f>IF(OR(P1698="",Q1698=""),"",Q1698-P1698)</x:f>
      </x:c>
      <x:c r="S1698" s="13" t="str">
        <x:f>IF(OR(P1698="",Q1698="",P1698=0),"",((Q1698/30)/(P1698/31))-1)</x:f>
      </x:c>
      <x:c r="T1698" s="11"/>
      <x:c r="U1698" s="11"/>
      <x:c r="V1698" s="14"/>
      <x:c r="W1698" s="12"/>
      <x:c r="X1698" s="11"/>
      <x:c r="Y1698" s="11"/>
      <x:c r="Z1698" s="4"/>
      <x:c r="AA1698" s="4"/>
      <x:c r="AB1698" s="4" t="str">
        <x:v>Sin fila GSC</x:v>
      </x:c>
      <x:c r="AC1698" s="4" t="str">
        <x:v>Publicado después del mes</x:v>
      </x:c>
      <x:c r="AD1698" s="4"/>
      <x:c r="AE1698" s="4"/>
      <x:c r="AF1698" s="16" t="b">
        <x:v>0</x:v>
      </x:c>
    </x:row>
    <x:row r="1699" ht="44" customHeight="1">
      <x:c r="A1699" s="4" t="n">
        <x:v>9427</x:v>
      </x:c>
      <x:c r="B1699" s="4" t="str">
        <x:v>https://blog.skyairline.com/isla-damas/</x:v>
      </x:c>
      <x:c r="C1699" s="9" t="str">
        <x:v>Isla Damas: cómo llegar y qué esperar</x:v>
      </x:c>
      <x:c r="D1699" s="17" t="d">
        <x:v>2026-10-08T00:00:00.000Z</x:v>
      </x:c>
      <x:c r="E1699" s="17" t="d">
        <x:v>2026-10-05T00:00:00.000Z</x:v>
      </x:c>
      <x:c r="F1699" s="4" t="str">
        <x:v>Destinos</x:v>
      </x:c>
      <x:c r="G1699" s="11" t="n">
        <x:v>989</x:v>
      </x:c>
      <x:c r="H1699" s="11" t="n">
        <x:v>200</x:v>
      </x:c>
      <x:c r="I1699" s="11" t="n">
        <x:v>1</x:v>
      </x:c>
      <x:c r="J1699" s="4" t="str">
        <x:v>https://blog.skyairline.com/isla-damas/</x:v>
      </x:c>
      <x:c r="K1699" s="16" t="b">
        <x:v>0</x:v>
      </x:c>
      <x:c r="L1699" s="11" t="n">
        <x:v>0</x:v>
      </x:c>
      <x:c r="M1699" s="11" t="n">
        <x:v>0</x:v>
      </x:c>
      <x:c r="N1699" s="4"/>
      <x:c r="O1699" s="4"/>
      <x:c r="P1699" s="11"/>
      <x:c r="Q1699" s="11"/>
      <x:c r="R1699" s="11" t="str">
        <x:f>IF(OR(P1699="",Q1699=""),"",Q1699-P1699)</x:f>
      </x:c>
      <x:c r="S1699" s="13" t="str">
        <x:f>IF(OR(P1699="",Q1699="",P1699=0),"",((Q1699/30)/(P1699/31))-1)</x:f>
      </x:c>
      <x:c r="T1699" s="11"/>
      <x:c r="U1699" s="11"/>
      <x:c r="V1699" s="14"/>
      <x:c r="W1699" s="12"/>
      <x:c r="X1699" s="11"/>
      <x:c r="Y1699" s="11"/>
      <x:c r="Z1699" s="4"/>
      <x:c r="AA1699" s="4"/>
      <x:c r="AB1699" s="4" t="str">
        <x:v>Sin fila GSC</x:v>
      </x:c>
      <x:c r="AC1699" s="4" t="str">
        <x:v>Publicado después del mes</x:v>
      </x:c>
      <x:c r="AD1699" s="4"/>
      <x:c r="AE1699" s="4"/>
      <x:c r="AF1699" s="16" t="b">
        <x:v>0</x:v>
      </x:c>
    </x:row>
    <x:row r="1700" ht="44" customHeight="1">
      <x:c r="A1700" s="4" t="n">
        <x:v>9434</x:v>
      </x:c>
      <x:c r="B1700" s="4" t="str">
        <x:v>https://blog.skyairline.com/puerto-madero/</x:v>
      </x:c>
      <x:c r="C1700" s="9" t="str">
        <x:v>Puerto Madero: lujo, arquitectura y gastronomía</x:v>
      </x:c>
      <x:c r="D1700" s="17" t="d">
        <x:v>2026-10-12T00:00:00.000Z</x:v>
      </x:c>
      <x:c r="E1700" s="17" t="d">
        <x:v>2026-10-05T00:00:00.000Z</x:v>
      </x:c>
      <x:c r="F1700" s="4" t="str">
        <x:v>Destinos</x:v>
      </x:c>
      <x:c r="G1700" s="11" t="n">
        <x:v>1080</x:v>
      </x:c>
      <x:c r="H1700" s="11" t="n">
        <x:v>200</x:v>
      </x:c>
      <x:c r="I1700" s="11" t="n">
        <x:v>1</x:v>
      </x:c>
      <x:c r="J1700" s="4" t="str">
        <x:v>https://blog.skyairline.com/puerto-madero/</x:v>
      </x:c>
      <x:c r="K1700" s="16" t="b">
        <x:v>0</x:v>
      </x:c>
      <x:c r="L1700" s="11" t="n">
        <x:v>0</x:v>
      </x:c>
      <x:c r="M1700" s="11" t="n">
        <x:v>0</x:v>
      </x:c>
      <x:c r="N1700" s="4"/>
      <x:c r="O1700" s="4"/>
      <x:c r="P1700" s="11"/>
      <x:c r="Q1700" s="11"/>
      <x:c r="R1700" s="11" t="str">
        <x:f>IF(OR(P1700="",Q1700=""),"",Q1700-P1700)</x:f>
      </x:c>
      <x:c r="S1700" s="13" t="str">
        <x:f>IF(OR(P1700="",Q1700="",P1700=0),"",((Q1700/30)/(P1700/31))-1)</x:f>
      </x:c>
      <x:c r="T1700" s="11"/>
      <x:c r="U1700" s="11"/>
      <x:c r="V1700" s="14"/>
      <x:c r="W1700" s="12"/>
      <x:c r="X1700" s="11"/>
      <x:c r="Y1700" s="11"/>
      <x:c r="Z1700" s="4"/>
      <x:c r="AA1700" s="4"/>
      <x:c r="AB1700" s="4" t="str">
        <x:v>Sin fila GSC</x:v>
      </x:c>
      <x:c r="AC1700" s="4" t="str">
        <x:v>Publicado después del mes</x:v>
      </x:c>
      <x:c r="AD1700" s="4"/>
      <x:c r="AE1700" s="4"/>
      <x:c r="AF1700" s="16" t="b">
        <x:v>0</x:v>
      </x:c>
    </x:row>
    <x:row r="1701" ht="44" customHeight="1">
      <x:c r="A1701" s="4" t="n">
        <x:v>9435</x:v>
      </x:c>
      <x:c r="B1701" s="4" t="str">
        <x:v>https://blog.skyairline.com/colonia-del-sacramento/</x:v>
      </x:c>
      <x:c r="C1701" s="9" t="str">
        <x:v>Cómo ir a Colonia del Sacramento (Uruguay) desde Buenos Aires</x:v>
      </x:c>
      <x:c r="D1701" s="17" t="d">
        <x:v>2026-10-12T00:00:00.000Z</x:v>
      </x:c>
      <x:c r="E1701" s="17" t="d">
        <x:v>2026-10-05T00:00:00.000Z</x:v>
      </x:c>
      <x:c r="F1701" s="4" t="str">
        <x:v>Planificación de Viaje</x:v>
      </x:c>
      <x:c r="G1701" s="11" t="n">
        <x:v>988</x:v>
      </x:c>
      <x:c r="H1701" s="11" t="n">
        <x:v>200</x:v>
      </x:c>
      <x:c r="I1701" s="11" t="n">
        <x:v>1</x:v>
      </x:c>
      <x:c r="J1701" s="4" t="str">
        <x:v>https://blog.skyairline.com/colonia-del-sacramento/</x:v>
      </x:c>
      <x:c r="K1701" s="16" t="b">
        <x:v>0</x:v>
      </x:c>
      <x:c r="L1701" s="11" t="n">
        <x:v>0</x:v>
      </x:c>
      <x:c r="M1701" s="11" t="n">
        <x:v>0</x:v>
      </x:c>
      <x:c r="N1701" s="4"/>
      <x:c r="O1701" s="4"/>
      <x:c r="P1701" s="11"/>
      <x:c r="Q1701" s="11"/>
      <x:c r="R1701" s="11" t="str">
        <x:f>IF(OR(P1701="",Q1701=""),"",Q1701-P1701)</x:f>
      </x:c>
      <x:c r="S1701" s="13" t="str">
        <x:f>IF(OR(P1701="",Q1701="",P1701=0),"",((Q1701/30)/(P1701/31))-1)</x:f>
      </x:c>
      <x:c r="T1701" s="11"/>
      <x:c r="U1701" s="11"/>
      <x:c r="V1701" s="14"/>
      <x:c r="W1701" s="12"/>
      <x:c r="X1701" s="11"/>
      <x:c r="Y1701" s="11"/>
      <x:c r="Z1701" s="4"/>
      <x:c r="AA1701" s="4"/>
      <x:c r="AB1701" s="4" t="str">
        <x:v>Sin fila GSC</x:v>
      </x:c>
      <x:c r="AC1701" s="4" t="str">
        <x:v>Publicado después del mes</x:v>
      </x:c>
      <x:c r="AD1701" s="4"/>
      <x:c r="AE1701" s="4"/>
      <x:c r="AF1701" s="16" t="b">
        <x:v>0</x:v>
      </x:c>
    </x:row>
    <x:row r="1702" ht="44" customHeight="1">
      <x:c r="A1702" s="4" t="n">
        <x:v>9436</x:v>
      </x:c>
      <x:c r="B1702" s="4" t="str">
        <x:v>https://blog.skyairline.com/complejo-arqueologico-el-brujo/</x:v>
      </x:c>
      <x:c r="C1702" s="9" t="str">
        <x:v>Complejo Arqueológico El Brujo, historia cerca de Trujillo</x:v>
      </x:c>
      <x:c r="D1702" s="17" t="d">
        <x:v>2026-10-11T00:00:00.000Z</x:v>
      </x:c>
      <x:c r="E1702" s="17" t="d">
        <x:v>2026-10-05T00:00:00.000Z</x:v>
      </x:c>
      <x:c r="F1702" s="4" t="str">
        <x:v>Destinos</x:v>
      </x:c>
      <x:c r="G1702" s="11" t="n">
        <x:v>1089</x:v>
      </x:c>
      <x:c r="H1702" s="11" t="n">
        <x:v>200</x:v>
      </x:c>
      <x:c r="I1702" s="11" t="n">
        <x:v>1</x:v>
      </x:c>
      <x:c r="J1702" s="4" t="str">
        <x:v>https://blog.skyairline.com/complejo-arqueologico-el-brujo/</x:v>
      </x:c>
      <x:c r="K1702" s="16" t="b">
        <x:v>0</x:v>
      </x:c>
      <x:c r="L1702" s="11" t="n">
        <x:v>0</x:v>
      </x:c>
      <x:c r="M1702" s="11" t="n">
        <x:v>0</x:v>
      </x:c>
      <x:c r="N1702" s="4"/>
      <x:c r="O1702" s="4"/>
      <x:c r="P1702" s="11"/>
      <x:c r="Q1702" s="11"/>
      <x:c r="R1702" s="11" t="str">
        <x:f>IF(OR(P1702="",Q1702=""),"",Q1702-P1702)</x:f>
      </x:c>
      <x:c r="S1702" s="13" t="str">
        <x:f>IF(OR(P1702="",Q1702="",P1702=0),"",((Q1702/30)/(P1702/31))-1)</x:f>
      </x:c>
      <x:c r="T1702" s="11"/>
      <x:c r="U1702" s="11"/>
      <x:c r="V1702" s="14"/>
      <x:c r="W1702" s="12"/>
      <x:c r="X1702" s="11"/>
      <x:c r="Y1702" s="11"/>
      <x:c r="Z1702" s="4"/>
      <x:c r="AA1702" s="4"/>
      <x:c r="AB1702" s="4" t="str">
        <x:v>Sin fila GSC</x:v>
      </x:c>
      <x:c r="AC1702" s="4" t="str">
        <x:v>Publicado después del mes</x:v>
      </x:c>
      <x:c r="AD1702" s="4"/>
      <x:c r="AE1702" s="4"/>
      <x:c r="AF1702" s="16" t="b">
        <x:v>0</x:v>
      </x:c>
    </x:row>
    <x:row r="1703" ht="44" customHeight="1">
      <x:c r="A1703" s="4" t="n">
        <x:v>9437</x:v>
      </x:c>
      <x:c r="B1703" s="4" t="str">
        <x:v>https://blog.skyairline.com/otuzco/</x:v>
      </x:c>
      <x:c r="C1703" s="9" t="str">
        <x:v>Conoce Otuzco, la capital de la fe</x:v>
      </x:c>
      <x:c r="D1703" s="17" t="d">
        <x:v>2026-10-10T00:00:00.000Z</x:v>
      </x:c>
      <x:c r="E1703" s="17" t="d">
        <x:v>2026-10-05T00:00:00.000Z</x:v>
      </x:c>
      <x:c r="F1703" s="4" t="str">
        <x:v>Destinos</x:v>
      </x:c>
      <x:c r="G1703" s="11" t="n">
        <x:v>1077</x:v>
      </x:c>
      <x:c r="H1703" s="11" t="n">
        <x:v>200</x:v>
      </x:c>
      <x:c r="I1703" s="11" t="n">
        <x:v>1</x:v>
      </x:c>
      <x:c r="J1703" s="4" t="str">
        <x:v>https://blog.skyairline.com/otuzco/</x:v>
      </x:c>
      <x:c r="K1703" s="16" t="b">
        <x:v>0</x:v>
      </x:c>
      <x:c r="L1703" s="11" t="n">
        <x:v>0</x:v>
      </x:c>
      <x:c r="M1703" s="11" t="n">
        <x:v>0</x:v>
      </x:c>
      <x:c r="N1703" s="4"/>
      <x:c r="O1703" s="4"/>
      <x:c r="P1703" s="11"/>
      <x:c r="Q1703" s="11"/>
      <x:c r="R1703" s="11" t="str">
        <x:f>IF(OR(P1703="",Q1703=""),"",Q1703-P1703)</x:f>
      </x:c>
      <x:c r="S1703" s="13" t="str">
        <x:f>IF(OR(P1703="",Q1703="",P1703=0),"",((Q1703/30)/(P1703/31))-1)</x:f>
      </x:c>
      <x:c r="T1703" s="11"/>
      <x:c r="U1703" s="11"/>
      <x:c r="V1703" s="14"/>
      <x:c r="W1703" s="12"/>
      <x:c r="X1703" s="11"/>
      <x:c r="Y1703" s="11"/>
      <x:c r="Z1703" s="4"/>
      <x:c r="AA1703" s="4"/>
      <x:c r="AB1703" s="4" t="str">
        <x:v>Sin fila GSC</x:v>
      </x:c>
      <x:c r="AC1703" s="4" t="str">
        <x:v>Publicado después del mes</x:v>
      </x:c>
      <x:c r="AD1703" s="4"/>
      <x:c r="AE1703" s="4"/>
      <x:c r="AF1703" s="16" t="b">
        <x:v>0</x:v>
      </x:c>
    </x:row>
    <x:row r="1704" ht="44" customHeight="1">
      <x:c r="A1704" s="4" t="n">
        <x:v>9438</x:v>
      </x:c>
      <x:c r="B1704" s="4" t="str">
        <x:v>https://blog.skyairline.com/santiago-de-chuco/</x:v>
      </x:c>
      <x:c r="C1704" s="9" t="str">
        <x:v>Santiago de Chuco: destino cultural y literario cerca de Trujillo</x:v>
      </x:c>
      <x:c r="D1704" s="17" t="d">
        <x:v>2026-10-09T00:00:00.000Z</x:v>
      </x:c>
      <x:c r="E1704" s="17" t="d">
        <x:v>2026-10-05T00:00:00.000Z</x:v>
      </x:c>
      <x:c r="F1704" s="4" t="str">
        <x:v>Destinos</x:v>
      </x:c>
      <x:c r="G1704" s="11" t="n">
        <x:v>1135</x:v>
      </x:c>
      <x:c r="H1704" s="11" t="n">
        <x:v>200</x:v>
      </x:c>
      <x:c r="I1704" s="11" t="n">
        <x:v>1</x:v>
      </x:c>
      <x:c r="J1704" s="4" t="str">
        <x:v>https://blog.skyairline.com/santiago-de-chuco/</x:v>
      </x:c>
      <x:c r="K1704" s="16" t="b">
        <x:v>0</x:v>
      </x:c>
      <x:c r="L1704" s="11" t="n">
        <x:v>0</x:v>
      </x:c>
      <x:c r="M1704" s="11" t="n">
        <x:v>0</x:v>
      </x:c>
      <x:c r="N1704" s="4"/>
      <x:c r="O1704" s="4"/>
      <x:c r="P1704" s="11"/>
      <x:c r="Q1704" s="11"/>
      <x:c r="R1704" s="11" t="str">
        <x:f>IF(OR(P1704="",Q1704=""),"",Q1704-P1704)</x:f>
      </x:c>
      <x:c r="S1704" s="13" t="str">
        <x:f>IF(OR(P1704="",Q1704="",P1704=0),"",((Q1704/30)/(P1704/31))-1)</x:f>
      </x:c>
      <x:c r="T1704" s="11"/>
      <x:c r="U1704" s="11"/>
      <x:c r="V1704" s="14"/>
      <x:c r="W1704" s="12"/>
      <x:c r="X1704" s="11"/>
      <x:c r="Y1704" s="11"/>
      <x:c r="Z1704" s="4"/>
      <x:c r="AA1704" s="4"/>
      <x:c r="AB1704" s="4" t="str">
        <x:v>Sin fila GSC</x:v>
      </x:c>
      <x:c r="AC1704" s="4" t="str">
        <x:v>Publicado después del mes</x:v>
      </x:c>
      <x:c r="AD1704" s="4"/>
      <x:c r="AE1704" s="4"/>
      <x:c r="AF1704" s="16" t="b">
        <x:v>0</x:v>
      </x:c>
    </x:row>
    <x:row r="1705" ht="44" customHeight="1">
      <x:c r="A1705" s="4" t="n">
        <x:v>9470</x:v>
      </x:c>
      <x:c r="B1705" s="4" t="str">
        <x:v>https://blog.skyairline.com/estaciones-del-ano-en-peru/</x:v>
      </x:c>
      <x:c r="C1705" s="9" t="str">
        <x:v>¿Cómo son las estaciones del año en Perú? Guía completa por regiones</x:v>
      </x:c>
      <x:c r="D1705" s="17" t="d">
        <x:v>2026-10-15T00:00:00.000Z</x:v>
      </x:c>
      <x:c r="E1705" s="17" t="d">
        <x:v>2026-10-05T00:00:00.000Z</x:v>
      </x:c>
      <x:c r="F1705" s="4" t="str">
        <x:v>Planificación de Viaje</x:v>
      </x:c>
      <x:c r="G1705" s="11" t="n">
        <x:v>2062</x:v>
      </x:c>
      <x:c r="H1705" s="11" t="n">
        <x:v>200</x:v>
      </x:c>
      <x:c r="I1705" s="11" t="n">
        <x:v>1</x:v>
      </x:c>
      <x:c r="J1705" s="4" t="str">
        <x:v>https://blog.skyairline.com/estaciones-del-ano-en-peru/</x:v>
      </x:c>
      <x:c r="K1705" s="16" t="b">
        <x:v>0</x:v>
      </x:c>
      <x:c r="L1705" s="11" t="n">
        <x:v>0</x:v>
      </x:c>
      <x:c r="M1705" s="11" t="n">
        <x:v>0</x:v>
      </x:c>
      <x:c r="N1705" s="4"/>
      <x:c r="O1705" s="4"/>
      <x:c r="P1705" s="11"/>
      <x:c r="Q1705" s="11"/>
      <x:c r="R1705" s="11" t="str">
        <x:f>IF(OR(P1705="",Q1705=""),"",Q1705-P1705)</x:f>
      </x:c>
      <x:c r="S1705" s="13" t="str">
        <x:f>IF(OR(P1705="",Q1705="",P1705=0),"",((Q1705/30)/(P1705/31))-1)</x:f>
      </x:c>
      <x:c r="T1705" s="11"/>
      <x:c r="U1705" s="11"/>
      <x:c r="V1705" s="14"/>
      <x:c r="W1705" s="12"/>
      <x:c r="X1705" s="11"/>
      <x:c r="Y1705" s="11"/>
      <x:c r="Z1705" s="4"/>
      <x:c r="AA1705" s="4"/>
      <x:c r="AB1705" s="4" t="str">
        <x:v>Sin fila GSC</x:v>
      </x:c>
      <x:c r="AC1705" s="4" t="str">
        <x:v>Publicado después del mes</x:v>
      </x:c>
      <x:c r="AD1705" s="4"/>
      <x:c r="AE1705" s="4"/>
      <x:c r="AF1705" s="16" t="b">
        <x:v>0</x:v>
      </x:c>
    </x:row>
    <x:row r="1706" ht="44" customHeight="1">
      <x:c r="A1706" s="4" t="n">
        <x:v>9471</x:v>
      </x:c>
      <x:c r="B1706" s="4" t="str">
        <x:v>https://blog.skyairline.com/mazamorra-morada/</x:v>
      </x:c>
      <x:c r="C1706" s="9" t="str">
        <x:v>Mazamorra morada: Un postre típico de la gastronomía peruana</x:v>
      </x:c>
      <x:c r="D1706" s="17" t="d">
        <x:v>2026-10-14T00:00:00.000Z</x:v>
      </x:c>
      <x:c r="E1706" s="17" t="d">
        <x:v>2026-10-05T00:00:00.000Z</x:v>
      </x:c>
      <x:c r="F1706" s="4" t="str">
        <x:v>Cultura</x:v>
      </x:c>
      <x:c r="G1706" s="11" t="n">
        <x:v>994</x:v>
      </x:c>
      <x:c r="H1706" s="11" t="n">
        <x:v>200</x:v>
      </x:c>
      <x:c r="I1706" s="11" t="n">
        <x:v>1</x:v>
      </x:c>
      <x:c r="J1706" s="4" t="str">
        <x:v>https://blog.skyairline.com/mazamorra-morada/</x:v>
      </x:c>
      <x:c r="K1706" s="16" t="b">
        <x:v>0</x:v>
      </x:c>
      <x:c r="L1706" s="11" t="n">
        <x:v>0</x:v>
      </x:c>
      <x:c r="M1706" s="11" t="n">
        <x:v>0</x:v>
      </x:c>
      <x:c r="N1706" s="4"/>
      <x:c r="O1706" s="4"/>
      <x:c r="P1706" s="11"/>
      <x:c r="Q1706" s="11"/>
      <x:c r="R1706" s="11" t="str">
        <x:f>IF(OR(P1706="",Q1706=""),"",Q1706-P1706)</x:f>
      </x:c>
      <x:c r="S1706" s="13" t="str">
        <x:f>IF(OR(P1706="",Q1706="",P1706=0),"",((Q1706/30)/(P1706/31))-1)</x:f>
      </x:c>
      <x:c r="T1706" s="11"/>
      <x:c r="U1706" s="11"/>
      <x:c r="V1706" s="14"/>
      <x:c r="W1706" s="12"/>
      <x:c r="X1706" s="11"/>
      <x:c r="Y1706" s="11"/>
      <x:c r="Z1706" s="4"/>
      <x:c r="AA1706" s="4"/>
      <x:c r="AB1706" s="4" t="str">
        <x:v>Sin fila GSC</x:v>
      </x:c>
      <x:c r="AC1706" s="4" t="str">
        <x:v>Publicado después del mes</x:v>
      </x:c>
      <x:c r="AD1706" s="4"/>
      <x:c r="AE1706" s="4"/>
      <x:c r="AF1706" s="16" t="b">
        <x:v>0</x:v>
      </x:c>
    </x:row>
    <x:row r="1707" ht="44" customHeight="1">
      <x:c r="A1707" s="4" t="n">
        <x:v>9472</x:v>
      </x:c>
      <x:c r="B1707" s="4" t="str">
        <x:v>https://blog.skyairline.com/papa-a-la-huancaina/</x:v>
      </x:c>
      <x:c r="C1707" s="9" t="str">
        <x:v>Papa a la huancaína: Un plato popular y típico de la cultura peruana</x:v>
      </x:c>
      <x:c r="D1707" s="17" t="d">
        <x:v>2026-10-13T00:00:00.000Z</x:v>
      </x:c>
      <x:c r="E1707" s="17" t="d">
        <x:v>2026-10-05T00:00:00.000Z</x:v>
      </x:c>
      <x:c r="F1707" s="4" t="str">
        <x:v>Cultura</x:v>
      </x:c>
      <x:c r="G1707" s="11" t="n">
        <x:v>984</x:v>
      </x:c>
      <x:c r="H1707" s="11" t="n">
        <x:v>200</x:v>
      </x:c>
      <x:c r="I1707" s="11" t="n">
        <x:v>1</x:v>
      </x:c>
      <x:c r="J1707" s="4" t="str">
        <x:v>https://blog.skyairline.com/papa-a-la-huancaina/</x:v>
      </x:c>
      <x:c r="K1707" s="16" t="b">
        <x:v>0</x:v>
      </x:c>
      <x:c r="L1707" s="11" t="n">
        <x:v>0</x:v>
      </x:c>
      <x:c r="M1707" s="11" t="n">
        <x:v>0</x:v>
      </x:c>
      <x:c r="N1707" s="4"/>
      <x:c r="O1707" s="4"/>
      <x:c r="P1707" s="11"/>
      <x:c r="Q1707" s="11"/>
      <x:c r="R1707" s="11" t="str">
        <x:f>IF(OR(P1707="",Q1707=""),"",Q1707-P1707)</x:f>
      </x:c>
      <x:c r="S1707" s="13" t="str">
        <x:f>IF(OR(P1707="",Q1707="",P1707=0),"",((Q1707/30)/(P1707/31))-1)</x:f>
      </x:c>
      <x:c r="T1707" s="11"/>
      <x:c r="U1707" s="11"/>
      <x:c r="V1707" s="14"/>
      <x:c r="W1707" s="12"/>
      <x:c r="X1707" s="11"/>
      <x:c r="Y1707" s="11"/>
      <x:c r="Z1707" s="4"/>
      <x:c r="AA1707" s="4"/>
      <x:c r="AB1707" s="4" t="str">
        <x:v>Sin fila GSC</x:v>
      </x:c>
      <x:c r="AC1707" s="4" t="str">
        <x:v>Publicado después del mes</x:v>
      </x:c>
      <x:c r="AD1707" s="4"/>
      <x:c r="AE1707" s="4"/>
      <x:c r="AF1707" s="16" t="b">
        <x:v>0</x:v>
      </x:c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  <x:c r="W1708" s="1"/>
      <x:c r="X1708" s="1"/>
      <x:c r="Y1708" s="1"/>
      <x:c r="Z1708" s="1"/>
      <x:c r="AA1708" s="1"/>
      <x:c r="AB1708" s="1"/>
      <x:c r="AC1708" s="1"/>
      <x:c r="AD1708" s="1"/>
      <x:c r="AE1708" s="1"/>
      <x:c r="AF1708" s="1"/>
    </x:row>
  </x:sheetData>
  <x:pageMargins left="0.7" right="0.7" top="0.75" bottom="0.75" header="0.3" footer="0.3"/>
  <x:tableParts count="1">
    <x:tablePart xmlns:r="http://schemas.openxmlformats.org/officeDocument/2006/relationships" r:id="R993a12274b104bd7"/>
  </x:tableParts>
</x:worksheet>
</file>

<file path=xl/worksheets/sheet4.xml><?xml version="1.0" encoding="utf-8"?>
<x:worksheet xmlns:x="http://schemas.openxmlformats.org/spreadsheetml/2006/main">
  <x:sheetPr>
    <x:tabColor rgb="FF50718F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1" hidden="0" customWidth="1"/>
    <x:col min="2" max="2" width="58" hidden="0" customWidth="1"/>
    <x:col min="3" max="3" width="18" hidden="0" customWidth="1"/>
    <x:col min="4" max="4" width="22" hidden="0" customWidth="1"/>
    <x:col min="5" max="5" width="17" hidden="0" customWidth="1"/>
    <x:col min="6" max="6" width="18" hidden="0" customWidth="1"/>
    <x:col min="7" max="7" width="24" hidden="0" customWidth="1"/>
    <x:col min="8" max="8" width="18" hidden="0" customWidth="1"/>
    <x:col min="9" max="9" width="18" hidden="0" customWidth="1"/>
    <x:col min="10" max="10" width="95" hidden="0" customWidth="1"/>
    <x:col min="11" max="11" width="8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</x:row>
    <x:row r="2">
      <x:c r="A2" s="2" t="str">
        <x:v>SKY · Consultas orgánicas observables de septiembre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</x:row>
    <x:row r="4">
      <x:c r="A4" s="3" t="str">
        <x:v>GSC https://blog.skyairline.com/, web, final, septiembre 2026. Top 2.000 consultas por clics (o todas si hay menos).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</x:row>
    <x:row r="5">
      <x:c r="A5" s="3" t="str">
        <x:v>Detalle completo de consultas: 9,301 clics de 28.718 del blog (32.4%). Selección: 8,557 clics.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</x:row>
    <x:row r="6">
      <x:c r="A6" s="3" t="str">
        <x:v>GSC omite consultas por privacidad. La mezcla marca/sin marca es sólo del subconjunto expuesto. URLs asociadas: muestra disponible, no mapa exhaustivo.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</x:row>
    <x:row r="10" ht="43" customHeight="1">
      <x:c r="A10" s="8" t="str">
        <x:v>Orden</x:v>
      </x:c>
      <x:c r="B10" s="8" t="str">
        <x:v>Consulta</x:v>
      </x:c>
      <x:c r="C10" s="8" t="str">
        <x:v>Clics sep</x:v>
      </x:c>
      <x:c r="D10" s="8" t="str">
        <x:v>Impresiones sep</x:v>
      </x:c>
      <x:c r="E10" s="8" t="str">
        <x:v>CTR sep</x:v>
      </x:c>
      <x:c r="F10" s="8" t="str">
        <x:v>Posición sep</x:v>
      </x:c>
      <x:c r="G10" s="8" t="str">
        <x:v>Marca literal</x:v>
      </x:c>
      <x:c r="H10" s="8" t="str">
        <x:v>Clics ago</x:v>
      </x:c>
      <x:c r="I10" s="8" t="str">
        <x:v>Cambio clics</x:v>
      </x:c>
      <x:c r="J10" s="8" t="str">
        <x:v>Páginas observadas y clics</x:v>
      </x:c>
      <x:c r="K10" s="8" t="str">
        <x:v>Alcance de asociación</x:v>
      </x:c>
    </x:row>
    <x:row r="11" ht="28" customHeight="1">
      <x:c r="A11" s="4" t="n">
        <x:v>1</x:v>
      </x:c>
      <x:c r="B11" s="4" t="str">
        <x:v>bolso de mano sky</x:v>
      </x:c>
      <x:c r="C11" s="11" t="n">
        <x:v>202</x:v>
      </x:c>
      <x:c r="D11" s="11" t="n">
        <x:v>3050</x:v>
      </x:c>
      <x:c r="E11" s="14" t="n">
        <x:v>0.06622950819672131</x:v>
      </x:c>
      <x:c r="F11" s="12" t="n">
        <x:v>4.181311475409836</x:v>
      </x:c>
      <x:c r="G11" s="4" t="str">
        <x:v>Contiene marca</x:v>
      </x:c>
      <x:c r="H11" s="11" t="n">
        <x:v>196</x:v>
      </x:c>
      <x:c r="I11" s="11" t="n">
        <x:f>IF(H11="","",C11-H11)</x:f>
        <x:v>6</x:v>
      </x:c>
      <x:c r="J11" s="4" t="str">
        <x:v>https://blog.skyairline.com/equipaje-de-cabina/ (163 clics)
https://blog.skyairline.com/equipaje-de-bodega/ (30 clics)
https://blog.skyairline.com/tipos-de-equipaje/ (9 clics)</x:v>
      </x:c>
      <x:c r="K11" s="4" t="str">
        <x:v>URLs de detalle page/query/country por clics. No asignan las impresiones de esta consulta a cada página.</x:v>
      </x:c>
    </x:row>
    <x:row r="12" ht="28" customHeight="1">
      <x:c r="A12" s="4" t="n">
        <x:v>2</x:v>
      </x:c>
      <x:c r="B12" s="4" t="str">
        <x:v>sky trabaja con nosotros</x:v>
      </x:c>
      <x:c r="C12" s="11" t="n">
        <x:v>158</x:v>
      </x:c>
      <x:c r="D12" s="11" t="n">
        <x:v>656</x:v>
      </x:c>
      <x:c r="E12" s="14" t="n">
        <x:v>0.24085365853658536</x:v>
      </x:c>
      <x:c r="F12" s="12" t="n">
        <x:v>4.003048780487805</x:v>
      </x:c>
      <x:c r="G12" s="4" t="str">
        <x:v>Contiene marca</x:v>
      </x:c>
      <x:c r="H12" s="11" t="n">
        <x:v>248</x:v>
      </x:c>
      <x:c r="I12" s="11" t="n">
        <x:f>IF(H12="","",C12-H12)</x:f>
        <x:v>-90</x:v>
      </x:c>
      <x:c r="J12" s="4" t="str">
        <x:v>https://blog.skyairline.com/categoria/oportunidades/ (158 clics)</x:v>
      </x:c>
      <x:c r="K12" s="4" t="str">
        <x:v>URLs de detalle page/query/country por clics. No asignan las impresiones de esta consulta a cada página.</x:v>
      </x:c>
    </x:row>
    <x:row r="13" ht="28" customHeight="1">
      <x:c r="A13" s="4" t="n">
        <x:v>3</x:v>
      </x:c>
      <x:c r="B13" s="4" t="str">
        <x:v>sky equipaje</x:v>
      </x:c>
      <x:c r="C13" s="11" t="n">
        <x:v>146</x:v>
      </x:c>
      <x:c r="D13" s="11" t="n">
        <x:v>621</x:v>
      </x:c>
      <x:c r="E13" s="14" t="n">
        <x:v>0.23510466988727857</x:v>
      </x:c>
      <x:c r="F13" s="12" t="n">
        <x:v>5.1352657004830915</x:v>
      </x:c>
      <x:c r="G13" s="4" t="str">
        <x:v>Contiene marca</x:v>
      </x:c>
      <x:c r="H13" s="11" t="n">
        <x:v>181</x:v>
      </x:c>
      <x:c r="I13" s="11" t="n">
        <x:f>IF(H13="","",C13-H13)</x:f>
        <x:v>-35</x:v>
      </x:c>
      <x:c r="J13" s="4" t="str">
        <x:v>https://blog.skyairline.com/tipos-de-equipaje/ (103 clics)
https://blog.skyairline.com/equipaje-de-bodega/ (40 clics)
https://blog.skyairline.com/equipaje-de-cabina/ (3 clics)</x:v>
      </x:c>
      <x:c r="K13" s="4" t="str">
        <x:v>URLs de detalle page/query/country por clics. No asignan las impresiones de esta consulta a cada página.</x:v>
      </x:c>
    </x:row>
    <x:row r="14" ht="28" customHeight="1">
      <x:c r="A14" s="4" t="n">
        <x:v>4</x:v>
      </x:c>
      <x:c r="B14" s="4" t="str">
        <x:v>sky equipaje de mano</x:v>
      </x:c>
      <x:c r="C14" s="11" t="n">
        <x:v>142</x:v>
      </x:c>
      <x:c r="D14" s="11" t="n">
        <x:v>1296</x:v>
      </x:c>
      <x:c r="E14" s="14" t="n">
        <x:v>0.1095679012345679</x:v>
      </x:c>
      <x:c r="F14" s="12" t="n">
        <x:v>5.183641975308642</x:v>
      </x:c>
      <x:c r="G14" s="4" t="str">
        <x:v>Contiene marca</x:v>
      </x:c>
      <x:c r="H14" s="11" t="n">
        <x:v>134</x:v>
      </x:c>
      <x:c r="I14" s="11" t="n">
        <x:f>IF(H14="","",C14-H14)</x:f>
        <x:v>8</x:v>
      </x:c>
      <x:c r="J14" s="4" t="str">
        <x:v>https://blog.skyairline.com/equipaje-de-cabina/ (87 clics)
https://blog.skyairline.com/equipaje-de-bodega/ (33 clics)
https://blog.skyairline.com/tipos-de-equipaje/ (14 clics)</x:v>
      </x:c>
      <x:c r="K14" s="4" t="str">
        <x:v>URLs de detalle page/query/country por clics. No asignan las impresiones de esta consulta a cada página.</x:v>
      </x:c>
    </x:row>
    <x:row r="15" ht="28" customHeight="1">
      <x:c r="A15" s="4" t="n">
        <x:v>5</x:v>
      </x:c>
      <x:c r="B15" s="4" t="str">
        <x:v>equipaje de mano sky</x:v>
      </x:c>
      <x:c r="C15" s="11" t="n">
        <x:v>141</x:v>
      </x:c>
      <x:c r="D15" s="11" t="n">
        <x:v>2052</x:v>
      </x:c>
      <x:c r="E15" s="14" t="n">
        <x:v>0.06871345029239766</x:v>
      </x:c>
      <x:c r="F15" s="12" t="n">
        <x:v>4.796296296296296</x:v>
      </x:c>
      <x:c r="G15" s="4" t="str">
        <x:v>Contiene marca</x:v>
      </x:c>
      <x:c r="H15" s="11" t="n">
        <x:v>127</x:v>
      </x:c>
      <x:c r="I15" s="11" t="n">
        <x:f>IF(H15="","",C15-H15)</x:f>
        <x:v>14</x:v>
      </x:c>
      <x:c r="J15" s="4" t="str">
        <x:v>https://blog.skyairline.com/equipaje-de-cabina/ (103 clics)
https://blog.skyairline.com/equipaje-de-bodega/ (25 clics)
https://blog.skyairline.com/tipos-de-equipaje/ (13 clics)</x:v>
      </x:c>
      <x:c r="K15" s="4" t="str">
        <x:v>URLs de detalle page/query/country por clics. No asignan las impresiones de esta consulta a cada página.</x:v>
      </x:c>
    </x:row>
    <x:row r="16" ht="28" customHeight="1">
      <x:c r="A16" s="4" t="n">
        <x:v>6</x:v>
      </x:c>
      <x:c r="B16" s="4" t="str">
        <x:v>equipaje sky</x:v>
      </x:c>
      <x:c r="C16" s="11" t="n">
        <x:v>131</x:v>
      </x:c>
      <x:c r="D16" s="11" t="n">
        <x:v>483</x:v>
      </x:c>
      <x:c r="E16" s="14" t="n">
        <x:v>0.2712215320910973</x:v>
      </x:c>
      <x:c r="F16" s="12" t="n">
        <x:v>4.869565217391305</x:v>
      </x:c>
      <x:c r="G16" s="4" t="str">
        <x:v>Contiene marca</x:v>
      </x:c>
      <x:c r="H16" s="11" t="n">
        <x:v>106</x:v>
      </x:c>
      <x:c r="I16" s="11" t="n">
        <x:f>IF(H16="","",C16-H16)</x:f>
        <x:v>25</x:v>
      </x:c>
      <x:c r="J16" s="4" t="str">
        <x:v>https://blog.skyairline.com/tipos-de-equipaje/ (87 clics)
https://blog.skyairline.com/equipaje-de-bodega/ (34 clics)
https://blog.skyairline.com/equipaje-de-cabina/ (10 clics)</x:v>
      </x:c>
      <x:c r="K16" s="4" t="str">
        <x:v>URLs de detalle page/query/country por clics. No asignan las impresiones de esta consulta a cada página.</x:v>
      </x:c>
    </x:row>
    <x:row r="17" ht="28" customHeight="1">
      <x:c r="A17" s="4" t="n">
        <x:v>7</x:v>
      </x:c>
      <x:c r="B17" s="4" t="str">
        <x:v>sky plus</x:v>
      </x:c>
      <x:c r="C17" s="11" t="n">
        <x:v>122</x:v>
      </x:c>
      <x:c r="D17" s="11" t="n">
        <x:v>4841</x:v>
      </x:c>
      <x:c r="E17" s="14" t="n">
        <x:v>0.02520140466845693</x:v>
      </x:c>
      <x:c r="F17" s="12" t="n">
        <x:v>5.401156785788061</x:v>
      </x:c>
      <x:c r="G17" s="4" t="str">
        <x:v>Contiene marca</x:v>
      </x:c>
      <x:c r="H17" s="11" t="n">
        <x:v>230</x:v>
      </x:c>
      <x:c r="I17" s="11" t="n">
        <x:f>IF(H17="","",C17-H17)</x:f>
        <x:v>-108</x:v>
      </x:c>
      <x:c r="J17" s="4" t="str">
        <x:v>https://blog.skyairline.com/sky-plus/ (122 clics)</x:v>
      </x:c>
      <x:c r="K17" s="4" t="str">
        <x:v>URLs de detalle page/query/country por clics. No asignan las impresiones de esta consulta a cada página.</x:v>
      </x:c>
    </x:row>
    <x:row r="18" ht="28" customHeight="1">
      <x:c r="A18" s="4" t="n">
        <x:v>8</x:v>
      </x:c>
      <x:c r="B18" s="4" t="str">
        <x:v>economy premier sky</x:v>
      </x:c>
      <x:c r="C18" s="11" t="n">
        <x:v>102</x:v>
      </x:c>
      <x:c r="D18" s="11" t="n">
        <x:v>481</x:v>
      </x:c>
      <x:c r="E18" s="14" t="n">
        <x:v>0.21205821205821207</x:v>
      </x:c>
      <x:c r="F18" s="12" t="n">
        <x:v>2.6652806652806653</x:v>
      </x:c>
      <x:c r="G18" s="4" t="str">
        <x:v>Contiene marca</x:v>
      </x:c>
      <x:c r="H18" s="11" t="n">
        <x:v>71</x:v>
      </x:c>
      <x:c r="I18" s="11" t="n">
        <x:f>IF(H18="","",C18-H18)</x:f>
        <x:v>31</x:v>
      </x:c>
      <x:c r="J18" s="4" t="str">
        <x:v>https://blog.skyairline.com/sky-fortalece-su-propuesta-de-valor-para-sus-pasajeros-con-economy-premier/ (93 clics)
https://blog.skyairline.com/descubre-economy-premier-la-nueva-experiencia-para-viajar-mas-comodo/ (8 clics)
https://blog.skyairline.com/sky-fortalece-su-propuesta-de-valor-para-su-pasajeros-con-economy-premier/ (1 clics)</x:v>
      </x:c>
      <x:c r="K18" s="4" t="str">
        <x:v>URLs de detalle page/query/country por clics. No asignan las impresiones de esta consulta a cada página.</x:v>
      </x:c>
    </x:row>
    <x:row r="19" ht="28" customHeight="1">
      <x:c r="A19" s="4" t="n">
        <x:v>9</x:v>
      </x:c>
      <x:c r="B19" s="4" t="str">
        <x:v>tripulante de cabina sky</x:v>
      </x:c>
      <x:c r="C19" s="11" t="n">
        <x:v>95</x:v>
      </x:c>
      <x:c r="D19" s="11" t="n">
        <x:v>480</x:v>
      </x:c>
      <x:c r="E19" s="14" t="n">
        <x:v>0.19791666666666666</x:v>
      </x:c>
      <x:c r="F19" s="12" t="n">
        <x:v>6.270833333333333</x:v>
      </x:c>
      <x:c r="G19" s="4" t="str">
        <x:v>Contiene marca</x:v>
      </x:c>
      <x:c r="H19" s="11" t="n">
        <x:v>88</x:v>
      </x:c>
      <x:c r="I19" s="11" t="n">
        <x:f>IF(H19="","",C19-H19)</x:f>
        <x:v>7</x:v>
      </x:c>
      <x:c r="J19" s="4" t="str">
        <x:v>https://blog.skyairline.com/curso-tripulante-cabina/ (72 clics)
https://blog.skyairline.com/categoria/oportunidades/ (20 clics)
https://blog.skyairline.com/tripulante-de-cabina/ (2 clics)</x:v>
      </x:c>
      <x:c r="K19" s="4" t="str">
        <x:v>URLs de detalle page/query/country por clics. No asignan las impresiones de esta consulta a cada página.</x:v>
      </x:c>
    </x:row>
    <x:row r="20" ht="28" customHeight="1">
      <x:c r="A20" s="4" t="n">
        <x:v>10</x:v>
      </x:c>
      <x:c r="B20" s="4" t="str">
        <x:v>sky mascotas</x:v>
      </x:c>
      <x:c r="C20" s="11" t="n">
        <x:v>89</x:v>
      </x:c>
      <x:c r="D20" s="11" t="n">
        <x:v>253</x:v>
      </x:c>
      <x:c r="E20" s="14" t="n">
        <x:v>0.35177865612648224</x:v>
      </x:c>
      <x:c r="F20" s="12" t="n">
        <x:v>1.8814229249011858</x:v>
      </x:c>
      <x:c r="G20" s="4" t="str">
        <x:v>Contiene marca</x:v>
      </x:c>
      <x:c r="H20" s="11" t="n">
        <x:v>122</x:v>
      </x:c>
      <x:c r="I20" s="11" t="n">
        <x:f>IF(H20="","",C20-H20)</x:f>
        <x:v>-33</x:v>
      </x:c>
      <x:c r="J20" s="4" t="str">
        <x:v>https://blog.skyairline.com/viajar-con-perros/ (63 clics)
https://blog.skyairline.com/mascotas-en-cabina/ (26 clics)</x:v>
      </x:c>
      <x:c r="K20" s="4" t="str">
        <x:v>URLs de detalle page/query/country por clics. No asignan las impresiones de esta consulta a cada página.</x:v>
      </x:c>
    </x:row>
    <x:row r="21" ht="28" customHeight="1">
      <x:c r="A21" s="4" t="n">
        <x:v>11</x:v>
      </x:c>
      <x:c r="B21" s="4" t="str">
        <x:v>sky bolso de mano</x:v>
      </x:c>
      <x:c r="C21" s="11" t="n">
        <x:v>82</x:v>
      </x:c>
      <x:c r="D21" s="11" t="n">
        <x:v>525</x:v>
      </x:c>
      <x:c r="E21" s="14" t="n">
        <x:v>0.15619047619047619</x:v>
      </x:c>
      <x:c r="F21" s="12" t="n">
        <x:v>5.135238095238095</x:v>
      </x:c>
      <x:c r="G21" s="4" t="str">
        <x:v>Contiene marca</x:v>
      </x:c>
      <x:c r="H21" s="11" t="n">
        <x:v>103</x:v>
      </x:c>
      <x:c r="I21" s="11" t="n">
        <x:f>IF(H21="","",C21-H21)</x:f>
        <x:v>-21</x:v>
      </x:c>
      <x:c r="J21" s="4" t="str">
        <x:v>https://blog.skyairline.com/equipaje-de-cabina/ (61 clics)
https://blog.skyairline.com/equipaje-de-bodega/ (15 clics)
https://blog.skyairline.com/tipos-de-equipaje/ (6 clics)</x:v>
      </x:c>
      <x:c r="K21" s="4" t="str">
        <x:v>URLs de detalle page/query/country por clics. No asignan las impresiones de esta consulta a cada página.</x:v>
      </x:c>
    </x:row>
    <x:row r="22" ht="28" customHeight="1">
      <x:c r="A22" s="4" t="n">
        <x:v>12</x:v>
      </x:c>
      <x:c r="B22" s="4" t="str">
        <x:v>sky tripulante de cabina</x:v>
      </x:c>
      <x:c r="C22" s="11" t="n">
        <x:v>79</x:v>
      </x:c>
      <x:c r="D22" s="11" t="n">
        <x:v>381</x:v>
      </x:c>
      <x:c r="E22" s="14" t="n">
        <x:v>0.2073490813648294</x:v>
      </x:c>
      <x:c r="F22" s="12" t="n">
        <x:v>5.482939632545932</x:v>
      </x:c>
      <x:c r="G22" s="4" t="str">
        <x:v>Contiene marca</x:v>
      </x:c>
      <x:c r="H22" s="11" t="n">
        <x:v>139</x:v>
      </x:c>
      <x:c r="I22" s="11" t="n">
        <x:f>IF(H22="","",C22-H22)</x:f>
        <x:v>-60</x:v>
      </x:c>
      <x:c r="J22" s="4" t="str">
        <x:v>https://blog.skyairline.com/curso-tripulante-cabina/ (67 clics)
https://blog.skyairline.com/categoria/oportunidades/ (11 clics)
https://blog.skyairline.com/sky-revela-el-lado-menos-visible-de-sus-tripulantes-de-cabina/ (1 clics)</x:v>
      </x:c>
      <x:c r="K22" s="4" t="str">
        <x:v>URLs de detalle page/query/country por clics. No asignan las impresiones de esta consulta a cada página.</x:v>
      </x:c>
    </x:row>
    <x:row r="23" ht="28" customHeight="1">
      <x:c r="A23" s="4" t="n">
        <x:v>13</x:v>
      </x:c>
      <x:c r="B23" s="4" t="str">
        <x:v>sky medidas equipaje</x:v>
      </x:c>
      <x:c r="C23" s="11" t="n">
        <x:v>79</x:v>
      </x:c>
      <x:c r="D23" s="11" t="n">
        <x:v>312</x:v>
      </x:c>
      <x:c r="E23" s="14" t="n">
        <x:v>0.2532051282051282</x:v>
      </x:c>
      <x:c r="F23" s="12" t="n">
        <x:v>4.637820512820513</x:v>
      </x:c>
      <x:c r="G23" s="4" t="str">
        <x:v>Contiene marca</x:v>
      </x:c>
      <x:c r="H23" s="11" t="n">
        <x:v>67</x:v>
      </x:c>
      <x:c r="I23" s="11" t="n">
        <x:f>IF(H23="","",C23-H23)</x:f>
        <x:v>12</x:v>
      </x:c>
      <x:c r="J23" s="4" t="str">
        <x:v>https://blog.skyairline.com/equipaje-de-bodega/ (59 clics)
https://blog.skyairline.com/tipos-de-equipaje/ (16 clics)
https://blog.skyairline.com/equipaje-de-cabina/ (3 clics)</x:v>
      </x:c>
      <x:c r="K23" s="4" t="str">
        <x:v>URLs de detalle page/query/country por clics. No asignan las impresiones de esta consulta a cada página.</x:v>
      </x:c>
    </x:row>
    <x:row r="24" ht="28" customHeight="1">
      <x:c r="A24" s="4" t="n">
        <x:v>14</x:v>
      </x:c>
      <x:c r="B24" s="4" t="str">
        <x:v>sky maletas</x:v>
      </x:c>
      <x:c r="C24" s="11" t="n">
        <x:v>78</x:v>
      </x:c>
      <x:c r="D24" s="11" t="n">
        <x:v>470</x:v>
      </x:c>
      <x:c r="E24" s="14" t="n">
        <x:v>0.16595744680851063</x:v>
      </x:c>
      <x:c r="F24" s="12" t="n">
        <x:v>4.848936170212766</x:v>
      </x:c>
      <x:c r="G24" s="4" t="str">
        <x:v>Contiene marca</x:v>
      </x:c>
      <x:c r="H24" s="11" t="n">
        <x:v>103</x:v>
      </x:c>
      <x:c r="I24" s="11" t="n">
        <x:f>IF(H24="","",C24-H24)</x:f>
        <x:v>-25</x:v>
      </x:c>
      <x:c r="J24" s="4" t="str">
        <x:v>https://blog.skyairline.com/tipos-de-equipaje/ (55 clics)
https://blog.skyairline.com/equipaje-de-bodega/ (18 clics)
https://blog.skyairline.com/equipaje-de-cabina/ (5 clics)</x:v>
      </x:c>
      <x:c r="K24" s="4" t="str">
        <x:v>URLs de detalle page/query/country por clics. No asignan las impresiones de esta consulta a cada página.</x:v>
      </x:c>
    </x:row>
    <x:row r="25" ht="28" customHeight="1">
      <x:c r="A25" s="4" t="n">
        <x:v>15</x:v>
      </x:c>
      <x:c r="B25" s="4" t="str">
        <x:v>sky medidas de equipaje</x:v>
      </x:c>
      <x:c r="C25" s="11" t="n">
        <x:v>66</x:v>
      </x:c>
      <x:c r="D25" s="11" t="n">
        <x:v>373</x:v>
      </x:c>
      <x:c r="E25" s="14" t="n">
        <x:v>0.1769436997319035</x:v>
      </x:c>
      <x:c r="F25" s="12" t="n">
        <x:v>3.831099195710456</x:v>
      </x:c>
      <x:c r="G25" s="4" t="str">
        <x:v>Contiene marca</x:v>
      </x:c>
      <x:c r="H25" s="11" t="n">
        <x:v>118</x:v>
      </x:c>
      <x:c r="I25" s="11" t="n">
        <x:f>IF(H25="","",C25-H25)</x:f>
        <x:v>-52</x:v>
      </x:c>
      <x:c r="J25" s="4" t="str">
        <x:v>https://blog.skyairline.com/equipaje-de-bodega/ (48 clics)
https://blog.skyairline.com/tipos-de-equipaje/ (17 clics)
https://blog.skyairline.com/equipaje-de-cabina/ (1 clics)</x:v>
      </x:c>
      <x:c r="K25" s="4" t="str">
        <x:v>URLs de detalle page/query/country por clics. No asignan las impresiones de esta consulta a cada página.</x:v>
      </x:c>
    </x:row>
    <x:row r="26" ht="28" customHeight="1">
      <x:c r="A26" s="4" t="n">
        <x:v>16</x:v>
      </x:c>
      <x:c r="B26" s="4" t="str">
        <x:v>sky economy premier</x:v>
      </x:c>
      <x:c r="C26" s="11" t="n">
        <x:v>63</x:v>
      </x:c>
      <x:c r="D26" s="11" t="n">
        <x:v>268</x:v>
      </x:c>
      <x:c r="E26" s="14" t="n">
        <x:v>0.23507462686567165</x:v>
      </x:c>
      <x:c r="F26" s="12" t="n">
        <x:v>2.4664179104477615</x:v>
      </x:c>
      <x:c r="G26" s="4" t="str">
        <x:v>Contiene marca</x:v>
      </x:c>
      <x:c r="H26" s="11" t="n">
        <x:v>62</x:v>
      </x:c>
      <x:c r="I26" s="11" t="n">
        <x:f>IF(H26="","",C26-H26)</x:f>
        <x:v>1</x:v>
      </x:c>
      <x:c r="J26" s="4" t="str">
        <x:v>https://blog.skyairline.com/sky-fortalece-su-propuesta-de-valor-para-sus-pasajeros-con-economy-premier/ (56 clics)
https://blog.skyairline.com/descubre-economy-premier-la-nueva-experiencia-para-viajar-mas-comodo/ (7 clics)</x:v>
      </x:c>
      <x:c r="K26" s="4" t="str">
        <x:v>URLs de detalle page/query/country por clics. No asignan las impresiones de esta consulta a cada página.</x:v>
      </x:c>
    </x:row>
    <x:row r="27" ht="28" customHeight="1">
      <x:c r="A27" s="4" t="n">
        <x:v>17</x:v>
      </x:c>
      <x:c r="B27" s="4" t="str">
        <x:v>sky medidas bolso de mano</x:v>
      </x:c>
      <x:c r="C27" s="11" t="n">
        <x:v>58</x:v>
      </x:c>
      <x:c r="D27" s="11" t="n">
        <x:v>376</x:v>
      </x:c>
      <x:c r="E27" s="14" t="n">
        <x:v>0.15425531914893617</x:v>
      </x:c>
      <x:c r="F27" s="12" t="n">
        <x:v>4.89095744680851</x:v>
      </x:c>
      <x:c r="G27" s="4" t="str">
        <x:v>Contiene marca</x:v>
      </x:c>
      <x:c r="H27" s="11" t="n">
        <x:v>45</x:v>
      </x:c>
      <x:c r="I27" s="11" t="n">
        <x:f>IF(H27="","",C27-H27)</x:f>
        <x:v>13</x:v>
      </x:c>
      <x:c r="J27" s="4" t="str">
        <x:v>https://blog.skyairline.com/equipaje-de-cabina/ (29 clics)
https://blog.skyairline.com/equipaje-de-bodega/ (28 clics)
https://blog.skyairline.com/tipos-de-equipaje/ (1 clics)</x:v>
      </x:c>
      <x:c r="K27" s="4" t="str">
        <x:v>URLs de detalle page/query/country por clics. No asignan las impresiones de esta consulta a cada página.</x:v>
      </x:c>
    </x:row>
    <x:row r="28" ht="28" customHeight="1">
      <x:c r="A28" s="4" t="n">
        <x:v>18</x:v>
      </x:c>
      <x:c r="B28" s="4" t="str">
        <x:v>equipaje en cabina sky medidas</x:v>
      </x:c>
      <x:c r="C28" s="11" t="n">
        <x:v>57</x:v>
      </x:c>
      <x:c r="D28" s="11" t="n">
        <x:v>645</x:v>
      </x:c>
      <x:c r="E28" s="14" t="n">
        <x:v>0.08837209302325581</x:v>
      </x:c>
      <x:c r="F28" s="12" t="n">
        <x:v>4.801550387596899</x:v>
      </x:c>
      <x:c r="G28" s="4" t="str">
        <x:v>Contiene marca</x:v>
      </x:c>
      <x:c r="H28" s="11" t="n">
        <x:v>62</x:v>
      </x:c>
      <x:c r="I28" s="11" t="n">
        <x:f>IF(H28="","",C28-H28)</x:f>
        <x:v>-5</x:v>
      </x:c>
      <x:c r="J28" s="4" t="str">
        <x:v>https://blog.skyairline.com/equipaje-de-cabina/ (32 clics)
https://blog.skyairline.com/equipaje-de-bodega/ (16 clics)
https://blog.skyairline.com/tipos-de-equipaje/ (8 clics)</x:v>
      </x:c>
      <x:c r="K28" s="4" t="str">
        <x:v>URLs de detalle page/query/country por clics. No asignan las impresiones de esta consulta a cada página.</x:v>
      </x:c>
    </x:row>
    <x:row r="29" ht="28" customHeight="1">
      <x:c r="A29" s="4" t="n">
        <x:v>19</x:v>
      </x:c>
      <x:c r="B29" s="4" t="str">
        <x:v>equipaje de cabina sky</x:v>
      </x:c>
      <x:c r="C29" s="11" t="n">
        <x:v>56</x:v>
      </x:c>
      <x:c r="D29" s="11" t="n">
        <x:v>641</x:v>
      </x:c>
      <x:c r="E29" s="14" t="n">
        <x:v>0.0873634945397816</x:v>
      </x:c>
      <x:c r="F29" s="12" t="n">
        <x:v>5.0655226209048365</x:v>
      </x:c>
      <x:c r="G29" s="4" t="str">
        <x:v>Contiene marca</x:v>
      </x:c>
      <x:c r="H29" s="11" t="n">
        <x:v>56</x:v>
      </x:c>
      <x:c r="I29" s="11" t="n">
        <x:f>IF(H29="","",C29-H29)</x:f>
        <x:v>0</x:v>
      </x:c>
      <x:c r="J29" s="4" t="str">
        <x:v>https://blog.skyairline.com/equipaje-de-cabina/ (46 clics)
https://blog.skyairline.com/equipaje-de-bodega/ (5 clics)
https://blog.skyairline.com/tipos-de-equipaje/ (5 clics)</x:v>
      </x:c>
      <x:c r="K29" s="4" t="str">
        <x:v>URLs de detalle page/query/country por clics. No asignan las impresiones de esta consulta a cada página.</x:v>
      </x:c>
    </x:row>
    <x:row r="30" ht="28" customHeight="1">
      <x:c r="A30" s="4" t="n">
        <x:v>20</x:v>
      </x:c>
      <x:c r="B30" s="4" t="str">
        <x:v>puntos sky plus</x:v>
      </x:c>
      <x:c r="C30" s="11" t="n">
        <x:v>55</x:v>
      </x:c>
      <x:c r="D30" s="11" t="n">
        <x:v>555</x:v>
      </x:c>
      <x:c r="E30" s="14" t="n">
        <x:v>0.0990990990990991</x:v>
      </x:c>
      <x:c r="F30" s="12" t="n">
        <x:v>3.535135135135135</x:v>
      </x:c>
      <x:c r="G30" s="4" t="str">
        <x:v>Contiene marca</x:v>
      </x:c>
      <x:c r="H30" s="11" t="n">
        <x:v>46</x:v>
      </x:c>
      <x:c r="I30" s="11" t="n">
        <x:f>IF(H30="","",C30-H30)</x:f>
        <x:v>9</x:v>
      </x:c>
      <x:c r="J30" s="4" t="str">
        <x:v>https://blog.skyairline.com/sky-plus/ (55 clics)</x:v>
      </x:c>
      <x:c r="K30" s="4" t="str">
        <x:v>URLs de detalle page/query/country por clics. No asignan las impresiones de esta consulta a cada página.</x:v>
      </x:c>
    </x:row>
    <x:row r="31" ht="28" customHeight="1">
      <x:c r="A31" s="4" t="n">
        <x:v>21</x:v>
      </x:c>
      <x:c r="B31" s="4" t="str">
        <x:v>equipaje sky airlines</x:v>
      </x:c>
      <x:c r="C31" s="11" t="n">
        <x:v>55</x:v>
      </x:c>
      <x:c r="D31" s="11" t="n">
        <x:v>213</x:v>
      </x:c>
      <x:c r="E31" s="14" t="n">
        <x:v>0.25821596244131456</x:v>
      </x:c>
      <x:c r="F31" s="12" t="n">
        <x:v>4.525821596244132</x:v>
      </x:c>
      <x:c r="G31" s="4" t="str">
        <x:v>Contiene marca</x:v>
      </x:c>
      <x:c r="H31" s="11" t="n">
        <x:v>32</x:v>
      </x:c>
      <x:c r="I31" s="11" t="n">
        <x:f>IF(H31="","",C31-H31)</x:f>
        <x:v>23</x:v>
      </x:c>
      <x:c r="J31" s="4" t="str">
        <x:v>https://blog.skyairline.com/tipos-de-equipaje/ (37 clics)
https://blog.skyairline.com/equipaje-de-bodega/ (15 clics)
https://blog.skyairline.com/equipaje-de-cabina/ (3 clics)</x:v>
      </x:c>
      <x:c r="K31" s="4" t="str">
        <x:v>URLs de detalle page/query/country por clics. No asignan las impresiones de esta consulta a cada página.</x:v>
      </x:c>
    </x:row>
    <x:row r="32" ht="28" customHeight="1">
      <x:c r="A32" s="4" t="n">
        <x:v>22</x:v>
      </x:c>
      <x:c r="B32" s="4" t="str">
        <x:v>tripulante de cabina</x:v>
      </x:c>
      <x:c r="C32" s="11" t="n">
        <x:v>54</x:v>
      </x:c>
      <x:c r="D32" s="11" t="n">
        <x:v>1366</x:v>
      </x:c>
      <x:c r="E32" s="14" t="n">
        <x:v>0.03953147877013177</x:v>
      </x:c>
      <x:c r="F32" s="12" t="n">
        <x:v>10.624450951683748</x:v>
      </x:c>
      <x:c r="G32" s="4" t="str">
        <x:v>Sin marca literal</x:v>
      </x:c>
      <x:c r="H32" s="11" t="n">
        <x:v>70</x:v>
      </x:c>
      <x:c r="I32" s="11" t="n">
        <x:f>IF(H32="","",C32-H32)</x:f>
        <x:v>-16</x:v>
      </x:c>
      <x:c r="J32" s="4" t="str">
        <x:v>https://blog.skyairline.com/curso-tripulante-cabina/ (54 clics)</x:v>
      </x:c>
      <x:c r="K32" s="4" t="str">
        <x:v>URLs de detalle page/query/country por clics. No asignan las impresiones de esta consulta a cada página.</x:v>
      </x:c>
    </x:row>
    <x:row r="33" ht="28" customHeight="1">
      <x:c r="A33" s="4" t="n">
        <x:v>23</x:v>
      </x:c>
      <x:c r="B33" s="4" t="str">
        <x:v>sky equipaje de bodega</x:v>
      </x:c>
      <x:c r="C33" s="11" t="n">
        <x:v>54</x:v>
      </x:c>
      <x:c r="D33" s="11" t="n">
        <x:v>440</x:v>
      </x:c>
      <x:c r="E33" s="14" t="n">
        <x:v>0.12272727272727273</x:v>
      </x:c>
      <x:c r="F33" s="12" t="n">
        <x:v>4.302272727272728</x:v>
      </x:c>
      <x:c r="G33" s="4" t="str">
        <x:v>Contiene marca</x:v>
      </x:c>
      <x:c r="H33" s="11" t="n">
        <x:v>50</x:v>
      </x:c>
      <x:c r="I33" s="11" t="n">
        <x:f>IF(H33="","",C33-H33)</x:f>
        <x:v>4</x:v>
      </x:c>
      <x:c r="J33" s="4" t="str">
        <x:v>https://blog.skyairline.com/equipaje-de-bodega/ (42 clics)
https://blog.skyairline.com/tipos-de-equipaje/ (9 clics)
https://blog.skyairline.com/que-es-el-equipaje-documentado/ (3 clics)</x:v>
      </x:c>
      <x:c r="K33" s="4" t="str">
        <x:v>URLs de detalle page/query/country por clics. No asignan las impresiones de esta consulta a cada página.</x:v>
      </x:c>
    </x:row>
    <x:row r="34" ht="28" customHeight="1">
      <x:c r="A34" s="4" t="n">
        <x:v>24</x:v>
      </x:c>
      <x:c r="B34" s="4" t="str">
        <x:v>equipaje de mano sky medidas</x:v>
      </x:c>
      <x:c r="C34" s="11" t="n">
        <x:v>52</x:v>
      </x:c>
      <x:c r="D34" s="11" t="n">
        <x:v>288</x:v>
      </x:c>
      <x:c r="E34" s="14" t="n">
        <x:v>0.18055555555555555</x:v>
      </x:c>
      <x:c r="F34" s="12" t="n">
        <x:v>4.475694444444445</x:v>
      </x:c>
      <x:c r="G34" s="4" t="str">
        <x:v>Contiene marca</x:v>
      </x:c>
      <x:c r="H34" s="11" t="n">
        <x:v>42</x:v>
      </x:c>
      <x:c r="I34" s="11" t="n">
        <x:f>IF(H34="","",C34-H34)</x:f>
        <x:v>10</x:v>
      </x:c>
      <x:c r="J34" s="4" t="str">
        <x:v>https://blog.skyairline.com/equipaje-de-cabina/ (33 clics)
https://blog.skyairline.com/equipaje-de-bodega/ (15 clics)
https://blog.skyairline.com/escoger-una-maleta/ (2 clics)</x:v>
      </x:c>
      <x:c r="K34" s="4" t="str">
        <x:v>URLs de detalle page/query/country por clics. No asignan las impresiones de esta consulta a cada página.</x:v>
      </x:c>
    </x:row>
    <x:row r="35" ht="28" customHeight="1">
      <x:c r="A35" s="4" t="n">
        <x:v>25</x:v>
      </x:c>
      <x:c r="B35" s="4" t="str">
        <x:v>bolso de mano sky medidas</x:v>
      </x:c>
      <x:c r="C35" s="11" t="n">
        <x:v>51</x:v>
      </x:c>
      <x:c r="D35" s="11" t="n">
        <x:v>500</x:v>
      </x:c>
      <x:c r="E35" s="14" t="n">
        <x:v>0.102</x:v>
      </x:c>
      <x:c r="F35" s="12" t="n">
        <x:v>4.082</x:v>
      </x:c>
      <x:c r="G35" s="4" t="str">
        <x:v>Contiene marca</x:v>
      </x:c>
      <x:c r="H35" s="11" t="n">
        <x:v>55</x:v>
      </x:c>
      <x:c r="I35" s="11" t="n">
        <x:f>IF(H35="","",C35-H35)</x:f>
        <x:v>-4</x:v>
      </x:c>
      <x:c r="J35" s="4" t="str">
        <x:v>https://blog.skyairline.com/equipaje-de-bodega/ (26 clics)
https://blog.skyairline.com/equipaje-de-cabina/ (19 clics)
https://blog.skyairline.com/tipos-de-equipaje/ (5 clics)</x:v>
      </x:c>
      <x:c r="K35" s="4" t="str">
        <x:v>URLs de detalle page/query/country por clics. No asignan las impresiones de esta consulta a cada página.</x:v>
      </x:c>
    </x:row>
    <x:row r="36" ht="28" customHeight="1">
      <x:c r="A36" s="4" t="n">
        <x:v>26</x:v>
      </x:c>
      <x:c r="B36" s="4" t="str">
        <x:v>sky maleta de mano</x:v>
      </x:c>
      <x:c r="C36" s="11" t="n">
        <x:v>50</x:v>
      </x:c>
      <x:c r="D36" s="11" t="n">
        <x:v>237</x:v>
      </x:c>
      <x:c r="E36" s="14" t="n">
        <x:v>0.2109704641350211</x:v>
      </x:c>
      <x:c r="F36" s="12" t="n">
        <x:v>5.69198312236287</x:v>
      </x:c>
      <x:c r="G36" s="4" t="str">
        <x:v>Contiene marca</x:v>
      </x:c>
      <x:c r="H36" s="11" t="n">
        <x:v>47</x:v>
      </x:c>
      <x:c r="I36" s="11" t="n">
        <x:f>IF(H36="","",C36-H36)</x:f>
        <x:v>3</x:v>
      </x:c>
      <x:c r="J36" s="4" t="str">
        <x:v>https://blog.skyairline.com/equipaje-de-cabina/ (39 clics)
https://blog.skyairline.com/equipaje-de-bodega/ (10 clics)
https://blog.skyairline.com/tipos-de-equipaje/ (1 clics)</x:v>
      </x:c>
      <x:c r="K36" s="4" t="str">
        <x:v>URLs de detalle page/query/country por clics. No asignan las impresiones de esta consulta a cada página.</x:v>
      </x:c>
    </x:row>
    <x:row r="37" ht="28" customHeight="1">
      <x:c r="A37" s="4" t="n">
        <x:v>27</x:v>
      </x:c>
      <x:c r="B37" s="4" t="str">
        <x:v>medidas mochila sky</x:v>
      </x:c>
      <x:c r="C37" s="11" t="n">
        <x:v>49</x:v>
      </x:c>
      <x:c r="D37" s="11" t="n">
        <x:v>355</x:v>
      </x:c>
      <x:c r="E37" s="14" t="n">
        <x:v>0.13802816901408452</x:v>
      </x:c>
      <x:c r="F37" s="12" t="n">
        <x:v>3.6704225352112676</x:v>
      </x:c>
      <x:c r="G37" s="4" t="str">
        <x:v>Contiene marca</x:v>
      </x:c>
      <x:c r="H37" s="11" t="n">
        <x:v>48</x:v>
      </x:c>
      <x:c r="I37" s="11" t="n">
        <x:f>IF(H37="","",C37-H37)</x:f>
        <x:v>1</x:v>
      </x:c>
      <x:c r="J37" s="4" t="str">
        <x:v>https://blog.skyairline.com/equipaje-de-bodega/ (35 clics)
https://blog.skyairline.com/equipaje-de-cabina/ (13 clics)
https://blog.skyairline.com/tipos-de-equipaje/ (1 clics)</x:v>
      </x:c>
      <x:c r="K37" s="4" t="str">
        <x:v>URLs de detalle page/query/country por clics. No asignan las impresiones de esta consulta a cada página.</x:v>
      </x:c>
    </x:row>
    <x:row r="38" ht="28" customHeight="1">
      <x:c r="A38" s="4" t="n">
        <x:v>28</x:v>
      </x:c>
      <x:c r="B38" s="4" t="str">
        <x:v>sky airlines trabaja con nosotros</x:v>
      </x:c>
      <x:c r="C38" s="11" t="n">
        <x:v>49</x:v>
      </x:c>
      <x:c r="D38" s="11" t="n">
        <x:v>162</x:v>
      </x:c>
      <x:c r="E38" s="14" t="n">
        <x:v>0.30246913580246915</x:v>
      </x:c>
      <x:c r="F38" s="12" t="n">
        <x:v>3.6666666666666665</x:v>
      </x:c>
      <x:c r="G38" s="4" t="str">
        <x:v>Contiene marca</x:v>
      </x:c>
      <x:c r="H38" s="11" t="n">
        <x:v>98</x:v>
      </x:c>
      <x:c r="I38" s="11" t="n">
        <x:f>IF(H38="","",C38-H38)</x:f>
        <x:v>-49</x:v>
      </x:c>
      <x:c r="J38" s="4" t="str">
        <x:v>https://blog.skyairline.com/categoria/oportunidades/ (49 clics)</x:v>
      </x:c>
      <x:c r="K38" s="4" t="str">
        <x:v>URLs de detalle page/query/country por clics. No asignan las impresiones de esta consulta a cada página.</x:v>
      </x:c>
    </x:row>
    <x:row r="39" ht="28" customHeight="1">
      <x:c r="A39" s="4" t="n">
        <x:v>29</x:v>
      </x:c>
      <x:c r="B39" s="4" t="str">
        <x:v>medidas bolso de mano sky</x:v>
      </x:c>
      <x:c r="C39" s="11" t="n">
        <x:v>48</x:v>
      </x:c>
      <x:c r="D39" s="11" t="n">
        <x:v>782</x:v>
      </x:c>
      <x:c r="E39" s="14" t="n">
        <x:v>0.061381074168797956</x:v>
      </x:c>
      <x:c r="F39" s="12" t="n">
        <x:v>3.1930946291560103</x:v>
      </x:c>
      <x:c r="G39" s="4" t="str">
        <x:v>Contiene marca</x:v>
      </x:c>
      <x:c r="H39" s="11" t="n">
        <x:v>73</x:v>
      </x:c>
      <x:c r="I39" s="11" t="n">
        <x:f>IF(H39="","",C39-H39)</x:f>
        <x:v>-25</x:v>
      </x:c>
      <x:c r="J39" s="4" t="str">
        <x:v>https://blog.skyairline.com/equipaje-de-bodega/ (29 clics)
https://blog.skyairline.com/equipaje-de-cabina/ (18 clics)
https://blog.skyairline.com/tipos-de-equipaje/ (1 clics)</x:v>
      </x:c>
      <x:c r="K39" s="4" t="str">
        <x:v>URLs de detalle page/query/country por clics. No asignan las impresiones de esta consulta a cada página.</x:v>
      </x:c>
    </x:row>
    <x:row r="40" ht="28" customHeight="1">
      <x:c r="A40" s="4" t="n">
        <x:v>30</x:v>
      </x:c>
      <x:c r="B40" s="4" t="str">
        <x:v>sky medidas equipaje de mano</x:v>
      </x:c>
      <x:c r="C40" s="11" t="n">
        <x:v>46</x:v>
      </x:c>
      <x:c r="D40" s="11" t="n">
        <x:v>150</x:v>
      </x:c>
      <x:c r="E40" s="14" t="n">
        <x:v>0.30666666666666664</x:v>
      </x:c>
      <x:c r="F40" s="12" t="n">
        <x:v>3.4</x:v>
      </x:c>
      <x:c r="G40" s="4" t="str">
        <x:v>Contiene marca</x:v>
      </x:c>
      <x:c r="H40" s="11" t="n">
        <x:v>36</x:v>
      </x:c>
      <x:c r="I40" s="11" t="n">
        <x:f>IF(H40="","",C40-H40)</x:f>
        <x:v>10</x:v>
      </x:c>
      <x:c r="J40" s="4" t="str">
        <x:v>https://blog.skyairline.com/equipaje-de-cabina/ (31 clics)
https://blog.skyairline.com/equipaje-de-bodega/ (15 clics)</x:v>
      </x:c>
      <x:c r="K40" s="4" t="str">
        <x:v>URLs de detalle page/query/country por clics. No asignan las impresiones de esta consulta a cada página.</x:v>
      </x:c>
    </x:row>
    <x:row r="41" ht="28" customHeight="1">
      <x:c r="A41" s="4" t="n">
        <x:v>31</x:v>
      </x:c>
      <x:c r="B41" s="4" t="str">
        <x:v>sky</x:v>
      </x:c>
      <x:c r="C41" s="11" t="n">
        <x:v>41</x:v>
      </x:c>
      <x:c r="D41" s="11" t="n">
        <x:v>2299</x:v>
      </x:c>
      <x:c r="E41" s="14" t="n">
        <x:v>0.01783384080034798</x:v>
      </x:c>
      <x:c r="F41" s="12" t="n">
        <x:v>3.9008264462809916</x:v>
      </x:c>
      <x:c r="G41" s="4" t="str">
        <x:v>Contiene marca</x:v>
      </x:c>
      <x:c r="H41" s="11" t="n">
        <x:v>23</x:v>
      </x:c>
      <x:c r="I41" s="11" t="n">
        <x:f>IF(H41="","",C41-H41)</x:f>
        <x:v>18</x:v>
      </x:c>
      <x:c r="J41" s="4" t="str">
        <x:v>https://blog.skyairline.com/equipaje-de-cabina/ (15 clics)
https://blog.skyairline.com/cambiar-vuelo-sky/ (3 clics)
https://blog.skyairline.com/liquidos-en-avion/ (3 clics)</x:v>
      </x:c>
      <x:c r="K41" s="4" t="str">
        <x:v>URLs de detalle page/query/country por clics. No asignan las impresiones de esta consulta a cada página.</x:v>
      </x:c>
    </x:row>
    <x:row r="42" ht="28" customHeight="1">
      <x:c r="A42" s="4" t="n">
        <x:v>32</x:v>
      </x:c>
      <x:c r="B42" s="4" t="str">
        <x:v>sky airlines equipaje</x:v>
      </x:c>
      <x:c r="C42" s="11" t="n">
        <x:v>41</x:v>
      </x:c>
      <x:c r="D42" s="11" t="n">
        <x:v>190</x:v>
      </x:c>
      <x:c r="E42" s="14" t="n">
        <x:v>0.21578947368421053</x:v>
      </x:c>
      <x:c r="F42" s="12" t="n">
        <x:v>4.726315789473684</x:v>
      </x:c>
      <x:c r="G42" s="4" t="str">
        <x:v>Contiene marca</x:v>
      </x:c>
      <x:c r="H42" s="11" t="n">
        <x:v>46</x:v>
      </x:c>
      <x:c r="I42" s="11" t="n">
        <x:f>IF(H42="","",C42-H42)</x:f>
        <x:v>-5</x:v>
      </x:c>
      <x:c r="J42" s="4" t="str">
        <x:v>https://blog.skyairline.com/tipos-de-equipaje/ (26 clics)
https://blog.skyairline.com/equipaje-de-bodega/ (11 clics)
https://blog.skyairline.com/equipaje-de-cabina/ (4 clics)</x:v>
      </x:c>
      <x:c r="K42" s="4" t="str">
        <x:v>URLs de detalle page/query/country por clics. No asignan las impresiones de esta consulta a cada página.</x:v>
      </x:c>
    </x:row>
    <x:row r="43" ht="28" customHeight="1">
      <x:c r="A43" s="4" t="n">
        <x:v>33</x:v>
      </x:c>
      <x:c r="B43" s="4" t="str">
        <x:v>sky airline equipaje</x:v>
      </x:c>
      <x:c r="C43" s="11" t="n">
        <x:v>37</x:v>
      </x:c>
      <x:c r="D43" s="11" t="n">
        <x:v>170</x:v>
      </x:c>
      <x:c r="E43" s="14" t="n">
        <x:v>0.21764705882352942</x:v>
      </x:c>
      <x:c r="F43" s="12" t="n">
        <x:v>4.235294117647059</x:v>
      </x:c>
      <x:c r="G43" s="4" t="str">
        <x:v>Contiene marca</x:v>
      </x:c>
      <x:c r="H43" s="11" t="n">
        <x:v>48</x:v>
      </x:c>
      <x:c r="I43" s="11" t="n">
        <x:f>IF(H43="","",C43-H43)</x:f>
        <x:v>-11</x:v>
      </x:c>
      <x:c r="J43" s="4" t="str">
        <x:v>https://blog.skyairline.com/tipos-de-equipaje/ (26 clics)
https://blog.skyairline.com/equipaje-de-bodega/ (10 clics)
https://blog.skyairline.com/equipaje-de-cabina/ (1 clics)</x:v>
      </x:c>
      <x:c r="K43" s="4" t="str">
        <x:v>URLs de detalle page/query/country por clics. No asignan las impresiones de esta consulta a cada página.</x:v>
      </x:c>
    </x:row>
    <x:row r="44" ht="28" customHeight="1">
      <x:c r="A44" s="4" t="n">
        <x:v>34</x:v>
      </x:c>
      <x:c r="B44" s="4" t="str">
        <x:v>maleta sky</x:v>
      </x:c>
      <x:c r="C44" s="11" t="n">
        <x:v>36</x:v>
      </x:c>
      <x:c r="D44" s="11" t="n">
        <x:v>282</x:v>
      </x:c>
      <x:c r="E44" s="14" t="n">
        <x:v>0.1276595744680851</x:v>
      </x:c>
      <x:c r="F44" s="12" t="n">
        <x:v>4.475177304964539</x:v>
      </x:c>
      <x:c r="G44" s="4" t="str">
        <x:v>Contiene marca</x:v>
      </x:c>
      <x:c r="H44" s="11" t="n">
        <x:v>38</x:v>
      </x:c>
      <x:c r="I44" s="11" t="n">
        <x:f>IF(H44="","",C44-H44)</x:f>
        <x:v>-2</x:v>
      </x:c>
      <x:c r="J44" s="4" t="str">
        <x:v>https://blog.skyairline.com/tipos-de-equipaje/ (26 clics)
https://blog.skyairline.com/equipaje-de-bodega/ (10 clics)</x:v>
      </x:c>
      <x:c r="K44" s="4" t="str">
        <x:v>URLs de detalle page/query/country por clics. No asignan las impresiones de esta consulta a cada página.</x:v>
      </x:c>
    </x:row>
    <x:row r="45" ht="28" customHeight="1">
      <x:c r="A45" s="4" t="n">
        <x:v>35</x:v>
      </x:c>
      <x:c r="B45" s="4" t="str">
        <x:v>medidas equipaje de mano sky</x:v>
      </x:c>
      <x:c r="C45" s="11" t="n">
        <x:v>35</x:v>
      </x:c>
      <x:c r="D45" s="11" t="n">
        <x:v>554</x:v>
      </x:c>
      <x:c r="E45" s="14" t="n">
        <x:v>0.0631768953068592</x:v>
      </x:c>
      <x:c r="F45" s="12" t="n">
        <x:v>3.339350180505415</x:v>
      </x:c>
      <x:c r="G45" s="4" t="str">
        <x:v>Contiene marca</x:v>
      </x:c>
      <x:c r="H45" s="11" t="n">
        <x:v>43</x:v>
      </x:c>
      <x:c r="I45" s="11" t="n">
        <x:f>IF(H45="","",C45-H45)</x:f>
        <x:v>-8</x:v>
      </x:c>
      <x:c r="J45" s="4" t="str">
        <x:v>https://blog.skyairline.com/equipaje-de-cabina/ (23 clics)
https://blog.skyairline.com/equipaje-de-bodega/ (10 clics)
https://blog.skyairline.com/que-es-el-equipaje-documentado/ (1 clics)</x:v>
      </x:c>
      <x:c r="K45" s="4" t="str">
        <x:v>URLs de detalle page/query/country por clics. No asignan las impresiones de esta consulta a cada página.</x:v>
      </x:c>
    </x:row>
    <x:row r="46" ht="28" customHeight="1">
      <x:c r="A46" s="4" t="n">
        <x:v>36</x:v>
      </x:c>
      <x:c r="B46" s="4" t="str">
        <x:v>sky maletas medidas</x:v>
      </x:c>
      <x:c r="C46" s="11" t="n">
        <x:v>35</x:v>
      </x:c>
      <x:c r="D46" s="11" t="n">
        <x:v>138</x:v>
      </x:c>
      <x:c r="E46" s="14" t="n">
        <x:v>0.2536231884057971</x:v>
      </x:c>
      <x:c r="F46" s="12" t="n">
        <x:v>4.311594202898551</x:v>
      </x:c>
      <x:c r="G46" s="4" t="str">
        <x:v>Contiene marca</x:v>
      </x:c>
      <x:c r="H46" s="11" t="n">
        <x:v>35</x:v>
      </x:c>
      <x:c r="I46" s="11" t="n">
        <x:f>IF(H46="","",C46-H46)</x:f>
        <x:v>0</x:v>
      </x:c>
      <x:c r="J46" s="4" t="str">
        <x:v>https://blog.skyairline.com/equipaje-de-bodega/ (20 clics)
https://blog.skyairline.com/tipos-de-equipaje/ (11 clics)
https://blog.skyairline.com/equipaje-de-cabina/ (3 clics)</x:v>
      </x:c>
      <x:c r="K46" s="4" t="str">
        <x:v>URLs de detalle page/query/country por clics. No asignan las impresiones de esta consulta a cada página.</x:v>
      </x:c>
    </x:row>
    <x:row r="47" ht="28" customHeight="1">
      <x:c r="A47" s="4" t="n">
        <x:v>37</x:v>
      </x:c>
      <x:c r="B47" s="4" t="str">
        <x:v>sky viaje con mascotas</x:v>
      </x:c>
      <x:c r="C47" s="11" t="n">
        <x:v>35</x:v>
      </x:c>
      <x:c r="D47" s="11" t="n">
        <x:v>100</x:v>
      </x:c>
      <x:c r="E47" s="14" t="n">
        <x:v>0.35</x:v>
      </x:c>
      <x:c r="F47" s="12" t="n">
        <x:v>1.62</x:v>
      </x:c>
      <x:c r="G47" s="4" t="str">
        <x:v>Contiene marca</x:v>
      </x:c>
      <x:c r="H47" s="11" t="n">
        <x:v>27</x:v>
      </x:c>
      <x:c r="I47" s="11" t="n">
        <x:f>IF(H47="","",C47-H47)</x:f>
        <x:v>8</x:v>
      </x:c>
      <x:c r="J47" s="4" t="str">
        <x:v>https://blog.skyairline.com/viajar-con-perros/ (28 clics)
https://blog.skyairline.com/mascotas-en-cabina/ (7 clics)</x:v>
      </x:c>
      <x:c r="K47" s="4" t="str">
        <x:v>URLs de detalle page/query/country por clics. No asignan las impresiones de esta consulta a cada página.</x:v>
      </x:c>
    </x:row>
    <x:row r="48" ht="28" customHeight="1">
      <x:c r="A48" s="4" t="n">
        <x:v>38</x:v>
      </x:c>
      <x:c r="B48" s="4" t="str">
        <x:v>sky cambio de vuelo</x:v>
      </x:c>
      <x:c r="C48" s="11" t="n">
        <x:v>34</x:v>
      </x:c>
      <x:c r="D48" s="11" t="n">
        <x:v>622</x:v>
      </x:c>
      <x:c r="E48" s="14" t="n">
        <x:v>0.05466237942122187</x:v>
      </x:c>
      <x:c r="F48" s="12" t="n">
        <x:v>5.323151125401929</x:v>
      </x:c>
      <x:c r="G48" s="4" t="str">
        <x:v>Contiene marca</x:v>
      </x:c>
      <x:c r="H48" s="11" t="n">
        <x:v>56</x:v>
      </x:c>
      <x:c r="I48" s="11" t="n">
        <x:f>IF(H48="","",C48-H48)</x:f>
        <x:v>-22</x:v>
      </x:c>
      <x:c r="J48" s="4" t="str">
        <x:v>https://blog.skyairline.com/cambiar-vuelo-sky/ (33 clics)
https://blog.skyairline.com/se-pueden-cambiar-los-pasajes-de-avion/ (1 clics)</x:v>
      </x:c>
      <x:c r="K48" s="4" t="str">
        <x:v>URLs de detalle page/query/country por clics. No asignan las impresiones de esta consulta a cada página.</x:v>
      </x:c>
    </x:row>
    <x:row r="49" ht="28" customHeight="1">
      <x:c r="A49" s="4" t="n">
        <x:v>39</x:v>
      </x:c>
      <x:c r="B49" s="4" t="str">
        <x:v>medidas sky equipaje de mano</x:v>
      </x:c>
      <x:c r="C49" s="11" t="n">
        <x:v>34</x:v>
      </x:c>
      <x:c r="D49" s="11" t="n">
        <x:v>292</x:v>
      </x:c>
      <x:c r="E49" s="14" t="n">
        <x:v>0.11643835616438356</x:v>
      </x:c>
      <x:c r="F49" s="12" t="n">
        <x:v>3.5</x:v>
      </x:c>
      <x:c r="G49" s="4" t="str">
        <x:v>Contiene marca</x:v>
      </x:c>
      <x:c r="H49" s="11" t="n">
        <x:v>19</x:v>
      </x:c>
      <x:c r="I49" s="11" t="n">
        <x:f>IF(H49="","",C49-H49)</x:f>
        <x:v>15</x:v>
      </x:c>
      <x:c r="J49" s="4" t="str">
        <x:v>https://blog.skyairline.com/equipaje-de-cabina/ (22 clics)
https://blog.skyairline.com/equipaje-de-bodega/ (12 clics)</x:v>
      </x:c>
      <x:c r="K49" s="4" t="str">
        <x:v>URLs de detalle page/query/country por clics. No asignan las impresiones de esta consulta a cada página.</x:v>
      </x:c>
    </x:row>
    <x:row r="50" ht="28" customHeight="1">
      <x:c r="A50" s="4" t="n">
        <x:v>40</x:v>
      </x:c>
      <x:c r="B50" s="4" t="str">
        <x:v>cambiar vuelo sky</x:v>
      </x:c>
      <x:c r="C50" s="11" t="n">
        <x:v>33</x:v>
      </x:c>
      <x:c r="D50" s="11" t="n">
        <x:v>448</x:v>
      </x:c>
      <x:c r="E50" s="14" t="n">
        <x:v>0.07366071428571429</x:v>
      </x:c>
      <x:c r="F50" s="12" t="n">
        <x:v>5.350446428571429</x:v>
      </x:c>
      <x:c r="G50" s="4" t="str">
        <x:v>Contiene marca</x:v>
      </x:c>
      <x:c r="H50" s="11" t="n">
        <x:v>42</x:v>
      </x:c>
      <x:c r="I50" s="11" t="n">
        <x:f>IF(H50="","",C50-H50)</x:f>
        <x:v>-9</x:v>
      </x:c>
      <x:c r="J50" s="4" t="str">
        <x:v>https://blog.skyairline.com/cambiar-vuelo-sky/ (31 clics)
https://blog.skyairline.com/cambiar-el-pasaje/ (1 clics)
https://blog.skyairline.com/se-pueden-cambiar-los-pasajes-de-avion/ (1 clics)</x:v>
      </x:c>
      <x:c r="K50" s="4" t="str">
        <x:v>URLs de detalle page/query/country por clics. No asignan las impresiones de esta consulta a cada página.</x:v>
      </x:c>
    </x:row>
    <x:row r="51" ht="28" customHeight="1">
      <x:c r="A51" s="4" t="n">
        <x:v>41</x:v>
      </x:c>
      <x:c r="B51" s="4" t="str">
        <x:v>medidas sky</x:v>
      </x:c>
      <x:c r="C51" s="11" t="n">
        <x:v>33</x:v>
      </x:c>
      <x:c r="D51" s="11" t="n">
        <x:v>239</x:v>
      </x:c>
      <x:c r="E51" s="14" t="n">
        <x:v>0.13807531380753138</x:v>
      </x:c>
      <x:c r="F51" s="12" t="n">
        <x:v>3.8953974895397487</x:v>
      </x:c>
      <x:c r="G51" s="4" t="str">
        <x:v>Contiene marca</x:v>
      </x:c>
      <x:c r="H51" s="11" t="n">
        <x:v>22</x:v>
      </x:c>
      <x:c r="I51" s="11" t="n">
        <x:f>IF(H51="","",C51-H51)</x:f>
        <x:v>11</x:v>
      </x:c>
      <x:c r="J51" s="4" t="str">
        <x:v>https://blog.skyairline.com/equipaje-de-bodega/ (20 clics)
https://blog.skyairline.com/tipos-de-equipaje/ (8 clics)
https://blog.skyairline.com/equipaje-de-cabina/ (5 clics)</x:v>
      </x:c>
      <x:c r="K51" s="4" t="str">
        <x:v>URLs de detalle page/query/country por clics. No asignan las impresiones de esta consulta a cada página.</x:v>
      </x:c>
    </x:row>
    <x:row r="52" ht="28" customHeight="1">
      <x:c r="A52" s="4" t="n">
        <x:v>42</x:v>
      </x:c>
      <x:c r="B52" s="4" t="str">
        <x:v>economy premier sky airline</x:v>
      </x:c>
      <x:c r="C52" s="11" t="n">
        <x:v>33</x:v>
      </x:c>
      <x:c r="D52" s="11" t="n">
        <x:v>100</x:v>
      </x:c>
      <x:c r="E52" s="14" t="n">
        <x:v>0.33</x:v>
      </x:c>
      <x:c r="F52" s="12" t="n">
        <x:v>2.27</x:v>
      </x:c>
      <x:c r="G52" s="4" t="str">
        <x:v>Contiene marca</x:v>
      </x:c>
      <x:c r="H52" s="11" t="n">
        <x:v>37</x:v>
      </x:c>
      <x:c r="I52" s="11" t="n">
        <x:f>IF(H52="","",C52-H52)</x:f>
        <x:v>-4</x:v>
      </x:c>
      <x:c r="J52" s="4" t="str">
        <x:v>https://blog.skyairline.com/sky-fortalece-su-propuesta-de-valor-para-sus-pasajeros-con-economy-premier/ (30 clics)
https://blog.skyairline.com/descubre-economy-premier-la-nueva-experiencia-para-viajar-mas-comodo/ (3 clics)</x:v>
      </x:c>
      <x:c r="K52" s="4" t="str">
        <x:v>URLs de detalle page/query/country por clics. No asignan las impresiones de esta consulta a cada página.</x:v>
      </x:c>
    </x:row>
    <x:row r="53" ht="28" customHeight="1">
      <x:c r="A53" s="4" t="n">
        <x:v>43</x:v>
      </x:c>
      <x:c r="B53" s="4" t="str">
        <x:v>equipaje de mano sky airlines</x:v>
      </x:c>
      <x:c r="C53" s="11" t="n">
        <x:v>32</x:v>
      </x:c>
      <x:c r="D53" s="11" t="n">
        <x:v>247</x:v>
      </x:c>
      <x:c r="E53" s="14" t="n">
        <x:v>0.12955465587044535</x:v>
      </x:c>
      <x:c r="F53" s="12" t="n">
        <x:v>4.4534412955465585</x:v>
      </x:c>
      <x:c r="G53" s="4" t="str">
        <x:v>Contiene marca</x:v>
      </x:c>
      <x:c r="H53" s="11" t="n">
        <x:v>26</x:v>
      </x:c>
      <x:c r="I53" s="11" t="n">
        <x:f>IF(H53="","",C53-H53)</x:f>
        <x:v>6</x:v>
      </x:c>
      <x:c r="J53" s="4" t="str">
        <x:v>https://blog.skyairline.com/equipaje-de-cabina/ (21 clics)
https://blog.skyairline.com/equipaje-de-bodega/ (6 clics)
https://blog.skyairline.com/tipos-de-equipaje/ (4 clics)</x:v>
      </x:c>
      <x:c r="K53" s="4" t="str">
        <x:v>URLs de detalle page/query/country por clics. No asignan las impresiones de esta consulta a cada página.</x:v>
      </x:c>
    </x:row>
    <x:row r="54" ht="28" customHeight="1">
      <x:c r="A54" s="4" t="n">
        <x:v>44</x:v>
      </x:c>
      <x:c r="B54" s="4" t="str">
        <x:v>maleta cabina sky</x:v>
      </x:c>
      <x:c r="C54" s="11" t="n">
        <x:v>30</x:v>
      </x:c>
      <x:c r="D54" s="11" t="n">
        <x:v>168</x:v>
      </x:c>
      <x:c r="E54" s="14" t="n">
        <x:v>0.17857142857142858</x:v>
      </x:c>
      <x:c r="F54" s="12" t="n">
        <x:v>5.886904761904762</x:v>
      </x:c>
      <x:c r="G54" s="4" t="str">
        <x:v>Contiene marca</x:v>
      </x:c>
      <x:c r="H54" s="11" t="n">
        <x:v>36</x:v>
      </x:c>
      <x:c r="I54" s="11" t="n">
        <x:f>IF(H54="","",C54-H54)</x:f>
        <x:v>-6</x:v>
      </x:c>
      <x:c r="J54" s="4" t="str">
        <x:v>https://blog.skyairline.com/equipaje-de-cabina/ (21 clics)
https://blog.skyairline.com/equipaje-de-bodega/ (7 clics)
https://blog.skyairline.com/tipos-de-equipaje/ (2 clics)</x:v>
      </x:c>
      <x:c r="K54" s="4" t="str">
        <x:v>URLs de detalle page/query/country por clics. No asignan las impresiones de esta consulta a cada página.</x:v>
      </x:c>
    </x:row>
    <x:row r="55" ht="28" customHeight="1">
      <x:c r="A55" s="4" t="n">
        <x:v>45</x:v>
      </x:c>
      <x:c r="B55" s="4" t="str">
        <x:v>medidas maleta de cabina sky</x:v>
      </x:c>
      <x:c r="C55" s="11" t="n">
        <x:v>29</x:v>
      </x:c>
      <x:c r="D55" s="11" t="n">
        <x:v>324</x:v>
      </x:c>
      <x:c r="E55" s="14" t="n">
        <x:v>0.08950617283950617</x:v>
      </x:c>
      <x:c r="F55" s="12" t="n">
        <x:v>4.12037037037037</x:v>
      </x:c>
      <x:c r="G55" s="4" t="str">
        <x:v>Contiene marca</x:v>
      </x:c>
      <x:c r="H55" s="11" t="n">
        <x:v>22</x:v>
      </x:c>
      <x:c r="I55" s="11" t="n">
        <x:f>IF(H55="","",C55-H55)</x:f>
        <x:v>7</x:v>
      </x:c>
      <x:c r="J55" s="4" t="str">
        <x:v>https://blog.skyairline.com/equipaje-de-cabina/ (16 clics)
https://blog.skyairline.com/equipaje-de-bodega/ (10 clics)
https://blog.skyairline.com/escoger-una-maleta/ (3 clics)</x:v>
      </x:c>
      <x:c r="K55" s="4" t="str">
        <x:v>URLs de detalle page/query/country por clics. No asignan las impresiones de esta consulta a cada página.</x:v>
      </x:c>
    </x:row>
    <x:row r="56" ht="28" customHeight="1">
      <x:c r="A56" s="4" t="n">
        <x:v>46</x:v>
      </x:c>
      <x:c r="B56" s="4" t="str">
        <x:v>medidas equipaje sky</x:v>
      </x:c>
      <x:c r="C56" s="11" t="n">
        <x:v>28</x:v>
      </x:c>
      <x:c r="D56" s="11" t="n">
        <x:v>308</x:v>
      </x:c>
      <x:c r="E56" s="14" t="n">
        <x:v>0.09090909090909091</x:v>
      </x:c>
      <x:c r="F56" s="12" t="n">
        <x:v>3.9448051948051948</x:v>
      </x:c>
      <x:c r="G56" s="4" t="str">
        <x:v>Contiene marca</x:v>
      </x:c>
      <x:c r="H56" s="11" t="n">
        <x:v>39</x:v>
      </x:c>
      <x:c r="I56" s="11" t="n">
        <x:f>IF(H56="","",C56-H56)</x:f>
        <x:v>-11</x:v>
      </x:c>
      <x:c r="J56" s="4" t="str">
        <x:v>https://blog.skyairline.com/equipaje-de-bodega/ (19 clics)
https://blog.skyairline.com/tipos-de-equipaje/ (8 clics)
https://blog.skyairline.com/equipaje-de-cabina/ (1 clics)</x:v>
      </x:c>
      <x:c r="K56" s="4" t="str">
        <x:v>URLs de detalle page/query/country por clics. No asignan las impresiones de esta consulta a cada página.</x:v>
      </x:c>
    </x:row>
    <x:row r="57" ht="28" customHeight="1">
      <x:c r="A57" s="4" t="n">
        <x:v>47</x:v>
      </x:c>
      <x:c r="B57" s="4" t="str">
        <x:v>curso tripulante de cabina</x:v>
      </x:c>
      <x:c r="C57" s="11" t="n">
        <x:v>28</x:v>
      </x:c>
      <x:c r="D57" s="11" t="n">
        <x:v>243</x:v>
      </x:c>
      <x:c r="E57" s="14" t="n">
        <x:v>0.11522633744855967</x:v>
      </x:c>
      <x:c r="F57" s="12" t="n">
        <x:v>5.716049382716049</x:v>
      </x:c>
      <x:c r="G57" s="4" t="str">
        <x:v>Sin marca literal</x:v>
      </x:c>
      <x:c r="H57" s="11" t="n">
        <x:v>39</x:v>
      </x:c>
      <x:c r="I57" s="11" t="n">
        <x:f>IF(H57="","",C57-H57)</x:f>
        <x:v>-11</x:v>
      </x:c>
      <x:c r="J57" s="4" t="str">
        <x:v>https://blog.skyairline.com/curso-tripulante-cabina/ (28 clics)</x:v>
      </x:c>
      <x:c r="K57" s="4" t="str">
        <x:v>URLs de detalle page/query/country por clics. No asignan las impresiones de esta consulta a cada página.</x:v>
      </x:c>
    </x:row>
    <x:row r="58" ht="28" customHeight="1">
      <x:c r="A58" s="4" t="n">
        <x:v>48</x:v>
      </x:c>
      <x:c r="B58" s="4" t="str">
        <x:v>sky mochila de mano</x:v>
      </x:c>
      <x:c r="C58" s="11" t="n">
        <x:v>28</x:v>
      </x:c>
      <x:c r="D58" s="11" t="n">
        <x:v>210</x:v>
      </x:c>
      <x:c r="E58" s="14" t="n">
        <x:v>0.13333333333333333</x:v>
      </x:c>
      <x:c r="F58" s="12" t="n">
        <x:v>5.619047619047619</x:v>
      </x:c>
      <x:c r="G58" s="4" t="str">
        <x:v>Contiene marca</x:v>
      </x:c>
      <x:c r="H58" s="11" t="n">
        <x:v>50</x:v>
      </x:c>
      <x:c r="I58" s="11" t="n">
        <x:f>IF(H58="","",C58-H58)</x:f>
        <x:v>-22</x:v>
      </x:c>
      <x:c r="J58" s="4" t="str">
        <x:v>https://blog.skyairline.com/equipaje-de-cabina/ (24 clics)
https://blog.skyairline.com/equipaje-de-bodega/ (4 clics)</x:v>
      </x:c>
      <x:c r="K58" s="4" t="str">
        <x:v>URLs de detalle page/query/country por clics. No asignan las impresiones de esta consulta a cada página.</x:v>
      </x:c>
    </x:row>
    <x:row r="59" ht="28" customHeight="1">
      <x:c r="A59" s="4" t="n">
        <x:v>49</x:v>
      </x:c>
      <x:c r="B59" s="4" t="str">
        <x:v>sky articulo personal</x:v>
      </x:c>
      <x:c r="C59" s="11" t="n">
        <x:v>28</x:v>
      </x:c>
      <x:c r="D59" s="11" t="n">
        <x:v>168</x:v>
      </x:c>
      <x:c r="E59" s="14" t="n">
        <x:v>0.16666666666666666</x:v>
      </x:c>
      <x:c r="F59" s="12" t="n">
        <x:v>4.226190476190476</x:v>
      </x:c>
      <x:c r="G59" s="4" t="str">
        <x:v>Contiene marca</x:v>
      </x:c>
      <x:c r="H59" s="11" t="n">
        <x:v>20</x:v>
      </x:c>
      <x:c r="I59" s="11" t="n">
        <x:f>IF(H59="","",C59-H59)</x:f>
        <x:v>8</x:v>
      </x:c>
      <x:c r="J59" s="4" t="str">
        <x:v>https://blog.skyairline.com/equipaje-de-cabina/ (16 clics)
https://blog.skyairline.com/tipos-de-equipaje/ (11 clics)
https://blog.skyairline.com/equipaje-de-bodega/ (1 clics)</x:v>
      </x:c>
      <x:c r="K59" s="4" t="str">
        <x:v>URLs de detalle page/query/country por clics. No asignan las impresiones de esta consulta a cada página.</x:v>
      </x:c>
    </x:row>
    <x:row r="60" ht="28" customHeight="1">
      <x:c r="A60" s="4" t="n">
        <x:v>50</x:v>
      </x:c>
      <x:c r="B60" s="4" t="str">
        <x:v>medidas de bolso de mano sky</x:v>
      </x:c>
      <x:c r="C60" s="11" t="n">
        <x:v>27</x:v>
      </x:c>
      <x:c r="D60" s="11" t="n">
        <x:v>404</x:v>
      </x:c>
      <x:c r="E60" s="14" t="n">
        <x:v>0.06683168316831684</x:v>
      </x:c>
      <x:c r="F60" s="12" t="n">
        <x:v>3.849009900990099</x:v>
      </x:c>
      <x:c r="G60" s="4" t="str">
        <x:v>Contiene marca</x:v>
      </x:c>
      <x:c r="H60" s="11" t="n">
        <x:v>20</x:v>
      </x:c>
      <x:c r="I60" s="11" t="n">
        <x:f>IF(H60="","",C60-H60)</x:f>
        <x:v>7</x:v>
      </x:c>
      <x:c r="J60" s="4" t="str">
        <x:v>https://blog.skyairline.com/equipaje-de-bodega/ (16 clics)
https://blog.skyairline.com/equipaje-de-cabina/ (10 clics)
https://blog.skyairline.com/que-es-el-equipaje-documentado/ (1 clics)</x:v>
      </x:c>
      <x:c r="K60" s="4" t="str">
        <x:v>URLs de detalle page/query/country por clics. No asignan las impresiones de esta consulta a cada página.</x:v>
      </x:c>
    </x:row>
    <x:row r="61" ht="28" customHeight="1">
      <x:c r="A61" s="4" t="n">
        <x:v>51</x:v>
      </x:c>
      <x:c r="B61" s="4" t="str">
        <x:v>sky cambio de pasajes</x:v>
      </x:c>
      <x:c r="C61" s="11" t="n">
        <x:v>27</x:v>
      </x:c>
      <x:c r="D61" s="11" t="n">
        <x:v>267</x:v>
      </x:c>
      <x:c r="E61" s="14" t="n">
        <x:v>0.10112359550561797</x:v>
      </x:c>
      <x:c r="F61" s="12" t="n">
        <x:v>4.865168539325843</x:v>
      </x:c>
      <x:c r="G61" s="4" t="str">
        <x:v>Contiene marca</x:v>
      </x:c>
      <x:c r="H61" s="11" t="n">
        <x:v>28</x:v>
      </x:c>
      <x:c r="I61" s="11" t="n">
        <x:f>IF(H61="","",C61-H61)</x:f>
        <x:v>-1</x:v>
      </x:c>
      <x:c r="J61" s="4" t="str">
        <x:v>https://blog.skyairline.com/cambiar-vuelo-sky/ (27 clics)</x:v>
      </x:c>
      <x:c r="K61" s="4" t="str">
        <x:v>URLs de detalle page/query/country por clics. No asignan las impresiones de esta consulta a cada página.</x:v>
      </x:c>
    </x:row>
    <x:row r="62" ht="28" customHeight="1">
      <x:c r="A62" s="4" t="n">
        <x:v>52</x:v>
      </x:c>
      <x:c r="B62" s="4" t="str">
        <x:v>sky maleta cabina</x:v>
      </x:c>
      <x:c r="C62" s="11" t="n">
        <x:v>27</x:v>
      </x:c>
      <x:c r="D62" s="11" t="n">
        <x:v>203</x:v>
      </x:c>
      <x:c r="E62" s="14" t="n">
        <x:v>0.1330049261083744</x:v>
      </x:c>
      <x:c r="F62" s="12" t="n">
        <x:v>4.738916256157635</x:v>
      </x:c>
      <x:c r="G62" s="4" t="str">
        <x:v>Contiene marca</x:v>
      </x:c>
      <x:c r="H62" s="11" t="n">
        <x:v>17</x:v>
      </x:c>
      <x:c r="I62" s="11" t="n">
        <x:f>IF(H62="","",C62-H62)</x:f>
        <x:v>10</x:v>
      </x:c>
      <x:c r="J62" s="4" t="str">
        <x:v>https://blog.skyairline.com/equipaje-de-cabina/ (17 clics)
https://blog.skyairline.com/equipaje-de-bodega/ (8 clics)
https://blog.skyairline.com/tipos-de-equipaje/ (2 clics)</x:v>
      </x:c>
      <x:c r="K62" s="4" t="str">
        <x:v>URLs de detalle page/query/country por clics. No asignan las impresiones de esta consulta a cada página.</x:v>
      </x:c>
    </x:row>
    <x:row r="63" ht="28" customHeight="1">
      <x:c r="A63" s="4" t="n">
        <x:v>53</x:v>
      </x:c>
      <x:c r="B63" s="4" t="str">
        <x:v>sky mascotas en cabina</x:v>
      </x:c>
      <x:c r="C63" s="11" t="n">
        <x:v>27</x:v>
      </x:c>
      <x:c r="D63" s="11" t="n">
        <x:v>98</x:v>
      </x:c>
      <x:c r="E63" s="14" t="n">
        <x:v>0.2755102040816326</x:v>
      </x:c>
      <x:c r="F63" s="12" t="n">
        <x:v>1.5918367346938775</x:v>
      </x:c>
      <x:c r="G63" s="4" t="str">
        <x:v>Contiene marca</x:v>
      </x:c>
      <x:c r="H63" s="11" t="n">
        <x:v>32</x:v>
      </x:c>
      <x:c r="I63" s="11" t="n">
        <x:f>IF(H63="","",C63-H63)</x:f>
        <x:v>-5</x:v>
      </x:c>
      <x:c r="J63" s="4" t="str">
        <x:v>https://blog.skyairline.com/viajar-con-perros/ (18 clics)
https://blog.skyairline.com/mascotas-en-cabina/ (9 clics)</x:v>
      </x:c>
      <x:c r="K63" s="4" t="str">
        <x:v>URLs de detalle page/query/country por clics. No asignan las impresiones de esta consulta a cada página.</x:v>
      </x:c>
    </x:row>
    <x:row r="64" ht="28" customHeight="1">
      <x:c r="A64" s="4" t="n">
        <x:v>54</x:v>
      </x:c>
      <x:c r="B64" s="4" t="str">
        <x:v>skyplus</x:v>
      </x:c>
      <x:c r="C64" s="11" t="n">
        <x:v>26</x:v>
      </x:c>
      <x:c r="D64" s="11" t="n">
        <x:v>1703</x:v>
      </x:c>
      <x:c r="E64" s="14" t="n">
        <x:v>0.015267175572519083</x:v>
      </x:c>
      <x:c r="F64" s="12" t="n">
        <x:v>7.997651203758074</x:v>
      </x:c>
      <x:c r="G64" s="4" t="str">
        <x:v>Contiene marca</x:v>
      </x:c>
      <x:c r="H64" s="11" t="n">
        <x:v>67</x:v>
      </x:c>
      <x:c r="I64" s="11" t="n">
        <x:f>IF(H64="","",C64-H64)</x:f>
        <x:v>-41</x:v>
      </x:c>
      <x:c r="J64" s="4" t="str">
        <x:v>https://blog.skyairline.com/sky-plus/ (26 clics)</x:v>
      </x:c>
      <x:c r="K64" s="4" t="str">
        <x:v>URLs de detalle page/query/country por clics. No asignan las impresiones de esta consulta a cada página.</x:v>
      </x:c>
    </x:row>
    <x:row r="65" ht="28" customHeight="1">
      <x:c r="A65" s="4" t="n">
        <x:v>55</x:v>
      </x:c>
      <x:c r="B65" s="4" t="str">
        <x:v>medidas bolso de mano sky 2026</x:v>
      </x:c>
      <x:c r="C65" s="11" t="n">
        <x:v>26</x:v>
      </x:c>
      <x:c r="D65" s="11" t="n">
        <x:v>647</x:v>
      </x:c>
      <x:c r="E65" s="14" t="n">
        <x:v>0.0401854714064915</x:v>
      </x:c>
      <x:c r="F65" s="12" t="n">
        <x:v>4.748068006182381</x:v>
      </x:c>
      <x:c r="G65" s="4" t="str">
        <x:v>Contiene marca</x:v>
      </x:c>
      <x:c r="H65" s="11" t="n">
        <x:v>17</x:v>
      </x:c>
      <x:c r="I65" s="11" t="n">
        <x:f>IF(H65="","",C65-H65)</x:f>
        <x:v>9</x:v>
      </x:c>
      <x:c r="J65" s="4" t="str">
        <x:v>https://blog.skyairline.com/equipaje-de-cabina/ (14 clics)
https://blog.skyairline.com/equipaje-de-bodega/ (10 clics)
https://blog.skyairline.com/mejores-epocas-para-ir-de-puerto-montt-a-santiago-en-avion/ (1 clics)</x:v>
      </x:c>
      <x:c r="K65" s="4" t="str">
        <x:v>URLs de detalle page/query/country por clics. No asignan las impresiones de esta consulta a cada página.</x:v>
      </x:c>
    </x:row>
    <x:row r="66" ht="28" customHeight="1">
      <x:c r="A66" s="4" t="n">
        <x:v>56</x:v>
      </x:c>
      <x:c r="B66" s="4" t="str">
        <x:v>medidas de equipaje de mano sky</x:v>
      </x:c>
      <x:c r="C66" s="11" t="n">
        <x:v>26</x:v>
      </x:c>
      <x:c r="D66" s="11" t="n">
        <x:v>391</x:v>
      </x:c>
      <x:c r="E66" s="14" t="n">
        <x:v>0.06649616368286446</x:v>
      </x:c>
      <x:c r="F66" s="12" t="n">
        <x:v>5.649616368286445</x:v>
      </x:c>
      <x:c r="G66" s="4" t="str">
        <x:v>Contiene marca</x:v>
      </x:c>
      <x:c r="H66" s="11" t="n">
        <x:v>26</x:v>
      </x:c>
      <x:c r="I66" s="11" t="n">
        <x:f>IF(H66="","",C66-H66)</x:f>
        <x:v>0</x:v>
      </x:c>
      <x:c r="J66" s="4" t="str">
        <x:v>https://blog.skyairline.com/equipaje-de-cabina/ (19 clics)
https://blog.skyairline.com/equipaje-de-bodega/ (7 clics)</x:v>
      </x:c>
      <x:c r="K66" s="4" t="str">
        <x:v>URLs de detalle page/query/country por clics. No asignan las impresiones de esta consulta a cada página.</x:v>
      </x:c>
    </x:row>
    <x:row r="67" ht="28" customHeight="1">
      <x:c r="A67" s="4" t="n">
        <x:v>57</x:v>
      </x:c>
      <x:c r="B67" s="4" t="str">
        <x:v>medidas maletas sky</x:v>
      </x:c>
      <x:c r="C67" s="11" t="n">
        <x:v>26</x:v>
      </x:c>
      <x:c r="D67" s="11" t="n">
        <x:v>141</x:v>
      </x:c>
      <x:c r="E67" s="14" t="n">
        <x:v>0.18439716312056736</x:v>
      </x:c>
      <x:c r="F67" s="12" t="n">
        <x:v>5.638297872340425</x:v>
      </x:c>
      <x:c r="G67" s="4" t="str">
        <x:v>Contiene marca</x:v>
      </x:c>
      <x:c r="H67" s="11" t="n">
        <x:v>34</x:v>
      </x:c>
      <x:c r="I67" s="11" t="n">
        <x:f>IF(H67="","",C67-H67)</x:f>
        <x:v>-8</x:v>
      </x:c>
      <x:c r="J67" s="4" t="str">
        <x:v>https://blog.skyairline.com/equipaje-de-bodega/ (14 clics)
https://blog.skyairline.com/tipos-de-equipaje/ (9 clics)
https://blog.skyairline.com/escoger-una-maleta/ (2 clics)</x:v>
      </x:c>
      <x:c r="K67" s="4" t="str">
        <x:v>URLs de detalle page/query/country por clics. No asignan las impresiones de esta consulta a cada página.</x:v>
      </x:c>
    </x:row>
    <x:row r="68" ht="28" customHeight="1">
      <x:c r="A68" s="4" t="n">
        <x:v>58</x:v>
      </x:c>
      <x:c r="B68" s="4" t="str">
        <x:v>maletas sky</x:v>
      </x:c>
      <x:c r="C68" s="11" t="n">
        <x:v>26</x:v>
      </x:c>
      <x:c r="D68" s="11" t="n">
        <x:v>108</x:v>
      </x:c>
      <x:c r="E68" s="14" t="n">
        <x:v>0.24074074074074073</x:v>
      </x:c>
      <x:c r="F68" s="12" t="n">
        <x:v>5.638888888888889</x:v>
      </x:c>
      <x:c r="G68" s="4" t="str">
        <x:v>Contiene marca</x:v>
      </x:c>
      <x:c r="H68" s="11" t="n">
        <x:v>26</x:v>
      </x:c>
      <x:c r="I68" s="11" t="n">
        <x:f>IF(H68="","",C68-H68)</x:f>
        <x:v>0</x:v>
      </x:c>
      <x:c r="J68" s="4" t="str">
        <x:v>https://blog.skyairline.com/tipos-de-equipaje/ (19 clics)
https://blog.skyairline.com/equipaje-de-bodega/ (6 clics)
https://blog.skyairline.com/equipaje-de-cabina/ (1 clics)</x:v>
      </x:c>
      <x:c r="K68" s="4" t="str">
        <x:v>URLs de detalle page/query/country por clics. No asignan las impresiones de esta consulta a cada página.</x:v>
      </x:c>
    </x:row>
    <x:row r="69" ht="28" customHeight="1">
      <x:c r="A69" s="4" t="n">
        <x:v>59</x:v>
      </x:c>
      <x:c r="B69" s="4" t="str">
        <x:v>equipaje sky medidas</x:v>
      </x:c>
      <x:c r="C69" s="11" t="n">
        <x:v>25</x:v>
      </x:c>
      <x:c r="D69" s="11" t="n">
        <x:v>187</x:v>
      </x:c>
      <x:c r="E69" s="14" t="n">
        <x:v>0.13368983957219252</x:v>
      </x:c>
      <x:c r="F69" s="12" t="n">
        <x:v>4.72192513368984</x:v>
      </x:c>
      <x:c r="G69" s="4" t="str">
        <x:v>Contiene marca</x:v>
      </x:c>
      <x:c r="H69" s="11" t="n">
        <x:v>39</x:v>
      </x:c>
      <x:c r="I69" s="11" t="n">
        <x:f>IF(H69="","",C69-H69)</x:f>
        <x:v>-14</x:v>
      </x:c>
      <x:c r="J69" s="4" t="str">
        <x:v>https://blog.skyairline.com/equipaje-de-bodega/ (11 clics)
https://blog.skyairline.com/tipos-de-equipaje/ (8 clics)
https://blog.skyairline.com/equipaje-de-cabina/ (5 clics)</x:v>
      </x:c>
      <x:c r="K69" s="4" t="str">
        <x:v>URLs de detalle page/query/country por clics. No asignan las impresiones de esta consulta a cada página.</x:v>
      </x:c>
    </x:row>
    <x:row r="70" ht="28" customHeight="1">
      <x:c r="A70" s="4" t="n">
        <x:v>60</x:v>
      </x:c>
      <x:c r="B70" s="4" t="str">
        <x:v>bolso de mano sky airlines</x:v>
      </x:c>
      <x:c r="C70" s="11" t="n">
        <x:v>24</x:v>
      </x:c>
      <x:c r="D70" s="11" t="n">
        <x:v>239</x:v>
      </x:c>
      <x:c r="E70" s="14" t="n">
        <x:v>0.100418410041841</x:v>
      </x:c>
      <x:c r="F70" s="12" t="n">
        <x:v>4.719665271966527</x:v>
      </x:c>
      <x:c r="G70" s="4" t="str">
        <x:v>Contiene marca</x:v>
      </x:c>
      <x:c r="H70" s="11" t="n">
        <x:v>15</x:v>
      </x:c>
      <x:c r="I70" s="11" t="n">
        <x:f>IF(H70="","",C70-H70)</x:f>
        <x:v>9</x:v>
      </x:c>
      <x:c r="J70" s="4" t="str">
        <x:v>https://blog.skyairline.com/equipaje-de-cabina/ (20 clics)
https://blog.skyairline.com/tipos-de-equipaje/ (3 clics)
https://blog.skyairline.com/equipaje-de-bodega/ (1 clics)</x:v>
      </x:c>
      <x:c r="K70" s="4" t="str">
        <x:v>URLs de detalle page/query/country por clics. No asignan las impresiones de esta consulta a cada página.</x:v>
      </x:c>
    </x:row>
    <x:row r="71" ht="28" customHeight="1">
      <x:c r="A71" s="4" t="n">
        <x:v>61</x:v>
      </x:c>
      <x:c r="B71" s="4" t="str">
        <x:v>sky medidas</x:v>
      </x:c>
      <x:c r="C71" s="11" t="n">
        <x:v>24</x:v>
      </x:c>
      <x:c r="D71" s="11" t="n">
        <x:v>153</x:v>
      </x:c>
      <x:c r="E71" s="14" t="n">
        <x:v>0.1568627450980392</x:v>
      </x:c>
      <x:c r="F71" s="12" t="n">
        <x:v>3.869281045751634</x:v>
      </x:c>
      <x:c r="G71" s="4" t="str">
        <x:v>Contiene marca</x:v>
      </x:c>
      <x:c r="H71" s="11" t="n">
        <x:v>24</x:v>
      </x:c>
      <x:c r="I71" s="11" t="n">
        <x:f>IF(H71="","",C71-H71)</x:f>
        <x:v>0</x:v>
      </x:c>
      <x:c r="J71" s="4" t="str">
        <x:v>https://blog.skyairline.com/equipaje-de-bodega/ (15 clics)
https://blog.skyairline.com/tipos-de-equipaje/ (7 clics)
https://blog.skyairline.com/equipaje-de-cabina/ (2 clics)</x:v>
      </x:c>
      <x:c r="K71" s="4" t="str">
        <x:v>URLs de detalle page/query/country por clics. No asignan las impresiones de esta consulta a cada página.</x:v>
      </x:c>
    </x:row>
    <x:row r="72" ht="28" customHeight="1">
      <x:c r="A72" s="4" t="n">
        <x:v>62</x:v>
      </x:c>
      <x:c r="B72" s="4" t="str">
        <x:v>economy premium sky</x:v>
      </x:c>
      <x:c r="C72" s="11" t="n">
        <x:v>24</x:v>
      </x:c>
      <x:c r="D72" s="11" t="n">
        <x:v>123</x:v>
      </x:c>
      <x:c r="E72" s="14" t="n">
        <x:v>0.1951219512195122</x:v>
      </x:c>
      <x:c r="F72" s="12" t="n">
        <x:v>2.2845528455284554</x:v>
      </x:c>
      <x:c r="G72" s="4" t="str">
        <x:v>Contiene marca</x:v>
      </x:c>
      <x:c r="H72" s="11" t="n">
        <x:v>22</x:v>
      </x:c>
      <x:c r="I72" s="11" t="n">
        <x:f>IF(H72="","",C72-H72)</x:f>
        <x:v>2</x:v>
      </x:c>
      <x:c r="J72" s="4" t="str">
        <x:v>https://blog.skyairline.com/sky-fortalece-su-propuesta-de-valor-para-sus-pasajeros-con-economy-premier/ (22 clics)
https://blog.skyairline.com/descubre-economy-premier-la-nueva-experiencia-para-viajar-mas-comodo/ (2 clics)</x:v>
      </x:c>
      <x:c r="K72" s="4" t="str">
        <x:v>URLs de detalle page/query/country por clics. No asignan las impresiones de esta consulta a cada página.</x:v>
      </x:c>
    </x:row>
    <x:row r="73" ht="28" customHeight="1">
      <x:c r="A73" s="4" t="n">
        <x:v>63</x:v>
      </x:c>
      <x:c r="B73" s="4" t="str">
        <x:v>sky airline equipaje de mano</x:v>
      </x:c>
      <x:c r="C73" s="11" t="n">
        <x:v>23</x:v>
      </x:c>
      <x:c r="D73" s="11" t="n">
        <x:v>138</x:v>
      </x:c>
      <x:c r="E73" s="14" t="n">
        <x:v>0.16666666666666666</x:v>
      </x:c>
      <x:c r="F73" s="12" t="n">
        <x:v>4.36231884057971</x:v>
      </x:c>
      <x:c r="G73" s="4" t="str">
        <x:v>Contiene marca</x:v>
      </x:c>
      <x:c r="H73" s="11" t="n">
        <x:v>19</x:v>
      </x:c>
      <x:c r="I73" s="11" t="n">
        <x:f>IF(H73="","",C73-H73)</x:f>
        <x:v>4</x:v>
      </x:c>
      <x:c r="J73" s="4" t="str">
        <x:v>https://blog.skyairline.com/equipaje-de-cabina/ (15 clics)
https://blog.skyairline.com/equipaje-de-bodega/ (7 clics)
https://blog.skyairline.com/tipos-de-equipaje/ (1 clics)</x:v>
      </x:c>
      <x:c r="K73" s="4" t="str">
        <x:v>URLs de detalle page/query/country por clics. No asignan las impresiones de esta consulta a cada página.</x:v>
      </x:c>
    </x:row>
    <x:row r="74" ht="28" customHeight="1">
      <x:c r="A74" s="4" t="n">
        <x:v>64</x:v>
      </x:c>
      <x:c r="B74" s="4" t="str">
        <x:v>sky maleta</x:v>
      </x:c>
      <x:c r="C74" s="11" t="n">
        <x:v>23</x:v>
      </x:c>
      <x:c r="D74" s="11" t="n">
        <x:v>129</x:v>
      </x:c>
      <x:c r="E74" s="14" t="n">
        <x:v>0.17829457364341086</x:v>
      </x:c>
      <x:c r="F74" s="12" t="n">
        <x:v>3.883720930232558</x:v>
      </x:c>
      <x:c r="G74" s="4" t="str">
        <x:v>Contiene marca</x:v>
      </x:c>
      <x:c r="H74" s="11" t="n">
        <x:v>23</x:v>
      </x:c>
      <x:c r="I74" s="11" t="n">
        <x:f>IF(H74="","",C74-H74)</x:f>
        <x:v>0</x:v>
      </x:c>
      <x:c r="J74" s="4" t="str">
        <x:v>https://blog.skyairline.com/tipos-de-equipaje/ (15 clics)
https://blog.skyairline.com/equipaje-de-bodega/ (7 clics)
https://blog.skyairline.com/equipaje-de-cabina/ (1 clics)</x:v>
      </x:c>
      <x:c r="K74" s="4" t="str">
        <x:v>URLs de detalle page/query/country por clics. No asignan las impresiones de esta consulta a cada página.</x:v>
      </x:c>
    </x:row>
    <x:row r="75" ht="28" customHeight="1">
      <x:c r="A75" s="4" t="n">
        <x:v>65</x:v>
      </x:c>
      <x:c r="B75" s="4" t="str">
        <x:v>sky equipajes</x:v>
      </x:c>
      <x:c r="C75" s="11" t="n">
        <x:v>23</x:v>
      </x:c>
      <x:c r="D75" s="11" t="n">
        <x:v>82</x:v>
      </x:c>
      <x:c r="E75" s="14" t="n">
        <x:v>0.2804878048780488</x:v>
      </x:c>
      <x:c r="F75" s="12" t="n">
        <x:v>4.036585365853659</x:v>
      </x:c>
      <x:c r="G75" s="4" t="str">
        <x:v>Contiene marca</x:v>
      </x:c>
      <x:c r="H75" s="11" t="n">
        <x:v>19</x:v>
      </x:c>
      <x:c r="I75" s="11" t="n">
        <x:f>IF(H75="","",C75-H75)</x:f>
        <x:v>4</x:v>
      </x:c>
      <x:c r="J75" s="4" t="str">
        <x:v>https://blog.skyairline.com/tipos-de-equipaje/ (15 clics)
https://blog.skyairline.com/equipaje-de-bodega/ (8 clics)</x:v>
      </x:c>
      <x:c r="K75" s="4" t="str">
        <x:v>URLs de detalle page/query/country por clics. No asignan las impresiones de esta consulta a cada página.</x:v>
      </x:c>
    </x:row>
    <x:row r="76" ht="28" customHeight="1">
      <x:c r="A76" s="4" t="n">
        <x:v>66</x:v>
      </x:c>
      <x:c r="B76" s="4" t="str">
        <x:v>billetera sky</x:v>
      </x:c>
      <x:c r="C76" s="11" t="n">
        <x:v>22</x:v>
      </x:c>
      <x:c r="D76" s="11" t="n">
        <x:v>269</x:v>
      </x:c>
      <x:c r="E76" s="14" t="n">
        <x:v>0.08178438661710037</x:v>
      </x:c>
      <x:c r="F76" s="12" t="n">
        <x:v>3.58364312267658</x:v>
      </x:c>
      <x:c r="G76" s="4" t="str">
        <x:v>Contiene marca</x:v>
      </x:c>
      <x:c r="H76" s="11" t="n">
        <x:v>14</x:v>
      </x:c>
      <x:c r="I76" s="11" t="n">
        <x:f>IF(H76="","",C76-H76)</x:f>
        <x:v>8</x:v>
      </x:c>
      <x:c r="J76" s="4" t="str">
        <x:v>https://blog.skyairline.com/sky-airline-2/ (22 clics)</x:v>
      </x:c>
      <x:c r="K76" s="4" t="str">
        <x:v>URLs de detalle page/query/country por clics. No asignan las impresiones de esta consulta a cada página.</x:v>
      </x:c>
    </x:row>
    <x:row r="77" ht="28" customHeight="1">
      <x:c r="A77" s="4" t="n">
        <x:v>67</x:v>
      </x:c>
      <x:c r="B77" s="4" t="str">
        <x:v>equipaje cabina sky</x:v>
      </x:c>
      <x:c r="C77" s="11" t="n">
        <x:v>22</x:v>
      </x:c>
      <x:c r="D77" s="11" t="n">
        <x:v>152</x:v>
      </x:c>
      <x:c r="E77" s="14" t="n">
        <x:v>0.14473684210526316</x:v>
      </x:c>
      <x:c r="F77" s="12" t="n">
        <x:v>4.894736842105264</x:v>
      </x:c>
      <x:c r="G77" s="4" t="str">
        <x:v>Contiene marca</x:v>
      </x:c>
      <x:c r="H77" s="11" t="n">
        <x:v>18</x:v>
      </x:c>
      <x:c r="I77" s="11" t="n">
        <x:f>IF(H77="","",C77-H77)</x:f>
        <x:v>4</x:v>
      </x:c>
      <x:c r="J77" s="4" t="str">
        <x:v>https://blog.skyairline.com/equipaje-de-cabina/ (17 clics)
https://blog.skyairline.com/equipaje-de-bodega/ (3 clics)
https://blog.skyairline.com/tipos-de-equipaje/ (2 clics)</x:v>
      </x:c>
      <x:c r="K77" s="4" t="str">
        <x:v>URLs de detalle page/query/country por clics. No asignan las impresiones de esta consulta a cada página.</x:v>
      </x:c>
    </x:row>
    <x:row r="78" ht="28" customHeight="1">
      <x:c r="A78" s="4" t="n">
        <x:v>68</x:v>
      </x:c>
      <x:c r="B78" s="4" t="str">
        <x:v>sky mascotas requisitos bodega</x:v>
      </x:c>
      <x:c r="C78" s="11" t="n">
        <x:v>22</x:v>
      </x:c>
      <x:c r="D78" s="11" t="n">
        <x:v>91</x:v>
      </x:c>
      <x:c r="E78" s="14" t="n">
        <x:v>0.24175824175824176</x:v>
      </x:c>
      <x:c r="F78" s="12" t="n">
        <x:v>2.9230769230769234</x:v>
      </x:c>
      <x:c r="G78" s="4" t="str">
        <x:v>Contiene marca</x:v>
      </x:c>
      <x:c r="H78" s="11" t="n">
        <x:v>28</x:v>
      </x:c>
      <x:c r="I78" s="11" t="n">
        <x:f>IF(H78="","",C78-H78)</x:f>
        <x:v>-6</x:v>
      </x:c>
      <x:c r="J78" s="4" t="str">
        <x:v>https://blog.skyairline.com/viajar-con-perros/ (14 clics)
https://blog.skyairline.com/mascotas-en-cabina/ (5 clics)
https://blog.skyairline.com/viajes-avion/ (3 clics)</x:v>
      </x:c>
      <x:c r="K78" s="4" t="str">
        <x:v>URLs de detalle page/query/country por clics. No asignan las impresiones de esta consulta a cada página.</x:v>
      </x:c>
    </x:row>
    <x:row r="79" ht="28" customHeight="1">
      <x:c r="A79" s="4" t="n">
        <x:v>69</x:v>
      </x:c>
      <x:c r="B79" s="4" t="str">
        <x:v>cambiar pasaje sky</x:v>
      </x:c>
      <x:c r="C79" s="11" t="n">
        <x:v>21</x:v>
      </x:c>
      <x:c r="D79" s="11" t="n">
        <x:v>306</x:v>
      </x:c>
      <x:c r="E79" s="14" t="n">
        <x:v>0.06862745098039216</x:v>
      </x:c>
      <x:c r="F79" s="12" t="n">
        <x:v>5.496732026143791</x:v>
      </x:c>
      <x:c r="G79" s="4" t="str">
        <x:v>Contiene marca</x:v>
      </x:c>
      <x:c r="H79" s="11" t="n">
        <x:v>33</x:v>
      </x:c>
      <x:c r="I79" s="11" t="n">
        <x:f>IF(H79="","",C79-H79)</x:f>
        <x:v>-12</x:v>
      </x:c>
      <x:c r="J79" s="4" t="str">
        <x:v>https://blog.skyairline.com/cambiar-vuelo-sky/ (20 clics)
https://blog.skyairline.com/cambiar-el-pasaje/ (1 clics)</x:v>
      </x:c>
      <x:c r="K79" s="4" t="str">
        <x:v>URLs de detalle page/query/country por clics. No asignan las impresiones de esta consulta a cada página.</x:v>
      </x:c>
    </x:row>
    <x:row r="80" ht="28" customHeight="1">
      <x:c r="A80" s="4" t="n">
        <x:v>70</x:v>
      </x:c>
      <x:c r="B80" s="4" t="str">
        <x:v>sky airline trabaja con nosotros</x:v>
      </x:c>
      <x:c r="C80" s="11" t="n">
        <x:v>21</x:v>
      </x:c>
      <x:c r="D80" s="11" t="n">
        <x:v>113</x:v>
      </x:c>
      <x:c r="E80" s="14" t="n">
        <x:v>0.18584070796460178</x:v>
      </x:c>
      <x:c r="F80" s="12" t="n">
        <x:v>4.716814159292035</x:v>
      </x:c>
      <x:c r="G80" s="4" t="str">
        <x:v>Contiene marca</x:v>
      </x:c>
      <x:c r="H80" s="11" t="n">
        <x:v>50</x:v>
      </x:c>
      <x:c r="I80" s="11" t="n">
        <x:f>IF(H80="","",C80-H80)</x:f>
        <x:v>-29</x:v>
      </x:c>
      <x:c r="J80" s="4" t="str">
        <x:v>https://blog.skyairline.com/categoria/oportunidades/ (21 clics)</x:v>
      </x:c>
      <x:c r="K80" s="4" t="str">
        <x:v>URLs de detalle page/query/country por clics. No asignan las impresiones de esta consulta a cada página.</x:v>
      </x:c>
    </x:row>
    <x:row r="81" ht="28" customHeight="1">
      <x:c r="A81" s="4" t="n">
        <x:v>71</x:v>
      </x:c>
      <x:c r="B81" s="4" t="str">
        <x:v>economy premier</x:v>
      </x:c>
      <x:c r="C81" s="11" t="n">
        <x:v>21</x:v>
      </x:c>
      <x:c r="D81" s="11" t="n">
        <x:v>106</x:v>
      </x:c>
      <x:c r="E81" s="14" t="n">
        <x:v>0.19811320754716982</x:v>
      </x:c>
      <x:c r="F81" s="12" t="n">
        <x:v>3</x:v>
      </x:c>
      <x:c r="G81" s="4" t="str">
        <x:v>Sin marca literal</x:v>
      </x:c>
      <x:c r="H81" s="11" t="n">
        <x:v>28</x:v>
      </x:c>
      <x:c r="I81" s="11" t="n">
        <x:f>IF(H81="","",C81-H81)</x:f>
        <x:v>-7</x:v>
      </x:c>
      <x:c r="J81" s="4" t="str">
        <x:v>https://blog.skyairline.com/sky-fortalece-su-propuesta-de-valor-para-sus-pasajeros-con-economy-premier/ (19 clics)
https://blog.skyairline.com/descubre-economy-premier-la-nueva-experiencia-para-viajar-mas-comodo/ (2 clics)</x:v>
      </x:c>
      <x:c r="K81" s="4" t="str">
        <x:v>URLs de detalle page/query/country por clics. No asignan las impresiones de esta consulta a cada página.</x:v>
      </x:c>
    </x:row>
    <x:row r="82" ht="28" customHeight="1">
      <x:c r="A82" s="4" t="n">
        <x:v>72</x:v>
      </x:c>
      <x:c r="B82" s="4" t="str">
        <x:v>sky objetos prohibidos</x:v>
      </x:c>
      <x:c r="C82" s="11" t="n">
        <x:v>21</x:v>
      </x:c>
      <x:c r="D82" s="11" t="n">
        <x:v>77</x:v>
      </x:c>
      <x:c r="E82" s="14" t="n">
        <x:v>0.2727272727272727</x:v>
      </x:c>
      <x:c r="F82" s="12" t="n">
        <x:v>3.8701298701298703</x:v>
      </x:c>
      <x:c r="G82" s="4" t="str">
        <x:v>Contiene marca</x:v>
      </x:c>
      <x:c r="H82" s="11" t="n">
        <x:v>29</x:v>
      </x:c>
      <x:c r="I82" s="11" t="n">
        <x:f>IF(H82="","",C82-H82)</x:f>
        <x:v>-8</x:v>
      </x:c>
      <x:c r="J82" s="4" t="str">
        <x:v>https://blog.skyairline.com/equipaje-de-mano-permitido/ (18 clics)
https://blog.skyairline.com/equipaje-de-cabina/ (3 clics)</x:v>
      </x:c>
      <x:c r="K82" s="4" t="str">
        <x:v>URLs de detalle page/query/country por clics. No asignan las impresiones de esta consulta a cada página.</x:v>
      </x:c>
    </x:row>
    <x:row r="83" ht="28" customHeight="1">
      <x:c r="A83" s="4" t="n">
        <x:v>73</x:v>
      </x:c>
      <x:c r="B83" s="4" t="str">
        <x:v>sky viajar con mascota</x:v>
      </x:c>
      <x:c r="C83" s="11" t="n">
        <x:v>21</x:v>
      </x:c>
      <x:c r="D83" s="11" t="n">
        <x:v>62</x:v>
      </x:c>
      <x:c r="E83" s="14" t="n">
        <x:v>0.3387096774193548</x:v>
      </x:c>
      <x:c r="F83" s="12" t="n">
        <x:v>1.7741935483870968</x:v>
      </x:c>
      <x:c r="G83" s="4" t="str">
        <x:v>Contiene marca</x:v>
      </x:c>
      <x:c r="H83" s="11" t="n">
        <x:v>27</x:v>
      </x:c>
      <x:c r="I83" s="11" t="n">
        <x:f>IF(H83="","",C83-H83)</x:f>
        <x:v>-6</x:v>
      </x:c>
      <x:c r="J83" s="4" t="str">
        <x:v>https://blog.skyairline.com/viajar-con-perros/ (12 clics)
https://blog.skyairline.com/mascotas-en-cabina/ (9 clics)</x:v>
      </x:c>
      <x:c r="K83" s="4" t="str">
        <x:v>URLs de detalle page/query/country por clics. No asignan las impresiones de esta consulta a cada página.</x:v>
      </x:c>
    </x:row>
    <x:row r="84" ht="28" customHeight="1">
      <x:c r="A84" s="4" t="n">
        <x:v>74</x:v>
      </x:c>
      <x:c r="B84" s="4" t="str">
        <x:v>sky airlines mascotas</x:v>
      </x:c>
      <x:c r="C84" s="11" t="n">
        <x:v>21</x:v>
      </x:c>
      <x:c r="D84" s="11" t="n">
        <x:v>55</x:v>
      </x:c>
      <x:c r="E84" s="14" t="n">
        <x:v>0.38181818181818183</x:v>
      </x:c>
      <x:c r="F84" s="12" t="n">
        <x:v>3.672727272727273</x:v>
      </x:c>
      <x:c r="G84" s="4" t="str">
        <x:v>Contiene marca</x:v>
      </x:c>
      <x:c r="H84" s="11" t="n">
        <x:v>7</x:v>
      </x:c>
      <x:c r="I84" s="11" t="n">
        <x:f>IF(H84="","",C84-H84)</x:f>
        <x:v>14</x:v>
      </x:c>
      <x:c r="J84" s="4" t="str">
        <x:v>https://blog.skyairline.com/viajar-con-perros/ (12 clics)
https://blog.skyairline.com/mascotas-en-cabina/ (8 clics)
https://blog.skyairline.com/sky-airline-2/ (1 clics)</x:v>
      </x:c>
      <x:c r="K84" s="4" t="str">
        <x:v>URLs de detalle page/query/country por clics. No asignan las impresiones de esta consulta a cada página.</x:v>
      </x:c>
    </x:row>
    <x:row r="85" ht="28" customHeight="1">
      <x:c r="A85" s="4" t="n">
        <x:v>75</x:v>
      </x:c>
      <x:c r="B85" s="4" t="str">
        <x:v>articulo personal sky</x:v>
      </x:c>
      <x:c r="C85" s="11" t="n">
        <x:v>20</x:v>
      </x:c>
      <x:c r="D85" s="11" t="n">
        <x:v>339</x:v>
      </x:c>
      <x:c r="E85" s="14" t="n">
        <x:v>0.058997050147492625</x:v>
      </x:c>
      <x:c r="F85" s="12" t="n">
        <x:v>5.103244837758112</x:v>
      </x:c>
      <x:c r="G85" s="4" t="str">
        <x:v>Contiene marca</x:v>
      </x:c>
      <x:c r="H85" s="11" t="n">
        <x:v>26</x:v>
      </x:c>
      <x:c r="I85" s="11" t="n">
        <x:f>IF(H85="","",C85-H85)</x:f>
        <x:v>-6</x:v>
      </x:c>
      <x:c r="J85" s="4" t="str">
        <x:v>https://blog.skyairline.com/equipaje-de-cabina/ (18 clics)
https://blog.skyairline.com/equipaje-de-bodega/ (1 clics)
https://blog.skyairline.com/tipos-de-equipaje/ (1 clics)</x:v>
      </x:c>
      <x:c r="K85" s="4" t="str">
        <x:v>URLs de detalle page/query/country por clics. No asignan las impresiones de esta consulta a cada página.</x:v>
      </x:c>
    </x:row>
    <x:row r="86" ht="28" customHeight="1">
      <x:c r="A86" s="4" t="n">
        <x:v>76</x:v>
      </x:c>
      <x:c r="B86" s="4" t="str">
        <x:v>cambio de pasaje sky</x:v>
      </x:c>
      <x:c r="C86" s="11" t="n">
        <x:v>20</x:v>
      </x:c>
      <x:c r="D86" s="11" t="n">
        <x:v>184</x:v>
      </x:c>
      <x:c r="E86" s="14" t="n">
        <x:v>0.10869565217391304</x:v>
      </x:c>
      <x:c r="F86" s="12" t="n">
        <x:v>5.380434782608695</x:v>
      </x:c>
      <x:c r="G86" s="4" t="str">
        <x:v>Contiene marca</x:v>
      </x:c>
      <x:c r="H86" s="11" t="n">
        <x:v>39</x:v>
      </x:c>
      <x:c r="I86" s="11" t="n">
        <x:f>IF(H86="","",C86-H86)</x:f>
        <x:v>-19</x:v>
      </x:c>
      <x:c r="J86" s="4" t="str">
        <x:v>https://blog.skyairline.com/cambiar-vuelo-sky/ (19 clics)
https://blog.skyairline.com/cambiar-el-pasaje/ (1 clics)</x:v>
      </x:c>
      <x:c r="K86" s="4" t="str">
        <x:v>URLs de detalle page/query/country por clics. No asignan las impresiones de esta consulta a cada página.</x:v>
      </x:c>
    </x:row>
    <x:row r="87" ht="28" customHeight="1">
      <x:c r="A87" s="4" t="n">
        <x:v>77</x:v>
      </x:c>
      <x:c r="B87" s="4" t="str">
        <x:v>medidas maleta cabina sky</x:v>
      </x:c>
      <x:c r="C87" s="11" t="n">
        <x:v>20</x:v>
      </x:c>
      <x:c r="D87" s="11" t="n">
        <x:v>180</x:v>
      </x:c>
      <x:c r="E87" s="14" t="n">
        <x:v>0.1111111111111111</x:v>
      </x:c>
      <x:c r="F87" s="12" t="n">
        <x:v>4.772222222222222</x:v>
      </x:c>
      <x:c r="G87" s="4" t="str">
        <x:v>Contiene marca</x:v>
      </x:c>
      <x:c r="H87" s="11" t="n">
        <x:v>10</x:v>
      </x:c>
      <x:c r="I87" s="11" t="n">
        <x:f>IF(H87="","",C87-H87)</x:f>
        <x:v>10</x:v>
      </x:c>
      <x:c r="J87" s="4" t="str">
        <x:v>https://blog.skyairline.com/equipaje-de-cabina/ (12 clics)
https://blog.skyairline.com/equipaje-de-bodega/ (5 clics)
https://blog.skyairline.com/tipos-de-equipaje/ (2 clics)</x:v>
      </x:c>
      <x:c r="K87" s="4" t="str">
        <x:v>URLs de detalle page/query/country por clics. No asignan las impresiones de esta consulta a cada página.</x:v>
      </x:c>
    </x:row>
    <x:row r="88" ht="28" customHeight="1">
      <x:c r="A88" s="4" t="n">
        <x:v>78</x:v>
      </x:c>
      <x:c r="B88" s="4" t="str">
        <x:v>bailes tipicos de chile</x:v>
      </x:c>
      <x:c r="C88" s="11" t="n">
        <x:v>19</x:v>
      </x:c>
      <x:c r="D88" s="11" t="n">
        <x:v>7144</x:v>
      </x:c>
      <x:c r="E88" s="14" t="n">
        <x:v>0.0026595744680851063</x:v>
      </x:c>
      <x:c r="F88" s="12" t="n">
        <x:v>7.892777155655095</x:v>
      </x:c>
      <x:c r="G88" s="4" t="str">
        <x:v>Sin marca literal</x:v>
      </x:c>
      <x:c r="H88" s="11" t="n">
        <x:v>17</x:v>
      </x:c>
      <x:c r="I88" s="11" t="n">
        <x:f>IF(H88="","",C88-H88)</x:f>
        <x:v>2</x:v>
      </x:c>
      <x:c r="J88" s="4" t="str">
        <x:v>https://blog.skyairline.com/bailes-tipicos-de-chile/ (19 clics)</x:v>
      </x:c>
      <x:c r="K88" s="4" t="str">
        <x:v>URLs de detalle page/query/country por clics. No asignan las impresiones de esta consulta a cada página.</x:v>
      </x:c>
    </x:row>
    <x:row r="89" ht="28" customHeight="1">
      <x:c r="A89" s="4" t="n">
        <x:v>79</x:v>
      </x:c>
      <x:c r="B89" s="4" t="str">
        <x:v>sky airlines equipaje precio</x:v>
      </x:c>
      <x:c r="C89" s="11" t="n">
        <x:v>19</x:v>
      </x:c>
      <x:c r="D89" s="11" t="n">
        <x:v>292</x:v>
      </x:c>
      <x:c r="E89" s="14" t="n">
        <x:v>0.06506849315068493</x:v>
      </x:c>
      <x:c r="F89" s="12" t="n">
        <x:v>4.589041095890411</x:v>
      </x:c>
      <x:c r="G89" s="4" t="str">
        <x:v>Contiene marca</x:v>
      </x:c>
      <x:c r="H89" s="11" t="n">
        <x:v>12</x:v>
      </x:c>
      <x:c r="I89" s="11" t="n">
        <x:f>IF(H89="","",C89-H89)</x:f>
        <x:v>7</x:v>
      </x:c>
      <x:c r="J89" s="4" t="str">
        <x:v>https://blog.skyairline.com/tipos-de-equipaje/ (12 clics)
https://blog.skyairline.com/equipaje-de-bodega/ (4 clics)
https://blog.skyairline.com/equipaje-de-cabina/ (3 clics)</x:v>
      </x:c>
      <x:c r="K89" s="4" t="str">
        <x:v>URLs de detalle page/query/country por clics. No asignan las impresiones de esta consulta a cada página.</x:v>
      </x:c>
    </x:row>
    <x:row r="90" ht="28" customHeight="1">
      <x:c r="A90" s="4" t="n">
        <x:v>80</x:v>
      </x:c>
      <x:c r="B90" s="4" t="str">
        <x:v>sky puntos</x:v>
      </x:c>
      <x:c r="C90" s="11" t="n">
        <x:v>19</x:v>
      </x:c>
      <x:c r="D90" s="11" t="n">
        <x:v>238</x:v>
      </x:c>
      <x:c r="E90" s="14" t="n">
        <x:v>0.07983193277310924</x:v>
      </x:c>
      <x:c r="F90" s="12" t="n">
        <x:v>4.73109243697479</x:v>
      </x:c>
      <x:c r="G90" s="4" t="str">
        <x:v>Contiene marca</x:v>
      </x:c>
      <x:c r="H90" s="11" t="n">
        <x:v>23</x:v>
      </x:c>
      <x:c r="I90" s="11" t="n">
        <x:f>IF(H90="","",C90-H90)</x:f>
        <x:v>-4</x:v>
      </x:c>
      <x:c r="J90" s="4" t="str">
        <x:v>https://blog.skyairline.com/sky-plus/ (19 clics)</x:v>
      </x:c>
      <x:c r="K90" s="4" t="str">
        <x:v>URLs de detalle page/query/country por clics. No asignan las impresiones de esta consulta a cada página.</x:v>
      </x:c>
    </x:row>
    <x:row r="91" ht="28" customHeight="1">
      <x:c r="A91" s="4" t="n">
        <x:v>81</x:v>
      </x:c>
      <x:c r="B91" s="4" t="str">
        <x:v>maleta de cabina sky</x:v>
      </x:c>
      <x:c r="C91" s="11" t="n">
        <x:v>19</x:v>
      </x:c>
      <x:c r="D91" s="11" t="n">
        <x:v>235</x:v>
      </x:c>
      <x:c r="E91" s="14" t="n">
        <x:v>0.08085106382978724</x:v>
      </x:c>
      <x:c r="F91" s="12" t="n">
        <x:v>4.434042553191489</x:v>
      </x:c>
      <x:c r="G91" s="4" t="str">
        <x:v>Contiene marca</x:v>
      </x:c>
      <x:c r="H91" s="11" t="n">
        <x:v>18</x:v>
      </x:c>
      <x:c r="I91" s="11" t="n">
        <x:f>IF(H91="","",C91-H91)</x:f>
        <x:v>1</x:v>
      </x:c>
      <x:c r="J91" s="4" t="str">
        <x:v>https://blog.skyairline.com/equipaje-de-cabina/ (12 clics)
https://blog.skyairline.com/tipos-de-equipaje/ (4 clics)
https://blog.skyairline.com/equipaje-de-bodega/ (3 clics)</x:v>
      </x:c>
      <x:c r="K91" s="4" t="str">
        <x:v>URLs de detalle page/query/country por clics. No asignan las impresiones de esta consulta a cada página.</x:v>
      </x:c>
    </x:row>
    <x:row r="92" ht="28" customHeight="1">
      <x:c r="A92" s="4" t="n">
        <x:v>82</x:v>
      </x:c>
      <x:c r="B92" s="4" t="str">
        <x:v>dimensiones bolso de mano sky</x:v>
      </x:c>
      <x:c r="C92" s="11" t="n">
        <x:v>19</x:v>
      </x:c>
      <x:c r="D92" s="11" t="n">
        <x:v>128</x:v>
      </x:c>
      <x:c r="E92" s="14" t="n">
        <x:v>0.1484375</x:v>
      </x:c>
      <x:c r="F92" s="12" t="n">
        <x:v>3.3203125</x:v>
      </x:c>
      <x:c r="G92" s="4" t="str">
        <x:v>Contiene marca</x:v>
      </x:c>
      <x:c r="H92" s="11" t="n">
        <x:v>6</x:v>
      </x:c>
      <x:c r="I92" s="11" t="n">
        <x:f>IF(H92="","",C92-H92)</x:f>
        <x:v>13</x:v>
      </x:c>
      <x:c r="J92" s="4" t="str">
        <x:v>https://blog.skyairline.com/equipaje-de-bodega/ (12 clics)
https://blog.skyairline.com/equipaje-de-cabina/ (7 clics)</x:v>
      </x:c>
      <x:c r="K92" s="4" t="str">
        <x:v>URLs de detalle page/query/country por clics. No asignan las impresiones de esta consulta a cada página.</x:v>
      </x:c>
    </x:row>
    <x:row r="93" ht="28" customHeight="1">
      <x:c r="A93" s="4" t="n">
        <x:v>83</x:v>
      </x:c>
      <x:c r="B93" s="4" t="str">
        <x:v>tipos de equipaje sky</x:v>
      </x:c>
      <x:c r="C93" s="11" t="n">
        <x:v>19</x:v>
      </x:c>
      <x:c r="D93" s="11" t="n">
        <x:v>91</x:v>
      </x:c>
      <x:c r="E93" s="14" t="n">
        <x:v>0.2087912087912088</x:v>
      </x:c>
      <x:c r="F93" s="12" t="n">
        <x:v>4.758241758241758</x:v>
      </x:c>
      <x:c r="G93" s="4" t="str">
        <x:v>Contiene marca</x:v>
      </x:c>
      <x:c r="H93" s="11" t="n">
        <x:v>11</x:v>
      </x:c>
      <x:c r="I93" s="11" t="n">
        <x:f>IF(H93="","",C93-H93)</x:f>
        <x:v>8</x:v>
      </x:c>
      <x:c r="J93" s="4" t="str">
        <x:v>https://blog.skyairline.com/tipos-de-equipaje/ (15 clics)
https://blog.skyairline.com/equipaje-de-bodega/ (4 clics)</x:v>
      </x:c>
      <x:c r="K93" s="4" t="str">
        <x:v>URLs de detalle page/query/country por clics. No asignan las impresiones de esta consulta a cada página.</x:v>
      </x:c>
    </x:row>
    <x:row r="94" ht="28" customHeight="1">
      <x:c r="A94" s="4" t="n">
        <x:v>84</x:v>
      </x:c>
      <x:c r="B94" s="4" t="str">
        <x:v>puntos sky</x:v>
      </x:c>
      <x:c r="C94" s="11" t="n">
        <x:v>18</x:v>
      </x:c>
      <x:c r="D94" s="11" t="n">
        <x:v>289</x:v>
      </x:c>
      <x:c r="E94" s="14" t="n">
        <x:v>0.06228373702422145</x:v>
      </x:c>
      <x:c r="F94" s="12" t="n">
        <x:v>3.7058823529411766</x:v>
      </x:c>
      <x:c r="G94" s="4" t="str">
        <x:v>Contiene marca</x:v>
      </x:c>
      <x:c r="H94" s="11" t="n">
        <x:v>22</x:v>
      </x:c>
      <x:c r="I94" s="11" t="n">
        <x:f>IF(H94="","",C94-H94)</x:f>
        <x:v>-4</x:v>
      </x:c>
      <x:c r="J94" s="4" t="str">
        <x:v>https://blog.skyairline.com/sky-plus/ (18 clics)</x:v>
      </x:c>
      <x:c r="K94" s="4" t="str">
        <x:v>URLs de detalle page/query/country por clics. No asignan las impresiones de esta consulta a cada página.</x:v>
      </x:c>
    </x:row>
    <x:row r="95" ht="28" customHeight="1">
      <x:c r="A95" s="4" t="n">
        <x:v>85</x:v>
      </x:c>
      <x:c r="B95" s="4" t="str">
        <x:v>sky grupos</x:v>
      </x:c>
      <x:c r="C95" s="11" t="n">
        <x:v>18</x:v>
      </x:c>
      <x:c r="D95" s="11" t="n">
        <x:v>243</x:v>
      </x:c>
      <x:c r="E95" s="14" t="n">
        <x:v>0.07407407407407407</x:v>
      </x:c>
      <x:c r="F95" s="12" t="n">
        <x:v>4.592592592592593</x:v>
      </x:c>
      <x:c r="G95" s="4" t="str">
        <x:v>Contiene marca</x:v>
      </x:c>
      <x:c r="H95" s="11" t="n">
        <x:v>9</x:v>
      </x:c>
      <x:c r="I95" s="11" t="n">
        <x:f>IF(H95="","",C95-H95)</x:f>
        <x:v>9</x:v>
      </x:c>
      <x:c r="J95" s="4" t="str">
        <x:v>https://blog.skyairline.com/viajar-en-grupo/ (18 clics)</x:v>
      </x:c>
      <x:c r="K95" s="4" t="str">
        <x:v>URLs de detalle page/query/country por clics. No asignan las impresiones de esta consulta a cada página.</x:v>
      </x:c>
    </x:row>
    <x:row r="96" ht="28" customHeight="1">
      <x:c r="A96" s="4" t="n">
        <x:v>86</x:v>
      </x:c>
      <x:c r="B96" s="4" t="str">
        <x:v>equipaje en cabina sky</x:v>
      </x:c>
      <x:c r="C96" s="11" t="n">
        <x:v>18</x:v>
      </x:c>
      <x:c r="D96" s="11" t="n">
        <x:v>238</x:v>
      </x:c>
      <x:c r="E96" s="14" t="n">
        <x:v>0.07563025210084033</x:v>
      </x:c>
      <x:c r="F96" s="12" t="n">
        <x:v>4.3235294117647065</x:v>
      </x:c>
      <x:c r="G96" s="4" t="str">
        <x:v>Contiene marca</x:v>
      </x:c>
      <x:c r="H96" s="11" t="n">
        <x:v>33</x:v>
      </x:c>
      <x:c r="I96" s="11" t="n">
        <x:f>IF(H96="","",C96-H96)</x:f>
        <x:v>-15</x:v>
      </x:c>
      <x:c r="J96" s="4" t="str">
        <x:v>https://blog.skyairline.com/equipaje-de-cabina/ (12 clics)
https://blog.skyairline.com/tipos-de-equipaje/ (4 clics)
https://blog.skyairline.com/equipaje-de-bodega/ (1 clics)</x:v>
      </x:c>
      <x:c r="K96" s="4" t="str">
        <x:v>URLs de detalle page/query/country por clics. No asignan las impresiones de esta consulta a cada página.</x:v>
      </x:c>
    </x:row>
    <x:row r="97" ht="28" customHeight="1">
      <x:c r="A97" s="4" t="n">
        <x:v>87</x:v>
      </x:c>
      <x:c r="B97" s="4" t="str">
        <x:v>sky equipaje de cabina</x:v>
      </x:c>
      <x:c r="C97" s="11" t="n">
        <x:v>18</x:v>
      </x:c>
      <x:c r="D97" s="11" t="n">
        <x:v>204</x:v>
      </x:c>
      <x:c r="E97" s="14" t="n">
        <x:v>0.08823529411764706</x:v>
      </x:c>
      <x:c r="F97" s="12" t="n">
        <x:v>5</x:v>
      </x:c>
      <x:c r="G97" s="4" t="str">
        <x:v>Contiene marca</x:v>
      </x:c>
      <x:c r="H97" s="11" t="n">
        <x:v>33</x:v>
      </x:c>
      <x:c r="I97" s="11" t="n">
        <x:f>IF(H97="","",C97-H97)</x:f>
        <x:v>-15</x:v>
      </x:c>
      <x:c r="J97" s="4" t="str">
        <x:v>https://blog.skyairline.com/equipaje-de-cabina/ (17 clics)
https://blog.skyairline.com/tipos-de-equipaje/ (1 clics)</x:v>
      </x:c>
      <x:c r="K97" s="4" t="str">
        <x:v>URLs de detalle page/query/country por clics. No asignan las impresiones de esta consulta a cada página.</x:v>
      </x:c>
    </x:row>
    <x:row r="98" ht="28" customHeight="1">
      <x:c r="A98" s="4" t="n">
        <x:v>88</x:v>
      </x:c>
      <x:c r="B98" s="4" t="str">
        <x:v>medidas equipaje de cabina sky</x:v>
      </x:c>
      <x:c r="C98" s="11" t="n">
        <x:v>18</x:v>
      </x:c>
      <x:c r="D98" s="11" t="n">
        <x:v>100</x:v>
      </x:c>
      <x:c r="E98" s="14" t="n">
        <x:v>0.18</x:v>
      </x:c>
      <x:c r="F98" s="12" t="n">
        <x:v>4.2</x:v>
      </x:c>
      <x:c r="G98" s="4" t="str">
        <x:v>Contiene marca</x:v>
      </x:c>
      <x:c r="H98" s="11" t="n">
        <x:v>6</x:v>
      </x:c>
      <x:c r="I98" s="11" t="n">
        <x:f>IF(H98="","",C98-H98)</x:f>
        <x:v>12</x:v>
      </x:c>
      <x:c r="J98" s="4" t="str">
        <x:v>https://blog.skyairline.com/equipaje-de-cabina/ (12 clics)
https://blog.skyairline.com/equipaje-de-bodega/ (5 clics)
https://blog.skyairline.com/escoger-una-maleta/ (1 clics)</x:v>
      </x:c>
      <x:c r="K98" s="4" t="str">
        <x:v>URLs de detalle page/query/country por clics. No asignan las impresiones de esta consulta a cada página.</x:v>
      </x:c>
    </x:row>
    <x:row r="99" ht="28" customHeight="1">
      <x:c r="A99" s="4" t="n">
        <x:v>89</x:v>
      </x:c>
      <x:c r="B99" s="4" t="str">
        <x:v>sky requisitos para viajar con mascota</x:v>
      </x:c>
      <x:c r="C99" s="11" t="n">
        <x:v>18</x:v>
      </x:c>
      <x:c r="D99" s="11" t="n">
        <x:v>67</x:v>
      </x:c>
      <x:c r="E99" s="14" t="n">
        <x:v>0.26865671641791045</x:v>
      </x:c>
      <x:c r="F99" s="12" t="n">
        <x:v>2.656716417910448</x:v>
      </x:c>
      <x:c r="G99" s="4" t="str">
        <x:v>Contiene marca</x:v>
      </x:c>
      <x:c r="H99" s="11" t="n">
        <x:v>12</x:v>
      </x:c>
      <x:c r="I99" s="11" t="n">
        <x:f>IF(H99="","",C99-H99)</x:f>
        <x:v>6</x:v>
      </x:c>
      <x:c r="J99" s="4" t="str">
        <x:v>https://blog.skyairline.com/viajar-con-perros/ (11 clics)
https://blog.skyairline.com/mascotas-en-cabina/ (6 clics)
https://blog.skyairline.com/sky-airline-2/ (1 clics)</x:v>
      </x:c>
      <x:c r="K99" s="4" t="str">
        <x:v>URLs de detalle page/query/country por clics. No asignan las impresiones de esta consulta a cada página.</x:v>
      </x:c>
    </x:row>
    <x:row r="100" ht="28" customHeight="1">
      <x:c r="A100" s="4" t="n">
        <x:v>90</x:v>
      </x:c>
      <x:c r="B100" s="4" t="str">
        <x:v>medidas carry on sky</x:v>
      </x:c>
      <x:c r="C100" s="11" t="n">
        <x:v>17</x:v>
      </x:c>
      <x:c r="D100" s="11" t="n">
        <x:v>142</x:v>
      </x:c>
      <x:c r="E100" s="14" t="n">
        <x:v>0.11971830985915492</x:v>
      </x:c>
      <x:c r="F100" s="12" t="n">
        <x:v>4.23943661971831</x:v>
      </x:c>
      <x:c r="G100" s="4" t="str">
        <x:v>Contiene marca</x:v>
      </x:c>
      <x:c r="H100" s="11" t="n">
        <x:v>12</x:v>
      </x:c>
      <x:c r="I100" s="11" t="n">
        <x:f>IF(H100="","",C100-H100)</x:f>
        <x:v>5</x:v>
      </x:c>
      <x:c r="J100" s="4" t="str">
        <x:v>https://blog.skyairline.com/equipaje-de-cabina/ (12 clics)
https://blog.skyairline.com/equipaje-de-bodega/ (4 clics)
https://blog.skyairline.com/tipos-de-equipaje/ (1 clics)</x:v>
      </x:c>
      <x:c r="K100" s="4" t="str">
        <x:v>URLs de detalle page/query/country por clics. No asignan las impresiones de esta consulta a cada página.</x:v>
      </x:c>
    </x:row>
    <x:row r="101" ht="28" customHeight="1">
      <x:c r="A101" s="4" t="n">
        <x:v>91</x:v>
      </x:c>
      <x:c r="B101" s="4" t="str">
        <x:v>equipaje de bodega sky</x:v>
      </x:c>
      <x:c r="C101" s="11" t="n">
        <x:v>17</x:v>
      </x:c>
      <x:c r="D101" s="11" t="n">
        <x:v>120</x:v>
      </x:c>
      <x:c r="E101" s="14" t="n">
        <x:v>0.14166666666666666</x:v>
      </x:c>
      <x:c r="F101" s="12" t="n">
        <x:v>2.791666666666667</x:v>
      </x:c>
      <x:c r="G101" s="4" t="str">
        <x:v>Contiene marca</x:v>
      </x:c>
      <x:c r="H101" s="11" t="n">
        <x:v>14</x:v>
      </x:c>
      <x:c r="I101" s="11" t="n">
        <x:f>IF(H101="","",C101-H101)</x:f>
        <x:v>3</x:v>
      </x:c>
      <x:c r="J101" s="4" t="str">
        <x:v>https://blog.skyairline.com/equipaje-de-bodega/ (11 clics)
https://blog.skyairline.com/tipos-de-equipaje/ (4 clics)
https://blog.skyairline.com/que-es-el-equipaje-documentado/ (2 clics)</x:v>
      </x:c>
      <x:c r="K101" s="4" t="str">
        <x:v>URLs de detalle page/query/country por clics. No asignan las impresiones de esta consulta a cada página.</x:v>
      </x:c>
    </x:row>
    <x:row r="102" ht="28" customHeight="1">
      <x:c r="A102" s="4" t="n">
        <x:v>92</x:v>
      </x:c>
      <x:c r="B102" s="4" t="str">
        <x:v>sky tamaño equipaje</x:v>
      </x:c>
      <x:c r="C102" s="11" t="n">
        <x:v>17</x:v>
      </x:c>
      <x:c r="D102" s="11" t="n">
        <x:v>97</x:v>
      </x:c>
      <x:c r="E102" s="14" t="n">
        <x:v>0.17525773195876287</x:v>
      </x:c>
      <x:c r="F102" s="12" t="n">
        <x:v>2.907216494845361</x:v>
      </x:c>
      <x:c r="G102" s="4" t="str">
        <x:v>Contiene marca</x:v>
      </x:c>
      <x:c r="H102" s="11" t="n">
        <x:v>24</x:v>
      </x:c>
      <x:c r="I102" s="11" t="n">
        <x:f>IF(H102="","",C102-H102)</x:f>
        <x:v>-7</x:v>
      </x:c>
      <x:c r="J102" s="4" t="str">
        <x:v>https://blog.skyairline.com/tipos-de-equipaje/ (9 clics)
https://blog.skyairline.com/equipaje-de-bodega/ (5 clics)
https://blog.skyairline.com/equipaje-de-cabina/ (3 clics)</x:v>
      </x:c>
      <x:c r="K102" s="4" t="str">
        <x:v>URLs de detalle page/query/country por clics. No asignan las impresiones de esta consulta a cada página.</x:v>
      </x:c>
    </x:row>
    <x:row r="103" ht="28" customHeight="1">
      <x:c r="A103" s="4" t="n">
        <x:v>93</x:v>
      </x:c>
      <x:c r="B103" s="4" t="str">
        <x:v>maleta sky medidas</x:v>
      </x:c>
      <x:c r="C103" s="11" t="n">
        <x:v>17</x:v>
      </x:c>
      <x:c r="D103" s="11" t="n">
        <x:v>87</x:v>
      </x:c>
      <x:c r="E103" s="14" t="n">
        <x:v>0.19540229885057472</x:v>
      </x:c>
      <x:c r="F103" s="12" t="n">
        <x:v>4.436781609195402</x:v>
      </x:c>
      <x:c r="G103" s="4" t="str">
        <x:v>Contiene marca</x:v>
      </x:c>
      <x:c r="H103" s="11" t="n">
        <x:v>15</x:v>
      </x:c>
      <x:c r="I103" s="11" t="n">
        <x:f>IF(H103="","",C103-H103)</x:f>
        <x:v>2</x:v>
      </x:c>
      <x:c r="J103" s="4" t="str">
        <x:v>https://blog.skyairline.com/equipaje-de-bodega/ (15 clics)
https://blog.skyairline.com/tipos-de-equipaje/ (2 clics)</x:v>
      </x:c>
      <x:c r="K103" s="4" t="str">
        <x:v>URLs de detalle page/query/country por clics. No asignan las impresiones de esta consulta a cada página.</x:v>
      </x:c>
    </x:row>
    <x:row r="104" ht="28" customHeight="1">
      <x:c r="A104" s="4" t="n">
        <x:v>94</x:v>
      </x:c>
      <x:c r="B104" s="4" t="str">
        <x:v>cambio de vuelo sky</x:v>
      </x:c>
      <x:c r="C104" s="11" t="n">
        <x:v>16</x:v>
      </x:c>
      <x:c r="D104" s="11" t="n">
        <x:v>295</x:v>
      </x:c>
      <x:c r="E104" s="14" t="n">
        <x:v>0.05423728813559322</x:v>
      </x:c>
      <x:c r="F104" s="12" t="n">
        <x:v>5.569491525423729</x:v>
      </x:c>
      <x:c r="G104" s="4" t="str">
        <x:v>Contiene marca</x:v>
      </x:c>
      <x:c r="H104" s="11" t="n">
        <x:v>36</x:v>
      </x:c>
      <x:c r="I104" s="11" t="n">
        <x:f>IF(H104="","",C104-H104)</x:f>
        <x:v>-20</x:v>
      </x:c>
      <x:c r="J104" s="4" t="str">
        <x:v>https://blog.skyairline.com/cambiar-vuelo-sky/ (16 clics)</x:v>
      </x:c>
      <x:c r="K104" s="4" t="str">
        <x:v>URLs de detalle page/query/country por clics. No asignan las impresiones de esta consulta a cada página.</x:v>
      </x:c>
    </x:row>
    <x:row r="105" ht="28" customHeight="1">
      <x:c r="A105" s="4" t="n">
        <x:v>95</x:v>
      </x:c>
      <x:c r="B105" s="4" t="str">
        <x:v>sky airlines equipaje de mano</x:v>
      </x:c>
      <x:c r="C105" s="11" t="n">
        <x:v>16</x:v>
      </x:c>
      <x:c r="D105" s="11" t="n">
        <x:v>129</x:v>
      </x:c>
      <x:c r="E105" s="14" t="n">
        <x:v>0.12403100775193798</x:v>
      </x:c>
      <x:c r="F105" s="12" t="n">
        <x:v>6.348837209302325</x:v>
      </x:c>
      <x:c r="G105" s="4" t="str">
        <x:v>Contiene marca</x:v>
      </x:c>
      <x:c r="H105" s="11" t="n">
        <x:v>14</x:v>
      </x:c>
      <x:c r="I105" s="11" t="n">
        <x:f>IF(H105="","",C105-H105)</x:f>
        <x:v>2</x:v>
      </x:c>
      <x:c r="J105" s="4" t="str">
        <x:v>https://blog.skyairline.com/equipaje-de-cabina/ (11 clics)
https://blog.skyairline.com/equipaje-de-bodega/ (4 clics)
https://blog.skyairline.com/tipos-de-equipaje/ (1 clics)</x:v>
      </x:c>
      <x:c r="K105" s="4" t="str">
        <x:v>URLs de detalle page/query/country por clics. No asignan las impresiones de esta consulta a cada página.</x:v>
      </x:c>
    </x:row>
    <x:row r="106" ht="28" customHeight="1">
      <x:c r="A106" s="4" t="n">
        <x:v>96</x:v>
      </x:c>
      <x:c r="B106" s="4" t="str">
        <x:v>sky airlines medidas equipaje</x:v>
      </x:c>
      <x:c r="C106" s="11" t="n">
        <x:v>16</x:v>
      </x:c>
      <x:c r="D106" s="11" t="n">
        <x:v>97</x:v>
      </x:c>
      <x:c r="E106" s="14" t="n">
        <x:v>0.16494845360824742</x:v>
      </x:c>
      <x:c r="F106" s="12" t="n">
        <x:v>3.1752577319587627</x:v>
      </x:c>
      <x:c r="G106" s="4" t="str">
        <x:v>Contiene marca</x:v>
      </x:c>
      <x:c r="H106" s="11" t="n">
        <x:v>27</x:v>
      </x:c>
      <x:c r="I106" s="11" t="n">
        <x:f>IF(H106="","",C106-H106)</x:f>
        <x:v>-11</x:v>
      </x:c>
      <x:c r="J106" s="4" t="str">
        <x:v>https://blog.skyairline.com/equipaje-de-bodega/ (11 clics)
https://blog.skyairline.com/tipos-de-equipaje/ (5 clics)</x:v>
      </x:c>
      <x:c r="K106" s="4" t="str">
        <x:v>URLs de detalle page/query/country por clics. No asignan las impresiones de esta consulta a cada página.</x:v>
      </x:c>
    </x:row>
    <x:row r="107" ht="28" customHeight="1">
      <x:c r="A107" s="4" t="n">
        <x:v>97</x:v>
      </x:c>
      <x:c r="B107" s="4" t="str">
        <x:v>sky empleos</x:v>
      </x:c>
      <x:c r="C107" s="11" t="n">
        <x:v>16</x:v>
      </x:c>
      <x:c r="D107" s="11" t="n">
        <x:v>78</x:v>
      </x:c>
      <x:c r="E107" s="14" t="n">
        <x:v>0.20512820512820512</x:v>
      </x:c>
      <x:c r="F107" s="12" t="n">
        <x:v>4.576923076923077</x:v>
      </x:c>
      <x:c r="G107" s="4" t="str">
        <x:v>Contiene marca</x:v>
      </x:c>
      <x:c r="H107" s="11" t="n">
        <x:v>3</x:v>
      </x:c>
      <x:c r="I107" s="11" t="n">
        <x:f>IF(H107="","",C107-H107)</x:f>
        <x:v>13</x:v>
      </x:c>
      <x:c r="J107" s="4" t="str">
        <x:v>https://blog.skyairline.com/categoria/oportunidades/ (16 clics)</x:v>
      </x:c>
      <x:c r="K107" s="4" t="str">
        <x:v>URLs de detalle page/query/country por clics. No asignan las impresiones de esta consulta a cada página.</x:v>
      </x:c>
    </x:row>
    <x:row r="108" ht="28" customHeight="1">
      <x:c r="A108" s="4" t="n">
        <x:v>98</x:v>
      </x:c>
      <x:c r="B108" s="4" t="str">
        <x:v>enchufe brasil</x:v>
      </x:c>
      <x:c r="C108" s="11" t="n">
        <x:v>15</x:v>
      </x:c>
      <x:c r="D108" s="11" t="n">
        <x:v>659</x:v>
      </x:c>
      <x:c r="E108" s="14" t="n">
        <x:v>0.02276176024279211</x:v>
      </x:c>
      <x:c r="F108" s="12" t="n">
        <x:v>5.198786039453718</x:v>
      </x:c>
      <x:c r="G108" s="4" t="str">
        <x:v>Sin marca literal</x:v>
      </x:c>
      <x:c r="H108" s="11" t="n">
        <x:v>8</x:v>
      </x:c>
      <x:c r="I108" s="11" t="n">
        <x:f>IF(H108="","",C108-H108)</x:f>
        <x:v>7</x:v>
      </x:c>
      <x:c r="J108" s="4" t="str">
        <x:v>https://blog.skyairline.com/enchufe-brasil/ (15 clics)</x:v>
      </x:c>
      <x:c r="K108" s="4" t="str">
        <x:v>URLs de detalle page/query/country por clics. No asignan las impresiones de esta consulta a cada página.</x:v>
      </x:c>
    </x:row>
    <x:row r="109" ht="28" customHeight="1">
      <x:c r="A109" s="4" t="n">
        <x:v>99</x:v>
      </x:c>
      <x:c r="B109" s="4" t="str">
        <x:v>bolso de mano sky medidas y peso</x:v>
      </x:c>
      <x:c r="C109" s="11" t="n">
        <x:v>15</x:v>
      </x:c>
      <x:c r="D109" s="11" t="n">
        <x:v>227</x:v>
      </x:c>
      <x:c r="E109" s="14" t="n">
        <x:v>0.06607929515418502</x:v>
      </x:c>
      <x:c r="F109" s="12" t="n">
        <x:v>4.044052863436123</x:v>
      </x:c>
      <x:c r="G109" s="4" t="str">
        <x:v>Contiene marca</x:v>
      </x:c>
      <x:c r="H109" s="11" t="n">
        <x:v>18</x:v>
      </x:c>
      <x:c r="I109" s="11" t="n">
        <x:f>IF(H109="","",C109-H109)</x:f>
        <x:v>-3</x:v>
      </x:c>
      <x:c r="J109" s="4" t="str">
        <x:v>https://blog.skyairline.com/equipaje-de-bodega/ (12 clics)
https://blog.skyairline.com/equipaje-de-cabina/ (2 clics)
https://blog.skyairline.com/tipos-de-equipaje/ (1 clics)</x:v>
      </x:c>
      <x:c r="K109" s="4" t="str">
        <x:v>URLs de detalle page/query/country por clics. No asignan las impresiones de esta consulta a cada página.</x:v>
      </x:c>
    </x:row>
    <x:row r="110" ht="28" customHeight="1">
      <x:c r="A110" s="4" t="n">
        <x:v>100</x:v>
      </x:c>
      <x:c r="B110" s="4" t="str">
        <x:v>mochila sky airlines</x:v>
      </x:c>
      <x:c r="C110" s="11" t="n">
        <x:v>15</x:v>
      </x:c>
      <x:c r="D110" s="11" t="n">
        <x:v>193</x:v>
      </x:c>
      <x:c r="E110" s="14" t="n">
        <x:v>0.07772020725388601</x:v>
      </x:c>
      <x:c r="F110" s="12" t="n">
        <x:v>5.5025906735751295</x:v>
      </x:c>
      <x:c r="G110" s="4" t="str">
        <x:v>Contiene marca</x:v>
      </x:c>
      <x:c r="H110" s="11" t="n">
        <x:v>8</x:v>
      </x:c>
      <x:c r="I110" s="11" t="n">
        <x:f>IF(H110="","",C110-H110)</x:f>
        <x:v>7</x:v>
      </x:c>
      <x:c r="J110" s="4" t="str">
        <x:v>https://blog.skyairline.com/equipaje-de-cabina/ (10 clics)
https://blog.skyairline.com/tipos-de-equipaje/ (3 clics)
https://blog.skyairline.com/equipaje-de-bodega/ (2 clics)</x:v>
      </x:c>
      <x:c r="K110" s="4" t="str">
        <x:v>URLs de detalle page/query/country por clics. No asignan las impresiones de esta consulta a cada página.</x:v>
      </x:c>
    </x:row>
    <x:row r="111" ht="28" customHeight="1">
      <x:c r="A111" s="4" t="n">
        <x:v>101</x:v>
      </x:c>
      <x:c r="B111" s="4" t="str">
        <x:v>maleta cabina sky medidas</x:v>
      </x:c>
      <x:c r="C111" s="11" t="n">
        <x:v>15</x:v>
      </x:c>
      <x:c r="D111" s="11" t="n">
        <x:v>112</x:v>
      </x:c>
      <x:c r="E111" s="14" t="n">
        <x:v>0.13392857142857142</x:v>
      </x:c>
      <x:c r="F111" s="12" t="n">
        <x:v>4.1875</x:v>
      </x:c>
      <x:c r="G111" s="4" t="str">
        <x:v>Contiene marca</x:v>
      </x:c>
      <x:c r="H111" s="11" t="n">
        <x:v>11</x:v>
      </x:c>
      <x:c r="I111" s="11" t="n">
        <x:f>IF(H111="","",C111-H111)</x:f>
        <x:v>4</x:v>
      </x:c>
      <x:c r="J111" s="4" t="str">
        <x:v>https://blog.skyairline.com/equipaje-de-cabina/ (11 clics)
https://blog.skyairline.com/equipaje-de-bodega/ (3 clics)
https://blog.skyairline.com/tipos-de-equipaje/ (1 clics)</x:v>
      </x:c>
      <x:c r="K111" s="4" t="str">
        <x:v>URLs de detalle page/query/country por clics. No asignan las impresiones de esta consulta a cada página.</x:v>
      </x:c>
    </x:row>
    <x:row r="112" ht="28" customHeight="1">
      <x:c r="A112" s="4" t="n">
        <x:v>102</x:v>
      </x:c>
      <x:c r="B112" s="4" t="str">
        <x:v>equipaje especial sky</x:v>
      </x:c>
      <x:c r="C112" s="11" t="n">
        <x:v>15</x:v>
      </x:c>
      <x:c r="D112" s="11" t="n">
        <x:v>106</x:v>
      </x:c>
      <x:c r="E112" s="14" t="n">
        <x:v>0.14150943396226415</x:v>
      </x:c>
      <x:c r="F112" s="12" t="n">
        <x:v>3.981132075471698</x:v>
      </x:c>
      <x:c r="G112" s="4" t="str">
        <x:v>Contiene marca</x:v>
      </x:c>
      <x:c r="H112" s="11" t="n">
        <x:v>14</x:v>
      </x:c>
      <x:c r="I112" s="11" t="n">
        <x:f>IF(H112="","",C112-H112)</x:f>
        <x:v>1</x:v>
      </x:c>
      <x:c r="J112" s="4" t="str">
        <x:v>https://blog.skyairline.com/tipos-de-equipaje/ (11 clics)
https://blog.skyairline.com/bicicleta-en-avion/ (3 clics)
https://blog.skyairline.com/equipaje-de-bodega/ (1 clics)</x:v>
      </x:c>
      <x:c r="K112" s="4" t="str">
        <x:v>URLs de detalle page/query/country por clics. No asignan las impresiones de esta consulta a cada página.</x:v>
      </x:c>
    </x:row>
    <x:row r="113" ht="28" customHeight="1">
      <x:c r="A113" s="4" t="n">
        <x:v>103</x:v>
      </x:c>
      <x:c r="B113" s="4" t="str">
        <x:v>maletas sky airline</x:v>
      </x:c>
      <x:c r="C113" s="11" t="n">
        <x:v>15</x:v>
      </x:c>
      <x:c r="D113" s="11" t="n">
        <x:v>69</x:v>
      </x:c>
      <x:c r="E113" s="14" t="n">
        <x:v>0.21739130434782608</x:v>
      </x:c>
      <x:c r="F113" s="12" t="n">
        <x:v>5.318840579710145</x:v>
      </x:c>
      <x:c r="G113" s="4" t="str">
        <x:v>Contiene marca</x:v>
      </x:c>
      <x:c r="H113" s="11" t="n">
        <x:v>18</x:v>
      </x:c>
      <x:c r="I113" s="11" t="n">
        <x:f>IF(H113="","",C113-H113)</x:f>
        <x:v>-3</x:v>
      </x:c>
      <x:c r="J113" s="4" t="str">
        <x:v>https://blog.skyairline.com/tipos-de-equipaje/ (13 clics)
https://blog.skyairline.com/equipaje-de-bodega/ (2 clics)</x:v>
      </x:c>
      <x:c r="K113" s="4" t="str">
        <x:v>URLs de detalle page/query/country por clics. No asignan las impresiones de esta consulta a cada página.</x:v>
      </x:c>
    </x:row>
    <x:row r="114" ht="28" customHeight="1">
      <x:c r="A114" s="4" t="n">
        <x:v>104</x:v>
      </x:c>
      <x:c r="B114" s="4" t="str">
        <x:v>sky mascota en cabina</x:v>
      </x:c>
      <x:c r="C114" s="11" t="n">
        <x:v>15</x:v>
      </x:c>
      <x:c r="D114" s="11" t="n">
        <x:v>39</x:v>
      </x:c>
      <x:c r="E114" s="14" t="n">
        <x:v>0.38461538461538464</x:v>
      </x:c>
      <x:c r="F114" s="12" t="n">
        <x:v>2.051282051282051</x:v>
      </x:c>
      <x:c r="G114" s="4" t="str">
        <x:v>Contiene marca</x:v>
      </x:c>
      <x:c r="H114" s="11" t="n">
        <x:v>15</x:v>
      </x:c>
      <x:c r="I114" s="11" t="n">
        <x:f>IF(H114="","",C114-H114)</x:f>
        <x:v>0</x:v>
      </x:c>
      <x:c r="J114" s="4" t="str">
        <x:v>https://blog.skyairline.com/mascotas-en-cabina/ (8 clics)
https://blog.skyairline.com/viajar-con-perros/ (7 clics)</x:v>
      </x:c>
      <x:c r="K114" s="4" t="str">
        <x:v>URLs de detalle page/query/country por clics. No asignan las impresiones de esta consulta a cada página.</x:v>
      </x:c>
    </x:row>
    <x:row r="115" ht="28" customHeight="1">
      <x:c r="A115" s="4" t="n">
        <x:v>105</x:v>
      </x:c>
      <x:c r="B115" s="4" t="str">
        <x:v>salvador de bahía es peligroso</x:v>
      </x:c>
      <x:c r="C115" s="11" t="n">
        <x:v>14</x:v>
      </x:c>
      <x:c r="D115" s="11" t="n">
        <x:v>509</x:v>
      </x:c>
      <x:c r="E115" s="14" t="n">
        <x:v>0.0275049115913556</x:v>
      </x:c>
      <x:c r="F115" s="12" t="n">
        <x:v>4.990176817288802</x:v>
      </x:c>
      <x:c r="G115" s="4" t="str">
        <x:v>Sin marca literal</x:v>
      </x:c>
      <x:c r="H115" s="11" t="n">
        <x:v>13</x:v>
      </x:c>
      <x:c r="I115" s="11" t="n">
        <x:f>IF(H115="","",C115-H115)</x:f>
        <x:v>1</x:v>
      </x:c>
      <x:c r="J115" s="4" t="str">
        <x:v>https://blog.skyairline.com/salvador-de-bahia/ (14 clics)</x:v>
      </x:c>
      <x:c r="K115" s="4" t="str">
        <x:v>URLs de detalle page/query/country por clics. No asignan las impresiones de esta consulta a cada página.</x:v>
      </x:c>
    </x:row>
    <x:row r="116" ht="28" customHeight="1">
      <x:c r="A116" s="4" t="n">
        <x:v>106</x:v>
      </x:c>
      <x:c r="B116" s="4" t="str">
        <x:v>medidas maleta sky</x:v>
      </x:c>
      <x:c r="C116" s="11" t="n">
        <x:v>14</x:v>
      </x:c>
      <x:c r="D116" s="11" t="n">
        <x:v>149</x:v>
      </x:c>
      <x:c r="E116" s="14" t="n">
        <x:v>0.09395973154362416</x:v>
      </x:c>
      <x:c r="F116" s="12" t="n">
        <x:v>4.0402684563758395</x:v>
      </x:c>
      <x:c r="G116" s="4" t="str">
        <x:v>Contiene marca</x:v>
      </x:c>
      <x:c r="H116" s="11" t="n">
        <x:v>18</x:v>
      </x:c>
      <x:c r="I116" s="11" t="n">
        <x:f>IF(H116="","",C116-H116)</x:f>
        <x:v>-4</x:v>
      </x:c>
      <x:c r="J116" s="4" t="str">
        <x:v>https://blog.skyairline.com/equipaje-de-bodega/ (9 clics)
https://blog.skyairline.com/tipos-de-equipaje/ (5 clics)</x:v>
      </x:c>
      <x:c r="K116" s="4" t="str">
        <x:v>URLs de detalle page/query/country por clics. No asignan las impresiones de esta consulta a cada página.</x:v>
      </x:c>
    </x:row>
    <x:row r="117" ht="28" customHeight="1">
      <x:c r="A117" s="4" t="n">
        <x:v>107</x:v>
      </x:c>
      <x:c r="B117" s="4" t="str">
        <x:v>bolso mano sky</x:v>
      </x:c>
      <x:c r="C117" s="11" t="n">
        <x:v>14</x:v>
      </x:c>
      <x:c r="D117" s="11" t="n">
        <x:v>91</x:v>
      </x:c>
      <x:c r="E117" s="14" t="n">
        <x:v>0.15384615384615385</x:v>
      </x:c>
      <x:c r="F117" s="12" t="n">
        <x:v>4.1098901098901095</x:v>
      </x:c>
      <x:c r="G117" s="4" t="str">
        <x:v>Contiene marca</x:v>
      </x:c>
      <x:c r="H117" s="11" t="n">
        <x:v>9</x:v>
      </x:c>
      <x:c r="I117" s="11" t="n">
        <x:f>IF(H117="","",C117-H117)</x:f>
        <x:v>5</x:v>
      </x:c>
      <x:c r="J117" s="4" t="str">
        <x:v>https://blog.skyairline.com/equipaje-de-cabina/ (12 clics)
https://blog.skyairline.com/equipaje-de-bodega/ (2 clics)</x:v>
      </x:c>
      <x:c r="K117" s="4" t="str">
        <x:v>URLs de detalle page/query/country por clics. No asignan las impresiones de esta consulta a cada página.</x:v>
      </x:c>
    </x:row>
    <x:row r="118" ht="28" customHeight="1">
      <x:c r="A118" s="4" t="n">
        <x:v>108</x:v>
      </x:c>
      <x:c r="B118" s="4" t="str">
        <x:v>sky maleta de cabina</x:v>
      </x:c>
      <x:c r="C118" s="11" t="n">
        <x:v>14</x:v>
      </x:c>
      <x:c r="D118" s="11" t="n">
        <x:v>86</x:v>
      </x:c>
      <x:c r="E118" s="14" t="n">
        <x:v>0.16279069767441862</x:v>
      </x:c>
      <x:c r="F118" s="12" t="n">
        <x:v>4.837209302325581</x:v>
      </x:c>
      <x:c r="G118" s="4" t="str">
        <x:v>Contiene marca</x:v>
      </x:c>
      <x:c r="H118" s="11" t="n">
        <x:v>1</x:v>
      </x:c>
      <x:c r="I118" s="11" t="n">
        <x:f>IF(H118="","",C118-H118)</x:f>
        <x:v>13</x:v>
      </x:c>
      <x:c r="J118" s="4" t="str">
        <x:v>https://blog.skyairline.com/equipaje-de-cabina/ (10 clics)
https://blog.skyairline.com/equipaje-de-bodega/ (2 clics)
https://blog.skyairline.com/tipos-de-equipaje/ (2 clics)</x:v>
      </x:c>
      <x:c r="K118" s="4" t="str">
        <x:v>URLs de detalle page/query/country por clics. No asignan las impresiones de esta consulta a cada página.</x:v>
      </x:c>
    </x:row>
    <x:row r="119" ht="28" customHeight="1">
      <x:c r="A119" s="4" t="n">
        <x:v>109</x:v>
      </x:c>
      <x:c r="B119" s="4" t="str">
        <x:v>sky postulaciones tripulante de cabina</x:v>
      </x:c>
      <x:c r="C119" s="11" t="n">
        <x:v>14</x:v>
      </x:c>
      <x:c r="D119" s="11" t="n">
        <x:v>69</x:v>
      </x:c>
      <x:c r="E119" s="14" t="n">
        <x:v>0.2028985507246377</x:v>
      </x:c>
      <x:c r="F119" s="12" t="n">
        <x:v>4.869565217391305</x:v>
      </x:c>
      <x:c r="G119" s="4" t="str">
        <x:v>Contiene marca</x:v>
      </x:c>
      <x:c r="H119" s="11" t="n">
        <x:v>40</x:v>
      </x:c>
      <x:c r="I119" s="11" t="n">
        <x:f>IF(H119="","",C119-H119)</x:f>
        <x:v>-26</x:v>
      </x:c>
      <x:c r="J119" s="4" t="str">
        <x:v>https://blog.skyairline.com/curso-tripulante-cabina/ (13 clics)
https://blog.skyairline.com/ (1 clics)</x:v>
      </x:c>
      <x:c r="K119" s="4" t="str">
        <x:v>URLs de detalle page/query/country por clics. No asignan las impresiones de esta consulta a cada página.</x:v>
      </x:c>
    </x:row>
    <x:row r="120" ht="28" customHeight="1">
      <x:c r="A120" s="4" t="n">
        <x:v>110</x:v>
      </x:c>
      <x:c r="B120" s="4" t="str">
        <x:v>en que estacion del año estamos</x:v>
      </x:c>
      <x:c r="C120" s="11" t="n">
        <x:v>13</x:v>
      </x:c>
      <x:c r="D120" s="11" t="n">
        <x:v>5031</x:v>
      </x:c>
      <x:c r="E120" s="14" t="n">
        <x:v>0.002583979328165375</x:v>
      </x:c>
      <x:c r="F120" s="12" t="n">
        <x:v>4.589147286821706</x:v>
      </x:c>
      <x:c r="G120" s="4" t="str">
        <x:v>Sin marca literal</x:v>
      </x:c>
      <x:c r="H120" s="11" t="n">
        <x:v>6</x:v>
      </x:c>
      <x:c r="I120" s="11" t="n">
        <x:f>IF(H120="","",C120-H120)</x:f>
        <x:v>7</x:v>
      </x:c>
      <x:c r="J120" s="4" t="str">
        <x:v>https://blog.skyairline.com/estaciones-en-chile/ (13 clics)</x:v>
      </x:c>
      <x:c r="K120" s="4" t="str">
        <x:v>URLs de detalle page/query/country por clics. No asignan las impresiones de esta consulta a cada página.</x:v>
      </x:c>
    </x:row>
    <x:row r="121" ht="28" customHeight="1">
      <x:c r="A121" s="4" t="n">
        <x:v>111</x:v>
      </x:c>
      <x:c r="B121" s="4" t="str">
        <x:v>platos tipicos lima</x:v>
      </x:c>
      <x:c r="C121" s="11" t="n">
        <x:v>13</x:v>
      </x:c>
      <x:c r="D121" s="11" t="n">
        <x:v>265</x:v>
      </x:c>
      <x:c r="E121" s="14" t="n">
        <x:v>0.04905660377358491</x:v>
      </x:c>
      <x:c r="F121" s="12" t="n">
        <x:v>1.3773584905660377</x:v>
      </x:c>
      <x:c r="G121" s="4" t="str">
        <x:v>Sin marca literal</x:v>
      </x:c>
      <x:c r="H121" s="11" t="n">
        <x:v>11</x:v>
      </x:c>
      <x:c r="I121" s="11" t="n">
        <x:f>IF(H121="","",C121-H121)</x:f>
        <x:v>2</x:v>
      </x:c>
      <x:c r="J121" s="4" t="str">
        <x:v>https://blog.skyairline.com/platos-tipicos-de-lima/ (13 clics)</x:v>
      </x:c>
      <x:c r="K121" s="4" t="str">
        <x:v>URLs de detalle page/query/country por clics. No asignan las impresiones de esta consulta a cada página.</x:v>
      </x:c>
    </x:row>
    <x:row r="122" ht="28" customHeight="1">
      <x:c r="A122" s="4" t="n">
        <x:v>112</x:v>
      </x:c>
      <x:c r="B122" s="4" t="str">
        <x:v>aeropuerto pucon</x:v>
      </x:c>
      <x:c r="C122" s="11" t="n">
        <x:v>13</x:v>
      </x:c>
      <x:c r="D122" s="11" t="n">
        <x:v>237</x:v>
      </x:c>
      <x:c r="E122" s="14" t="n">
        <x:v>0.05485232067510549</x:v>
      </x:c>
      <x:c r="F122" s="12" t="n">
        <x:v>3.0084388185654007</x:v>
      </x:c>
      <x:c r="G122" s="4" t="str">
        <x:v>Sin marca literal</x:v>
      </x:c>
      <x:c r="H122" s="11" t="n">
        <x:v>15</x:v>
      </x:c>
      <x:c r="I122" s="11" t="n">
        <x:f>IF(H122="","",C122-H122)</x:f>
        <x:v>-2</x:v>
      </x:c>
      <x:c r="J122" s="4" t="str">
        <x:v>https://blog.skyairline.com/se-puede-llegar-en-avion-a-pucon/ (13 clics)</x:v>
      </x:c>
      <x:c r="K122" s="4" t="str">
        <x:v>URLs de detalle page/query/country por clics. No asignan las impresiones de esta consulta a cada página.</x:v>
      </x:c>
    </x:row>
    <x:row r="123" ht="28" customHeight="1">
      <x:c r="A123" s="4" t="n">
        <x:v>113</x:v>
      </x:c>
      <x:c r="B123" s="4" t="str">
        <x:v>sky airlines trabajo tripulante de cabina</x:v>
      </x:c>
      <x:c r="C123" s="11" t="n">
        <x:v>13</x:v>
      </x:c>
      <x:c r="D123" s="11" t="n">
        <x:v>111</x:v>
      </x:c>
      <x:c r="E123" s="14" t="n">
        <x:v>0.11711711711711711</x:v>
      </x:c>
      <x:c r="F123" s="12" t="n">
        <x:v>4.828828828828829</x:v>
      </x:c>
      <x:c r="G123" s="4" t="str">
        <x:v>Contiene marca</x:v>
      </x:c>
      <x:c r="H123" s="11" t="n">
        <x:v>14</x:v>
      </x:c>
      <x:c r="I123" s="11" t="n">
        <x:f>IF(H123="","",C123-H123)</x:f>
        <x:v>-1</x:v>
      </x:c>
      <x:c r="J123" s="4" t="str">
        <x:v>https://blog.skyairline.com/curso-tripulante-cabina/ (10 clics)
https://blog.skyairline.com/categoria/oportunidades/ (3 clics)</x:v>
      </x:c>
      <x:c r="K123" s="4" t="str">
        <x:v>URLs de detalle page/query/country por clics. No asignan las impresiones de esta consulta a cada página.</x:v>
      </x:c>
    </x:row>
    <x:row r="124" ht="28" customHeight="1">
      <x:c r="A124" s="4" t="n">
        <x:v>114</x:v>
      </x:c>
      <x:c r="B124" s="4" t="str">
        <x:v>tamaño equipaje de mano sky</x:v>
      </x:c>
      <x:c r="C124" s="11" t="n">
        <x:v>13</x:v>
      </x:c>
      <x:c r="D124" s="11" t="n">
        <x:v>87</x:v>
      </x:c>
      <x:c r="E124" s="14" t="n">
        <x:v>0.14942528735632185</x:v>
      </x:c>
      <x:c r="F124" s="12" t="n">
        <x:v>3.4367816091954024</x:v>
      </x:c>
      <x:c r="G124" s="4" t="str">
        <x:v>Contiene marca</x:v>
      </x:c>
      <x:c r="H124" s="11" t="n">
        <x:v>5</x:v>
      </x:c>
      <x:c r="I124" s="11" t="n">
        <x:f>IF(H124="","",C124-H124)</x:f>
        <x:v>8</x:v>
      </x:c>
      <x:c r="J124" s="4" t="str">
        <x:v>https://blog.skyairline.com/equipaje-de-cabina/ (9 clics)
https://blog.skyairline.com/equipaje-de-bodega/ (4 clics)</x:v>
      </x:c>
      <x:c r="K124" s="4" t="str">
        <x:v>URLs de detalle page/query/country por clics. No asignan las impresiones de esta consulta a cada página.</x:v>
      </x:c>
    </x:row>
    <x:row r="125" ht="28" customHeight="1">
      <x:c r="A125" s="4" t="n">
        <x:v>115</x:v>
      </x:c>
      <x:c r="B125" s="4" t="str">
        <x:v>maleta de cabina medidas sky</x:v>
      </x:c>
      <x:c r="C125" s="11" t="n">
        <x:v>13</x:v>
      </x:c>
      <x:c r="D125" s="11" t="n">
        <x:v>74</x:v>
      </x:c>
      <x:c r="E125" s="14" t="n">
        <x:v>0.17567567567567569</x:v>
      </x:c>
      <x:c r="F125" s="12" t="n">
        <x:v>4.054054054054054</x:v>
      </x:c>
      <x:c r="G125" s="4" t="str">
        <x:v>Contiene marca</x:v>
      </x:c>
      <x:c r="H125" s="11" t="n">
        <x:v>8</x:v>
      </x:c>
      <x:c r="I125" s="11" t="n">
        <x:f>IF(H125="","",C125-H125)</x:f>
        <x:v>5</x:v>
      </x:c>
      <x:c r="J125" s="4" t="str">
        <x:v>https://blog.skyairline.com/equipaje-de-cabina/ (9 clics)
https://blog.skyairline.com/equipaje-de-bodega/ (3 clics)
https://blog.skyairline.com/escoger-una-maleta/ (1 clics)</x:v>
      </x:c>
      <x:c r="K125" s="4" t="str">
        <x:v>URLs de detalle page/query/country por clics. No asignan las impresiones de esta consulta a cada página.</x:v>
      </x:c>
    </x:row>
    <x:row r="126" ht="28" customHeight="1">
      <x:c r="A126" s="4" t="n">
        <x:v>116</x:v>
      </x:c>
      <x:c r="B126" s="4" t="str">
        <x:v>trabaja con nosotros sky</x:v>
      </x:c>
      <x:c r="C126" s="11" t="n">
        <x:v>13</x:v>
      </x:c>
      <x:c r="D126" s="11" t="n">
        <x:v>53</x:v>
      </x:c>
      <x:c r="E126" s="14" t="n">
        <x:v>0.24528301886792453</x:v>
      </x:c>
      <x:c r="F126" s="12" t="n">
        <x:v>3.943396226415094</x:v>
      </x:c>
      <x:c r="G126" s="4" t="str">
        <x:v>Contiene marca</x:v>
      </x:c>
      <x:c r="H126" s="11" t="n">
        <x:v>14</x:v>
      </x:c>
      <x:c r="I126" s="11" t="n">
        <x:f>IF(H126="","",C126-H126)</x:f>
        <x:v>-1</x:v>
      </x:c>
      <x:c r="J126" s="4" t="str">
        <x:v>https://blog.skyairline.com/categoria/oportunidades/ (13 clics)</x:v>
      </x:c>
      <x:c r="K126" s="4" t="str">
        <x:v>URLs de detalle page/query/country por clics. No asignan las impresiones de esta consulta a cada página.</x:v>
      </x:c>
    </x:row>
    <x:row r="127" ht="28" customHeight="1">
      <x:c r="A127" s="4" t="n">
        <x:v>117</x:v>
      </x:c>
      <x:c r="B127" s="4" t="str">
        <x:v>teléfonos de sky servicio al cliente</x:v>
      </x:c>
      <x:c r="C127" s="11" t="n">
        <x:v>12</x:v>
      </x:c>
      <x:c r="D127" s="11" t="n">
        <x:v>1138</x:v>
      </x:c>
      <x:c r="E127" s="14" t="n">
        <x:v>0.01054481546572935</x:v>
      </x:c>
      <x:c r="F127" s="12" t="n">
        <x:v>7.61335676625659</x:v>
      </x:c>
      <x:c r="G127" s="4" t="str">
        <x:v>Contiene marca</x:v>
      </x:c>
      <x:c r="H127" s="11" t="n">
        <x:v>2</x:v>
      </x:c>
      <x:c r="I127" s="11" t="n">
        <x:f>IF(H127="","",C127-H127)</x:f>
        <x:v>10</x:v>
      </x:c>
      <x:c r="J127" s="4" t="str">
        <x:v>https://blog.skyairline.com/sky-airline-2/ (11 clics)
https://blog.skyairline.com/pasaje-en-linea/ (1 clics)</x:v>
      </x:c>
      <x:c r="K127" s="4" t="str">
        <x:v>URLs de detalle page/query/country por clics. No asignan las impresiones de esta consulta a cada página.</x:v>
      </x:c>
    </x:row>
    <x:row r="128" ht="28" customHeight="1">
      <x:c r="A128" s="4" t="n">
        <x:v>118</x:v>
      </x:c>
      <x:c r="B128" s="4" t="str">
        <x:v>platos típicos de lima</x:v>
      </x:c>
      <x:c r="C128" s="11" t="n">
        <x:v>12</x:v>
      </x:c>
      <x:c r="D128" s="11" t="n">
        <x:v>292</x:v>
      </x:c>
      <x:c r="E128" s="14" t="n">
        <x:v>0.0410958904109589</x:v>
      </x:c>
      <x:c r="F128" s="12" t="n">
        <x:v>1.9178082191780823</x:v>
      </x:c>
      <x:c r="G128" s="4" t="str">
        <x:v>Sin marca literal</x:v>
      </x:c>
      <x:c r="H128" s="11" t="n">
        <x:v>12</x:v>
      </x:c>
      <x:c r="I128" s="11" t="n">
        <x:f>IF(H128="","",C128-H128)</x:f>
        <x:v>0</x:v>
      </x:c>
      <x:c r="J128" s="4" t="str">
        <x:v>https://blog.skyairline.com/platos-tipicos-de-lima/ (12 clics)</x:v>
      </x:c>
      <x:c r="K128" s="4" t="str">
        <x:v>URLs de detalle page/query/country por clics. No asignan las impresiones de esta consulta a cada página.</x:v>
      </x:c>
    </x:row>
    <x:row r="129" ht="28" customHeight="1">
      <x:c r="A129" s="4" t="n">
        <x:v>119</x:v>
      </x:c>
      <x:c r="B129" s="4" t="str">
        <x:v>sky cambiar fecha de vuelo</x:v>
      </x:c>
      <x:c r="C129" s="11" t="n">
        <x:v>12</x:v>
      </x:c>
      <x:c r="D129" s="11" t="n">
        <x:v>223</x:v>
      </x:c>
      <x:c r="E129" s="14" t="n">
        <x:v>0.053811659192825115</x:v>
      </x:c>
      <x:c r="F129" s="12" t="n">
        <x:v>5.807174887892376</x:v>
      </x:c>
      <x:c r="G129" s="4" t="str">
        <x:v>Contiene marca</x:v>
      </x:c>
      <x:c r="H129" s="11" t="n">
        <x:v>8</x:v>
      </x:c>
      <x:c r="I129" s="11" t="n">
        <x:f>IF(H129="","",C129-H129)</x:f>
        <x:v>4</x:v>
      </x:c>
      <x:c r="J129" s="4" t="str">
        <x:v>https://blog.skyairline.com/cambiar-vuelo-sky/ (12 clics)</x:v>
      </x:c>
      <x:c r="K129" s="4" t="str">
        <x:v>URLs de detalle page/query/country por clics. No asignan las impresiones de esta consulta a cada página.</x:v>
      </x:c>
    </x:row>
    <x:row r="130" ht="28" customHeight="1">
      <x:c r="A130" s="4" t="n">
        <x:v>120</x:v>
      </x:c>
      <x:c r="B130" s="4" t="str">
        <x:v>que no se puede llevar en el equipaje de mano sky</x:v>
      </x:c>
      <x:c r="C130" s="11" t="n">
        <x:v>12</x:v>
      </x:c>
      <x:c r="D130" s="11" t="n">
        <x:v>146</x:v>
      </x:c>
      <x:c r="E130" s="14" t="n">
        <x:v>0.0821917808219178</x:v>
      </x:c>
      <x:c r="F130" s="12" t="n">
        <x:v>4.157534246575342</x:v>
      </x:c>
      <x:c r="G130" s="4" t="str">
        <x:v>Contiene marca</x:v>
      </x:c>
      <x:c r="H130" s="11" t="n">
        <x:v>20</x:v>
      </x:c>
      <x:c r="I130" s="11" t="n">
        <x:f>IF(H130="","",C130-H130)</x:f>
        <x:v>-8</x:v>
      </x:c>
      <x:c r="J130" s="4" t="str">
        <x:v>https://blog.skyairline.com/equipaje-de-mano-permitido/ (8 clics)
https://blog.skyairline.com/equipaje-de-cabina/ (4 clics)</x:v>
      </x:c>
      <x:c r="K130" s="4" t="str">
        <x:v>URLs de detalle page/query/country por clics. No asignan las impresiones de esta consulta a cada página.</x:v>
      </x:c>
    </x:row>
    <x:row r="131" ht="28" customHeight="1">
      <x:c r="A131" s="4" t="n">
        <x:v>121</x:v>
      </x:c>
      <x:c r="B131" s="4" t="str">
        <x:v>medidas de mochila sky</x:v>
      </x:c>
      <x:c r="C131" s="11" t="n">
        <x:v>12</x:v>
      </x:c>
      <x:c r="D131" s="11" t="n">
        <x:v>144</x:v>
      </x:c>
      <x:c r="E131" s="14" t="n">
        <x:v>0.08333333333333333</x:v>
      </x:c>
      <x:c r="F131" s="12" t="n">
        <x:v>3.5972222222222223</x:v>
      </x:c>
      <x:c r="G131" s="4" t="str">
        <x:v>Contiene marca</x:v>
      </x:c>
      <x:c r="H131" s="11" t="n">
        <x:v>9</x:v>
      </x:c>
      <x:c r="I131" s="11" t="n">
        <x:f>IF(H131="","",C131-H131)</x:f>
        <x:v>3</x:v>
      </x:c>
      <x:c r="J131" s="4" t="str">
        <x:v>https://blog.skyairline.com/equipaje-de-bodega/ (8 clics)
https://blog.skyairline.com/equipaje-de-cabina/ (4 clics)</x:v>
      </x:c>
      <x:c r="K131" s="4" t="str">
        <x:v>URLs de detalle page/query/country por clics. No asignan las impresiones de esta consulta a cada página.</x:v>
      </x:c>
    </x:row>
    <x:row r="132" ht="28" customHeight="1">
      <x:c r="A132" s="4" t="n">
        <x:v>122</x:v>
      </x:c>
      <x:c r="B132" s="4" t="str">
        <x:v>sky bolso de mano medidas</x:v>
      </x:c>
      <x:c r="C132" s="11" t="n">
        <x:v>12</x:v>
      </x:c>
      <x:c r="D132" s="11" t="n">
        <x:v>142</x:v>
      </x:c>
      <x:c r="E132" s="14" t="n">
        <x:v>0.08450704225352113</x:v>
      </x:c>
      <x:c r="F132" s="12" t="n">
        <x:v>3.232394366197183</x:v>
      </x:c>
      <x:c r="G132" s="4" t="str">
        <x:v>Contiene marca</x:v>
      </x:c>
      <x:c r="H132" s="11" t="n">
        <x:v>41</x:v>
      </x:c>
      <x:c r="I132" s="11" t="n">
        <x:f>IF(H132="","",C132-H132)</x:f>
        <x:v>-29</x:v>
      </x:c>
      <x:c r="J132" s="4" t="str">
        <x:v>https://blog.skyairline.com/equipaje-de-cabina/ (7 clics)
https://blog.skyairline.com/equipaje-de-bodega/ (5 clics)</x:v>
      </x:c>
      <x:c r="K132" s="4" t="str">
        <x:v>URLs de detalle page/query/country por clics. No asignan las impresiones de esta consulta a cada página.</x:v>
      </x:c>
    </x:row>
    <x:row r="133" ht="28" customHeight="1">
      <x:c r="A133" s="4" t="n">
        <x:v>123</x:v>
      </x:c>
      <x:c r="B133" s="4" t="str">
        <x:v>sky equipaje de mano medidas</x:v>
      </x:c>
      <x:c r="C133" s="11" t="n">
        <x:v>12</x:v>
      </x:c>
      <x:c r="D133" s="11" t="n">
        <x:v>113</x:v>
      </x:c>
      <x:c r="E133" s="14" t="n">
        <x:v>0.10619469026548672</x:v>
      </x:c>
      <x:c r="F133" s="12" t="n">
        <x:v>4.345132743362832</x:v>
      </x:c>
      <x:c r="G133" s="4" t="str">
        <x:v>Contiene marca</x:v>
      </x:c>
      <x:c r="H133" s="11" t="n">
        <x:v>13</x:v>
      </x:c>
      <x:c r="I133" s="11" t="n">
        <x:f>IF(H133="","",C133-H133)</x:f>
        <x:v>-1</x:v>
      </x:c>
      <x:c r="J133" s="4" t="str">
        <x:v>https://blog.skyairline.com/equipaje-de-cabina/ (7 clics)
https://blog.skyairline.com/equipaje-de-bodega/ (4 clics)
https://blog.skyairline.com/tipos-de-equipaje/ (1 clics)</x:v>
      </x:c>
      <x:c r="K133" s="4" t="str">
        <x:v>URLs de detalle page/query/country por clics. No asignan las impresiones de esta consulta a cada página.</x:v>
      </x:c>
    </x:row>
    <x:row r="134" ht="28" customHeight="1">
      <x:c r="A134" s="4" t="n">
        <x:v>124</x:v>
      </x:c>
      <x:c r="B134" s="4" t="str">
        <x:v>sky airline medidas equipaje</x:v>
      </x:c>
      <x:c r="C134" s="11" t="n">
        <x:v>12</x:v>
      </x:c>
      <x:c r="D134" s="11" t="n">
        <x:v>85</x:v>
      </x:c>
      <x:c r="E134" s="14" t="n">
        <x:v>0.1411764705882353</x:v>
      </x:c>
      <x:c r="F134" s="12" t="n">
        <x:v>3.835294117647059</x:v>
      </x:c>
      <x:c r="G134" s="4" t="str">
        <x:v>Contiene marca</x:v>
      </x:c>
      <x:c r="H134" s="11" t="n">
        <x:v>19</x:v>
      </x:c>
      <x:c r="I134" s="11" t="n">
        <x:f>IF(H134="","",C134-H134)</x:f>
        <x:v>-7</x:v>
      </x:c>
      <x:c r="J134" s="4" t="str">
        <x:v>https://blog.skyairline.com/equipaje-de-bodega/ (8 clics)
https://blog.skyairline.com/tipos-de-equipaje/ (4 clics)</x:v>
      </x:c>
      <x:c r="K134" s="4" t="str">
        <x:v>URLs de detalle page/query/country por clics. No asignan las impresiones de esta consulta a cada página.</x:v>
      </x:c>
    </x:row>
    <x:row r="135" ht="28" customHeight="1">
      <x:c r="A135" s="4" t="n">
        <x:v>125</x:v>
      </x:c>
      <x:c r="B135" s="4" t="str">
        <x:v>sky airlines maletas</x:v>
      </x:c>
      <x:c r="C135" s="11" t="n">
        <x:v>12</x:v>
      </x:c>
      <x:c r="D135" s="11" t="n">
        <x:v>60</x:v>
      </x:c>
      <x:c r="E135" s="14" t="n">
        <x:v>0.2</x:v>
      </x:c>
      <x:c r="F135" s="12" t="n">
        <x:v>4.366666666666667</x:v>
      </x:c>
      <x:c r="G135" s="4" t="str">
        <x:v>Contiene marca</x:v>
      </x:c>
      <x:c r="H135" s="11" t="n">
        <x:v>14</x:v>
      </x:c>
      <x:c r="I135" s="11" t="n">
        <x:f>IF(H135="","",C135-H135)</x:f>
        <x:v>-2</x:v>
      </x:c>
      <x:c r="J135" s="4" t="str">
        <x:v>https://blog.skyairline.com/tipos-de-equipaje/ (10 clics)
https://blog.skyairline.com/equipaje-de-bodega/ (2 clics)</x:v>
      </x:c>
      <x:c r="K135" s="4" t="str">
        <x:v>URLs de detalle page/query/country por clics. No asignan las impresiones de esta consulta a cada página.</x:v>
      </x:c>
    </x:row>
    <x:row r="136" ht="28" customHeight="1">
      <x:c r="A136" s="4" t="n">
        <x:v>126</x:v>
      </x:c>
      <x:c r="B136" s="4" t="str">
        <x:v>sky airlines trabajo</x:v>
      </x:c>
      <x:c r="C136" s="11" t="n">
        <x:v>12</x:v>
      </x:c>
      <x:c r="D136" s="11" t="n">
        <x:v>40</x:v>
      </x:c>
      <x:c r="E136" s="14" t="n">
        <x:v>0.3</x:v>
      </x:c>
      <x:c r="F136" s="12" t="n">
        <x:v>5.025</x:v>
      </x:c>
      <x:c r="G136" s="4" t="str">
        <x:v>Contiene marca</x:v>
      </x:c>
      <x:c r="H136" s="11" t="n">
        <x:v>5</x:v>
      </x:c>
      <x:c r="I136" s="11" t="n">
        <x:f>IF(H136="","",C136-H136)</x:f>
        <x:v>7</x:v>
      </x:c>
      <x:c r="J136" s="4" t="str">
        <x:v>https://blog.skyairline.com/categoria/oportunidades/ (12 clics)</x:v>
      </x:c>
      <x:c r="K136" s="4" t="str">
        <x:v>URLs de detalle page/query/country por clics. No asignan las impresiones de esta consulta a cada página.</x:v>
      </x:c>
    </x:row>
    <x:row r="137" ht="28" customHeight="1">
      <x:c r="A137" s="4" t="n">
        <x:v>127</x:v>
      </x:c>
      <x:c r="B137" s="4" t="str">
        <x:v>tripulante de cabina curso</x:v>
      </x:c>
      <x:c r="C137" s="11" t="n">
        <x:v>12</x:v>
      </x:c>
      <x:c r="D137" s="11" t="n">
        <x:v>39</x:v>
      </x:c>
      <x:c r="E137" s="14" t="n">
        <x:v>0.3076923076923077</x:v>
      </x:c>
      <x:c r="F137" s="12" t="n">
        <x:v>5.589743589743589</x:v>
      </x:c>
      <x:c r="G137" s="4" t="str">
        <x:v>Sin marca literal</x:v>
      </x:c>
      <x:c r="H137" s="11" t="n">
        <x:v>4</x:v>
      </x:c>
      <x:c r="I137" s="11" t="n">
        <x:f>IF(H137="","",C137-H137)</x:f>
        <x:v>8</x:v>
      </x:c>
      <x:c r="J137" s="4" t="str">
        <x:v>https://blog.skyairline.com/curso-tripulante-cabina/ (11 clics)
https://blog.skyairline.com/que-estudia-tripulante-cabina/ (1 clics)</x:v>
      </x:c>
      <x:c r="K137" s="4" t="str">
        <x:v>URLs de detalle page/query/country por clics. No asignan las impresiones de esta consulta a cada página.</x:v>
      </x:c>
    </x:row>
    <x:row r="138" ht="28" customHeight="1">
      <x:c r="A138" s="4" t="n">
        <x:v>128</x:v>
      </x:c>
      <x:c r="B138" s="4" t="str">
        <x:v>sky curso tripulante de cabina</x:v>
      </x:c>
      <x:c r="C138" s="11" t="n">
        <x:v>12</x:v>
      </x:c>
      <x:c r="D138" s="11" t="n">
        <x:v>37</x:v>
      </x:c>
      <x:c r="E138" s="14" t="n">
        <x:v>0.32432432432432434</x:v>
      </x:c>
      <x:c r="F138" s="12" t="n">
        <x:v>4.081081081081081</x:v>
      </x:c>
      <x:c r="G138" s="4" t="str">
        <x:v>Contiene marca</x:v>
      </x:c>
      <x:c r="H138" s="11" t="n">
        <x:v>9</x:v>
      </x:c>
      <x:c r="I138" s="11" t="n">
        <x:f>IF(H138="","",C138-H138)</x:f>
        <x:v>3</x:v>
      </x:c>
      <x:c r="J138" s="4" t="str">
        <x:v>https://blog.skyairline.com/curso-tripulante-cabina/ (11 clics)
https://blog.skyairline.com/que-estudia-tripulante-cabina/ (1 clics)</x:v>
      </x:c>
      <x:c r="K138" s="4" t="str">
        <x:v>URLs de detalle page/query/country por clics. No asignan las impresiones de esta consulta a cada página.</x:v>
      </x:c>
    </x:row>
    <x:row r="139" ht="28" customHeight="1">
      <x:c r="A139" s="4" t="n">
        <x:v>129</x:v>
      </x:c>
      <x:c r="B139" s="4" t="str">
        <x:v>punta sal donde queda</x:v>
      </x:c>
      <x:c r="C139" s="11" t="n">
        <x:v>11</x:v>
      </x:c>
      <x:c r="D139" s="11" t="n">
        <x:v>1936</x:v>
      </x:c>
      <x:c r="E139" s="14" t="n">
        <x:v>0.005681818181818182</x:v>
      </x:c>
      <x:c r="F139" s="12" t="n">
        <x:v>6.161157024793388</x:v>
      </x:c>
      <x:c r="G139" s="4" t="str">
        <x:v>Sin marca literal</x:v>
      </x:c>
      <x:c r="H139" s="11" t="n">
        <x:v>10</x:v>
      </x:c>
      <x:c r="I139" s="11" t="n">
        <x:f>IF(H139="","",C139-H139)</x:f>
        <x:v>1</x:v>
      </x:c>
      <x:c r="J139" s="4" t="str">
        <x:v>https://blog.skyairline.com/punta-sal/ (11 clics)</x:v>
      </x:c>
      <x:c r="K139" s="4" t="str">
        <x:v>URLs de detalle page/query/country por clics. No asignan las impresiones de esta consulta a cada página.</x:v>
      </x:c>
    </x:row>
    <x:row r="140" ht="28" customHeight="1">
      <x:c r="A140" s="4" t="n">
        <x:v>130</x:v>
      </x:c>
      <x:c r="B140" s="4" t="str">
        <x:v>medidas articulo personal sky</x:v>
      </x:c>
      <x:c r="C140" s="11" t="n">
        <x:v>11</x:v>
      </x:c>
      <x:c r="D140" s="11" t="n">
        <x:v>215</x:v>
      </x:c>
      <x:c r="E140" s="14" t="n">
        <x:v>0.05116279069767442</x:v>
      </x:c>
      <x:c r="F140" s="12" t="n">
        <x:v>5</x:v>
      </x:c>
      <x:c r="G140" s="4" t="str">
        <x:v>Contiene marca</x:v>
      </x:c>
      <x:c r="H140" s="11" t="n">
        <x:v>19</x:v>
      </x:c>
      <x:c r="I140" s="11" t="n">
        <x:f>IF(H140="","",C140-H140)</x:f>
        <x:v>-8</x:v>
      </x:c>
      <x:c r="J140" s="4" t="str">
        <x:v>https://blog.skyairline.com/equipaje-de-cabina/ (9 clics)
https://blog.skyairline.com/tipos-de-equipaje/ (2 clics)</x:v>
      </x:c>
      <x:c r="K140" s="4" t="str">
        <x:v>URLs de detalle page/query/country por clics. No asignan las impresiones de esta consulta a cada página.</x:v>
      </x:c>
    </x:row>
    <x:row r="141" ht="28" customHeight="1">
      <x:c r="A141" s="4" t="n">
        <x:v>131</x:v>
      </x:c>
      <x:c r="B141" s="4" t="str">
        <x:v>sky cambio de fecha de vuelo</x:v>
      </x:c>
      <x:c r="C141" s="11" t="n">
        <x:v>11</x:v>
      </x:c>
      <x:c r="D141" s="11" t="n">
        <x:v>210</x:v>
      </x:c>
      <x:c r="E141" s="14" t="n">
        <x:v>0.05238095238095238</x:v>
      </x:c>
      <x:c r="F141" s="12" t="n">
        <x:v>5.0285714285714285</x:v>
      </x:c>
      <x:c r="G141" s="4" t="str">
        <x:v>Contiene marca</x:v>
      </x:c>
      <x:c r="H141" s="11" t="n">
        <x:v>6</x:v>
      </x:c>
      <x:c r="I141" s="11" t="n">
        <x:f>IF(H141="","",C141-H141)</x:f>
        <x:v>5</x:v>
      </x:c>
      <x:c r="J141" s="4" t="str">
        <x:v>https://blog.skyairline.com/cambiar-vuelo-sky/ (10 clics)
https://blog.skyairline.com/se-pueden-cambiar-los-pasajes-de-avion/ (1 clics)</x:v>
      </x:c>
      <x:c r="K141" s="4" t="str">
        <x:v>URLs de detalle page/query/country por clics. No asignan las impresiones de esta consulta a cada página.</x:v>
      </x:c>
    </x:row>
    <x:row r="142" ht="28" customHeight="1">
      <x:c r="A142" s="4" t="n">
        <x:v>132</x:v>
      </x:c>
      <x:c r="B142" s="4" t="str">
        <x:v>sky medidas de bolso de mano</x:v>
      </x:c>
      <x:c r="C142" s="11" t="n">
        <x:v>11</x:v>
      </x:c>
      <x:c r="D142" s="11" t="n">
        <x:v>109</x:v>
      </x:c>
      <x:c r="E142" s="14" t="n">
        <x:v>0.10091743119266056</x:v>
      </x:c>
      <x:c r="F142" s="12" t="n">
        <x:v>3.220183486238532</x:v>
      </x:c>
      <x:c r="G142" s="4" t="str">
        <x:v>Contiene marca</x:v>
      </x:c>
      <x:c r="H142" s="11" t="n">
        <x:v>12</x:v>
      </x:c>
      <x:c r="I142" s="11" t="n">
        <x:f>IF(H142="","",C142-H142)</x:f>
        <x:v>-1</x:v>
      </x:c>
      <x:c r="J142" s="4" t="str">
        <x:v>https://blog.skyairline.com/equipaje-de-bodega/ (8 clics)
https://blog.skyairline.com/equipaje-de-cabina/ (3 clics)</x:v>
      </x:c>
      <x:c r="K142" s="4" t="str">
        <x:v>URLs de detalle page/query/country por clics. No asignan las impresiones de esta consulta a cada página.</x:v>
      </x:c>
    </x:row>
    <x:row r="143" ht="28" customHeight="1">
      <x:c r="A143" s="4" t="n">
        <x:v>133</x:v>
      </x:c>
      <x:c r="B143" s="4" t="str">
        <x:v>sky airlines bolso de mano medidas</x:v>
      </x:c>
      <x:c r="C143" s="11" t="n">
        <x:v>11</x:v>
      </x:c>
      <x:c r="D143" s="11" t="n">
        <x:v>86</x:v>
      </x:c>
      <x:c r="E143" s="14" t="n">
        <x:v>0.12790697674418605</x:v>
      </x:c>
      <x:c r="F143" s="12" t="n">
        <x:v>4.116279069767442</x:v>
      </x:c>
      <x:c r="G143" s="4" t="str">
        <x:v>Contiene marca</x:v>
      </x:c>
      <x:c r="H143" s="11" t="n">
        <x:v>0</x:v>
      </x:c>
      <x:c r="I143" s="11" t="str">
        <x:f>IF(H143="","",C143-H143)</x:f>
      </x:c>
      <x:c r="J143" s="4" t="str">
        <x:v>https://blog.skyairline.com/equipaje-de-cabina/ (5 clics)
https://blog.skyairline.com/equipaje-de-bodega/ (4 clics)
https://blog.skyairline.com/tipos-de-equipaje/ (2 clics)</x:v>
      </x:c>
      <x:c r="K143" s="4" t="str">
        <x:v>URLs de detalle page/query/country por clics. No asignan las impresiones de esta consulta a cada página.</x:v>
      </x:c>
    </x:row>
    <x:row r="144" ht="28" customHeight="1">
      <x:c r="A144" s="4" t="n">
        <x:v>134</x:v>
      </x:c>
      <x:c r="B144" s="4" t="str">
        <x:v>seguro de viaje sky</x:v>
      </x:c>
      <x:c r="C144" s="11" t="n">
        <x:v>11</x:v>
      </x:c>
      <x:c r="D144" s="11" t="n">
        <x:v>69</x:v>
      </x:c>
      <x:c r="E144" s="14" t="n">
        <x:v>0.15942028985507245</x:v>
      </x:c>
      <x:c r="F144" s="12" t="n">
        <x:v>5.3768115942028984</x:v>
      </x:c>
      <x:c r="G144" s="4" t="str">
        <x:v>Contiene marca</x:v>
      </x:c>
      <x:c r="H144" s="11" t="n">
        <x:v>0</x:v>
      </x:c>
      <x:c r="I144" s="11" t="str">
        <x:f>IF(H144="","",C144-H144)</x:f>
      </x:c>
      <x:c r="J144" s="4" t="str">
        <x:v>https://blog.skyairline.com/seguro-de-viaje/ (9 clics)
https://blog.skyairline.com/asistencia-al-viajero/ (1 clics)
https://blog.skyairline.com/como-funciona-un-seguro-de-viaje/ (1 clics)</x:v>
      </x:c>
      <x:c r="K144" s="4" t="str">
        <x:v>URLs de detalle page/query/country por clics. No asignan las impresiones de esta consulta a cada página.</x:v>
      </x:c>
    </x:row>
    <x:row r="145" ht="28" customHeight="1">
      <x:c r="A145" s="4" t="n">
        <x:v>135</x:v>
      </x:c>
      <x:c r="B145" s="4" t="str">
        <x:v>medidas sky mochila</x:v>
      </x:c>
      <x:c r="C145" s="11" t="n">
        <x:v>11</x:v>
      </x:c>
      <x:c r="D145" s="11" t="n">
        <x:v>65</x:v>
      </x:c>
      <x:c r="E145" s="14" t="n">
        <x:v>0.16923076923076924</x:v>
      </x:c>
      <x:c r="F145" s="12" t="n">
        <x:v>3.2615384615384615</x:v>
      </x:c>
      <x:c r="G145" s="4" t="str">
        <x:v>Contiene marca</x:v>
      </x:c>
      <x:c r="H145" s="11" t="n">
        <x:v>6</x:v>
      </x:c>
      <x:c r="I145" s="11" t="n">
        <x:f>IF(H145="","",C145-H145)</x:f>
        <x:v>5</x:v>
      </x:c>
      <x:c r="J145" s="4" t="str">
        <x:v>https://blog.skyairline.com/equipaje-de-bodega/ (8 clics)
https://blog.skyairline.com/equipaje-de-cabina/ (3 clics)</x:v>
      </x:c>
      <x:c r="K145" s="4" t="str">
        <x:v>URLs de detalle page/query/country por clics. No asignan las impresiones de esta consulta a cada página.</x:v>
      </x:c>
    </x:row>
    <x:row r="146" ht="28" customHeight="1">
      <x:c r="A146" s="4" t="n">
        <x:v>136</x:v>
      </x:c>
      <x:c r="B146" s="4" t="str">
        <x:v>flota sky airlines</x:v>
      </x:c>
      <x:c r="C146" s="11" t="n">
        <x:v>11</x:v>
      </x:c>
      <x:c r="D146" s="11" t="n">
        <x:v>64</x:v>
      </x:c>
      <x:c r="E146" s="14" t="n">
        <x:v>0.171875</x:v>
      </x:c>
      <x:c r="F146" s="12" t="n">
        <x:v>5.421875</x:v>
      </x:c>
      <x:c r="G146" s="4" t="str">
        <x:v>Contiene marca</x:v>
      </x:c>
      <x:c r="H146" s="11" t="n">
        <x:v>15</x:v>
      </x:c>
      <x:c r="I146" s="11" t="n">
        <x:f>IF(H146="","",C146-H146)</x:f>
        <x:v>-4</x:v>
      </x:c>
      <x:c r="J146" s="4" t="str">
        <x:v>https://blog.skyairline.com/sky-aviones/ (11 clics)</x:v>
      </x:c>
      <x:c r="K146" s="4" t="str">
        <x:v>URLs de detalle page/query/country por clics. No asignan las impresiones de esta consulta a cada página.</x:v>
      </x:c>
    </x:row>
    <x:row r="147" ht="28" customHeight="1">
      <x:c r="A147" s="4" t="n">
        <x:v>137</x:v>
      </x:c>
      <x:c r="B147" s="4" t="str">
        <x:v>premium economy sky</x:v>
      </x:c>
      <x:c r="C147" s="11" t="n">
        <x:v>11</x:v>
      </x:c>
      <x:c r="D147" s="11" t="n">
        <x:v>60</x:v>
      </x:c>
      <x:c r="E147" s="14" t="n">
        <x:v>0.18333333333333332</x:v>
      </x:c>
      <x:c r="F147" s="12" t="n">
        <x:v>2.4</x:v>
      </x:c>
      <x:c r="G147" s="4" t="str">
        <x:v>Contiene marca</x:v>
      </x:c>
      <x:c r="H147" s="11" t="n">
        <x:v>3</x:v>
      </x:c>
      <x:c r="I147" s="11" t="n">
        <x:f>IF(H147="","",C147-H147)</x:f>
        <x:v>8</x:v>
      </x:c>
      <x:c r="J147" s="4" t="str">
        <x:v>https://blog.skyairline.com/sky-fortalece-su-propuesta-de-valor-para-sus-pasajeros-con-economy-premier/ (10 clics)
https://blog.skyairline.com/descubre-economy-premier-la-nueva-experiencia-para-viajar-mas-comodo/ (1 clics)</x:v>
      </x:c>
      <x:c r="K147" s="4" t="str">
        <x:v>URLs de detalle page/query/country por clics. No asignan las impresiones de esta consulta a cada página.</x:v>
      </x:c>
    </x:row>
    <x:row r="148" ht="28" customHeight="1">
      <x:c r="A148" s="4" t="n">
        <x:v>138</x:v>
      </x:c>
      <x:c r="B148" s="4" t="str">
        <x:v>sky airline mascotas</x:v>
      </x:c>
      <x:c r="C148" s="11" t="n">
        <x:v>11</x:v>
      </x:c>
      <x:c r="D148" s="11" t="n">
        <x:v>41</x:v>
      </x:c>
      <x:c r="E148" s="14" t="n">
        <x:v>0.2682926829268293</x:v>
      </x:c>
      <x:c r="F148" s="12" t="n">
        <x:v>3.5609756097560976</x:v>
      </x:c>
      <x:c r="G148" s="4" t="str">
        <x:v>Contiene marca</x:v>
      </x:c>
      <x:c r="H148" s="11" t="n">
        <x:v>14</x:v>
      </x:c>
      <x:c r="I148" s="11" t="n">
        <x:f>IF(H148="","",C148-H148)</x:f>
        <x:v>-3</x:v>
      </x:c>
      <x:c r="J148" s="4" t="str">
        <x:v>https://blog.skyairline.com/viajar-con-perros/ (9 clics)
https://blog.skyairline.com/mascotas-en-cabina/ (2 clics)</x:v>
      </x:c>
      <x:c r="K148" s="4" t="str">
        <x:v>URLs de detalle page/query/country por clics. No asignan las impresiones de esta consulta a cada página.</x:v>
      </x:c>
    </x:row>
    <x:row r="149" ht="28" customHeight="1">
      <x:c r="A149" s="4" t="n">
        <x:v>139</x:v>
      </x:c>
      <x:c r="B149" s="4" t="str">
        <x:v>academia tripulante de cabina sky</x:v>
      </x:c>
      <x:c r="C149" s="11" t="n">
        <x:v>11</x:v>
      </x:c>
      <x:c r="D149" s="11" t="n">
        <x:v>35</x:v>
      </x:c>
      <x:c r="E149" s="14" t="n">
        <x:v>0.3142857142857143</x:v>
      </x:c>
      <x:c r="F149" s="12" t="n">
        <x:v>3.3714285714285714</x:v>
      </x:c>
      <x:c r="G149" s="4" t="str">
        <x:v>Contiene marca</x:v>
      </x:c>
      <x:c r="H149" s="11" t="n">
        <x:v>0</x:v>
      </x:c>
      <x:c r="I149" s="11" t="str">
        <x:f>IF(H149="","",C149-H149)</x:f>
      </x:c>
      <x:c r="J149" s="4" t="str">
        <x:v>https://blog.skyairline.com/curso-tripulante-cabina/ (9 clics)
https://blog.skyairline.com/que-estudia-tripulante-cabina/ (2 clics)</x:v>
      </x:c>
      <x:c r="K149" s="4" t="str">
        <x:v>URLs de detalle page/query/country por clics. No asignan las impresiones de esta consulta a cada página.</x:v>
      </x:c>
    </x:row>
    <x:row r="150" ht="28" customHeight="1">
      <x:c r="A150" s="4" t="n">
        <x:v>140</x:v>
      </x:c>
      <x:c r="B150" s="4" t="str">
        <x:v>sky premiere</x:v>
      </x:c>
      <x:c r="C150" s="11" t="n">
        <x:v>11</x:v>
      </x:c>
      <x:c r="D150" s="11" t="n">
        <x:v>27</x:v>
      </x:c>
      <x:c r="E150" s="14" t="n">
        <x:v>0.4074074074074074</x:v>
      </x:c>
      <x:c r="F150" s="12" t="n">
        <x:v>2.148148148148148</x:v>
      </x:c>
      <x:c r="G150" s="4" t="str">
        <x:v>Contiene marca</x:v>
      </x:c>
      <x:c r="H150" s="11" t="n">
        <x:v>6</x:v>
      </x:c>
      <x:c r="I150" s="11" t="n">
        <x:f>IF(H150="","",C150-H150)</x:f>
        <x:v>5</x:v>
      </x:c>
      <x:c r="J150" s="4" t="str">
        <x:v>https://blog.skyairline.com/sky-fortalece-su-propuesta-de-valor-para-sus-pasajeros-con-economy-premier/ (11 clics)</x:v>
      </x:c>
      <x:c r="K150" s="4" t="str">
        <x:v>URLs de detalle page/query/country por clics. No asignan las impresiones de esta consulta a cada página.</x:v>
      </x:c>
    </x:row>
    <x:row r="151" ht="28" customHeight="1">
      <x:c r="A151" s="4" t="n">
        <x:v>141</x:v>
      </x:c>
      <x:c r="B151" s="4" t="str">
        <x:v>auroras boreales en chile</x:v>
      </x:c>
      <x:c r="C151" s="11" t="n">
        <x:v>10</x:v>
      </x:c>
      <x:c r="D151" s="11" t="n">
        <x:v>377</x:v>
      </x:c>
      <x:c r="E151" s="14" t="n">
        <x:v>0.026525198938992044</x:v>
      </x:c>
      <x:c r="F151" s="12" t="n">
        <x:v>4.029177718832891</x:v>
      </x:c>
      <x:c r="G151" s="4" t="str">
        <x:v>Sin marca literal</x:v>
      </x:c>
      <x:c r="H151" s="11" t="n">
        <x:v>6</x:v>
      </x:c>
      <x:c r="I151" s="11" t="n">
        <x:f>IF(H151="","",C151-H151)</x:f>
        <x:v>4</x:v>
      </x:c>
      <x:c r="J151" s="4" t="str">
        <x:v>https://blog.skyairline.com/auroras-australes-en-chile-cuando-y-donde-verlas/ (10 clics)</x:v>
      </x:c>
      <x:c r="K151" s="4" t="str">
        <x:v>URLs de detalle page/query/country por clics. No asignan las impresiones de esta consulta a cada página.</x:v>
      </x:c>
    </x:row>
    <x:row r="152" ht="28" customHeight="1">
      <x:c r="A152" s="4" t="n">
        <x:v>142</x:v>
      </x:c>
      <x:c r="B152" s="4" t="str">
        <x:v>medida bolso de mano sky</x:v>
      </x:c>
      <x:c r="C152" s="11" t="n">
        <x:v>10</x:v>
      </x:c>
      <x:c r="D152" s="11" t="n">
        <x:v>186</x:v>
      </x:c>
      <x:c r="E152" s="14" t="n">
        <x:v>0.053763440860215055</x:v>
      </x:c>
      <x:c r="F152" s="12" t="n">
        <x:v>3.349462365591398</x:v>
      </x:c>
      <x:c r="G152" s="4" t="str">
        <x:v>Contiene marca</x:v>
      </x:c>
      <x:c r="H152" s="11" t="n">
        <x:v>4</x:v>
      </x:c>
      <x:c r="I152" s="11" t="n">
        <x:f>IF(H152="","",C152-H152)</x:f>
        <x:v>6</x:v>
      </x:c>
      <x:c r="J152" s="4" t="str">
        <x:v>https://blog.skyairline.com/equipaje-de-bodega/ (7 clics)
https://blog.skyairline.com/equipaje-de-cabina/ (3 clics)</x:v>
      </x:c>
      <x:c r="K152" s="4" t="str">
        <x:v>URLs de detalle page/query/country por clics. No asignan las impresiones de esta consulta a cada página.</x:v>
      </x:c>
    </x:row>
    <x:row r="153" ht="28" customHeight="1">
      <x:c r="A153" s="4" t="n">
        <x:v>143</x:v>
      </x:c>
      <x:c r="B153" s="4" t="str">
        <x:v>medida equipaje de mano sky</x:v>
      </x:c>
      <x:c r="C153" s="11" t="n">
        <x:v>10</x:v>
      </x:c>
      <x:c r="D153" s="11" t="n">
        <x:v>142</x:v>
      </x:c>
      <x:c r="E153" s="14" t="n">
        <x:v>0.07042253521126761</x:v>
      </x:c>
      <x:c r="F153" s="12" t="n">
        <x:v>3.9859154929577465</x:v>
      </x:c>
      <x:c r="G153" s="4" t="str">
        <x:v>Contiene marca</x:v>
      </x:c>
      <x:c r="H153" s="11" t="n">
        <x:v>14</x:v>
      </x:c>
      <x:c r="I153" s="11" t="n">
        <x:f>IF(H153="","",C153-H153)</x:f>
        <x:v>-4</x:v>
      </x:c>
      <x:c r="J153" s="4" t="str">
        <x:v>https://blog.skyairline.com/equipaje-de-cabina/ (5 clics)
https://blog.skyairline.com/equipaje-de-bodega/ (5 clics)</x:v>
      </x:c>
      <x:c r="K153" s="4" t="str">
        <x:v>URLs de detalle page/query/country por clics. No asignan las impresiones de esta consulta a cada página.</x:v>
      </x:c>
    </x:row>
    <x:row r="154" ht="28" customHeight="1">
      <x:c r="A154" s="4" t="n">
        <x:v>144</x:v>
      </x:c>
      <x:c r="B154" s="4" t="str">
        <x:v>sky airlines que puedo llevar en equipaje de mano</x:v>
      </x:c>
      <x:c r="C154" s="11" t="n">
        <x:v>10</x:v>
      </x:c>
      <x:c r="D154" s="11" t="n">
        <x:v>102</x:v>
      </x:c>
      <x:c r="E154" s="14" t="n">
        <x:v>0.09803921568627451</x:v>
      </x:c>
      <x:c r="F154" s="12" t="n">
        <x:v>4.970588235294118</x:v>
      </x:c>
      <x:c r="G154" s="4" t="str">
        <x:v>Contiene marca</x:v>
      </x:c>
      <x:c r="H154" s="11" t="n">
        <x:v>3</x:v>
      </x:c>
      <x:c r="I154" s="11" t="n">
        <x:f>IF(H154="","",C154-H154)</x:f>
        <x:v>7</x:v>
      </x:c>
      <x:c r="J154" s="4" t="str">
        <x:v>https://blog.skyairline.com/equipaje-de-cabina/ (7 clics)
https://blog.skyairline.com/equipaje-de-bodega/ (2 clics)
https://blog.skyairline.com/equipaje-de-mano-permitido/ (1 clics)</x:v>
      </x:c>
      <x:c r="K154" s="4" t="str">
        <x:v>URLs de detalle page/query/country por clics. No asignan las impresiones de esta consulta a cada página.</x:v>
      </x:c>
    </x:row>
    <x:row r="155" ht="28" customHeight="1">
      <x:c r="A155" s="4" t="n">
        <x:v>145</x:v>
      </x:c>
      <x:c r="B155" s="4" t="str">
        <x:v>sky trabajo</x:v>
      </x:c>
      <x:c r="C155" s="11" t="n">
        <x:v>10</x:v>
      </x:c>
      <x:c r="D155" s="11" t="n">
        <x:v>100</x:v>
      </x:c>
      <x:c r="E155" s="14" t="n">
        <x:v>0.1</x:v>
      </x:c>
      <x:c r="F155" s="12" t="n">
        <x:v>6.85</x:v>
      </x:c>
      <x:c r="G155" s="4" t="str">
        <x:v>Contiene marca</x:v>
      </x:c>
      <x:c r="H155" s="11" t="n">
        <x:v>22</x:v>
      </x:c>
      <x:c r="I155" s="11" t="n">
        <x:f>IF(H155="","",C155-H155)</x:f>
        <x:v>-12</x:v>
      </x:c>
      <x:c r="J155" s="4" t="str">
        <x:v>https://blog.skyairline.com/categoria/oportunidades/ (10 clics)</x:v>
      </x:c>
      <x:c r="K155" s="4" t="str">
        <x:v>URLs de detalle page/query/country por clics. No asignan las impresiones de esta consulta a cada página.</x:v>
      </x:c>
    </x:row>
    <x:row r="156" ht="28" customHeight="1">
      <x:c r="A156" s="4" t="n">
        <x:v>146</x:v>
      </x:c>
      <x:c r="B156" s="4" t="str">
        <x:v>cuantos puntos sky plus necesito para viajar</x:v>
      </x:c>
      <x:c r="C156" s="11" t="n">
        <x:v>10</x:v>
      </x:c>
      <x:c r="D156" s="11" t="n">
        <x:v>98</x:v>
      </x:c>
      <x:c r="E156" s="14" t="n">
        <x:v>0.10204081632653061</x:v>
      </x:c>
      <x:c r="F156" s="12" t="n">
        <x:v>3.0816326530612246</x:v>
      </x:c>
      <x:c r="G156" s="4" t="str">
        <x:v>Contiene marca</x:v>
      </x:c>
      <x:c r="H156" s="11" t="n">
        <x:v>5</x:v>
      </x:c>
      <x:c r="I156" s="11" t="n">
        <x:f>IF(H156="","",C156-H156)</x:f>
        <x:v>5</x:v>
      </x:c>
      <x:c r="J156" s="4" t="str">
        <x:v>https://blog.skyairline.com/sky-plus/ (10 clics)</x:v>
      </x:c>
      <x:c r="K156" s="4" t="str">
        <x:v>URLs de detalle page/query/country por clics. No asignan las impresiones de esta consulta a cada página.</x:v>
      </x:c>
    </x:row>
    <x:row r="157" ht="28" customHeight="1">
      <x:c r="A157" s="4" t="n">
        <x:v>147</x:v>
      </x:c>
      <x:c r="B157" s="4" t="str">
        <x:v>dimensiones equipaje de mano sky</x:v>
      </x:c>
      <x:c r="C157" s="11" t="n">
        <x:v>10</x:v>
      </x:c>
      <x:c r="D157" s="11" t="n">
        <x:v>96</x:v>
      </x:c>
      <x:c r="E157" s="14" t="n">
        <x:v>0.10416666666666667</x:v>
      </x:c>
      <x:c r="F157" s="12" t="n">
        <x:v>3.65625</x:v>
      </x:c>
      <x:c r="G157" s="4" t="str">
        <x:v>Contiene marca</x:v>
      </x:c>
      <x:c r="H157" s="11" t="n">
        <x:v>7</x:v>
      </x:c>
      <x:c r="I157" s="11" t="n">
        <x:f>IF(H157="","",C157-H157)</x:f>
        <x:v>3</x:v>
      </x:c>
      <x:c r="J157" s="4" t="str">
        <x:v>https://blog.skyairline.com/equipaje-de-cabina/ (5 clics)
https://blog.skyairline.com/equipaje-de-bodega/ (4 clics)
https://blog.skyairline.com/escoger-una-maleta/ (1 clics)</x:v>
      </x:c>
      <x:c r="K157" s="4" t="str">
        <x:v>URLs de detalle page/query/country por clics. No asignan las impresiones de esta consulta a cada página.</x:v>
      </x:c>
    </x:row>
    <x:row r="158" ht="28" customHeight="1">
      <x:c r="A158" s="4" t="n">
        <x:v>148</x:v>
      </x:c>
      <x:c r="B158" s="4" t="str">
        <x:v>sky airlines cambio de vuelo</x:v>
      </x:c>
      <x:c r="C158" s="11" t="n">
        <x:v>10</x:v>
      </x:c>
      <x:c r="D158" s="11" t="n">
        <x:v>82</x:v>
      </x:c>
      <x:c r="E158" s="14" t="n">
        <x:v>0.12195121951219512</x:v>
      </x:c>
      <x:c r="F158" s="12" t="n">
        <x:v>4.768292682926829</x:v>
      </x:c>
      <x:c r="G158" s="4" t="str">
        <x:v>Contiene marca</x:v>
      </x:c>
      <x:c r="H158" s="11" t="n">
        <x:v>8</x:v>
      </x:c>
      <x:c r="I158" s="11" t="n">
        <x:f>IF(H158="","",C158-H158)</x:f>
        <x:v>2</x:v>
      </x:c>
      <x:c r="J158" s="4" t="str">
        <x:v>https://blog.skyairline.com/cambiar-vuelo-sky/ (10 clics)</x:v>
      </x:c>
      <x:c r="K158" s="4" t="str">
        <x:v>URLs de detalle page/query/country por clics. No asignan las impresiones de esta consulta a cada página.</x:v>
      </x:c>
    </x:row>
    <x:row r="159" ht="28" customHeight="1">
      <x:c r="A159" s="4" t="n">
        <x:v>149</x:v>
      </x:c>
      <x:c r="B159" s="4" t="str">
        <x:v>pucon tiene aeropuerto</x:v>
      </x:c>
      <x:c r="C159" s="11" t="n">
        <x:v>10</x:v>
      </x:c>
      <x:c r="D159" s="11" t="n">
        <x:v>81</x:v>
      </x:c>
      <x:c r="E159" s="14" t="n">
        <x:v>0.12345679012345678</x:v>
      </x:c>
      <x:c r="F159" s="12" t="n">
        <x:v>1.5555555555555556</x:v>
      </x:c>
      <x:c r="G159" s="4" t="str">
        <x:v>Sin marca literal</x:v>
      </x:c>
      <x:c r="H159" s="11" t="n">
        <x:v>8</x:v>
      </x:c>
      <x:c r="I159" s="11" t="n">
        <x:f>IF(H159="","",C159-H159)</x:f>
        <x:v>2</x:v>
      </x:c>
      <x:c r="J159" s="4" t="str">
        <x:v>https://blog.skyairline.com/se-puede-llegar-en-avion-a-pucon/ (10 clics)</x:v>
      </x:c>
      <x:c r="K159" s="4" t="str">
        <x:v>URLs de detalle page/query/country por clics. No asignan las impresiones de esta consulta a cada página.</x:v>
      </x:c>
    </x:row>
    <x:row r="160" ht="28" customHeight="1">
      <x:c r="A160" s="4" t="n">
        <x:v>150</x:v>
      </x:c>
      <x:c r="B160" s="4" t="str">
        <x:v>sky que puedo llevar en equipaje de mano</x:v>
      </x:c>
      <x:c r="C160" s="11" t="n">
        <x:v>10</x:v>
      </x:c>
      <x:c r="D160" s="11" t="n">
        <x:v>75</x:v>
      </x:c>
      <x:c r="E160" s="14" t="n">
        <x:v>0.13333333333333333</x:v>
      </x:c>
      <x:c r="F160" s="12" t="n">
        <x:v>3.8133333333333335</x:v>
      </x:c>
      <x:c r="G160" s="4" t="str">
        <x:v>Contiene marca</x:v>
      </x:c>
      <x:c r="H160" s="11" t="n">
        <x:v>16</x:v>
      </x:c>
      <x:c r="I160" s="11" t="n">
        <x:f>IF(H160="","",C160-H160)</x:f>
        <x:v>-6</x:v>
      </x:c>
      <x:c r="J160" s="4" t="str">
        <x:v>https://blog.skyairline.com/equipaje-de-cabina/ (5 clics)
https://blog.skyairline.com/equipaje-de-mano-permitido/ (2 clics)
https://blog.skyairline.com/ (1 clics)</x:v>
      </x:c>
      <x:c r="K160" s="4" t="str">
        <x:v>URLs de detalle page/query/country por clics. No asignan las impresiones de esta consulta a cada página.</x:v>
      </x:c>
    </x:row>
    <x:row r="161" ht="28" customHeight="1">
      <x:c r="A161" s="4" t="n">
        <x:v>151</x:v>
      </x:c>
      <x:c r="B161" s="4" t="str">
        <x:v>sky equipaje medidas</x:v>
      </x:c>
      <x:c r="C161" s="11" t="n">
        <x:v>10</x:v>
      </x:c>
      <x:c r="D161" s="11" t="n">
        <x:v>56</x:v>
      </x:c>
      <x:c r="E161" s="14" t="n">
        <x:v>0.17857142857142858</x:v>
      </x:c>
      <x:c r="F161" s="12" t="n">
        <x:v>3.8392857142857144</x:v>
      </x:c>
      <x:c r="G161" s="4" t="str">
        <x:v>Contiene marca</x:v>
      </x:c>
      <x:c r="H161" s="11" t="n">
        <x:v>14</x:v>
      </x:c>
      <x:c r="I161" s="11" t="n">
        <x:f>IF(H161="","",C161-H161)</x:f>
        <x:v>-4</x:v>
      </x:c>
      <x:c r="J161" s="4" t="str">
        <x:v>https://blog.skyairline.com/equipaje-de-bodega/ (7 clics)
https://blog.skyairline.com/tipos-de-equipaje/ (2 clics)
https://blog.skyairline.com/equipaje-de-cabina/ (1 clics)</x:v>
      </x:c>
      <x:c r="K161" s="4" t="str">
        <x:v>URLs de detalle page/query/country por clics. No asignan las impresiones de esta consulta a cada página.</x:v>
      </x:c>
    </x:row>
    <x:row r="162" ht="28" customHeight="1">
      <x:c r="A162" s="4" t="n">
        <x:v>152</x:v>
      </x:c>
      <x:c r="B162" s="4" t="str">
        <x:v>equipaje en sky</x:v>
      </x:c>
      <x:c r="C162" s="11" t="n">
        <x:v>10</x:v>
      </x:c>
      <x:c r="D162" s="11" t="n">
        <x:v>44</x:v>
      </x:c>
      <x:c r="E162" s="14" t="n">
        <x:v>0.22727272727272727</x:v>
      </x:c>
      <x:c r="F162" s="12" t="n">
        <x:v>3.9318181818181817</x:v>
      </x:c>
      <x:c r="G162" s="4" t="str">
        <x:v>Contiene marca</x:v>
      </x:c>
      <x:c r="H162" s="11" t="n">
        <x:v>15</x:v>
      </x:c>
      <x:c r="I162" s="11" t="n">
        <x:f>IF(H162="","",C162-H162)</x:f>
        <x:v>-5</x:v>
      </x:c>
      <x:c r="J162" s="4" t="str">
        <x:v>https://blog.skyairline.com/tipos-de-equipaje/ (8 clics)
https://blog.skyairline.com/equipaje-de-bodega/ (2 clics)</x:v>
      </x:c>
      <x:c r="K162" s="4" t="str">
        <x:v>URLs de detalle page/query/country por clics. No asignan las impresiones de esta consulta a cada página.</x:v>
      </x:c>
    </x:row>
    <x:row r="163" ht="28" customHeight="1">
      <x:c r="A163" s="4" t="n">
        <x:v>153</x:v>
      </x:c>
      <x:c r="B163" s="4" t="str">
        <x:v>viajar con mascotas sky</x:v>
      </x:c>
      <x:c r="C163" s="11" t="n">
        <x:v>10</x:v>
      </x:c>
      <x:c r="D163" s="11" t="n">
        <x:v>24</x:v>
      </x:c>
      <x:c r="E163" s="14" t="n">
        <x:v>0.4166666666666667</x:v>
      </x:c>
      <x:c r="F163" s="12" t="n">
        <x:v>2.5</x:v>
      </x:c>
      <x:c r="G163" s="4" t="str">
        <x:v>Contiene marca</x:v>
      </x:c>
      <x:c r="H163" s="11" t="n">
        <x:v>9</x:v>
      </x:c>
      <x:c r="I163" s="11" t="n">
        <x:f>IF(H163="","",C163-H163)</x:f>
        <x:v>1</x:v>
      </x:c>
      <x:c r="J163" s="4" t="str">
        <x:v>https://blog.skyairline.com/viajar-con-perros/ (9 clics)
https://blog.skyairline.com/mascotas-en-cabina/ (1 clics)</x:v>
      </x:c>
      <x:c r="K163" s="4" t="str">
        <x:v>URLs de detalle page/query/country por clics. No asignan las impresiones de esta consulta a cada página.</x:v>
      </x:c>
    </x:row>
    <x:row r="164" ht="28" customHeight="1">
      <x:c r="A164" s="4" t="n">
        <x:v>154</x:v>
      </x:c>
      <x:c r="B164" s="4" t="str">
        <x:v>donde queda punta cana</x:v>
      </x:c>
      <x:c r="C164" s="11" t="n">
        <x:v>9</x:v>
      </x:c>
      <x:c r="D164" s="11" t="n">
        <x:v>4626</x:v>
      </x:c>
      <x:c r="E164" s="14" t="n">
        <x:v>0.0019455252918287938</x:v>
      </x:c>
      <x:c r="F164" s="12" t="n">
        <x:v>8.685689580631216</x:v>
      </x:c>
      <x:c r="G164" s="4" t="str">
        <x:v>Sin marca literal</x:v>
      </x:c>
      <x:c r="H164" s="11" t="n">
        <x:v>20</x:v>
      </x:c>
      <x:c r="I164" s="11" t="n">
        <x:f>IF(H164="","",C164-H164)</x:f>
        <x:v>-11</x:v>
      </x:c>
      <x:c r="J164" s="4" t="str">
        <x:v>https://blog.skyairline.com/donde-queda-punta-cana/ (9 clics)</x:v>
      </x:c>
      <x:c r="K164" s="4" t="str">
        <x:v>URLs de detalle page/query/country por clics. No asignan las impresiones de esta consulta a cada página.</x:v>
      </x:c>
    </x:row>
    <x:row r="165" ht="28" customHeight="1">
      <x:c r="A165" s="4" t="n">
        <x:v>155</x:v>
      </x:c>
      <x:c r="B165" s="4" t="str">
        <x:v>aeropuerto temuco</x:v>
      </x:c>
      <x:c r="C165" s="11" t="n">
        <x:v>9</x:v>
      </x:c>
      <x:c r="D165" s="11" t="n">
        <x:v>3457</x:v>
      </x:c>
      <x:c r="E165" s="14" t="n">
        <x:v>0.0026034133641886026</x:v>
      </x:c>
      <x:c r="F165" s="12" t="n">
        <x:v>7.329476424645646</x:v>
      </x:c>
      <x:c r="G165" s="4" t="str">
        <x:v>Sin marca literal</x:v>
      </x:c>
      <x:c r="H165" s="11" t="n">
        <x:v>12</x:v>
      </x:c>
      <x:c r="I165" s="11" t="n">
        <x:f>IF(H165="","",C165-H165)</x:f>
        <x:v>-3</x:v>
      </x:c>
      <x:c r="J165" s="4" t="str">
        <x:v>https://blog.skyairline.com/aeropuerto-temuco/ (9 clics)</x:v>
      </x:c>
      <x:c r="K165" s="4" t="str">
        <x:v>URLs de detalle page/query/country por clics. No asignan las impresiones de esta consulta a cada página.</x:v>
      </x:c>
    </x:row>
    <x:row r="166" ht="28" customHeight="1">
      <x:c r="A166" s="4" t="n">
        <x:v>156</x:v>
      </x:c>
      <x:c r="B166" s="4" t="str">
        <x:v>equipaje de cabina</x:v>
      </x:c>
      <x:c r="C166" s="11" t="n">
        <x:v>9</x:v>
      </x:c>
      <x:c r="D166" s="11" t="n">
        <x:v>573</x:v>
      </x:c>
      <x:c r="E166" s="14" t="n">
        <x:v>0.015706806282722512</x:v>
      </x:c>
      <x:c r="F166" s="12" t="n">
        <x:v>8.726003490401396</x:v>
      </x:c>
      <x:c r="G166" s="4" t="str">
        <x:v>Sin marca literal</x:v>
      </x:c>
      <x:c r="H166" s="11"/>
      <x:c r="I166" s="11" t="str">
        <x:f>IF(H166="","",C166-H166)</x:f>
      </x:c>
      <x:c r="J166" s="4"/>
      <x:c r="K166" s="4" t="str">
        <x:v>URLs de detalle page/query/country por clics. No asignan las impresiones de esta consulta a cada página.</x:v>
      </x:c>
    </x:row>
    <x:row r="167" ht="28" customHeight="1">
      <x:c r="A167" s="4" t="n">
        <x:v>157</x:v>
      </x:c>
      <x:c r="B167" s="4" t="str">
        <x:v>aeropuerto chiloe</x:v>
      </x:c>
      <x:c r="C167" s="11" t="n">
        <x:v>9</x:v>
      </x:c>
      <x:c r="D167" s="11" t="n">
        <x:v>288</x:v>
      </x:c>
      <x:c r="E167" s="14" t="n">
        <x:v>0.03125</x:v>
      </x:c>
      <x:c r="F167" s="12" t="n">
        <x:v>3.0625</x:v>
      </x:c>
      <x:c r="G167" s="4" t="str">
        <x:v>Sin marca literal</x:v>
      </x:c>
      <x:c r="H167" s="11" t="n">
        <x:v>14</x:v>
      </x:c>
      <x:c r="I167" s="11" t="n">
        <x:f>IF(H167="","",C167-H167)</x:f>
        <x:v>-5</x:v>
      </x:c>
      <x:c r="J167" s="4" t="str">
        <x:v>https://blog.skyairline.com/aeropuerto-chiloe/ (9 clics)</x:v>
      </x:c>
      <x:c r="K167" s="4" t="str">
        <x:v>URLs de detalle page/query/country por clics. No asignan las impresiones de esta consulta a cada página.</x:v>
      </x:c>
    </x:row>
    <x:row r="168" ht="28" customHeight="1">
      <x:c r="A168" s="4" t="n">
        <x:v>158</x:v>
      </x:c>
      <x:c r="B168" s="4" t="str">
        <x:v>maleta de mano sky</x:v>
      </x:c>
      <x:c r="C168" s="11" t="n">
        <x:v>9</x:v>
      </x:c>
      <x:c r="D168" s="11" t="n">
        <x:v>207</x:v>
      </x:c>
      <x:c r="E168" s="14" t="n">
        <x:v>0.043478260869565216</x:v>
      </x:c>
      <x:c r="F168" s="12" t="n">
        <x:v>5.342995169082125</x:v>
      </x:c>
      <x:c r="G168" s="4" t="str">
        <x:v>Contiene marca</x:v>
      </x:c>
      <x:c r="H168" s="11" t="n">
        <x:v>14</x:v>
      </x:c>
      <x:c r="I168" s="11" t="n">
        <x:f>IF(H168="","",C168-H168)</x:f>
        <x:v>-5</x:v>
      </x:c>
      <x:c r="J168" s="4" t="str">
        <x:v>https://blog.skyairline.com/equipaje-de-cabina/ (6 clics)
https://blog.skyairline.com/equipaje-de-bodega/ (3 clics)</x:v>
      </x:c>
      <x:c r="K168" s="4" t="str">
        <x:v>URLs de detalle page/query/country por clics. No asignan las impresiones de esta consulta a cada página.</x:v>
      </x:c>
    </x:row>
    <x:row r="169" ht="28" customHeight="1">
      <x:c r="A169" s="4" t="n">
        <x:v>159</x:v>
      </x:c>
      <x:c r="B169" s="4" t="str">
        <x:v>tamaño bolso de mano sky</x:v>
      </x:c>
      <x:c r="C169" s="11" t="n">
        <x:v>9</x:v>
      </x:c>
      <x:c r="D169" s="11" t="n">
        <x:v>142</x:v>
      </x:c>
      <x:c r="E169" s="14" t="n">
        <x:v>0.06338028169014084</x:v>
      </x:c>
      <x:c r="F169" s="12" t="n">
        <x:v>4.246478873239436</x:v>
      </x:c>
      <x:c r="G169" s="4" t="str">
        <x:v>Contiene marca</x:v>
      </x:c>
      <x:c r="H169" s="11" t="n">
        <x:v>11</x:v>
      </x:c>
      <x:c r="I169" s="11" t="n">
        <x:f>IF(H169="","",C169-H169)</x:f>
        <x:v>-2</x:v>
      </x:c>
      <x:c r="J169" s="4" t="str">
        <x:v>https://blog.skyairline.com/equipaje-de-cabina/ (5 clics)
https://blog.skyairline.com/equipaje-de-bodega/ (4 clics)</x:v>
      </x:c>
      <x:c r="K169" s="4" t="str">
        <x:v>URLs de detalle page/query/country por clics. No asignan las impresiones de esta consulta a cada página.</x:v>
      </x:c>
    </x:row>
    <x:row r="170" ht="28" customHeight="1">
      <x:c r="A170" s="4" t="n">
        <x:v>160</x:v>
      </x:c>
      <x:c r="B170" s="4" t="str">
        <x:v>aviones sky airlines</x:v>
      </x:c>
      <x:c r="C170" s="11" t="n">
        <x:v>9</x:v>
      </x:c>
      <x:c r="D170" s="11" t="n">
        <x:v>119</x:v>
      </x:c>
      <x:c r="E170" s="14" t="n">
        <x:v>0.07563025210084033</x:v>
      </x:c>
      <x:c r="F170" s="12" t="n">
        <x:v>4.26890756302521</x:v>
      </x:c>
      <x:c r="G170" s="4" t="str">
        <x:v>Contiene marca</x:v>
      </x:c>
      <x:c r="H170" s="11" t="n">
        <x:v>16</x:v>
      </x:c>
      <x:c r="I170" s="11" t="n">
        <x:f>IF(H170="","",C170-H170)</x:f>
        <x:v>-7</x:v>
      </x:c>
      <x:c r="J170" s="4" t="str">
        <x:v>https://blog.skyairline.com/sky-aviones/ (9 clics)</x:v>
      </x:c>
      <x:c r="K170" s="4" t="str">
        <x:v>URLs de detalle page/query/country por clics. No asignan las impresiones de esta consulta a cada página.</x:v>
      </x:c>
    </x:row>
    <x:row r="171" ht="28" customHeight="1">
      <x:c r="A171" s="4" t="n">
        <x:v>161</x:v>
      </x:c>
      <x:c r="B171" s="4" t="str">
        <x:v>elementos prohibidos en equipaje de mano</x:v>
      </x:c>
      <x:c r="C171" s="11" t="n">
        <x:v>9</x:v>
      </x:c>
      <x:c r="D171" s="11" t="n">
        <x:v>118</x:v>
      </x:c>
      <x:c r="E171" s="14" t="n">
        <x:v>0.07627118644067797</x:v>
      </x:c>
      <x:c r="F171" s="12" t="n">
        <x:v>5.466101694915254</x:v>
      </x:c>
      <x:c r="G171" s="4" t="str">
        <x:v>Sin marca literal</x:v>
      </x:c>
      <x:c r="H171" s="11"/>
      <x:c r="I171" s="11" t="str">
        <x:f>IF(H171="","",C171-H171)</x:f>
      </x:c>
      <x:c r="J171" s="4"/>
      <x:c r="K171" s="4" t="str">
        <x:v>URLs de detalle page/query/country por clics. No asignan las impresiones de esta consulta a cada página.</x:v>
      </x:c>
    </x:row>
    <x:row r="172" ht="28" customHeight="1">
      <x:c r="A172" s="4" t="n">
        <x:v>162</x:v>
      </x:c>
      <x:c r="B172" s="4" t="str">
        <x:v>medidas mochila de mano sky</x:v>
      </x:c>
      <x:c r="C172" s="11" t="n">
        <x:v>9</x:v>
      </x:c>
      <x:c r="D172" s="11" t="n">
        <x:v>89</x:v>
      </x:c>
      <x:c r="E172" s="14" t="n">
        <x:v>0.10112359550561797</x:v>
      </x:c>
      <x:c r="F172" s="12" t="n">
        <x:v>3.460674157303371</x:v>
      </x:c>
      <x:c r="G172" s="4" t="str">
        <x:v>Sin marca literal</x:v>
      </x:c>
      <x:c r="H172" s="11"/>
      <x:c r="I172" s="11" t="str">
        <x:f>IF(H172="","",C172-H172)</x:f>
      </x:c>
      <x:c r="J172" s="4"/>
      <x:c r="K172" s="4" t="str">
        <x:v>URLs de detalle page/query/country por clics. No asignan las impresiones de esta consulta a cada página.</x:v>
      </x:c>
    </x:row>
    <x:row r="173" ht="28" customHeight="1">
      <x:c r="A173" s="4" t="n">
        <x:v>163</x:v>
      </x:c>
      <x:c r="B173" s="4" t="str">
        <x:v>artículo personal sky</x:v>
      </x:c>
      <x:c r="C173" s="11" t="n">
        <x:v>9</x:v>
      </x:c>
      <x:c r="D173" s="11" t="n">
        <x:v>86</x:v>
      </x:c>
      <x:c r="E173" s="14" t="n">
        <x:v>0.10465116279069768</x:v>
      </x:c>
      <x:c r="F173" s="12" t="n">
        <x:v>4.395348837209302</x:v>
      </x:c>
      <x:c r="G173" s="4" t="str">
        <x:v>Sin marca literal</x:v>
      </x:c>
      <x:c r="H173" s="11"/>
      <x:c r="I173" s="11" t="str">
        <x:f>IF(H173="","",C173-H173)</x:f>
      </x:c>
      <x:c r="J173" s="4"/>
      <x:c r="K173" s="4" t="str">
        <x:v>URLs de detalle page/query/country por clics. No asignan las impresiones de esta consulta a cada página.</x:v>
      </x:c>
    </x:row>
    <x:row r="174" ht="28" customHeight="1">
      <x:c r="A174" s="4" t="n">
        <x:v>164</x:v>
      </x:c>
      <x:c r="B174" s="4" t="str">
        <x:v>equipaje en sky airlines</x:v>
      </x:c>
      <x:c r="C174" s="11" t="n">
        <x:v>9</x:v>
      </x:c>
      <x:c r="D174" s="11" t="n">
        <x:v>67</x:v>
      </x:c>
      <x:c r="E174" s="14" t="n">
        <x:v>0.13432835820895522</x:v>
      </x:c>
      <x:c r="F174" s="12" t="n">
        <x:v>4.298507462686567</x:v>
      </x:c>
      <x:c r="G174" s="4" t="str">
        <x:v>Sin marca literal</x:v>
      </x:c>
      <x:c r="H174" s="11"/>
      <x:c r="I174" s="11" t="str">
        <x:f>IF(H174="","",C174-H174)</x:f>
      </x:c>
      <x:c r="J174" s="4"/>
      <x:c r="K174" s="4" t="str">
        <x:v>URLs de detalle page/query/country por clics. No asignan las impresiones de esta consulta a cada página.</x:v>
      </x:c>
    </x:row>
    <x:row r="175" ht="28" customHeight="1">
      <x:c r="A175" s="4" t="n">
        <x:v>165</x:v>
      </x:c>
      <x:c r="B175" s="4" t="str">
        <x:v>cursos de azafata en chile</x:v>
      </x:c>
      <x:c r="C175" s="11" t="n">
        <x:v>9</x:v>
      </x:c>
      <x:c r="D175" s="11" t="n">
        <x:v>66</x:v>
      </x:c>
      <x:c r="E175" s="14" t="n">
        <x:v>0.13636363636363635</x:v>
      </x:c>
      <x:c r="F175" s="12" t="n">
        <x:v>8.242424242424242</x:v>
      </x:c>
      <x:c r="G175" s="4" t="str">
        <x:v>Sin marca literal</x:v>
      </x:c>
      <x:c r="H175" s="11"/>
      <x:c r="I175" s="11" t="str">
        <x:f>IF(H175="","",C175-H175)</x:f>
      </x:c>
      <x:c r="J175" s="4"/>
      <x:c r="K175" s="4" t="str">
        <x:v>URLs de detalle page/query/country por clics. No asignan las impresiones de esta consulta a cada página.</x:v>
      </x:c>
    </x:row>
    <x:row r="176" ht="28" customHeight="1">
      <x:c r="A176" s="4" t="n">
        <x:v>166</x:v>
      </x:c>
      <x:c r="B176" s="4" t="str">
        <x:v>sky mochila</x:v>
      </x:c>
      <x:c r="C176" s="11" t="n">
        <x:v>9</x:v>
      </x:c>
      <x:c r="D176" s="11" t="n">
        <x:v>59</x:v>
      </x:c>
      <x:c r="E176" s="14" t="n">
        <x:v>0.15254237288135594</x:v>
      </x:c>
      <x:c r="F176" s="12" t="n">
        <x:v>4.6440677966101696</x:v>
      </x:c>
      <x:c r="G176" s="4" t="str">
        <x:v>Contiene marca</x:v>
      </x:c>
      <x:c r="H176" s="11" t="n">
        <x:v>17</x:v>
      </x:c>
      <x:c r="I176" s="11" t="n">
        <x:f>IF(H176="","",C176-H176)</x:f>
        <x:v>-8</x:v>
      </x:c>
      <x:c r="J176" s="4" t="str">
        <x:v>https://blog.skyairline.com/equipaje-de-cabina/ (6 clics)
https://blog.skyairline.com/equipaje-de-bodega/ (3 clics)</x:v>
      </x:c>
      <x:c r="K176" s="4" t="str">
        <x:v>URLs de detalle page/query/country por clics. No asignan las impresiones de esta consulta a cada página.</x:v>
      </x:c>
    </x:row>
    <x:row r="177" ht="28" customHeight="1">
      <x:c r="A177" s="4" t="n">
        <x:v>167</x:v>
      </x:c>
      <x:c r="B177" s="4" t="str">
        <x:v>trabajos sky airlines</x:v>
      </x:c>
      <x:c r="C177" s="11" t="n">
        <x:v>9</x:v>
      </x:c>
      <x:c r="D177" s="11" t="n">
        <x:v>45</x:v>
      </x:c>
      <x:c r="E177" s="14" t="n">
        <x:v>0.2</x:v>
      </x:c>
      <x:c r="F177" s="12" t="n">
        <x:v>4.222222222222222</x:v>
      </x:c>
      <x:c r="G177" s="4" t="str">
        <x:v>Sin marca literal</x:v>
      </x:c>
      <x:c r="H177" s="11"/>
      <x:c r="I177" s="11" t="str">
        <x:f>IF(H177="","",C177-H177)</x:f>
      </x:c>
      <x:c r="J177" s="4"/>
      <x:c r="K177" s="4" t="str">
        <x:v>URLs de detalle page/query/country por clics. No asignan las impresiones de esta consulta a cada página.</x:v>
      </x:c>
    </x:row>
    <x:row r="178" ht="28" customHeight="1">
      <x:c r="A178" s="4" t="n">
        <x:v>168</x:v>
      </x:c>
      <x:c r="B178" s="4" t="str">
        <x:v>mascota en cabina sky</x:v>
      </x:c>
      <x:c r="C178" s="11" t="n">
        <x:v>9</x:v>
      </x:c>
      <x:c r="D178" s="11" t="n">
        <x:v>37</x:v>
      </x:c>
      <x:c r="E178" s="14" t="n">
        <x:v>0.24324324324324326</x:v>
      </x:c>
      <x:c r="F178" s="12" t="n">
        <x:v>1.5945945945945947</x:v>
      </x:c>
      <x:c r="G178" s="4" t="str">
        <x:v>Contiene marca</x:v>
      </x:c>
      <x:c r="H178" s="11" t="n">
        <x:v>10</x:v>
      </x:c>
      <x:c r="I178" s="11" t="n">
        <x:f>IF(H178="","",C178-H178)</x:f>
        <x:v>-1</x:v>
      </x:c>
      <x:c r="J178" s="4" t="str">
        <x:v>https://blog.skyairline.com/mascotas-en-cabina/ (6 clics)
https://blog.skyairline.com/viajar-con-perros/ (3 clics)</x:v>
      </x:c>
      <x:c r="K178" s="4" t="str">
        <x:v>URLs de detalle page/query/country por clics. No asignan las impresiones de esta consulta a cada página.</x:v>
      </x:c>
    </x:row>
    <x:row r="179" ht="28" customHeight="1">
      <x:c r="A179" s="4" t="n">
        <x:v>169</x:v>
      </x:c>
      <x:c r="B179" s="4" t="str">
        <x:v>sky tamaño equipaje de mano</x:v>
      </x:c>
      <x:c r="C179" s="11" t="n">
        <x:v>9</x:v>
      </x:c>
      <x:c r="D179" s="11" t="n">
        <x:v>31</x:v>
      </x:c>
      <x:c r="E179" s="14" t="n">
        <x:v>0.2903225806451613</x:v>
      </x:c>
      <x:c r="F179" s="12" t="n">
        <x:v>3.870967741935484</x:v>
      </x:c>
      <x:c r="G179" s="4" t="str">
        <x:v>Sin marca literal</x:v>
      </x:c>
      <x:c r="H179" s="11"/>
      <x:c r="I179" s="11" t="str">
        <x:f>IF(H179="","",C179-H179)</x:f>
      </x:c>
      <x:c r="J179" s="4"/>
      <x:c r="K179" s="4" t="str">
        <x:v>URLs de detalle page/query/country por clics. No asignan las impresiones de esta consulta a cada página.</x:v>
      </x:c>
    </x:row>
    <x:row r="180" ht="28" customHeight="1">
      <x:c r="A180" s="4" t="n">
        <x:v>170</x:v>
      </x:c>
      <x:c r="B180" s="4" t="str">
        <x:v>sky airline economy premier</x:v>
      </x:c>
      <x:c r="C180" s="11" t="n">
        <x:v>9</x:v>
      </x:c>
      <x:c r="D180" s="11" t="n">
        <x:v>29</x:v>
      </x:c>
      <x:c r="E180" s="14" t="n">
        <x:v>0.3103448275862069</x:v>
      </x:c>
      <x:c r="F180" s="12" t="n">
        <x:v>2.689655172413793</x:v>
      </x:c>
      <x:c r="G180" s="4" t="str">
        <x:v>Sin marca literal</x:v>
      </x:c>
      <x:c r="H180" s="11"/>
      <x:c r="I180" s="11" t="str">
        <x:f>IF(H180="","",C180-H180)</x:f>
      </x:c>
      <x:c r="J180" s="4"/>
      <x:c r="K180" s="4" t="str">
        <x:v>URLs de detalle page/query/country por clics. No asignan las impresiones de esta consulta a cada página.</x:v>
      </x:c>
    </x:row>
    <x:row r="181" ht="28" customHeight="1">
      <x:c r="A181" s="4" t="n">
        <x:v>171</x:v>
      </x:c>
      <x:c r="B181" s="4" t="str">
        <x:v>sky airlines mascotas en cabina</x:v>
      </x:c>
      <x:c r="C181" s="11" t="n">
        <x:v>9</x:v>
      </x:c>
      <x:c r="D181" s="11" t="n">
        <x:v>27</x:v>
      </x:c>
      <x:c r="E181" s="14" t="n">
        <x:v>0.3333333333333333</x:v>
      </x:c>
      <x:c r="F181" s="12" t="n">
        <x:v>1.7407407407407407</x:v>
      </x:c>
      <x:c r="G181" s="4" t="str">
        <x:v>Sin marca literal</x:v>
      </x:c>
      <x:c r="H181" s="11"/>
      <x:c r="I181" s="11" t="str">
        <x:f>IF(H181="","",C181-H181)</x:f>
      </x:c>
      <x:c r="J181" s="4"/>
      <x:c r="K181" s="4" t="str">
        <x:v>URLs de detalle page/query/country por clics. No asignan las impresiones de esta consulta a cada página.</x:v>
      </x:c>
    </x:row>
    <x:row r="182" ht="28" customHeight="1">
      <x:c r="A182" s="4" t="n">
        <x:v>172</x:v>
      </x:c>
      <x:c r="B182" s="4" t="str">
        <x:v>sky airline</x:v>
      </x:c>
      <x:c r="C182" s="11" t="n">
        <x:v>8</x:v>
      </x:c>
      <x:c r="D182" s="11" t="n">
        <x:v>641</x:v>
      </x:c>
      <x:c r="E182" s="14" t="n">
        <x:v>0.0124804992199688</x:v>
      </x:c>
      <x:c r="F182" s="12" t="n">
        <x:v>6.180967238689548</x:v>
      </x:c>
      <x:c r="G182" s="4" t="str">
        <x:v>Sin marca literal</x:v>
      </x:c>
      <x:c r="H182" s="11"/>
      <x:c r="I182" s="11" t="str">
        <x:f>IF(H182="","",C182-H182)</x:f>
      </x:c>
      <x:c r="J182" s="4"/>
      <x:c r="K182" s="4" t="str">
        <x:v>URLs de detalle page/query/country por clics. No asignan las impresiones de esta consulta a cada página.</x:v>
      </x:c>
    </x:row>
    <x:row r="183" ht="28" customHeight="1">
      <x:c r="A183" s="4" t="n">
        <x:v>173</x:v>
      </x:c>
      <x:c r="B183" s="4" t="str">
        <x:v>para viajar a brasil se necesita pasaporte</x:v>
      </x:c>
      <x:c r="C183" s="11" t="n">
        <x:v>8</x:v>
      </x:c>
      <x:c r="D183" s="11" t="n">
        <x:v>616</x:v>
      </x:c>
      <x:c r="E183" s="14" t="n">
        <x:v>0.012987012987012988</x:v>
      </x:c>
      <x:c r="F183" s="12" t="n">
        <x:v>4.068181818181818</x:v>
      </x:c>
      <x:c r="G183" s="4" t="str">
        <x:v>Sin marca literal</x:v>
      </x:c>
      <x:c r="H183" s="11"/>
      <x:c r="I183" s="11" t="str">
        <x:f>IF(H183="","",C183-H183)</x:f>
      </x:c>
      <x:c r="J183" s="4"/>
      <x:c r="K183" s="4" t="str">
        <x:v>URLs de detalle page/query/country por clics. No asignan las impresiones de esta consulta a cada página.</x:v>
      </x:c>
    </x:row>
    <x:row r="184" ht="28" customHeight="1">
      <x:c r="A184" s="4" t="n">
        <x:v>174</x:v>
      </x:c>
      <x:c r="B184" s="4" t="str">
        <x:v>panoramas para niños en santiago</x:v>
      </x:c>
      <x:c r="C184" s="11" t="n">
        <x:v>8</x:v>
      </x:c>
      <x:c r="D184" s="11" t="n">
        <x:v>398</x:v>
      </x:c>
      <x:c r="E184" s="14" t="n">
        <x:v>0.020100502512562814</x:v>
      </x:c>
      <x:c r="F184" s="12" t="n">
        <x:v>9.379396984924623</x:v>
      </x:c>
      <x:c r="G184" s="4" t="str">
        <x:v>Sin marca literal</x:v>
      </x:c>
      <x:c r="H184" s="11" t="n">
        <x:v>20</x:v>
      </x:c>
      <x:c r="I184" s="11" t="n">
        <x:f>IF(H184="","",C184-H184)</x:f>
        <x:v>-12</x:v>
      </x:c>
      <x:c r="J184" s="4" t="str">
        <x:v>https://blog.skyairline.com/panoramas-para-ninos-en-santiago/ (8 clics)</x:v>
      </x:c>
      <x:c r="K184" s="4" t="str">
        <x:v>URLs de detalle page/query/country por clics. No asignan las impresiones de esta consulta a cada página.</x:v>
      </x:c>
    </x:row>
    <x:row r="185" ht="28" customHeight="1">
      <x:c r="A185" s="4" t="n">
        <x:v>175</x:v>
      </x:c>
      <x:c r="B185" s="4" t="str">
        <x:v>sky paquetes</x:v>
      </x:c>
      <x:c r="C185" s="11" t="n">
        <x:v>8</x:v>
      </x:c>
      <x:c r="D185" s="11" t="n">
        <x:v>345</x:v>
      </x:c>
      <x:c r="E185" s="14" t="n">
        <x:v>0.02318840579710145</x:v>
      </x:c>
      <x:c r="F185" s="12" t="n">
        <x:v>7.472463768115942</x:v>
      </x:c>
      <x:c r="G185" s="4" t="str">
        <x:v>Sin marca literal</x:v>
      </x:c>
      <x:c r="H185" s="11"/>
      <x:c r="I185" s="11" t="str">
        <x:f>IF(H185="","",C185-H185)</x:f>
      </x:c>
      <x:c r="J185" s="4"/>
      <x:c r="K185" s="4" t="str">
        <x:v>URLs de detalle page/query/country por clics. No asignan las impresiones de esta consulta a cada página.</x:v>
      </x:c>
    </x:row>
    <x:row r="186" ht="28" customHeight="1">
      <x:c r="A186" s="4" t="n">
        <x:v>176</x:v>
      </x:c>
      <x:c r="B186" s="4" t="str">
        <x:v>se puede llevar perfume en el avión</x:v>
      </x:c>
      <x:c r="C186" s="11" t="n">
        <x:v>8</x:v>
      </x:c>
      <x:c r="D186" s="11" t="n">
        <x:v>308</x:v>
      </x:c>
      <x:c r="E186" s="14" t="n">
        <x:v>0.025974025974025976</x:v>
      </x:c>
      <x:c r="F186" s="12" t="n">
        <x:v>4.48051948051948</x:v>
      </x:c>
      <x:c r="G186" s="4" t="str">
        <x:v>Sin marca literal</x:v>
      </x:c>
      <x:c r="H186" s="11"/>
      <x:c r="I186" s="11" t="str">
        <x:f>IF(H186="","",C186-H186)</x:f>
      </x:c>
      <x:c r="J186" s="4"/>
      <x:c r="K186" s="4" t="str">
        <x:v>URLs de detalle page/query/country por clics. No asignan las impresiones de esta consulta a cada página.</x:v>
      </x:c>
    </x:row>
    <x:row r="187" ht="28" customHeight="1">
      <x:c r="A187" s="4" t="n">
        <x:v>177</x:v>
      </x:c>
      <x:c r="B187" s="4" t="str">
        <x:v>medidas equipaje de mano</x:v>
      </x:c>
      <x:c r="C187" s="11" t="n">
        <x:v>8</x:v>
      </x:c>
      <x:c r="D187" s="11" t="n">
        <x:v>302</x:v>
      </x:c>
      <x:c r="E187" s="14" t="n">
        <x:v>0.026490066225165563</x:v>
      </x:c>
      <x:c r="F187" s="12" t="n">
        <x:v>8.62251655629139</x:v>
      </x:c>
      <x:c r="G187" s="4" t="str">
        <x:v>Sin marca literal</x:v>
      </x:c>
      <x:c r="H187" s="11"/>
      <x:c r="I187" s="11" t="str">
        <x:f>IF(H187="","",C187-H187)</x:f>
      </x:c>
      <x:c r="J187" s="4"/>
      <x:c r="K187" s="4" t="str">
        <x:v>URLs de detalle page/query/country por clics. No asignan las impresiones de esta consulta a cada página.</x:v>
      </x:c>
    </x:row>
    <x:row r="188" ht="28" customHeight="1">
      <x:c r="A188" s="4" t="n">
        <x:v>178</x:v>
      </x:c>
      <x:c r="B188" s="4" t="str">
        <x:v>enchufe en brasil</x:v>
      </x:c>
      <x:c r="C188" s="11" t="n">
        <x:v>8</x:v>
      </x:c>
      <x:c r="D188" s="11" t="n">
        <x:v>239</x:v>
      </x:c>
      <x:c r="E188" s="14" t="n">
        <x:v>0.03347280334728033</x:v>
      </x:c>
      <x:c r="F188" s="12" t="n">
        <x:v>4.598326359832636</x:v>
      </x:c>
      <x:c r="G188" s="4" t="str">
        <x:v>Sin marca literal</x:v>
      </x:c>
      <x:c r="H188" s="11"/>
      <x:c r="I188" s="11" t="str">
        <x:f>IF(H188="","",C188-H188)</x:f>
      </x:c>
      <x:c r="J188" s="4"/>
      <x:c r="K188" s="4" t="str">
        <x:v>URLs de detalle page/query/country por clics. No asignan las impresiones de esta consulta a cada página.</x:v>
      </x:c>
    </x:row>
    <x:row r="189" ht="28" customHeight="1">
      <x:c r="A189" s="4" t="n">
        <x:v>179</x:v>
      </x:c>
      <x:c r="B189" s="4" t="str">
        <x:v>auroras australes chile</x:v>
      </x:c>
      <x:c r="C189" s="11" t="n">
        <x:v>8</x:v>
      </x:c>
      <x:c r="D189" s="11" t="n">
        <x:v>176</x:v>
      </x:c>
      <x:c r="E189" s="14" t="n">
        <x:v>0.045454545454545456</x:v>
      </x:c>
      <x:c r="F189" s="12" t="n">
        <x:v>3.5454545454545454</x:v>
      </x:c>
      <x:c r="G189" s="4" t="str">
        <x:v>Sin marca literal</x:v>
      </x:c>
      <x:c r="H189" s="11" t="n">
        <x:v>10</x:v>
      </x:c>
      <x:c r="I189" s="11" t="n">
        <x:f>IF(H189="","",C189-H189)</x:f>
        <x:v>-2</x:v>
      </x:c>
      <x:c r="J189" s="4" t="str">
        <x:v>https://blog.skyairline.com/auroras-australes-en-chile-cuando-y-donde-verlas/ (8 clics)</x:v>
      </x:c>
      <x:c r="K189" s="4" t="str">
        <x:v>URLs de detalle page/query/country por clics. No asignan las impresiones de esta consulta a cada página.</x:v>
      </x:c>
    </x:row>
    <x:row r="190" ht="28" customHeight="1">
      <x:c r="A190" s="4" t="n">
        <x:v>180</x:v>
      </x:c>
      <x:c r="B190" s="4" t="str">
        <x:v>pasajero frecuente sky</x:v>
      </x:c>
      <x:c r="C190" s="11" t="n">
        <x:v>8</x:v>
      </x:c>
      <x:c r="D190" s="11" t="n">
        <x:v>149</x:v>
      </x:c>
      <x:c r="E190" s="14" t="n">
        <x:v>0.053691275167785234</x:v>
      </x:c>
      <x:c r="F190" s="12" t="n">
        <x:v>6.597315436241611</x:v>
      </x:c>
      <x:c r="G190" s="4" t="str">
        <x:v>Contiene marca</x:v>
      </x:c>
      <x:c r="H190" s="11" t="n">
        <x:v>13</x:v>
      </x:c>
      <x:c r="I190" s="11" t="n">
        <x:f>IF(H190="","",C190-H190)</x:f>
        <x:v>-5</x:v>
      </x:c>
      <x:c r="J190" s="4" t="str">
        <x:v>https://blog.skyairline.com/sky-plus/ (8 clics)</x:v>
      </x:c>
      <x:c r="K190" s="4" t="str">
        <x:v>URLs de detalle page/query/country por clics. No asignan las impresiones de esta consulta a cada página.</x:v>
      </x:c>
    </x:row>
    <x:row r="191" ht="28" customHeight="1">
      <x:c r="A191" s="4" t="n">
        <x:v>181</x:v>
      </x:c>
      <x:c r="B191" s="4" t="str">
        <x:v>destinos baratos para viajar</x:v>
      </x:c>
      <x:c r="C191" s="11" t="n">
        <x:v>8</x:v>
      </x:c>
      <x:c r="D191" s="11" t="n">
        <x:v>147</x:v>
      </x:c>
      <x:c r="E191" s="14" t="n">
        <x:v>0.05442176870748299</x:v>
      </x:c>
      <x:c r="F191" s="12" t="n">
        <x:v>2.5510204081632653</x:v>
      </x:c>
      <x:c r="G191" s="4" t="str">
        <x:v>Sin marca literal</x:v>
      </x:c>
      <x:c r="H191" s="11"/>
      <x:c r="I191" s="11" t="str">
        <x:f>IF(H191="","",C191-H191)</x:f>
      </x:c>
      <x:c r="J191" s="4"/>
      <x:c r="K191" s="4" t="str">
        <x:v>URLs de detalle page/query/country por clics. No asignan las impresiones de esta consulta a cada página.</x:v>
      </x:c>
    </x:row>
    <x:row r="192" ht="28" customHeight="1">
      <x:c r="A192" s="4" t="n">
        <x:v>182</x:v>
      </x:c>
      <x:c r="B192" s="4" t="str">
        <x:v>equipaje de cabina sky medidas</x:v>
      </x:c>
      <x:c r="C192" s="11" t="n">
        <x:v>8</x:v>
      </x:c>
      <x:c r="D192" s="11" t="n">
        <x:v>108</x:v>
      </x:c>
      <x:c r="E192" s="14" t="n">
        <x:v>0.07407407407407407</x:v>
      </x:c>
      <x:c r="F192" s="12" t="n">
        <x:v>3.9444444444444446</x:v>
      </x:c>
      <x:c r="G192" s="4" t="str">
        <x:v>Sin marca literal</x:v>
      </x:c>
      <x:c r="H192" s="11"/>
      <x:c r="I192" s="11" t="str">
        <x:f>IF(H192="","",C192-H192)</x:f>
      </x:c>
      <x:c r="J192" s="4"/>
      <x:c r="K192" s="4" t="str">
        <x:v>URLs de detalle page/query/country por clics. No asignan las impresiones de esta consulta a cada página.</x:v>
      </x:c>
    </x:row>
    <x:row r="193" ht="28" customHeight="1">
      <x:c r="A193" s="4" t="n">
        <x:v>183</x:v>
      </x:c>
      <x:c r="B193" s="4" t="str">
        <x:v>sky cambiar pasaje</x:v>
      </x:c>
      <x:c r="C193" s="11" t="n">
        <x:v>8</x:v>
      </x:c>
      <x:c r="D193" s="11" t="n">
        <x:v>108</x:v>
      </x:c>
      <x:c r="E193" s="14" t="n">
        <x:v>0.07407407407407407</x:v>
      </x:c>
      <x:c r="F193" s="12" t="n">
        <x:v>4.777777777777778</x:v>
      </x:c>
      <x:c r="G193" s="4" t="str">
        <x:v>Sin marca literal</x:v>
      </x:c>
      <x:c r="H193" s="11"/>
      <x:c r="I193" s="11" t="str">
        <x:f>IF(H193="","",C193-H193)</x:f>
      </x:c>
      <x:c r="J193" s="4"/>
      <x:c r="K193" s="4" t="str">
        <x:v>URLs de detalle page/query/country por clics. No asignan las impresiones de esta consulta a cada página.</x:v>
      </x:c>
    </x:row>
    <x:row r="194" ht="28" customHeight="1">
      <x:c r="A194" s="4" t="n">
        <x:v>184</x:v>
      </x:c>
      <x:c r="B194" s="4" t="str">
        <x:v>maleta de cabina sky medidas</x:v>
      </x:c>
      <x:c r="C194" s="11" t="n">
        <x:v>8</x:v>
      </x:c>
      <x:c r="D194" s="11" t="n">
        <x:v>103</x:v>
      </x:c>
      <x:c r="E194" s="14" t="n">
        <x:v>0.07766990291262135</x:v>
      </x:c>
      <x:c r="F194" s="12" t="n">
        <x:v>4.077669902912621</x:v>
      </x:c>
      <x:c r="G194" s="4" t="str">
        <x:v>Contiene marca</x:v>
      </x:c>
      <x:c r="H194" s="11" t="n">
        <x:v>16</x:v>
      </x:c>
      <x:c r="I194" s="11" t="n">
        <x:f>IF(H194="","",C194-H194)</x:f>
        <x:v>-8</x:v>
      </x:c>
      <x:c r="J194" s="4" t="str">
        <x:v>https://blog.skyairline.com/equipaje-de-cabina/ (5 clics)
https://blog.skyairline.com/equipaje-de-bodega/ (3 clics)</x:v>
      </x:c>
      <x:c r="K194" s="4" t="str">
        <x:v>URLs de detalle page/query/country por clics. No asignan las impresiones de esta consulta a cada página.</x:v>
      </x:c>
    </x:row>
    <x:row r="195" ht="28" customHeight="1">
      <x:c r="A195" s="4" t="n">
        <x:v>185</x:v>
      </x:c>
      <x:c r="B195" s="4" t="str">
        <x:v>medidas equipaje de mano sky chile</x:v>
      </x:c>
      <x:c r="C195" s="11" t="n">
        <x:v>8</x:v>
      </x:c>
      <x:c r="D195" s="11" t="n">
        <x:v>103</x:v>
      </x:c>
      <x:c r="E195" s="14" t="n">
        <x:v>0.07766990291262135</x:v>
      </x:c>
      <x:c r="F195" s="12" t="n">
        <x:v>5.155339805825243</x:v>
      </x:c>
      <x:c r="G195" s="4" t="str">
        <x:v>Sin marca literal</x:v>
      </x:c>
      <x:c r="H195" s="11"/>
      <x:c r="I195" s="11" t="str">
        <x:f>IF(H195="","",C195-H195)</x:f>
      </x:c>
      <x:c r="J195" s="4"/>
      <x:c r="K195" s="4" t="str">
        <x:v>URLs de detalle page/query/country por clics. No asignan las impresiones de esta consulta a cada página.</x:v>
      </x:c>
    </x:row>
    <x:row r="196" ht="28" customHeight="1">
      <x:c r="A196" s="4" t="n">
        <x:v>186</x:v>
      </x:c>
      <x:c r="B196" s="4" t="str">
        <x:v>medidas del bolso de mano sky</x:v>
      </x:c>
      <x:c r="C196" s="11" t="n">
        <x:v>8</x:v>
      </x:c>
      <x:c r="D196" s="11" t="n">
        <x:v>88</x:v>
      </x:c>
      <x:c r="E196" s="14" t="n">
        <x:v>0.09090909090909091</x:v>
      </x:c>
      <x:c r="F196" s="12" t="n">
        <x:v>3.2386363636363638</x:v>
      </x:c>
      <x:c r="G196" s="4" t="str">
        <x:v>Sin marca literal</x:v>
      </x:c>
      <x:c r="H196" s="11"/>
      <x:c r="I196" s="11" t="str">
        <x:f>IF(H196="","",C196-H196)</x:f>
      </x:c>
      <x:c r="J196" s="4"/>
      <x:c r="K196" s="4" t="str">
        <x:v>URLs de detalle page/query/country por clics. No asignan las impresiones de esta consulta a cada página.</x:v>
      </x:c>
    </x:row>
    <x:row r="197" ht="28" customHeight="1">
      <x:c r="A197" s="4" t="n">
        <x:v>187</x:v>
      </x:c>
      <x:c r="B197" s="4" t="str">
        <x:v>trabajo tripulante de cabina sky</x:v>
      </x:c>
      <x:c r="C197" s="11" t="n">
        <x:v>8</x:v>
      </x:c>
      <x:c r="D197" s="11" t="n">
        <x:v>87</x:v>
      </x:c>
      <x:c r="E197" s="14" t="n">
        <x:v>0.09195402298850575</x:v>
      </x:c>
      <x:c r="F197" s="12" t="n">
        <x:v>4.954022988505747</x:v>
      </x:c>
      <x:c r="G197" s="4" t="str">
        <x:v>Contiene marca</x:v>
      </x:c>
      <x:c r="H197" s="11" t="n">
        <x:v>17</x:v>
      </x:c>
      <x:c r="I197" s="11" t="n">
        <x:f>IF(H197="","",C197-H197)</x:f>
        <x:v>-9</x:v>
      </x:c>
      <x:c r="J197" s="4" t="str">
        <x:v>https://blog.skyairline.com/curso-tripulante-cabina/ (6 clics)
https://blog.skyairline.com/categoria/oportunidades/ (2 clics)</x:v>
      </x:c>
      <x:c r="K197" s="4" t="str">
        <x:v>URLs de detalle page/query/country por clics. No asignan las impresiones de esta consulta a cada página.</x:v>
      </x:c>
    </x:row>
    <x:row r="198" ht="28" customHeight="1">
      <x:c r="A198" s="4" t="n">
        <x:v>188</x:v>
      </x:c>
      <x:c r="B198" s="4" t="str">
        <x:v>cambiar pasajes sky</x:v>
      </x:c>
      <x:c r="C198" s="11" t="n">
        <x:v>8</x:v>
      </x:c>
      <x:c r="D198" s="11" t="n">
        <x:v>77</x:v>
      </x:c>
      <x:c r="E198" s="14" t="n">
        <x:v>0.1038961038961039</x:v>
      </x:c>
      <x:c r="F198" s="12" t="n">
        <x:v>4.727272727272727</x:v>
      </x:c>
      <x:c r="G198" s="4" t="str">
        <x:v>Sin marca literal</x:v>
      </x:c>
      <x:c r="H198" s="11"/>
      <x:c r="I198" s="11" t="str">
        <x:f>IF(H198="","",C198-H198)</x:f>
      </x:c>
      <x:c r="J198" s="4"/>
      <x:c r="K198" s="4" t="str">
        <x:v>URLs de detalle page/query/country por clics. No asignan las impresiones de esta consulta a cada página.</x:v>
      </x:c>
    </x:row>
    <x:row r="199" ht="28" customHeight="1">
      <x:c r="A199" s="4" t="n">
        <x:v>189</x:v>
      </x:c>
      <x:c r="B199" s="4" t="str">
        <x:v>cambio de pasajes sky</x:v>
      </x:c>
      <x:c r="C199" s="11" t="n">
        <x:v>8</x:v>
      </x:c>
      <x:c r="D199" s="11" t="n">
        <x:v>76</x:v>
      </x:c>
      <x:c r="E199" s="14" t="n">
        <x:v>0.10526315789473684</x:v>
      </x:c>
      <x:c r="F199" s="12" t="n">
        <x:v>4.157894736842105</x:v>
      </x:c>
      <x:c r="G199" s="4" t="str">
        <x:v>Sin marca literal</x:v>
      </x:c>
      <x:c r="H199" s="11"/>
      <x:c r="I199" s="11" t="str">
        <x:f>IF(H199="","",C199-H199)</x:f>
      </x:c>
      <x:c r="J199" s="4"/>
      <x:c r="K199" s="4" t="str">
        <x:v>URLs de detalle page/query/country por clics. No asignan las impresiones de esta consulta a cada página.</x:v>
      </x:c>
    </x:row>
    <x:row r="200" ht="28" customHeight="1">
      <x:c r="A200" s="4" t="n">
        <x:v>190</x:v>
      </x:c>
      <x:c r="B200" s="4" t="str">
        <x:v>tamaño maleta cabina sky</x:v>
      </x:c>
      <x:c r="C200" s="11" t="n">
        <x:v>8</x:v>
      </x:c>
      <x:c r="D200" s="11" t="n">
        <x:v>76</x:v>
      </x:c>
      <x:c r="E200" s="14" t="n">
        <x:v>0.10526315789473684</x:v>
      </x:c>
      <x:c r="F200" s="12" t="n">
        <x:v>4.302631578947368</x:v>
      </x:c>
      <x:c r="G200" s="4" t="str">
        <x:v>Sin marca literal</x:v>
      </x:c>
      <x:c r="H200" s="11"/>
      <x:c r="I200" s="11" t="str">
        <x:f>IF(H200="","",C200-H200)</x:f>
      </x:c>
      <x:c r="J200" s="4"/>
      <x:c r="K200" s="4" t="str">
        <x:v>URLs de detalle page/query/country por clics. No asignan las impresiones de esta consulta a cada página.</x:v>
      </x:c>
    </x:row>
    <x:row r="201" ht="28" customHeight="1">
      <x:c r="A201" s="4" t="n">
        <x:v>191</x:v>
      </x:c>
      <x:c r="B201" s="4" t="str">
        <x:v>carry on sky medidas</x:v>
      </x:c>
      <x:c r="C201" s="11" t="n">
        <x:v>8</x:v>
      </x:c>
      <x:c r="D201" s="11" t="n">
        <x:v>73</x:v>
      </x:c>
      <x:c r="E201" s="14" t="n">
        <x:v>0.1095890410958904</x:v>
      </x:c>
      <x:c r="F201" s="12" t="n">
        <x:v>4.424657534246576</x:v>
      </x:c>
      <x:c r="G201" s="4" t="str">
        <x:v>Sin marca literal</x:v>
      </x:c>
      <x:c r="H201" s="11"/>
      <x:c r="I201" s="11" t="str">
        <x:f>IF(H201="","",C201-H201)</x:f>
      </x:c>
      <x:c r="J201" s="4"/>
      <x:c r="K201" s="4" t="str">
        <x:v>URLs de detalle page/query/country por clics. No asignan las impresiones de esta consulta a cada página.</x:v>
      </x:c>
    </x:row>
    <x:row r="202" ht="28" customHeight="1">
      <x:c r="A202" s="4" t="n">
        <x:v>192</x:v>
      </x:c>
      <x:c r="B202" s="4" t="str">
        <x:v>trabajo sky airlines</x:v>
      </x:c>
      <x:c r="C202" s="11" t="n">
        <x:v>8</x:v>
      </x:c>
      <x:c r="D202" s="11" t="n">
        <x:v>72</x:v>
      </x:c>
      <x:c r="E202" s="14" t="n">
        <x:v>0.1111111111111111</x:v>
      </x:c>
      <x:c r="F202" s="12" t="n">
        <x:v>5.138888888888889</x:v>
      </x:c>
      <x:c r="G202" s="4" t="str">
        <x:v>Sin marca literal</x:v>
      </x:c>
      <x:c r="H202" s="11"/>
      <x:c r="I202" s="11" t="str">
        <x:f>IF(H202="","",C202-H202)</x:f>
      </x:c>
      <x:c r="J202" s="4"/>
      <x:c r="K202" s="4" t="str">
        <x:v>URLs de detalle page/query/country por clics. No asignan las impresiones de esta consulta a cada página.</x:v>
      </x:c>
    </x:row>
    <x:row r="203" ht="28" customHeight="1">
      <x:c r="A203" s="4" t="n">
        <x:v>193</x:v>
      </x:c>
      <x:c r="B203" s="4" t="str">
        <x:v>curso azafata</x:v>
      </x:c>
      <x:c r="C203" s="11" t="n">
        <x:v>8</x:v>
      </x:c>
      <x:c r="D203" s="11" t="n">
        <x:v>70</x:v>
      </x:c>
      <x:c r="E203" s="14" t="n">
        <x:v>0.11428571428571428</x:v>
      </x:c>
      <x:c r="F203" s="12" t="n">
        <x:v>7.9714285714285715</x:v>
      </x:c>
      <x:c r="G203" s="4" t="str">
        <x:v>Sin marca literal</x:v>
      </x:c>
      <x:c r="H203" s="11"/>
      <x:c r="I203" s="11" t="str">
        <x:f>IF(H203="","",C203-H203)</x:f>
      </x:c>
      <x:c r="J203" s="4"/>
      <x:c r="K203" s="4" t="str">
        <x:v>URLs de detalle page/query/country por clics. No asignan las impresiones de esta consulta a cada página.</x:v>
      </x:c>
    </x:row>
    <x:row r="204" ht="28" customHeight="1">
      <x:c r="A204" s="4" t="n">
        <x:v>194</x:v>
      </x:c>
      <x:c r="B204" s="4" t="str">
        <x:v>que hacer en caminito buenos aires</x:v>
      </x:c>
      <x:c r="C204" s="11" t="n">
        <x:v>8</x:v>
      </x:c>
      <x:c r="D204" s="11" t="n">
        <x:v>67</x:v>
      </x:c>
      <x:c r="E204" s="14" t="n">
        <x:v>0.11940298507462686</x:v>
      </x:c>
      <x:c r="F204" s="12" t="n">
        <x:v>2.208955223880597</x:v>
      </x:c>
      <x:c r="G204" s="4" t="str">
        <x:v>Sin marca literal</x:v>
      </x:c>
      <x:c r="H204" s="11"/>
      <x:c r="I204" s="11" t="str">
        <x:f>IF(H204="","",C204-H204)</x:f>
      </x:c>
      <x:c r="J204" s="4"/>
      <x:c r="K204" s="4" t="str">
        <x:v>URLs de detalle page/query/country por clics. No asignan las impresiones de esta consulta a cada página.</x:v>
      </x:c>
    </x:row>
    <x:row r="205" ht="28" customHeight="1">
      <x:c r="A205" s="4" t="n">
        <x:v>195</x:v>
      </x:c>
      <x:c r="B205" s="4" t="str">
        <x:v>medida maleta sky</x:v>
      </x:c>
      <x:c r="C205" s="11" t="n">
        <x:v>8</x:v>
      </x:c>
      <x:c r="D205" s="11" t="n">
        <x:v>61</x:v>
      </x:c>
      <x:c r="E205" s="14" t="n">
        <x:v>0.13114754098360656</x:v>
      </x:c>
      <x:c r="F205" s="12" t="n">
        <x:v>3.6885245901639343</x:v>
      </x:c>
      <x:c r="G205" s="4" t="str">
        <x:v>Sin marca literal</x:v>
      </x:c>
      <x:c r="H205" s="11"/>
      <x:c r="I205" s="11" t="str">
        <x:f>IF(H205="","",C205-H205)</x:f>
      </x:c>
      <x:c r="J205" s="4"/>
      <x:c r="K205" s="4" t="str">
        <x:v>URLs de detalle page/query/country por clics. No asignan las impresiones de esta consulta a cada página.</x:v>
      </x:c>
    </x:row>
    <x:row r="206" ht="28" customHeight="1">
      <x:c r="A206" s="4" t="n">
        <x:v>196</x:v>
      </x:c>
      <x:c r="B206" s="4" t="str">
        <x:v>sky airline bolso de mano</x:v>
      </x:c>
      <x:c r="C206" s="11" t="n">
        <x:v>8</x:v>
      </x:c>
      <x:c r="D206" s="11" t="n">
        <x:v>60</x:v>
      </x:c>
      <x:c r="E206" s="14" t="n">
        <x:v>0.13333333333333333</x:v>
      </x:c>
      <x:c r="F206" s="12" t="n">
        <x:v>4.333333333333334</x:v>
      </x:c>
      <x:c r="G206" s="4" t="str">
        <x:v>Contiene marca</x:v>
      </x:c>
      <x:c r="H206" s="11" t="n">
        <x:v>12</x:v>
      </x:c>
      <x:c r="I206" s="11" t="n">
        <x:f>IF(H206="","",C206-H206)</x:f>
        <x:v>-4</x:v>
      </x:c>
      <x:c r="J206" s="4" t="str">
        <x:v>https://blog.skyairline.com/equipaje-de-cabina/ (7 clics)
https://blog.skyairline.com/tipos-de-equipaje/ (1 clics)</x:v>
      </x:c>
      <x:c r="K206" s="4" t="str">
        <x:v>URLs de detalle page/query/country por clics. No asignan las impresiones de esta consulta a cada página.</x:v>
      </x:c>
    </x:row>
    <x:row r="207" ht="28" customHeight="1">
      <x:c r="A207" s="4" t="n">
        <x:v>197</x:v>
      </x:c>
      <x:c r="B207" s="4" t="str">
        <x:v>flota de sky airlines</x:v>
      </x:c>
      <x:c r="C207" s="11" t="n">
        <x:v>8</x:v>
      </x:c>
      <x:c r="D207" s="11" t="n">
        <x:v>56</x:v>
      </x:c>
      <x:c r="E207" s="14" t="n">
        <x:v>0.14285714285714285</x:v>
      </x:c>
      <x:c r="F207" s="12" t="n">
        <x:v>4.785714285714286</x:v>
      </x:c>
      <x:c r="G207" s="4" t="str">
        <x:v>Contiene marca</x:v>
      </x:c>
      <x:c r="H207" s="11" t="n">
        <x:v>10</x:v>
      </x:c>
      <x:c r="I207" s="11" t="n">
        <x:f>IF(H207="","",C207-H207)</x:f>
        <x:v>-2</x:v>
      </x:c>
      <x:c r="J207" s="4" t="str">
        <x:v>https://blog.skyairline.com/sky-aviones/ (7 clics)
https://blog.skyairline.com/sky-flota-mas-nueva-de-suramerica/ (1 clics)</x:v>
      </x:c>
      <x:c r="K207" s="4" t="str">
        <x:v>URLs de detalle page/query/country por clics. No asignan las impresiones de esta consulta a cada página.</x:v>
      </x:c>
    </x:row>
    <x:row r="208" ht="28" customHeight="1">
      <x:c r="A208" s="4" t="n">
        <x:v>198</x:v>
      </x:c>
      <x:c r="B208" s="4" t="str">
        <x:v>medidas equipaje cabina sky</x:v>
      </x:c>
      <x:c r="C208" s="11" t="n">
        <x:v>8</x:v>
      </x:c>
      <x:c r="D208" s="11" t="n">
        <x:v>46</x:v>
      </x:c>
      <x:c r="E208" s="14" t="n">
        <x:v>0.17391304347826086</x:v>
      </x:c>
      <x:c r="F208" s="12" t="n">
        <x:v>4.478260869565217</x:v>
      </x:c>
      <x:c r="G208" s="4" t="str">
        <x:v>Sin marca literal</x:v>
      </x:c>
      <x:c r="H208" s="11"/>
      <x:c r="I208" s="11" t="str">
        <x:f>IF(H208="","",C208-H208)</x:f>
      </x:c>
      <x:c r="J208" s="4"/>
      <x:c r="K208" s="4" t="str">
        <x:v>URLs de detalle page/query/country por clics. No asignan las impresiones de esta consulta a cada página.</x:v>
      </x:c>
    </x:row>
    <x:row r="209" ht="28" customHeight="1">
      <x:c r="A209" s="4" t="n">
        <x:v>199</x:v>
      </x:c>
      <x:c r="B209" s="4" t="str">
        <x:v>sky airlines equipaje permitido</x:v>
      </x:c>
      <x:c r="C209" s="11" t="n">
        <x:v>8</x:v>
      </x:c>
      <x:c r="D209" s="11" t="n">
        <x:v>46</x:v>
      </x:c>
      <x:c r="E209" s="14" t="n">
        <x:v>0.17391304347826086</x:v>
      </x:c>
      <x:c r="F209" s="12" t="n">
        <x:v>7.021739130434782</x:v>
      </x:c>
      <x:c r="G209" s="4" t="str">
        <x:v>Contiene marca</x:v>
      </x:c>
      <x:c r="H209" s="11" t="n">
        <x:v>13</x:v>
      </x:c>
      <x:c r="I209" s="11" t="n">
        <x:f>IF(H209="","",C209-H209)</x:f>
        <x:v>-5</x:v>
      </x:c>
      <x:c r="J209" s="4" t="str">
        <x:v>https://blog.skyairline.com/equipaje-de-cabina/ (4 clics)
https://blog.skyairline.com/tipos-de-equipaje/ (3 clics)
https://blog.skyairline.com/equipaje-de-bodega/ (1 clics)</x:v>
      </x:c>
      <x:c r="K209" s="4" t="str">
        <x:v>URLs de detalle page/query/country por clics. No asignan las impresiones de esta consulta a cada página.</x:v>
      </x:c>
    </x:row>
    <x:row r="210" ht="28" customHeight="1">
      <x:c r="A210" s="4" t="n">
        <x:v>200</x:v>
      </x:c>
      <x:c r="B210" s="4" t="str">
        <x:v>sky tripulante de cabina chile</x:v>
      </x:c>
      <x:c r="C210" s="11" t="n">
        <x:v>8</x:v>
      </x:c>
      <x:c r="D210" s="11" t="n">
        <x:v>44</x:v>
      </x:c>
      <x:c r="E210" s="14" t="n">
        <x:v>0.18181818181818182</x:v>
      </x:c>
      <x:c r="F210" s="12" t="n">
        <x:v>4.613636363636363</x:v>
      </x:c>
      <x:c r="G210" s="4" t="str">
        <x:v>Contiene marca</x:v>
      </x:c>
      <x:c r="H210" s="11" t="n">
        <x:v>11</x:v>
      </x:c>
      <x:c r="I210" s="11" t="n">
        <x:f>IF(H210="","",C210-H210)</x:f>
        <x:v>-3</x:v>
      </x:c>
      <x:c r="J210" s="4" t="str">
        <x:v>https://blog.skyairline.com/curso-tripulante-cabina/ (8 clics)</x:v>
      </x:c>
      <x:c r="K210" s="4" t="str">
        <x:v>URLs de detalle page/query/country por clics. No asignan las impresiones de esta consulta a cada página.</x:v>
      </x:c>
    </x:row>
    <x:row r="211" ht="28" customHeight="1">
      <x:c r="A211" s="4" t="n">
        <x:v>201</x:v>
      </x:c>
      <x:c r="B211" s="4" t="str">
        <x:v>sky airline carry on</x:v>
      </x:c>
      <x:c r="C211" s="11" t="n">
        <x:v>8</x:v>
      </x:c>
      <x:c r="D211" s="11" t="n">
        <x:v>43</x:v>
      </x:c>
      <x:c r="E211" s="14" t="n">
        <x:v>0.18604651162790697</x:v>
      </x:c>
      <x:c r="F211" s="12" t="n">
        <x:v>3.9069767441860463</x:v>
      </x:c>
      <x:c r="G211" s="4" t="str">
        <x:v>Sin marca literal</x:v>
      </x:c>
      <x:c r="H211" s="11"/>
      <x:c r="I211" s="11" t="str">
        <x:f>IF(H211="","",C211-H211)</x:f>
      </x:c>
      <x:c r="J211" s="4"/>
      <x:c r="K211" s="4" t="str">
        <x:v>URLs de detalle page/query/country por clics. No asignan las impresiones de esta consulta a cada página.</x:v>
      </x:c>
    </x:row>
    <x:row r="212" ht="28" customHeight="1">
      <x:c r="A212" s="4" t="n">
        <x:v>202</x:v>
      </x:c>
      <x:c r="B212" s="4" t="str">
        <x:v>sky transporte de mascotas</x:v>
      </x:c>
      <x:c r="C212" s="11" t="n">
        <x:v>8</x:v>
      </x:c>
      <x:c r="D212" s="11" t="n">
        <x:v>34</x:v>
      </x:c>
      <x:c r="E212" s="14" t="n">
        <x:v>0.23529411764705882</x:v>
      </x:c>
      <x:c r="F212" s="12" t="n">
        <x:v>1.7352941176470589</x:v>
      </x:c>
      <x:c r="G212" s="4" t="str">
        <x:v>Sin marca literal</x:v>
      </x:c>
      <x:c r="H212" s="11"/>
      <x:c r="I212" s="11" t="str">
        <x:f>IF(H212="","",C212-H212)</x:f>
      </x:c>
      <x:c r="J212" s="4"/>
      <x:c r="K212" s="4" t="str">
        <x:v>URLs de detalle page/query/country por clics. No asignan las impresiones de esta consulta a cada página.</x:v>
      </x:c>
    </x:row>
    <x:row r="213" ht="28" customHeight="1">
      <x:c r="A213" s="4" t="n">
        <x:v>203</x:v>
      </x:c>
      <x:c r="B213" s="4" t="str">
        <x:v>sky premier</x:v>
      </x:c>
      <x:c r="C213" s="11" t="n">
        <x:v>8</x:v>
      </x:c>
      <x:c r="D213" s="11" t="n">
        <x:v>31</x:v>
      </x:c>
      <x:c r="E213" s="14" t="n">
        <x:v>0.25806451612903225</x:v>
      </x:c>
      <x:c r="F213" s="12" t="n">
        <x:v>3.161290322580645</x:v>
      </x:c>
      <x:c r="G213" s="4" t="str">
        <x:v>Sin marca literal</x:v>
      </x:c>
      <x:c r="H213" s="11"/>
      <x:c r="I213" s="11" t="str">
        <x:f>IF(H213="","",C213-H213)</x:f>
      </x:c>
      <x:c r="J213" s="4"/>
      <x:c r="K213" s="4" t="str">
        <x:v>URLs de detalle page/query/country por clics. No asignan las impresiones de esta consulta a cada página.</x:v>
      </x:c>
    </x:row>
    <x:row r="214" ht="28" customHeight="1">
      <x:c r="A214" s="4" t="n">
        <x:v>204</x:v>
      </x:c>
      <x:c r="B214" s="4" t="str">
        <x:v>academia de tripulantes de cabina sky</x:v>
      </x:c>
      <x:c r="C214" s="11" t="n">
        <x:v>8</x:v>
      </x:c>
      <x:c r="D214" s="11" t="n">
        <x:v>30</x:v>
      </x:c>
      <x:c r="E214" s="14" t="n">
        <x:v>0.26666666666666666</x:v>
      </x:c>
      <x:c r="F214" s="12" t="n">
        <x:v>3.8666666666666667</x:v>
      </x:c>
      <x:c r="G214" s="4" t="str">
        <x:v>Sin marca literal</x:v>
      </x:c>
      <x:c r="H214" s="11"/>
      <x:c r="I214" s="11" t="str">
        <x:f>IF(H214="","",C214-H214)</x:f>
      </x:c>
      <x:c r="J214" s="4"/>
      <x:c r="K214" s="4" t="str">
        <x:v>URLs de detalle page/query/country por clics. No asignan las impresiones de esta consulta a cada página.</x:v>
      </x:c>
    </x:row>
    <x:row r="215" ht="28" customHeight="1">
      <x:c r="A215" s="4" t="n">
        <x:v>205</x:v>
      </x:c>
      <x:c r="B215" s="4" t="str">
        <x:v>sky trabaja con nosotros chile</x:v>
      </x:c>
      <x:c r="C215" s="11" t="n">
        <x:v>8</x:v>
      </x:c>
      <x:c r="D215" s="11" t="n">
        <x:v>30</x:v>
      </x:c>
      <x:c r="E215" s="14" t="n">
        <x:v>0.26666666666666666</x:v>
      </x:c>
      <x:c r="F215" s="12" t="n">
        <x:v>4.333333333333334</x:v>
      </x:c>
      <x:c r="G215" s="4" t="str">
        <x:v>Sin marca literal</x:v>
      </x:c>
      <x:c r="H215" s="11"/>
      <x:c r="I215" s="11" t="str">
        <x:f>IF(H215="","",C215-H215)</x:f>
      </x:c>
      <x:c r="J215" s="4"/>
      <x:c r="K215" s="4" t="str">
        <x:v>URLs de detalle page/query/country por clics. No asignan las impresiones de esta consulta a cada página.</x:v>
      </x:c>
    </x:row>
    <x:row r="216" ht="28" customHeight="1">
      <x:c r="A216" s="4" t="n">
        <x:v>206</x:v>
      </x:c>
      <x:c r="B216" s="4" t="str">
        <x:v>camboriu</x:v>
      </x:c>
      <x:c r="C216" s="11" t="n">
        <x:v>7</x:v>
      </x:c>
      <x:c r="D216" s="11" t="n">
        <x:v>2412</x:v>
      </x:c>
      <x:c r="E216" s="14" t="n">
        <x:v>0.002902155887230514</x:v>
      </x:c>
      <x:c r="F216" s="12" t="n">
        <x:v>10.17330016583748</x:v>
      </x:c>
      <x:c r="G216" s="4" t="str">
        <x:v>Sin marca literal</x:v>
      </x:c>
      <x:c r="H216" s="11" t="n">
        <x:v>3</x:v>
      </x:c>
      <x:c r="I216" s="11" t="n">
        <x:f>IF(H216="","",C216-H216)</x:f>
        <x:v>4</x:v>
      </x:c>
      <x:c r="J216" s="4" t="str">
        <x:v>https://blog.skyairline.com/camboriu/ (7 clics)</x:v>
      </x:c>
      <x:c r="K216" s="4" t="str">
        <x:v>URLs de detalle page/query/country por clics. No asignan las impresiones de esta consulta a cada página.</x:v>
      </x:c>
    </x:row>
    <x:row r="217" ht="28" customHeight="1">
      <x:c r="A217" s="4" t="n">
        <x:v>207</x:v>
      </x:c>
      <x:c r="B217" s="4" t="str">
        <x:v>estaciones del año en chile</x:v>
      </x:c>
      <x:c r="C217" s="11" t="n">
        <x:v>7</x:v>
      </x:c>
      <x:c r="D217" s="11" t="n">
        <x:v>2314</x:v>
      </x:c>
      <x:c r="E217" s="14" t="n">
        <x:v>0.003025064822817632</x:v>
      </x:c>
      <x:c r="F217" s="12" t="n">
        <x:v>4.35609334485739</x:v>
      </x:c>
      <x:c r="G217" s="4" t="str">
        <x:v>Sin marca literal</x:v>
      </x:c>
      <x:c r="H217" s="11" t="n">
        <x:v>3</x:v>
      </x:c>
      <x:c r="I217" s="11" t="n">
        <x:f>IF(H217="","",C217-H217)</x:f>
        <x:v>4</x:v>
      </x:c>
      <x:c r="J217" s="4" t="str">
        <x:v>https://blog.skyairline.com/estaciones-en-chile/ (7 clics)</x:v>
      </x:c>
      <x:c r="K217" s="4" t="str">
        <x:v>URLs de detalle page/query/country por clics. No asignan las impresiones de esta consulta a cada página.</x:v>
      </x:c>
    </x:row>
    <x:row r="218" ht="28" customHeight="1">
      <x:c r="A218" s="4" t="n">
        <x:v>208</x:v>
      </x:c>
      <x:c r="B218" s="4" t="str">
        <x:v>punta cana donde queda</x:v>
      </x:c>
      <x:c r="C218" s="11" t="n">
        <x:v>7</x:v>
      </x:c>
      <x:c r="D218" s="11" t="n">
        <x:v>2041</x:v>
      </x:c>
      <x:c r="E218" s="14" t="n">
        <x:v>0.0034296913277804997</x:v>
      </x:c>
      <x:c r="F218" s="12" t="n">
        <x:v>7.694757471827535</x:v>
      </x:c>
      <x:c r="G218" s="4" t="str">
        <x:v>Sin marca literal</x:v>
      </x:c>
      <x:c r="H218" s="11" t="n">
        <x:v>13</x:v>
      </x:c>
      <x:c r="I218" s="11" t="n">
        <x:f>IF(H218="","",C218-H218)</x:f>
        <x:v>-6</x:v>
      </x:c>
      <x:c r="J218" s="4" t="str">
        <x:v>https://blog.skyairline.com/donde-queda-punta-cana/ (7 clics)</x:v>
      </x:c>
      <x:c r="K218" s="4" t="str">
        <x:v>URLs de detalle page/query/country por clics. No asignan las impresiones de esta consulta a cada página.</x:v>
      </x:c>
    </x:row>
    <x:row r="219" ht="28" customHeight="1">
      <x:c r="A219" s="4" t="n">
        <x:v>209</x:v>
      </x:c>
      <x:c r="B219" s="4" t="str">
        <x:v>bolsa de mano sky</x:v>
      </x:c>
      <x:c r="C219" s="11" t="n">
        <x:v>7</x:v>
      </x:c>
      <x:c r="D219" s="11" t="n">
        <x:v>354</x:v>
      </x:c>
      <x:c r="E219" s="14" t="n">
        <x:v>0.01977401129943503</x:v>
      </x:c>
      <x:c r="F219" s="12" t="n">
        <x:v>5.429378531073446</x:v>
      </x:c>
      <x:c r="G219" s="4" t="str">
        <x:v>Sin marca literal</x:v>
      </x:c>
      <x:c r="H219" s="11"/>
      <x:c r="I219" s="11" t="str">
        <x:f>IF(H219="","",C219-H219)</x:f>
      </x:c>
      <x:c r="J219" s="4"/>
      <x:c r="K219" s="4" t="str">
        <x:v>URLs de detalle page/query/country por clics. No asignan las impresiones de esta consulta a cada página.</x:v>
      </x:c>
    </x:row>
    <x:row r="220" ht="28" customHeight="1">
      <x:c r="A220" s="4" t="n">
        <x:v>210</x:v>
      </x:c>
      <x:c r="B220" s="4" t="str">
        <x:v>sky plus platino</x:v>
      </x:c>
      <x:c r="C220" s="11" t="n">
        <x:v>7</x:v>
      </x:c>
      <x:c r="D220" s="11" t="n">
        <x:v>270</x:v>
      </x:c>
      <x:c r="E220" s="14" t="n">
        <x:v>0.025925925925925925</x:v>
      </x:c>
      <x:c r="F220" s="12" t="n">
        <x:v>5.7481481481481485</x:v>
      </x:c>
      <x:c r="G220" s="4" t="str">
        <x:v>Contiene marca</x:v>
      </x:c>
      <x:c r="H220" s="11" t="n">
        <x:v>12</x:v>
      </x:c>
      <x:c r="I220" s="11" t="n">
        <x:f>IF(H220="","",C220-H220)</x:f>
        <x:v>-5</x:v>
      </x:c>
      <x:c r="J220" s="4" t="str">
        <x:v>https://blog.skyairline.com/sky-plus/ (7 clics)</x:v>
      </x:c>
      <x:c r="K220" s="4" t="str">
        <x:v>URLs de detalle page/query/country por clics. No asignan las impresiones de esta consulta a cada página.</x:v>
      </x:c>
    </x:row>
    <x:row r="221" ht="28" customHeight="1">
      <x:c r="A221" s="4" t="n">
        <x:v>211</x:v>
      </x:c>
      <x:c r="B221" s="4" t="str">
        <x:v>en sky</x:v>
      </x:c>
      <x:c r="C221" s="11" t="n">
        <x:v>7</x:v>
      </x:c>
      <x:c r="D221" s="11" t="n">
        <x:v>262</x:v>
      </x:c>
      <x:c r="E221" s="14" t="n">
        <x:v>0.026717557251908396</x:v>
      </x:c>
      <x:c r="F221" s="12" t="n">
        <x:v>2.4732824427480917</x:v>
      </x:c>
      <x:c r="G221" s="4" t="str">
        <x:v>Sin marca literal</x:v>
      </x:c>
      <x:c r="H221" s="11"/>
      <x:c r="I221" s="11" t="str">
        <x:f>IF(H221="","",C221-H221)</x:f>
      </x:c>
      <x:c r="J221" s="4"/>
      <x:c r="K221" s="4" t="str">
        <x:v>URLs de detalle page/query/country por clics. No asignan las impresiones de esta consulta a cada página.</x:v>
      </x:c>
    </x:row>
    <x:row r="222" ht="28" customHeight="1">
      <x:c r="A222" s="4" t="n">
        <x:v>212</x:v>
      </x:c>
      <x:c r="B222" s="4" t="str">
        <x:v>asistente de vuelo</x:v>
      </x:c>
      <x:c r="C222" s="11" t="n">
        <x:v>7</x:v>
      </x:c>
      <x:c r="D222" s="11" t="n">
        <x:v>203</x:v>
      </x:c>
      <x:c r="E222" s="14" t="n">
        <x:v>0.034482758620689655</x:v>
      </x:c>
      <x:c r="F222" s="12" t="n">
        <x:v>9.931034482758621</x:v>
      </x:c>
      <x:c r="G222" s="4" t="str">
        <x:v>Sin marca literal</x:v>
      </x:c>
      <x:c r="H222" s="11"/>
      <x:c r="I222" s="11" t="str">
        <x:f>IF(H222="","",C222-H222)</x:f>
      </x:c>
      <x:c r="J222" s="4"/>
      <x:c r="K222" s="4" t="str">
        <x:v>URLs de detalle page/query/country por clics. No asignan las impresiones de esta consulta a cada página.</x:v>
      </x:c>
    </x:row>
    <x:row r="223" ht="28" customHeight="1">
      <x:c r="A223" s="4" t="n">
        <x:v>213</x:v>
      </x:c>
      <x:c r="B223" s="4" t="str">
        <x:v>requisitos para viajar a brasil</x:v>
      </x:c>
      <x:c r="C223" s="11" t="n">
        <x:v>7</x:v>
      </x:c>
      <x:c r="D223" s="11" t="n">
        <x:v>202</x:v>
      </x:c>
      <x:c r="E223" s="14" t="n">
        <x:v>0.034653465346534656</x:v>
      </x:c>
      <x:c r="F223" s="12" t="n">
        <x:v>8.475247524752476</x:v>
      </x:c>
      <x:c r="G223" s="4" t="str">
        <x:v>Sin marca literal</x:v>
      </x:c>
      <x:c r="H223" s="11"/>
      <x:c r="I223" s="11" t="str">
        <x:f>IF(H223="","",C223-H223)</x:f>
      </x:c>
      <x:c r="J223" s="4"/>
      <x:c r="K223" s="4" t="str">
        <x:v>URLs de detalle page/query/country por clics. No asignan las impresiones de esta consulta a cada página.</x:v>
      </x:c>
    </x:row>
    <x:row r="224" ht="28" customHeight="1">
      <x:c r="A224" s="4" t="n">
        <x:v>214</x:v>
      </x:c>
      <x:c r="B224" s="4" t="str">
        <x:v>sky premium</x:v>
      </x:c>
      <x:c r="C224" s="11" t="n">
        <x:v>7</x:v>
      </x:c>
      <x:c r="D224" s="11" t="n">
        <x:v>83</x:v>
      </x:c>
      <x:c r="E224" s="14" t="n">
        <x:v>0.08433734939759036</x:v>
      </x:c>
      <x:c r="F224" s="12" t="n">
        <x:v>5.204819277108434</x:v>
      </x:c>
      <x:c r="G224" s="4" t="str">
        <x:v>Sin marca literal</x:v>
      </x:c>
      <x:c r="H224" s="11"/>
      <x:c r="I224" s="11" t="str">
        <x:f>IF(H224="","",C224-H224)</x:f>
      </x:c>
      <x:c r="J224" s="4"/>
      <x:c r="K224" s="4" t="str">
        <x:v>URLs de detalle page/query/country por clics. No asignan las impresiones de esta consulta a cada página.</x:v>
      </x:c>
    </x:row>
    <x:row r="225" ht="28" customHeight="1">
      <x:c r="A225" s="4" t="n">
        <x:v>215</x:v>
      </x:c>
      <x:c r="B225" s="4" t="str">
        <x:v>articulo personal sky medidas</x:v>
      </x:c>
      <x:c r="C225" s="11" t="n">
        <x:v>7</x:v>
      </x:c>
      <x:c r="D225" s="11" t="n">
        <x:v>82</x:v>
      </x:c>
      <x:c r="E225" s="14" t="n">
        <x:v>0.08536585365853659</x:v>
      </x:c>
      <x:c r="F225" s="12" t="n">
        <x:v>4.524390243902439</x:v>
      </x:c>
      <x:c r="G225" s="4" t="str">
        <x:v>Sin marca literal</x:v>
      </x:c>
      <x:c r="H225" s="11"/>
      <x:c r="I225" s="11" t="str">
        <x:f>IF(H225="","",C225-H225)</x:f>
      </x:c>
      <x:c r="J225" s="4"/>
      <x:c r="K225" s="4" t="str">
        <x:v>URLs de detalle page/query/country por clics. No asignan las impresiones de esta consulta a cada página.</x:v>
      </x:c>
    </x:row>
    <x:row r="226" ht="28" customHeight="1">
      <x:c r="A226" s="4" t="n">
        <x:v>216</x:v>
      </x:c>
      <x:c r="B226" s="4" t="str">
        <x:v>medida de equipaje de mano sky</x:v>
      </x:c>
      <x:c r="C226" s="11" t="n">
        <x:v>7</x:v>
      </x:c>
      <x:c r="D226" s="11" t="n">
        <x:v>82</x:v>
      </x:c>
      <x:c r="E226" s="14" t="n">
        <x:v>0.08536585365853659</x:v>
      </x:c>
      <x:c r="F226" s="12" t="n">
        <x:v>3.975609756097561</x:v>
      </x:c>
      <x:c r="G226" s="4" t="str">
        <x:v>Sin marca literal</x:v>
      </x:c>
      <x:c r="H226" s="11"/>
      <x:c r="I226" s="11" t="str">
        <x:f>IF(H226="","",C226-H226)</x:f>
      </x:c>
      <x:c r="J226" s="4"/>
      <x:c r="K226" s="4" t="str">
        <x:v>URLs de detalle page/query/country por clics. No asignan las impresiones de esta consulta a cada página.</x:v>
      </x:c>
    </x:row>
    <x:row r="227" ht="28" customHeight="1">
      <x:c r="A227" s="4" t="n">
        <x:v>217</x:v>
      </x:c>
      <x:c r="B227" s="4" t="str">
        <x:v>sky plus puntos</x:v>
      </x:c>
      <x:c r="C227" s="11" t="n">
        <x:v>7</x:v>
      </x:c>
      <x:c r="D227" s="11" t="n">
        <x:v>81</x:v>
      </x:c>
      <x:c r="E227" s="14" t="n">
        <x:v>0.08641975308641975</x:v>
      </x:c>
      <x:c r="F227" s="12" t="n">
        <x:v>4.012345679012346</x:v>
      </x:c>
      <x:c r="G227" s="4" t="str">
        <x:v>Sin marca literal</x:v>
      </x:c>
      <x:c r="H227" s="11"/>
      <x:c r="I227" s="11" t="str">
        <x:f>IF(H227="","",C227-H227)</x:f>
      </x:c>
      <x:c r="J227" s="4"/>
      <x:c r="K227" s="4" t="str">
        <x:v>URLs de detalle page/query/country por clics. No asignan las impresiones de esta consulta a cada página.</x:v>
      </x:c>
    </x:row>
    <x:row r="228" ht="28" customHeight="1">
      <x:c r="A228" s="4" t="n">
        <x:v>218</x:v>
      </x:c>
      <x:c r="B228" s="4" t="str">
        <x:v>cambio vuelo sky</x:v>
      </x:c>
      <x:c r="C228" s="11" t="n">
        <x:v>7</x:v>
      </x:c>
      <x:c r="D228" s="11" t="n">
        <x:v>80</x:v>
      </x:c>
      <x:c r="E228" s="14" t="n">
        <x:v>0.0875</x:v>
      </x:c>
      <x:c r="F228" s="12" t="n">
        <x:v>5.4375</x:v>
      </x:c>
      <x:c r="G228" s="4" t="str">
        <x:v>Sin marca literal</x:v>
      </x:c>
      <x:c r="H228" s="11"/>
      <x:c r="I228" s="11" t="str">
        <x:f>IF(H228="","",C228-H228)</x:f>
      </x:c>
      <x:c r="J228" s="4"/>
      <x:c r="K228" s="4" t="str">
        <x:v>URLs de detalle page/query/country por clics. No asignan las impresiones de esta consulta a cada página.</x:v>
      </x:c>
    </x:row>
    <x:row r="229" ht="28" customHeight="1">
      <x:c r="A229" s="4" t="n">
        <x:v>219</x:v>
      </x:c>
      <x:c r="B229" s="4" t="str">
        <x:v>como cambiar vuelo en sky</x:v>
      </x:c>
      <x:c r="C229" s="11" t="n">
        <x:v>7</x:v>
      </x:c>
      <x:c r="D229" s="11" t="n">
        <x:v>77</x:v>
      </x:c>
      <x:c r="E229" s="14" t="n">
        <x:v>0.09090909090909091</x:v>
      </x:c>
      <x:c r="F229" s="12" t="n">
        <x:v>5.324675324675325</x:v>
      </x:c>
      <x:c r="G229" s="4" t="str">
        <x:v>Sin marca literal</x:v>
      </x:c>
      <x:c r="H229" s="11"/>
      <x:c r="I229" s="11" t="str">
        <x:f>IF(H229="","",C229-H229)</x:f>
      </x:c>
      <x:c r="J229" s="4"/>
      <x:c r="K229" s="4" t="str">
        <x:v>URLs de detalle page/query/country por clics. No asignan las impresiones de esta consulta a cada página.</x:v>
      </x:c>
    </x:row>
    <x:row r="230" ht="28" customHeight="1">
      <x:c r="A230" s="4" t="n">
        <x:v>220</x:v>
      </x:c>
      <x:c r="B230" s="4" t="str">
        <x:v>medidas de equipaje sky</x:v>
      </x:c>
      <x:c r="C230" s="11" t="n">
        <x:v>7</x:v>
      </x:c>
      <x:c r="D230" s="11" t="n">
        <x:v>76</x:v>
      </x:c>
      <x:c r="E230" s="14" t="n">
        <x:v>0.09210526315789473</x:v>
      </x:c>
      <x:c r="F230" s="12" t="n">
        <x:v>4.171052631578947</x:v>
      </x:c>
      <x:c r="G230" s="4" t="str">
        <x:v>Contiene marca</x:v>
      </x:c>
      <x:c r="H230" s="11" t="n">
        <x:v>11</x:v>
      </x:c>
      <x:c r="I230" s="11" t="n">
        <x:f>IF(H230="","",C230-H230)</x:f>
        <x:v>-4</x:v>
      </x:c>
      <x:c r="J230" s="4" t="str">
        <x:v>https://blog.skyairline.com/equipaje-de-bodega/ (3 clics)
https://blog.skyairline.com/tipos-de-equipaje/ (2 clics)
https://blog.skyairline.com/equipaje-de-cabina/ (1 clics)</x:v>
      </x:c>
      <x:c r="K230" s="4" t="str">
        <x:v>URLs de detalle page/query/country por clics. No asignan las impresiones de esta consulta a cada página.</x:v>
      </x:c>
    </x:row>
    <x:row r="231" ht="28" customHeight="1">
      <x:c r="A231" s="4" t="n">
        <x:v>221</x:v>
      </x:c>
      <x:c r="B231" s="4" t="str">
        <x:v>cual es el equipaje de cabina en sky</x:v>
      </x:c>
      <x:c r="C231" s="11" t="n">
        <x:v>7</x:v>
      </x:c>
      <x:c r="D231" s="11" t="n">
        <x:v>65</x:v>
      </x:c>
      <x:c r="E231" s="14" t="n">
        <x:v>0.1076923076923077</x:v>
      </x:c>
      <x:c r="F231" s="12" t="n">
        <x:v>3.8615384615384616</x:v>
      </x:c>
      <x:c r="G231" s="4" t="str">
        <x:v>Sin marca literal</x:v>
      </x:c>
      <x:c r="H231" s="11"/>
      <x:c r="I231" s="11" t="str">
        <x:f>IF(H231="","",C231-H231)</x:f>
      </x:c>
      <x:c r="J231" s="4"/>
      <x:c r="K231" s="4" t="str">
        <x:v>URLs de detalle page/query/country por clics. No asignan las impresiones de esta consulta a cada página.</x:v>
      </x:c>
    </x:row>
    <x:row r="232" ht="28" customHeight="1">
      <x:c r="A232" s="4" t="n">
        <x:v>222</x:v>
      </x:c>
      <x:c r="B232" s="4" t="str">
        <x:v>sky mascotas precio</x:v>
      </x:c>
      <x:c r="C232" s="11" t="n">
        <x:v>7</x:v>
      </x:c>
      <x:c r="D232" s="11" t="n">
        <x:v>65</x:v>
      </x:c>
      <x:c r="E232" s="14" t="n">
        <x:v>0.1076923076923077</x:v>
      </x:c>
      <x:c r="F232" s="12" t="n">
        <x:v>2.9230769230769234</x:v>
      </x:c>
      <x:c r="G232" s="4" t="str">
        <x:v>Contiene marca</x:v>
      </x:c>
      <x:c r="H232" s="11" t="n">
        <x:v>10</x:v>
      </x:c>
      <x:c r="I232" s="11" t="n">
        <x:f>IF(H232="","",C232-H232)</x:f>
        <x:v>-3</x:v>
      </x:c>
      <x:c r="J232" s="4" t="str">
        <x:v>https://blog.skyairline.com/mascotas-en-cabina/ (6 clics)
https://blog.skyairline.com/viajar-con-perros/ (1 clics)</x:v>
      </x:c>
      <x:c r="K232" s="4" t="str">
        <x:v>URLs de detalle page/query/country por clics. No asignan las impresiones de esta consulta a cada página.</x:v>
      </x:c>
    </x:row>
    <x:row r="233" ht="28" customHeight="1">
      <x:c r="A233" s="4" t="n">
        <x:v>223</x:v>
      </x:c>
      <x:c r="B233" s="4" t="str">
        <x:v>medidas equipaje sky airline</x:v>
      </x:c>
      <x:c r="C233" s="11" t="n">
        <x:v>7</x:v>
      </x:c>
      <x:c r="D233" s="11" t="n">
        <x:v>61</x:v>
      </x:c>
      <x:c r="E233" s="14" t="n">
        <x:v>0.11475409836065574</x:v>
      </x:c>
      <x:c r="F233" s="12" t="n">
        <x:v>3.80327868852459</x:v>
      </x:c>
      <x:c r="G233" s="4" t="str">
        <x:v>Contiene marca</x:v>
      </x:c>
      <x:c r="H233" s="11" t="n">
        <x:v>11</x:v>
      </x:c>
      <x:c r="I233" s="11" t="n">
        <x:f>IF(H233="","",C233-H233)</x:f>
        <x:v>-4</x:v>
      </x:c>
      <x:c r="J233" s="4" t="str">
        <x:v>https://blog.skyairline.com/equipaje-de-bodega/ (4 clics)
https://blog.skyairline.com/tipos-de-equipaje/ (2 clics)
https://blog.skyairline.com/equipaje-de-cabina/ (1 clics)</x:v>
      </x:c>
      <x:c r="K233" s="4" t="str">
        <x:v>URLs de detalle page/query/country por clics. No asignan las impresiones de esta consulta a cada página.</x:v>
      </x:c>
    </x:row>
    <x:row r="234" ht="28" customHeight="1">
      <x:c r="A234" s="4" t="n">
        <x:v>224</x:v>
      </x:c>
      <x:c r="B234" s="4" t="str">
        <x:v>sky dimensiones equipaje</x:v>
      </x:c>
      <x:c r="C234" s="11" t="n">
        <x:v>7</x:v>
      </x:c>
      <x:c r="D234" s="11" t="n">
        <x:v>51</x:v>
      </x:c>
      <x:c r="E234" s="14" t="n">
        <x:v>0.13725490196078433</x:v>
      </x:c>
      <x:c r="F234" s="12" t="n">
        <x:v>3.5686274509803924</x:v>
      </x:c>
      <x:c r="G234" s="4" t="str">
        <x:v>Contiene marca</x:v>
      </x:c>
      <x:c r="H234" s="11" t="n">
        <x:v>11</x:v>
      </x:c>
      <x:c r="I234" s="11" t="n">
        <x:f>IF(H234="","",C234-H234)</x:f>
        <x:v>-4</x:v>
      </x:c>
      <x:c r="J234" s="4" t="str">
        <x:v>https://blog.skyairline.com/equipaje-de-bodega/ (4 clics)
https://blog.skyairline.com/equipaje-de-cabina/ (2 clics)
https://blog.skyairline.com/tipos-de-equipaje/ (1 clics)</x:v>
      </x:c>
      <x:c r="K234" s="4" t="str">
        <x:v>URLs de detalle page/query/country por clics. No asignan las impresiones de esta consulta a cada página.</x:v>
      </x:c>
    </x:row>
    <x:row r="235" ht="28" customHeight="1">
      <x:c r="A235" s="4" t="n">
        <x:v>225</x:v>
      </x:c>
      <x:c r="B235" s="4" t="str">
        <x:v>sky airlines bolso de mano</x:v>
      </x:c>
      <x:c r="C235" s="11" t="n">
        <x:v>7</x:v>
      </x:c>
      <x:c r="D235" s="11" t="n">
        <x:v>50</x:v>
      </x:c>
      <x:c r="E235" s="14" t="n">
        <x:v>0.14</x:v>
      </x:c>
      <x:c r="F235" s="12" t="n">
        <x:v>4.88</x:v>
      </x:c>
      <x:c r="G235" s="4" t="str">
        <x:v>Sin marca literal</x:v>
      </x:c>
      <x:c r="H235" s="11"/>
      <x:c r="I235" s="11" t="str">
        <x:f>IF(H235="","",C235-H235)</x:f>
      </x:c>
      <x:c r="J235" s="4"/>
      <x:c r="K235" s="4" t="str">
        <x:v>URLs de detalle page/query/country por clics. No asignan las impresiones de esta consulta a cada página.</x:v>
      </x:c>
    </x:row>
    <x:row r="236" ht="28" customHeight="1">
      <x:c r="A236" s="4" t="n">
        <x:v>226</x:v>
      </x:c>
      <x:c r="B236" s="4" t="str">
        <x:v>equipaje bodega sky</x:v>
      </x:c>
      <x:c r="C236" s="11" t="n">
        <x:v>7</x:v>
      </x:c>
      <x:c r="D236" s="11" t="n">
        <x:v>43</x:v>
      </x:c>
      <x:c r="E236" s="14" t="n">
        <x:v>0.16279069767441862</x:v>
      </x:c>
      <x:c r="F236" s="12" t="n">
        <x:v>3.302325581395349</x:v>
      </x:c>
      <x:c r="G236" s="4" t="str">
        <x:v>Contiene marca</x:v>
      </x:c>
      <x:c r="H236" s="11" t="n">
        <x:v>10</x:v>
      </x:c>
      <x:c r="I236" s="11" t="n">
        <x:f>IF(H236="","",C236-H236)</x:f>
        <x:v>-3</x:v>
      </x:c>
      <x:c r="J236" s="4" t="str">
        <x:v>https://blog.skyairline.com/equipaje-de-bodega/ (5 clics)
https://blog.skyairline.com/tipos-de-equipaje/ (2 clics)</x:v>
      </x:c>
      <x:c r="K236" s="4" t="str">
        <x:v>URLs de detalle page/query/country por clics. No asignan las impresiones de esta consulta a cada página.</x:v>
      </x:c>
    </x:row>
    <x:row r="237" ht="28" customHeight="1">
      <x:c r="A237" s="4" t="n">
        <x:v>227</x:v>
      </x:c>
      <x:c r="B237" s="4" t="str">
        <x:v>sky mochila de mano medidas</x:v>
      </x:c>
      <x:c r="C237" s="11" t="n">
        <x:v>7</x:v>
      </x:c>
      <x:c r="D237" s="11" t="n">
        <x:v>41</x:v>
      </x:c>
      <x:c r="E237" s="14" t="n">
        <x:v>0.17073170731707318</x:v>
      </x:c>
      <x:c r="F237" s="12" t="n">
        <x:v>3.2195121951219514</x:v>
      </x:c>
      <x:c r="G237" s="4" t="str">
        <x:v>Sin marca literal</x:v>
      </x:c>
      <x:c r="H237" s="11"/>
      <x:c r="I237" s="11" t="str">
        <x:f>IF(H237="","",C237-H237)</x:f>
      </x:c>
      <x:c r="J237" s="4"/>
      <x:c r="K237" s="4" t="str">
        <x:v>URLs de detalle page/query/country por clics. No asignan las impresiones de esta consulta a cada página.</x:v>
      </x:c>
    </x:row>
    <x:row r="238" ht="28" customHeight="1">
      <x:c r="A238" s="4" t="n">
        <x:v>228</x:v>
      </x:c>
      <x:c r="B238" s="4" t="str">
        <x:v>trabaja en sky</x:v>
      </x:c>
      <x:c r="C238" s="11" t="n">
        <x:v>7</x:v>
      </x:c>
      <x:c r="D238" s="11" t="n">
        <x:v>37</x:v>
      </x:c>
      <x:c r="E238" s="14" t="n">
        <x:v>0.1891891891891892</x:v>
      </x:c>
      <x:c r="F238" s="12" t="n">
        <x:v>5.405405405405405</x:v>
      </x:c>
      <x:c r="G238" s="4" t="str">
        <x:v>Sin marca literal</x:v>
      </x:c>
      <x:c r="H238" s="11"/>
      <x:c r="I238" s="11" t="str">
        <x:f>IF(H238="","",C238-H238)</x:f>
      </x:c>
      <x:c r="J238" s="4"/>
      <x:c r="K238" s="4" t="str">
        <x:v>URLs de detalle page/query/country por clics. No asignan las impresiones de esta consulta a cada página.</x:v>
      </x:c>
    </x:row>
    <x:row r="239" ht="28" customHeight="1">
      <x:c r="A239" s="4" t="n">
        <x:v>229</x:v>
      </x:c>
      <x:c r="B239" s="4" t="str">
        <x:v>sky airline tripulante de cabina</x:v>
      </x:c>
      <x:c r="C239" s="11" t="n">
        <x:v>7</x:v>
      </x:c>
      <x:c r="D239" s="11" t="n">
        <x:v>36</x:v>
      </x:c>
      <x:c r="E239" s="14" t="n">
        <x:v>0.19444444444444445</x:v>
      </x:c>
      <x:c r="F239" s="12" t="n">
        <x:v>5.638888888888889</x:v>
      </x:c>
      <x:c r="G239" s="4" t="str">
        <x:v>Sin marca literal</x:v>
      </x:c>
      <x:c r="H239" s="11"/>
      <x:c r="I239" s="11" t="str">
        <x:f>IF(H239="","",C239-H239)</x:f>
      </x:c>
      <x:c r="J239" s="4"/>
      <x:c r="K239" s="4" t="str">
        <x:v>URLs de detalle page/query/country por clics. No asignan las impresiones de esta consulta a cada página.</x:v>
      </x:c>
    </x:row>
    <x:row r="240" ht="28" customHeight="1">
      <x:c r="A240" s="4" t="n">
        <x:v>230</x:v>
      </x:c>
      <x:c r="B240" s="4" t="str">
        <x:v>sky mascota</x:v>
      </x:c>
      <x:c r="C240" s="11" t="n">
        <x:v>7</x:v>
      </x:c>
      <x:c r="D240" s="11" t="n">
        <x:v>36</x:v>
      </x:c>
      <x:c r="E240" s="14" t="n">
        <x:v>0.19444444444444445</x:v>
      </x:c>
      <x:c r="F240" s="12" t="n">
        <x:v>3.9166666666666665</x:v>
      </x:c>
      <x:c r="G240" s="4" t="str">
        <x:v>Contiene marca</x:v>
      </x:c>
      <x:c r="H240" s="11" t="n">
        <x:v>14</x:v>
      </x:c>
      <x:c r="I240" s="11" t="n">
        <x:f>IF(H240="","",C240-H240)</x:f>
        <x:v>-7</x:v>
      </x:c>
      <x:c r="J240" s="4" t="str">
        <x:v>https://blog.skyairline.com/viajar-con-perros/ (5 clics)
https://blog.skyairline.com/mascotas-en-cabina/ (2 clics)</x:v>
      </x:c>
      <x:c r="K240" s="4" t="str">
        <x:v>URLs de detalle page/query/country por clics. No asignan las impresiones de esta consulta a cada página.</x:v>
      </x:c>
    </x:row>
    <x:row r="241" ht="28" customHeight="1">
      <x:c r="A241" s="4" t="n">
        <x:v>231</x:v>
      </x:c>
      <x:c r="B241" s="4" t="str">
        <x:v>tripulante de cabina sky chile</x:v>
      </x:c>
      <x:c r="C241" s="11" t="n">
        <x:v>7</x:v>
      </x:c>
      <x:c r="D241" s="11" t="n">
        <x:v>35</x:v>
      </x:c>
      <x:c r="E241" s="14" t="n">
        <x:v>0.2</x:v>
      </x:c>
      <x:c r="F241" s="12" t="n">
        <x:v>6.257142857142857</x:v>
      </x:c>
      <x:c r="G241" s="4" t="str">
        <x:v>Sin marca literal</x:v>
      </x:c>
      <x:c r="H241" s="11"/>
      <x:c r="I241" s="11" t="str">
        <x:f>IF(H241="","",C241-H241)</x:f>
      </x:c>
      <x:c r="J241" s="4"/>
      <x:c r="K241" s="4" t="str">
        <x:v>URLs de detalle page/query/country por clics. No asignan las impresiones de esta consulta a cada página.</x:v>
      </x:c>
    </x:row>
    <x:row r="242" ht="28" customHeight="1">
      <x:c r="A242" s="4" t="n">
        <x:v>232</x:v>
      </x:c>
      <x:c r="B242" s="4" t="str">
        <x:v>sky medidas maletas</x:v>
      </x:c>
      <x:c r="C242" s="11" t="n">
        <x:v>7</x:v>
      </x:c>
      <x:c r="D242" s="11" t="n">
        <x:v>33</x:v>
      </x:c>
      <x:c r="E242" s="14" t="n">
        <x:v>0.21212121212121213</x:v>
      </x:c>
      <x:c r="F242" s="12" t="n">
        <x:v>3.757575757575758</x:v>
      </x:c>
      <x:c r="G242" s="4" t="str">
        <x:v>Contiene marca</x:v>
      </x:c>
      <x:c r="H242" s="11" t="n">
        <x:v>13</x:v>
      </x:c>
      <x:c r="I242" s="11" t="n">
        <x:f>IF(H242="","",C242-H242)</x:f>
        <x:v>-6</x:v>
      </x:c>
      <x:c r="J242" s="4" t="str">
        <x:v>https://blog.skyairline.com/equipaje-de-bodega/ (5 clics)
https://blog.skyairline.com/tipos-de-equipaje/ (2 clics)</x:v>
      </x:c>
      <x:c r="K242" s="4" t="str">
        <x:v>URLs de detalle page/query/country por clics. No asignan las impresiones de esta consulta a cada página.</x:v>
      </x:c>
    </x:row>
    <x:row r="243" ht="28" customHeight="1">
      <x:c r="A243" s="4" t="n">
        <x:v>233</x:v>
      </x:c>
      <x:c r="B243" s="4" t="str">
        <x:v>como postular a tripulante de cabina</x:v>
      </x:c>
      <x:c r="C243" s="11" t="n">
        <x:v>7</x:v>
      </x:c>
      <x:c r="D243" s="11" t="n">
        <x:v>15</x:v>
      </x:c>
      <x:c r="E243" s="14" t="n">
        <x:v>0.4666666666666667</x:v>
      </x:c>
      <x:c r="F243" s="12" t="n">
        <x:v>2.9333333333333336</x:v>
      </x:c>
      <x:c r="G243" s="4" t="str">
        <x:v>Sin marca literal</x:v>
      </x:c>
      <x:c r="H243" s="11"/>
      <x:c r="I243" s="11" t="str">
        <x:f>IF(H243="","",C243-H243)</x:f>
      </x:c>
      <x:c r="J243" s="4"/>
      <x:c r="K243" s="4" t="str">
        <x:v>URLs de detalle page/query/country por clics. No asignan las impresiones de esta consulta a cada página.</x:v>
      </x:c>
    </x:row>
    <x:row r="244" ht="28" customHeight="1">
      <x:c r="A244" s="4" t="n">
        <x:v>234</x:v>
      </x:c>
      <x:c r="B244" s="4" t="str">
        <x:v>check in sky</x:v>
      </x:c>
      <x:c r="C244" s="11" t="n">
        <x:v>6</x:v>
      </x:c>
      <x:c r="D244" s="11" t="n">
        <x:v>6101</x:v>
      </x:c>
      <x:c r="E244" s="14" t="n">
        <x:v>0.000983445336830028</x:v>
      </x:c>
      <x:c r="F244" s="12" t="n">
        <x:v>7.064251762006228</x:v>
      </x:c>
      <x:c r="G244" s="4" t="str">
        <x:v>Contiene marca</x:v>
      </x:c>
      <x:c r="H244" s="11" t="n">
        <x:v>12</x:v>
      </x:c>
      <x:c r="I244" s="11" t="n">
        <x:f>IF(H244="","",C244-H244)</x:f>
        <x:v>-6</x:v>
      </x:c>
      <x:c r="J244" s="4" t="str">
        <x:v>https://blog.skyairline.com/check-in-automatico/ (5 clics)
https://blog.skyairline.com/que-es-el-check-in/ (1 clics)</x:v>
      </x:c>
      <x:c r="K244" s="4" t="str">
        <x:v>URLs de detalle page/query/country por clics. No asignan las impresiones de esta consulta a cada página.</x:v>
      </x:c>
    </x:row>
    <x:row r="245" ht="28" customHeight="1">
      <x:c r="A245" s="4" t="n">
        <x:v>235</x:v>
      </x:c>
      <x:c r="B245" s="4" t="str">
        <x:v>sky check in</x:v>
      </x:c>
      <x:c r="C245" s="11" t="n">
        <x:v>6</x:v>
      </x:c>
      <x:c r="D245" s="11" t="n">
        <x:v>4676</x:v>
      </x:c>
      <x:c r="E245" s="14" t="n">
        <x:v>0.0012831479897348161</x:v>
      </x:c>
      <x:c r="F245" s="12" t="n">
        <x:v>7.482249786142002</x:v>
      </x:c>
      <x:c r="G245" s="4" t="str">
        <x:v>Contiene marca</x:v>
      </x:c>
      <x:c r="H245" s="11" t="n">
        <x:v>8</x:v>
      </x:c>
      <x:c r="I245" s="11" t="n">
        <x:f>IF(H245="","",C245-H245)</x:f>
        <x:v>-2</x:v>
      </x:c>
      <x:c r="J245" s="4" t="str">
        <x:v>https://blog.skyairline.com/check-in-en-linea/ (4 clics)
https://blog.skyairline.com/check-in-automatico/ (1 clics)
https://blog.skyairline.com/que-es-el-check-in/ (1 clics)</x:v>
      </x:c>
      <x:c r="K245" s="4" t="str">
        <x:v>URLs de detalle page/query/country por clics. No asignan las impresiones de esta consulta a cada página.</x:v>
      </x:c>
    </x:row>
    <x:row r="246" ht="28" customHeight="1">
      <x:c r="A246" s="4" t="n">
        <x:v>236</x:v>
      </x:c>
      <x:c r="B246" s="4" t="str">
        <x:v>angra dos reis</x:v>
      </x:c>
      <x:c r="C246" s="11" t="n">
        <x:v>6</x:v>
      </x:c>
      <x:c r="D246" s="11" t="n">
        <x:v>3149</x:v>
      </x:c>
      <x:c r="E246" s="14" t="n">
        <x:v>0.001905366783105748</x:v>
      </x:c>
      <x:c r="F246" s="12" t="n">
        <x:v>10.58685296919657</x:v>
      </x:c>
      <x:c r="G246" s="4" t="str">
        <x:v>Sin marca literal</x:v>
      </x:c>
      <x:c r="H246" s="11" t="n">
        <x:v>8</x:v>
      </x:c>
      <x:c r="I246" s="11" t="n">
        <x:f>IF(H246="","",C246-H246)</x:f>
        <x:v>-2</x:v>
      </x:c>
      <x:c r="J246" s="4" t="str">
        <x:v>https://blog.skyairline.com/angra-dos-reis/ (6 clics)</x:v>
      </x:c>
      <x:c r="K246" s="4" t="str">
        <x:v>URLs de detalle page/query/country por clics. No asignan las impresiones de esta consulta a cada página.</x:v>
      </x:c>
    </x:row>
    <x:row r="247" ht="28" customHeight="1">
      <x:c r="A247" s="4" t="n">
        <x:v>237</x:v>
      </x:c>
      <x:c r="B247" s="4" t="str">
        <x:v>en que estacion del año estamos en chile</x:v>
      </x:c>
      <x:c r="C247" s="11" t="n">
        <x:v>6</x:v>
      </x:c>
      <x:c r="D247" s="11" t="n">
        <x:v>1221</x:v>
      </x:c>
      <x:c r="E247" s="14" t="n">
        <x:v>0.004914004914004914</x:v>
      </x:c>
      <x:c r="F247" s="12" t="n">
        <x:v>2.6936936936936937</x:v>
      </x:c>
      <x:c r="G247" s="4" t="str">
        <x:v>Sin marca literal</x:v>
      </x:c>
      <x:c r="H247" s="11" t="n">
        <x:v>1</x:v>
      </x:c>
      <x:c r="I247" s="11" t="n">
        <x:f>IF(H247="","",C247-H247)</x:f>
        <x:v>5</x:v>
      </x:c>
      <x:c r="J247" s="4" t="str">
        <x:v>https://blog.skyairline.com/estaciones-en-chile/ (6 clics)</x:v>
      </x:c>
      <x:c r="K247" s="4" t="str">
        <x:v>URLs de detalle page/query/country por clics. No asignan las impresiones de esta consulta a cada página.</x:v>
      </x:c>
    </x:row>
    <x:row r="248" ht="28" customHeight="1">
      <x:c r="A248" s="4" t="n">
        <x:v>238</x:v>
      </x:c>
      <x:c r="B248" s="4" t="str">
        <x:v>bailes chilenos</x:v>
      </x:c>
      <x:c r="C248" s="11" t="n">
        <x:v>6</x:v>
      </x:c>
      <x:c r="D248" s="11" t="n">
        <x:v>1034</x:v>
      </x:c>
      <x:c r="E248" s="14" t="n">
        <x:v>0.005802707930367505</x:v>
      </x:c>
      <x:c r="F248" s="12" t="n">
        <x:v>6.938104448742747</x:v>
      </x:c>
      <x:c r="G248" s="4" t="str">
        <x:v>Sin marca literal</x:v>
      </x:c>
      <x:c r="H248" s="11" t="n">
        <x:v>5</x:v>
      </x:c>
      <x:c r="I248" s="11" t="n">
        <x:f>IF(H248="","",C248-H248)</x:f>
        <x:v>1</x:v>
      </x:c>
      <x:c r="J248" s="4" t="str">
        <x:v>https://blog.skyairline.com/bailes-tipicos-de-chile/ (6 clics)</x:v>
      </x:c>
      <x:c r="K248" s="4" t="str">
        <x:v>URLs de detalle page/query/country por clics. No asignan las impresiones de esta consulta a cada página.</x:v>
      </x:c>
    </x:row>
    <x:row r="249" ht="28" customHeight="1">
      <x:c r="A249" s="4" t="n">
        <x:v>239</x:v>
      </x:c>
      <x:c r="B249" s="4" t="str">
        <x:v>bailes tipicos chilenos</x:v>
      </x:c>
      <x:c r="C249" s="11" t="n">
        <x:v>6</x:v>
      </x:c>
      <x:c r="D249" s="11" t="n">
        <x:v>928</x:v>
      </x:c>
      <x:c r="E249" s="14" t="n">
        <x:v>0.00646551724137931</x:v>
      </x:c>
      <x:c r="F249" s="12" t="n">
        <x:v>6.466594827586207</x:v>
      </x:c>
      <x:c r="G249" s="4" t="str">
        <x:v>Sin marca literal</x:v>
      </x:c>
      <x:c r="H249" s="11"/>
      <x:c r="I249" s="11" t="str">
        <x:f>IF(H249="","",C249-H249)</x:f>
      </x:c>
      <x:c r="J249" s="4"/>
      <x:c r="K249" s="4" t="str">
        <x:v>URLs de detalle page/query/country por clics. No asignan las impresiones de esta consulta a cada página.</x:v>
      </x:c>
    </x:row>
    <x:row r="250" ht="28" customHeight="1">
      <x:c r="A250" s="4" t="n">
        <x:v>240</x:v>
      </x:c>
      <x:c r="B250" s="4" t="str">
        <x:v>medidas maleta de cabina</x:v>
      </x:c>
      <x:c r="C250" s="11" t="n">
        <x:v>6</x:v>
      </x:c>
      <x:c r="D250" s="11" t="n">
        <x:v>702</x:v>
      </x:c>
      <x:c r="E250" s="14" t="n">
        <x:v>0.008547008547008548</x:v>
      </x:c>
      <x:c r="F250" s="12" t="n">
        <x:v>7.633903133903134</x:v>
      </x:c>
      <x:c r="G250" s="4" t="str">
        <x:v>Sin marca literal</x:v>
      </x:c>
      <x:c r="H250" s="11"/>
      <x:c r="I250" s="11" t="str">
        <x:f>IF(H250="","",C250-H250)</x:f>
      </x:c>
      <x:c r="J250" s="4"/>
      <x:c r="K250" s="4" t="str">
        <x:v>URLs de detalle page/query/country por clics. No asignan las impresiones de esta consulta a cada página.</x:v>
      </x:c>
    </x:row>
    <x:row r="251" ht="28" customHeight="1">
      <x:c r="A251" s="4" t="n">
        <x:v>241</x:v>
      </x:c>
      <x:c r="B251" s="4" t="str">
        <x:v>zona franca iquique</x:v>
      </x:c>
      <x:c r="C251" s="11" t="n">
        <x:v>6</x:v>
      </x:c>
      <x:c r="D251" s="11" t="n">
        <x:v>487</x:v>
      </x:c>
      <x:c r="E251" s="14" t="n">
        <x:v>0.012320328542094456</x:v>
      </x:c>
      <x:c r="F251" s="12" t="n">
        <x:v>7.687885010266941</x:v>
      </x:c>
      <x:c r="G251" s="4" t="str">
        <x:v>Sin marca literal</x:v>
      </x:c>
      <x:c r="H251" s="11"/>
      <x:c r="I251" s="11" t="str">
        <x:f>IF(H251="","",C251-H251)</x:f>
      </x:c>
      <x:c r="J251" s="4"/>
      <x:c r="K251" s="4" t="str">
        <x:v>URLs de detalle page/query/country por clics. No asignan las impresiones de esta consulta a cada página.</x:v>
      </x:c>
    </x:row>
    <x:row r="252" ht="28" customHeight="1">
      <x:c r="A252" s="4" t="n">
        <x:v>242</x:v>
      </x:c>
      <x:c r="B252" s="4" t="str">
        <x:v>como hacer check in en sky</x:v>
      </x:c>
      <x:c r="C252" s="11" t="n">
        <x:v>6</x:v>
      </x:c>
      <x:c r="D252" s="11" t="n">
        <x:v>470</x:v>
      </x:c>
      <x:c r="E252" s="14" t="n">
        <x:v>0.01276595744680851</x:v>
      </x:c>
      <x:c r="F252" s="12" t="n">
        <x:v>6.953191489361702</x:v>
      </x:c>
      <x:c r="G252" s="4" t="str">
        <x:v>Sin marca literal</x:v>
      </x:c>
      <x:c r="H252" s="11"/>
      <x:c r="I252" s="11" t="str">
        <x:f>IF(H252="","",C252-H252)</x:f>
      </x:c>
      <x:c r="J252" s="4"/>
      <x:c r="K252" s="4" t="str">
        <x:v>URLs de detalle page/query/country por clics. No asignan las impresiones de esta consulta a cada página.</x:v>
      </x:c>
    </x:row>
    <x:row r="253" ht="28" customHeight="1">
      <x:c r="A253" s="4" t="n">
        <x:v>243</x:v>
      </x:c>
      <x:c r="B253" s="4" t="str">
        <x:v>sky plus peru</x:v>
      </x:c>
      <x:c r="C253" s="11" t="n">
        <x:v>6</x:v>
      </x:c>
      <x:c r="D253" s="11" t="n">
        <x:v>323</x:v>
      </x:c>
      <x:c r="E253" s="14" t="n">
        <x:v>0.018575851393188854</x:v>
      </x:c>
      <x:c r="F253" s="12" t="n">
        <x:v>5.674922600619195</x:v>
      </x:c>
      <x:c r="G253" s="4" t="str">
        <x:v>Contiene marca</x:v>
      </x:c>
      <x:c r="H253" s="11" t="n">
        <x:v>12</x:v>
      </x:c>
      <x:c r="I253" s="11" t="n">
        <x:f>IF(H253="","",C253-H253)</x:f>
        <x:v>-6</x:v>
      </x:c>
      <x:c r="J253" s="4" t="str">
        <x:v>https://blog.skyairline.com/sky-plus/ (6 clics)</x:v>
      </x:c>
      <x:c r="K253" s="4" t="str">
        <x:v>URLs de detalle page/query/country por clics. No asignan las impresiones de esta consulta a cada página.</x:v>
      </x:c>
    </x:row>
    <x:row r="254" ht="28" customHeight="1">
      <x:c r="A254" s="4" t="n">
        <x:v>244</x:v>
      </x:c>
      <x:c r="B254" s="4" t="str">
        <x:v>platos tipicos de lima</x:v>
      </x:c>
      <x:c r="C254" s="11" t="n">
        <x:v>6</x:v>
      </x:c>
      <x:c r="D254" s="11" t="n">
        <x:v>231</x:v>
      </x:c>
      <x:c r="E254" s="14" t="n">
        <x:v>0.025974025974025976</x:v>
      </x:c>
      <x:c r="F254" s="12" t="n">
        <x:v>1.7489177489177488</x:v>
      </x:c>
      <x:c r="G254" s="4" t="str">
        <x:v>Sin marca literal</x:v>
      </x:c>
      <x:c r="H254" s="11"/>
      <x:c r="I254" s="11" t="str">
        <x:f>IF(H254="","",C254-H254)</x:f>
      </x:c>
      <x:c r="J254" s="4"/>
      <x:c r="K254" s="4" t="str">
        <x:v>URLs de detalle page/query/country por clics. No asignan las impresiones de esta consulta a cada página.</x:v>
      </x:c>
    </x:row>
    <x:row r="255" ht="28" customHeight="1">
      <x:c r="A255" s="4" t="n">
        <x:v>245</x:v>
      </x:c>
      <x:c r="B255" s="4" t="str">
        <x:v>se puede llevar maquillaje en el equipaje de mano</x:v>
      </x:c>
      <x:c r="C255" s="11" t="n">
        <x:v>6</x:v>
      </x:c>
      <x:c r="D255" s="11" t="n">
        <x:v>139</x:v>
      </x:c>
      <x:c r="E255" s="14" t="n">
        <x:v>0.04316546762589928</x:v>
      </x:c>
      <x:c r="F255" s="12" t="n">
        <x:v>6.870503597122302</x:v>
      </x:c>
      <x:c r="G255" s="4" t="str">
        <x:v>Sin marca literal</x:v>
      </x:c>
      <x:c r="H255" s="11"/>
      <x:c r="I255" s="11" t="str">
        <x:f>IF(H255="","",C255-H255)</x:f>
      </x:c>
      <x:c r="J255" s="4"/>
      <x:c r="K255" s="4" t="str">
        <x:v>URLs de detalle page/query/country por clics. No asignan las impresiones de esta consulta a cada página.</x:v>
      </x:c>
    </x:row>
    <x:row r="256" ht="28" customHeight="1">
      <x:c r="A256" s="4" t="n">
        <x:v>246</x:v>
      </x:c>
      <x:c r="B256" s="4" t="str">
        <x:v>sky comprar maleta</x:v>
      </x:c>
      <x:c r="C256" s="11" t="n">
        <x:v>6</x:v>
      </x:c>
      <x:c r="D256" s="11" t="n">
        <x:v>136</x:v>
      </x:c>
      <x:c r="E256" s="14" t="n">
        <x:v>0.04411764705882353</x:v>
      </x:c>
      <x:c r="F256" s="12" t="n">
        <x:v>5.294117647058823</x:v>
      </x:c>
      <x:c r="G256" s="4" t="str">
        <x:v>Sin marca literal</x:v>
      </x:c>
      <x:c r="H256" s="11"/>
      <x:c r="I256" s="11" t="str">
        <x:f>IF(H256="","",C256-H256)</x:f>
      </x:c>
      <x:c r="J256" s="4"/>
      <x:c r="K256" s="4" t="str">
        <x:v>URLs de detalle page/query/country por clics. No asignan las impresiones de esta consulta a cada página.</x:v>
      </x:c>
    </x:row>
    <x:row r="257" ht="28" customHeight="1">
      <x:c r="A257" s="4" t="n">
        <x:v>247</x:v>
      </x:c>
      <x:c r="B257" s="4" t="str">
        <x:v>medidas mochila sky airlines</x:v>
      </x:c>
      <x:c r="C257" s="11" t="n">
        <x:v>6</x:v>
      </x:c>
      <x:c r="D257" s="11" t="n">
        <x:v>127</x:v>
      </x:c>
      <x:c r="E257" s="14" t="n">
        <x:v>0.047244094488188976</x:v>
      </x:c>
      <x:c r="F257" s="12" t="n">
        <x:v>3.84251968503937</x:v>
      </x:c>
      <x:c r="G257" s="4" t="str">
        <x:v>Sin marca literal</x:v>
      </x:c>
      <x:c r="H257" s="11"/>
      <x:c r="I257" s="11" t="str">
        <x:f>IF(H257="","",C257-H257)</x:f>
      </x:c>
      <x:c r="J257" s="4"/>
      <x:c r="K257" s="4" t="str">
        <x:v>URLs de detalle page/query/country por clics. No asignan las impresiones de esta consulta a cada página.</x:v>
      </x:c>
    </x:row>
    <x:row r="258" ht="28" customHeight="1">
      <x:c r="A258" s="4" t="n">
        <x:v>248</x:v>
      </x:c>
      <x:c r="B258" s="4" t="str">
        <x:v>curso de tripulante de cabina</x:v>
      </x:c>
      <x:c r="C258" s="11" t="n">
        <x:v>6</x:v>
      </x:c>
      <x:c r="D258" s="11" t="n">
        <x:v>117</x:v>
      </x:c>
      <x:c r="E258" s="14" t="n">
        <x:v>0.05128205128205128</x:v>
      </x:c>
      <x:c r="F258" s="12" t="n">
        <x:v>8.34188034188034</x:v>
      </x:c>
      <x:c r="G258" s="4" t="str">
        <x:v>Sin marca literal</x:v>
      </x:c>
      <x:c r="H258" s="11"/>
      <x:c r="I258" s="11" t="str">
        <x:f>IF(H258="","",C258-H258)</x:f>
      </x:c>
      <x:c r="J258" s="4"/>
      <x:c r="K258" s="4" t="str">
        <x:v>URLs de detalle page/query/country por clics. No asignan las impresiones de esta consulta a cada página.</x:v>
      </x:c>
    </x:row>
    <x:row r="259" ht="28" customHeight="1">
      <x:c r="A259" s="4" t="n">
        <x:v>249</x:v>
      </x:c>
      <x:c r="B259" s="4" t="str">
        <x:v>platos típicos lima</x:v>
      </x:c>
      <x:c r="C259" s="11" t="n">
        <x:v>6</x:v>
      </x:c>
      <x:c r="D259" s="11" t="n">
        <x:v>107</x:v>
      </x:c>
      <x:c r="E259" s="14" t="n">
        <x:v>0.056074766355140186</x:v>
      </x:c>
      <x:c r="F259" s="12" t="n">
        <x:v>2.149532710280374</x:v>
      </x:c>
      <x:c r="G259" s="4" t="str">
        <x:v>Sin marca literal</x:v>
      </x:c>
      <x:c r="H259" s="11"/>
      <x:c r="I259" s="11" t="str">
        <x:f>IF(H259="","",C259-H259)</x:f>
      </x:c>
      <x:c r="J259" s="4"/>
      <x:c r="K259" s="4" t="str">
        <x:v>URLs de detalle page/query/country por clics. No asignan las impresiones de esta consulta a cada página.</x:v>
      </x:c>
    </x:row>
    <x:row r="260" ht="28" customHeight="1">
      <x:c r="A260" s="4" t="n">
        <x:v>250</x:v>
      </x:c>
      <x:c r="B260" s="4" t="str">
        <x:v>canjear puntos sky plus</x:v>
      </x:c>
      <x:c r="C260" s="11" t="n">
        <x:v>6</x:v>
      </x:c>
      <x:c r="D260" s="11" t="n">
        <x:v>101</x:v>
      </x:c>
      <x:c r="E260" s="14" t="n">
        <x:v>0.0594059405940594</x:v>
      </x:c>
      <x:c r="F260" s="12" t="n">
        <x:v>4.9504950495049505</x:v>
      </x:c>
      <x:c r="G260" s="4" t="str">
        <x:v>Sin marca literal</x:v>
      </x:c>
      <x:c r="H260" s="11"/>
      <x:c r="I260" s="11" t="str">
        <x:f>IF(H260="","",C260-H260)</x:f>
      </x:c>
      <x:c r="J260" s="4"/>
      <x:c r="K260" s="4" t="str">
        <x:v>URLs de detalle page/query/country por clics. No asignan las impresiones de esta consulta a cada página.</x:v>
      </x:c>
    </x:row>
    <x:row r="261" ht="28" customHeight="1">
      <x:c r="A261" s="4" t="n">
        <x:v>251</x:v>
      </x:c>
      <x:c r="B261" s="4" t="str">
        <x:v>carry on sky</x:v>
      </x:c>
      <x:c r="C261" s="11" t="n">
        <x:v>6</x:v>
      </x:c>
      <x:c r="D261" s="11" t="n">
        <x:v>85</x:v>
      </x:c>
      <x:c r="E261" s="14" t="n">
        <x:v>0.07058823529411765</x:v>
      </x:c>
      <x:c r="F261" s="12" t="n">
        <x:v>4.08235294117647</x:v>
      </x:c>
      <x:c r="G261" s="4" t="str">
        <x:v>Sin marca literal</x:v>
      </x:c>
      <x:c r="H261" s="11"/>
      <x:c r="I261" s="11" t="str">
        <x:f>IF(H261="","",C261-H261)</x:f>
      </x:c>
      <x:c r="J261" s="4"/>
      <x:c r="K261" s="4" t="str">
        <x:v>URLs de detalle page/query/country por clics. No asignan las impresiones de esta consulta a cada página.</x:v>
      </x:c>
    </x:row>
    <x:row r="262" ht="28" customHeight="1">
      <x:c r="A262" s="4" t="n">
        <x:v>252</x:v>
      </x:c>
      <x:c r="B262" s="4" t="str">
        <x:v>medida mochila sky</x:v>
      </x:c>
      <x:c r="C262" s="11" t="n">
        <x:v>6</x:v>
      </x:c>
      <x:c r="D262" s="11" t="n">
        <x:v>82</x:v>
      </x:c>
      <x:c r="E262" s="14" t="n">
        <x:v>0.07317073170731707</x:v>
      </x:c>
      <x:c r="F262" s="12" t="n">
        <x:v>3.841463414634146</x:v>
      </x:c>
      <x:c r="G262" s="4" t="str">
        <x:v>Sin marca literal</x:v>
      </x:c>
      <x:c r="H262" s="11"/>
      <x:c r="I262" s="11" t="str">
        <x:f>IF(H262="","",C262-H262)</x:f>
      </x:c>
      <x:c r="J262" s="4"/>
      <x:c r="K262" s="4" t="str">
        <x:v>URLs de detalle page/query/country por clics. No asignan las impresiones de esta consulta a cada página.</x:v>
      </x:c>
    </x:row>
    <x:row r="263" ht="28" customHeight="1">
      <x:c r="A263" s="4" t="n">
        <x:v>253</x:v>
      </x:c>
      <x:c r="B263" s="4" t="str">
        <x:v>medidas mochila avion sky</x:v>
      </x:c>
      <x:c r="C263" s="11" t="n">
        <x:v>6</x:v>
      </x:c>
      <x:c r="D263" s="11" t="n">
        <x:v>75</x:v>
      </x:c>
      <x:c r="E263" s="14" t="n">
        <x:v>0.08</x:v>
      </x:c>
      <x:c r="F263" s="12" t="n">
        <x:v>3.466666666666667</x:v>
      </x:c>
      <x:c r="G263" s="4" t="str">
        <x:v>Sin marca literal</x:v>
      </x:c>
      <x:c r="H263" s="11"/>
      <x:c r="I263" s="11" t="str">
        <x:f>IF(H263="","",C263-H263)</x:f>
      </x:c>
      <x:c r="J263" s="4"/>
      <x:c r="K263" s="4" t="str">
        <x:v>URLs de detalle page/query/country por clics. No asignan las impresiones de esta consulta a cada página.</x:v>
      </x:c>
    </x:row>
    <x:row r="264" ht="28" customHeight="1">
      <x:c r="A264" s="4" t="n">
        <x:v>254</x:v>
      </x:c>
      <x:c r="B264" s="4" t="str">
        <x:v>vacaciones con niños</x:v>
      </x:c>
      <x:c r="C264" s="11" t="n">
        <x:v>6</x:v>
      </x:c>
      <x:c r="D264" s="11" t="n">
        <x:v>73</x:v>
      </x:c>
      <x:c r="E264" s="14" t="n">
        <x:v>0.0821917808219178</x:v>
      </x:c>
      <x:c r="F264" s="12" t="n">
        <x:v>20.684931506849313</x:v>
      </x:c>
      <x:c r="G264" s="4" t="str">
        <x:v>Sin marca literal</x:v>
      </x:c>
      <x:c r="H264" s="11"/>
      <x:c r="I264" s="11" t="str">
        <x:f>IF(H264="","",C264-H264)</x:f>
      </x:c>
      <x:c r="J264" s="4"/>
      <x:c r="K264" s="4" t="str">
        <x:v>URLs de detalle page/query/country por clics. No asignan las impresiones de esta consulta a cada página.</x:v>
      </x:c>
    </x:row>
    <x:row r="265" ht="28" customHeight="1">
      <x:c r="A265" s="4" t="n">
        <x:v>255</x:v>
      </x:c>
      <x:c r="B265" s="4" t="str">
        <x:v>articulo personal sky airlines</x:v>
      </x:c>
      <x:c r="C265" s="11" t="n">
        <x:v>6</x:v>
      </x:c>
      <x:c r="D265" s="11" t="n">
        <x:v>71</x:v>
      </x:c>
      <x:c r="E265" s="14" t="n">
        <x:v>0.08450704225352113</x:v>
      </x:c>
      <x:c r="F265" s="12" t="n">
        <x:v>4.070422535211268</x:v>
      </x:c>
      <x:c r="G265" s="4" t="str">
        <x:v>Sin marca literal</x:v>
      </x:c>
      <x:c r="H265" s="11"/>
      <x:c r="I265" s="11" t="str">
        <x:f>IF(H265="","",C265-H265)</x:f>
      </x:c>
      <x:c r="J265" s="4"/>
      <x:c r="K265" s="4" t="str">
        <x:v>URLs de detalle page/query/country por clics. No asignan las impresiones de esta consulta a cada página.</x:v>
      </x:c>
    </x:row>
    <x:row r="266" ht="28" customHeight="1">
      <x:c r="A266" s="4" t="n">
        <x:v>256</x:v>
      </x:c>
      <x:c r="B266" s="4" t="str">
        <x:v>carry on sky airlines</x:v>
      </x:c>
      <x:c r="C266" s="11" t="n">
        <x:v>6</x:v>
      </x:c>
      <x:c r="D266" s="11" t="n">
        <x:v>64</x:v>
      </x:c>
      <x:c r="E266" s="14" t="n">
        <x:v>0.09375</x:v>
      </x:c>
      <x:c r="F266" s="12" t="n">
        <x:v>7.65625</x:v>
      </x:c>
      <x:c r="G266" s="4" t="str">
        <x:v>Contiene marca</x:v>
      </x:c>
      <x:c r="H266" s="11" t="n">
        <x:v>12</x:v>
      </x:c>
      <x:c r="I266" s="11" t="n">
        <x:f>IF(H266="","",C266-H266)</x:f>
        <x:v>-6</x:v>
      </x:c>
      <x:c r="J266" s="4" t="str">
        <x:v>https://blog.skyairline.com/equipaje-de-cabina/ (4 clics)
https://blog.skyairline.com/equipaje-de-bodega/ (1 clics)
https://blog.skyairline.com/tipos-de-equipaje/ (1 clics)</x:v>
      </x:c>
      <x:c r="K266" s="4" t="str">
        <x:v>URLs de detalle page/query/country por clics. No asignan las impresiones de esta consulta a cada página.</x:v>
      </x:c>
    </x:row>
    <x:row r="267" ht="28" customHeight="1">
      <x:c r="A267" s="4" t="n">
        <x:v>257</x:v>
      </x:c>
      <x:c r="B267" s="4" t="str">
        <x:v>equipaje de sky</x:v>
      </x:c>
      <x:c r="C267" s="11" t="n">
        <x:v>6</x:v>
      </x:c>
      <x:c r="D267" s="11" t="n">
        <x:v>64</x:v>
      </x:c>
      <x:c r="E267" s="14" t="n">
        <x:v>0.09375</x:v>
      </x:c>
      <x:c r="F267" s="12" t="n">
        <x:v>4.0625</x:v>
      </x:c>
      <x:c r="G267" s="4" t="str">
        <x:v>Sin marca literal</x:v>
      </x:c>
      <x:c r="H267" s="11"/>
      <x:c r="I267" s="11" t="str">
        <x:f>IF(H267="","",C267-H267)</x:f>
      </x:c>
      <x:c r="J267" s="4"/>
      <x:c r="K267" s="4" t="str">
        <x:v>URLs de detalle page/query/country por clics. No asignan las impresiones de esta consulta a cada página.</x:v>
      </x:c>
    </x:row>
    <x:row r="268" ht="28" customHeight="1">
      <x:c r="A268" s="4" t="n">
        <x:v>258</x:v>
      </x:c>
      <x:c r="B268" s="4" t="str">
        <x:v>que hacer en caminito</x:v>
      </x:c>
      <x:c r="C268" s="11" t="n">
        <x:v>6</x:v>
      </x:c>
      <x:c r="D268" s="11" t="n">
        <x:v>64</x:v>
      </x:c>
      <x:c r="E268" s="14" t="n">
        <x:v>0.09375</x:v>
      </x:c>
      <x:c r="F268" s="12" t="n">
        <x:v>2.890625</x:v>
      </x:c>
      <x:c r="G268" s="4" t="str">
        <x:v>Sin marca literal</x:v>
      </x:c>
      <x:c r="H268" s="11" t="n">
        <x:v>15</x:v>
      </x:c>
      <x:c r="I268" s="11" t="n">
        <x:f>IF(H268="","",C268-H268)</x:f>
        <x:v>-9</x:v>
      </x:c>
      <x:c r="J268" s="4" t="str">
        <x:v>https://blog.skyairline.com/10-cosas-que-hacer-en-caminito/ (6 clics)</x:v>
      </x:c>
      <x:c r="K268" s="4" t="str">
        <x:v>URLs de detalle page/query/country por clics. No asignan las impresiones de esta consulta a cada página.</x:v>
      </x:c>
    </x:row>
    <x:row r="269" ht="28" customHeight="1">
      <x:c r="A269" s="4" t="n">
        <x:v>259</x:v>
      </x:c>
      <x:c r="B269" s="4" t="str">
        <x:v>chiloe tiene aeropuerto</x:v>
      </x:c>
      <x:c r="C269" s="11" t="n">
        <x:v>6</x:v>
      </x:c>
      <x:c r="D269" s="11" t="n">
        <x:v>61</x:v>
      </x:c>
      <x:c r="E269" s="14" t="n">
        <x:v>0.09836065573770492</x:v>
      </x:c>
      <x:c r="F269" s="12" t="n">
        <x:v>1.819672131147541</x:v>
      </x:c>
      <x:c r="G269" s="4" t="str">
        <x:v>Sin marca literal</x:v>
      </x:c>
      <x:c r="H269" s="11"/>
      <x:c r="I269" s="11" t="str">
        <x:f>IF(H269="","",C269-H269)</x:f>
      </x:c>
      <x:c r="J269" s="4"/>
      <x:c r="K269" s="4" t="str">
        <x:v>URLs de detalle page/query/country por clics. No asignan las impresiones de esta consulta a cada página.</x:v>
      </x:c>
    </x:row>
    <x:row r="270" ht="28" customHeight="1">
      <x:c r="A270" s="4" t="n">
        <x:v>260</x:v>
      </x:c>
      <x:c r="B270" s="4" t="str">
        <x:v>sky medidas de equipaje de mano</x:v>
      </x:c>
      <x:c r="C270" s="11" t="n">
        <x:v>6</x:v>
      </x:c>
      <x:c r="D270" s="11" t="n">
        <x:v>61</x:v>
      </x:c>
      <x:c r="E270" s="14" t="n">
        <x:v>0.09836065573770492</x:v>
      </x:c>
      <x:c r="F270" s="12" t="n">
        <x:v>4.557377049180328</x:v>
      </x:c>
      <x:c r="G270" s="4" t="str">
        <x:v>Contiene marca</x:v>
      </x:c>
      <x:c r="H270" s="11" t="n">
        <x:v>14</x:v>
      </x:c>
      <x:c r="I270" s="11" t="n">
        <x:f>IF(H270="","",C270-H270)</x:f>
        <x:v>-8</x:v>
      </x:c>
      <x:c r="J270" s="4" t="str">
        <x:v>https://blog.skyairline.com/equipaje-de-cabina/ (4 clics)
https://blog.skyairline.com/equipaje-de-bodega/ (2 clics)</x:v>
      </x:c>
      <x:c r="K270" s="4" t="str">
        <x:v>URLs de detalle page/query/country por clics. No asignan las impresiones de esta consulta a cada página.</x:v>
      </x:c>
    </x:row>
    <x:row r="271" ht="28" customHeight="1">
      <x:c r="A271" s="4" t="n">
        <x:v>261</x:v>
      </x:c>
      <x:c r="B271" s="4" t="str">
        <x:v>medidas carry on sky airlines</x:v>
      </x:c>
      <x:c r="C271" s="11" t="n">
        <x:v>6</x:v>
      </x:c>
      <x:c r="D271" s="11" t="n">
        <x:v>45</x:v>
      </x:c>
      <x:c r="E271" s="14" t="n">
        <x:v>0.13333333333333333</x:v>
      </x:c>
      <x:c r="F271" s="12" t="n">
        <x:v>4.7555555555555555</x:v>
      </x:c>
      <x:c r="G271" s="4" t="str">
        <x:v>Sin marca literal</x:v>
      </x:c>
      <x:c r="H271" s="11"/>
      <x:c r="I271" s="11" t="str">
        <x:f>IF(H271="","",C271-H271)</x:f>
      </x:c>
      <x:c r="J271" s="4"/>
      <x:c r="K271" s="4" t="str">
        <x:v>URLs de detalle page/query/country por clics. No asignan las impresiones de esta consulta a cada página.</x:v>
      </x:c>
    </x:row>
    <x:row r="272" ht="28" customHeight="1">
      <x:c r="A272" s="4" t="n">
        <x:v>262</x:v>
      </x:c>
      <x:c r="B272" s="4" t="str">
        <x:v>academia tripulante de cabina</x:v>
      </x:c>
      <x:c r="C272" s="11" t="n">
        <x:v>6</x:v>
      </x:c>
      <x:c r="D272" s="11" t="n">
        <x:v>41</x:v>
      </x:c>
      <x:c r="E272" s="14" t="n">
        <x:v>0.14634146341463414</x:v>
      </x:c>
      <x:c r="F272" s="12" t="n">
        <x:v>7.536585365853658</x:v>
      </x:c>
      <x:c r="G272" s="4" t="str">
        <x:v>Sin marca literal</x:v>
      </x:c>
      <x:c r="H272" s="11"/>
      <x:c r="I272" s="11" t="str">
        <x:f>IF(H272="","",C272-H272)</x:f>
      </x:c>
      <x:c r="J272" s="4"/>
      <x:c r="K272" s="4" t="str">
        <x:v>URLs de detalle page/query/country por clics. No asignan las impresiones de esta consulta a cada página.</x:v>
      </x:c>
    </x:row>
    <x:row r="273" ht="28" customHeight="1">
      <x:c r="A273" s="4" t="n">
        <x:v>263</x:v>
      </x:c>
      <x:c r="B273" s="4" t="str">
        <x:v>sky carry on medidas</x:v>
      </x:c>
      <x:c r="C273" s="11" t="n">
        <x:v>6</x:v>
      </x:c>
      <x:c r="D273" s="11" t="n">
        <x:v>41</x:v>
      </x:c>
      <x:c r="E273" s="14" t="n">
        <x:v>0.14634146341463414</x:v>
      </x:c>
      <x:c r="F273" s="12" t="n">
        <x:v>4.658536585365853</x:v>
      </x:c>
      <x:c r="G273" s="4" t="str">
        <x:v>Sin marca literal</x:v>
      </x:c>
      <x:c r="H273" s="11"/>
      <x:c r="I273" s="11" t="str">
        <x:f>IF(H273="","",C273-H273)</x:f>
      </x:c>
      <x:c r="J273" s="4"/>
      <x:c r="K273" s="4" t="str">
        <x:v>URLs de detalle page/query/country por clics. No asignan las impresiones de esta consulta a cada página.</x:v>
      </x:c>
    </x:row>
    <x:row r="274" ht="28" customHeight="1">
      <x:c r="A274" s="4" t="n">
        <x:v>264</x:v>
      </x:c>
      <x:c r="B274" s="4" t="str">
        <x:v>trabajos en sky airline</x:v>
      </x:c>
      <x:c r="C274" s="11" t="n">
        <x:v>6</x:v>
      </x:c>
      <x:c r="D274" s="11" t="n">
        <x:v>40</x:v>
      </x:c>
      <x:c r="E274" s="14" t="n">
        <x:v>0.15</x:v>
      </x:c>
      <x:c r="F274" s="12" t="n">
        <x:v>5.95</x:v>
      </x:c>
      <x:c r="G274" s="4" t="str">
        <x:v>Sin marca literal</x:v>
      </x:c>
      <x:c r="H274" s="11"/>
      <x:c r="I274" s="11" t="str">
        <x:f>IF(H274="","",C274-H274)</x:f>
      </x:c>
      <x:c r="J274" s="4"/>
      <x:c r="K274" s="4" t="str">
        <x:v>URLs de detalle page/query/country por clics. No asignan las impresiones de esta consulta a cada página.</x:v>
      </x:c>
    </x:row>
    <x:row r="275" ht="28" customHeight="1">
      <x:c r="A275" s="4" t="n">
        <x:v>265</x:v>
      </x:c>
      <x:c r="B275" s="4" t="str">
        <x:v>ciudades cercanas a rio de janeiro</x:v>
      </x:c>
      <x:c r="C275" s="11" t="n">
        <x:v>6</x:v>
      </x:c>
      <x:c r="D275" s="11" t="n">
        <x:v>39</x:v>
      </x:c>
      <x:c r="E275" s="14" t="n">
        <x:v>0.15384615384615385</x:v>
      </x:c>
      <x:c r="F275" s="12" t="n">
        <x:v>1.435897435897436</x:v>
      </x:c>
      <x:c r="G275" s="4" t="str">
        <x:v>Sin marca literal</x:v>
      </x:c>
      <x:c r="H275" s="11"/>
      <x:c r="I275" s="11" t="str">
        <x:f>IF(H275="","",C275-H275)</x:f>
      </x:c>
      <x:c r="J275" s="4"/>
      <x:c r="K275" s="4" t="str">
        <x:v>URLs de detalle page/query/country por clics. No asignan las impresiones de esta consulta a cada página.</x:v>
      </x:c>
    </x:row>
    <x:row r="276" ht="28" customHeight="1">
      <x:c r="A276" s="4" t="n">
        <x:v>266</x:v>
      </x:c>
      <x:c r="B276" s="4" t="str">
        <x:v>sky dimensiones equipaje de mano</x:v>
      </x:c>
      <x:c r="C276" s="11" t="n">
        <x:v>6</x:v>
      </x:c>
      <x:c r="D276" s="11" t="n">
        <x:v>37</x:v>
      </x:c>
      <x:c r="E276" s="14" t="n">
        <x:v>0.16216216216216217</x:v>
      </x:c>
      <x:c r="F276" s="12" t="n">
        <x:v>2.972972972972973</x:v>
      </x:c>
      <x:c r="G276" s="4" t="str">
        <x:v>Sin marca literal</x:v>
      </x:c>
      <x:c r="H276" s="11"/>
      <x:c r="I276" s="11" t="str">
        <x:f>IF(H276="","",C276-H276)</x:f>
      </x:c>
      <x:c r="J276" s="4"/>
      <x:c r="K276" s="4" t="str">
        <x:v>URLs de detalle page/query/country por clics. No asignan las impresiones de esta consulta a cada página.</x:v>
      </x:c>
    </x:row>
    <x:row r="277" ht="28" customHeight="1">
      <x:c r="A277" s="4" t="n">
        <x:v>267</x:v>
      </x:c>
      <x:c r="B277" s="4" t="str">
        <x:v>sky airlines tripulante de cabina</x:v>
      </x:c>
      <x:c r="C277" s="11" t="n">
        <x:v>6</x:v>
      </x:c>
      <x:c r="D277" s="11" t="n">
        <x:v>36</x:v>
      </x:c>
      <x:c r="E277" s="14" t="n">
        <x:v>0.16666666666666666</x:v>
      </x:c>
      <x:c r="F277" s="12" t="n">
        <x:v>5.583333333333333</x:v>
      </x:c>
      <x:c r="G277" s="4" t="str">
        <x:v>Contiene marca</x:v>
      </x:c>
      <x:c r="H277" s="11" t="n">
        <x:v>24</x:v>
      </x:c>
      <x:c r="I277" s="11" t="n">
        <x:f>IF(H277="","",C277-H277)</x:f>
        <x:v>-18</x:v>
      </x:c>
      <x:c r="J277" s="4" t="str">
        <x:v>https://blog.skyairline.com/curso-tripulante-cabina/ (6 clics)</x:v>
      </x:c>
      <x:c r="K277" s="4" t="str">
        <x:v>URLs de detalle page/query/country por clics. No asignan las impresiones de esta consulta a cada página.</x:v>
      </x:c>
    </x:row>
    <x:row r="278" ht="28" customHeight="1">
      <x:c r="A278" s="4" t="n">
        <x:v>268</x:v>
      </x:c>
      <x:c r="B278" s="4" t="str">
        <x:v>trabajar en sky</x:v>
      </x:c>
      <x:c r="C278" s="11" t="n">
        <x:v>6</x:v>
      </x:c>
      <x:c r="D278" s="11" t="n">
        <x:v>35</x:v>
      </x:c>
      <x:c r="E278" s="14" t="n">
        <x:v>0.17142857142857143</x:v>
      </x:c>
      <x:c r="F278" s="12" t="n">
        <x:v>7.257142857142857</x:v>
      </x:c>
      <x:c r="G278" s="4" t="str">
        <x:v>Sin marca literal</x:v>
      </x:c>
      <x:c r="H278" s="11"/>
      <x:c r="I278" s="11" t="str">
        <x:f>IF(H278="","",C278-H278)</x:f>
      </x:c>
      <x:c r="J278" s="4"/>
      <x:c r="K278" s="4" t="str">
        <x:v>URLs de detalle page/query/country por clics. No asignan las impresiones de esta consulta a cada página.</x:v>
      </x:c>
    </x:row>
    <x:row r="279" ht="28" customHeight="1">
      <x:c r="A279" s="4" t="n">
        <x:v>269</x:v>
      </x:c>
      <x:c r="B279" s="4" t="str">
        <x:v>trabajar en sky airlines</x:v>
      </x:c>
      <x:c r="C279" s="11" t="n">
        <x:v>6</x:v>
      </x:c>
      <x:c r="D279" s="11" t="n">
        <x:v>35</x:v>
      </x:c>
      <x:c r="E279" s="14" t="n">
        <x:v>0.17142857142857143</x:v>
      </x:c>
      <x:c r="F279" s="12" t="n">
        <x:v>4.828571428571429</x:v>
      </x:c>
      <x:c r="G279" s="4" t="str">
        <x:v>Sin marca literal</x:v>
      </x:c>
      <x:c r="H279" s="11"/>
      <x:c r="I279" s="11" t="str">
        <x:f>IF(H279="","",C279-H279)</x:f>
      </x:c>
      <x:c r="J279" s="4"/>
      <x:c r="K279" s="4" t="str">
        <x:v>URLs de detalle page/query/country por clics. No asignan las impresiones de esta consulta a cada página.</x:v>
      </x:c>
    </x:row>
    <x:row r="280" ht="28" customHeight="1">
      <x:c r="A280" s="4" t="n">
        <x:v>270</x:v>
      </x:c>
      <x:c r="B280" s="4" t="str">
        <x:v>sky restricciones equipaje</x:v>
      </x:c>
      <x:c r="C280" s="11" t="n">
        <x:v>6</x:v>
      </x:c>
      <x:c r="D280" s="11" t="n">
        <x:v>34</x:v>
      </x:c>
      <x:c r="E280" s="14" t="n">
        <x:v>0.17647058823529413</x:v>
      </x:c>
      <x:c r="F280" s="12" t="n">
        <x:v>3.676470588235294</x:v>
      </x:c>
      <x:c r="G280" s="4" t="str">
        <x:v>Sin marca literal</x:v>
      </x:c>
      <x:c r="H280" s="11"/>
      <x:c r="I280" s="11" t="str">
        <x:f>IF(H280="","",C280-H280)</x:f>
      </x:c>
      <x:c r="J280" s="4"/>
      <x:c r="K280" s="4" t="str">
        <x:v>URLs de detalle page/query/country por clics. No asignan las impresiones de esta consulta a cada página.</x:v>
      </x:c>
    </x:row>
    <x:row r="281" ht="28" customHeight="1">
      <x:c r="A281" s="4" t="n">
        <x:v>271</x:v>
      </x:c>
      <x:c r="B281" s="4" t="str">
        <x:v>sky medida bolso de mano</x:v>
      </x:c>
      <x:c r="C281" s="11" t="n">
        <x:v>6</x:v>
      </x:c>
      <x:c r="D281" s="11" t="n">
        <x:v>32</x:v>
      </x:c>
      <x:c r="E281" s="14" t="n">
        <x:v>0.1875</x:v>
      </x:c>
      <x:c r="F281" s="12" t="n">
        <x:v>2.28125</x:v>
      </x:c>
      <x:c r="G281" s="4" t="str">
        <x:v>Sin marca literal</x:v>
      </x:c>
      <x:c r="H281" s="11"/>
      <x:c r="I281" s="11" t="str">
        <x:f>IF(H281="","",C281-H281)</x:f>
      </x:c>
      <x:c r="J281" s="4"/>
      <x:c r="K281" s="4" t="str">
        <x:v>URLs de detalle page/query/country por clics. No asignan las impresiones de esta consulta a cada página.</x:v>
      </x:c>
    </x:row>
    <x:row r="282" ht="28" customHeight="1">
      <x:c r="A282" s="4" t="n">
        <x:v>272</x:v>
      </x:c>
      <x:c r="B282" s="4" t="str">
        <x:v>nueva aerolinea en cajamarca</x:v>
      </x:c>
      <x:c r="C282" s="11" t="n">
        <x:v>6</x:v>
      </x:c>
      <x:c r="D282" s="11" t="n">
        <x:v>27</x:v>
      </x:c>
      <x:c r="E282" s="14" t="n">
        <x:v>0.2222222222222222</x:v>
      </x:c>
      <x:c r="F282" s="12" t="n">
        <x:v>2.185185185185185</x:v>
      </x:c>
      <x:c r="G282" s="4" t="str">
        <x:v>Sin marca literal</x:v>
      </x:c>
      <x:c r="H282" s="11"/>
      <x:c r="I282" s="11" t="str">
        <x:f>IF(H282="","",C282-H282)</x:f>
      </x:c>
      <x:c r="J282" s="4"/>
      <x:c r="K282" s="4" t="str">
        <x:v>URLs de detalle page/query/country por clics. No asignan las impresiones de esta consulta a cada página.</x:v>
      </x:c>
    </x:row>
    <x:row r="283" ht="28" customHeight="1">
      <x:c r="A283" s="4" t="n">
        <x:v>273</x:v>
      </x:c>
      <x:c r="B283" s="4" t="str">
        <x:v>sky postulaciones</x:v>
      </x:c>
      <x:c r="C283" s="11" t="n">
        <x:v>6</x:v>
      </x:c>
      <x:c r="D283" s="11" t="n">
        <x:v>26</x:v>
      </x:c>
      <x:c r="E283" s="14" t="n">
        <x:v>0.23076923076923078</x:v>
      </x:c>
      <x:c r="F283" s="12" t="n">
        <x:v>4.038461538461538</x:v>
      </x:c>
      <x:c r="G283" s="4" t="str">
        <x:v>Contiene marca</x:v>
      </x:c>
      <x:c r="H283" s="11" t="n">
        <x:v>19</x:v>
      </x:c>
      <x:c r="I283" s="11" t="n">
        <x:f>IF(H283="","",C283-H283)</x:f>
        <x:v>-13</x:v>
      </x:c>
      <x:c r="J283" s="4" t="str">
        <x:v>https://blog.skyairline.com/categoria/oportunidades/ (6 clics)</x:v>
      </x:c>
      <x:c r="K283" s="4" t="str">
        <x:v>URLs de detalle page/query/country por clics. No asignan las impresiones de esta consulta a cada página.</x:v>
      </x:c>
    </x:row>
    <x:row r="284" ht="28" customHeight="1">
      <x:c r="A284" s="4" t="n">
        <x:v>274</x:v>
      </x:c>
      <x:c r="B284" s="4" t="str">
        <x:v>sky premium economy</x:v>
      </x:c>
      <x:c r="C284" s="11" t="n">
        <x:v>6</x:v>
      </x:c>
      <x:c r="D284" s="11" t="n">
        <x:v>26</x:v>
      </x:c>
      <x:c r="E284" s="14" t="n">
        <x:v>0.23076923076923078</x:v>
      </x:c>
      <x:c r="F284" s="12" t="n">
        <x:v>2.6153846153846154</x:v>
      </x:c>
      <x:c r="G284" s="4" t="str">
        <x:v>Sin marca literal</x:v>
      </x:c>
      <x:c r="H284" s="11"/>
      <x:c r="I284" s="11" t="str">
        <x:f>IF(H284="","",C284-H284)</x:f>
      </x:c>
      <x:c r="J284" s="4"/>
      <x:c r="K284" s="4" t="str">
        <x:v>URLs de detalle page/query/country por clics. No asignan las impresiones de esta consulta a cada página.</x:v>
      </x:c>
    </x:row>
    <x:row r="285" ht="28" customHeight="1">
      <x:c r="A285" s="4" t="n">
        <x:v>275</x:v>
      </x:c>
      <x:c r="B285" s="4" t="str">
        <x:v>trabajos sky</x:v>
      </x:c>
      <x:c r="C285" s="11" t="n">
        <x:v>6</x:v>
      </x:c>
      <x:c r="D285" s="11" t="n">
        <x:v>20</x:v>
      </x:c>
      <x:c r="E285" s="14" t="n">
        <x:v>0.3</x:v>
      </x:c>
      <x:c r="F285" s="12" t="n">
        <x:v>3.85</x:v>
      </x:c>
      <x:c r="G285" s="4" t="str">
        <x:v>Sin marca literal</x:v>
      </x:c>
      <x:c r="H285" s="11"/>
      <x:c r="I285" s="11" t="str">
        <x:f>IF(H285="","",C285-H285)</x:f>
      </x:c>
      <x:c r="J285" s="4"/>
      <x:c r="K285" s="4" t="str">
        <x:v>URLs de detalle page/query/country por clics. No asignan las impresiones de esta consulta a cada página.</x:v>
      </x:c>
    </x:row>
    <x:row r="286" ht="28" customHeight="1">
      <x:c r="A286" s="4" t="n">
        <x:v>276</x:v>
      </x:c>
      <x:c r="B286" s="4" t="str">
        <x:v>google flights</x:v>
      </x:c>
      <x:c r="C286" s="11" t="n">
        <x:v>5</x:v>
      </x:c>
      <x:c r="D286" s="11" t="n">
        <x:v>4261</x:v>
      </x:c>
      <x:c r="E286" s="14" t="n">
        <x:v>0.0011734334663224596</x:v>
      </x:c>
      <x:c r="F286" s="12" t="n">
        <x:v>6.366345928185872</x:v>
      </x:c>
      <x:c r="G286" s="4" t="str">
        <x:v>Sin marca literal</x:v>
      </x:c>
      <x:c r="H286" s="11" t="n">
        <x:v>6</x:v>
      </x:c>
      <x:c r="I286" s="11" t="n">
        <x:f>IF(H286="","",C286-H286)</x:f>
        <x:v>-1</x:v>
      </x:c>
      <x:c r="J286" s="4" t="str">
        <x:v>https://blog.skyairline.com/google-flights/ (5 clics)</x:v>
      </x:c>
      <x:c r="K286" s="4" t="str">
        <x:v>URLs de detalle page/query/country por clics. No asignan las impresiones de esta consulta a cada página.</x:v>
      </x:c>
    </x:row>
    <x:row r="287" ht="28" customHeight="1">
      <x:c r="A287" s="4" t="n">
        <x:v>277</x:v>
      </x:c>
      <x:c r="B287" s="4" t="str">
        <x:v>shopping mendoza</x:v>
      </x:c>
      <x:c r="C287" s="11" t="n">
        <x:v>5</x:v>
      </x:c>
      <x:c r="D287" s="11" t="n">
        <x:v>1216</x:v>
      </x:c>
      <x:c r="E287" s="14" t="n">
        <x:v>0.004111842105263158</x:v>
      </x:c>
      <x:c r="F287" s="12" t="n">
        <x:v>8.556743421052632</x:v>
      </x:c>
      <x:c r="G287" s="4" t="str">
        <x:v>Sin marca literal</x:v>
      </x:c>
      <x:c r="H287" s="11" t="n">
        <x:v>1</x:v>
      </x:c>
      <x:c r="I287" s="11" t="n">
        <x:f>IF(H287="","",C287-H287)</x:f>
        <x:v>4</x:v>
      </x:c>
      <x:c r="J287" s="4" t="str">
        <x:v>https://blog.skyairline.com/centros-comerciales-en-mendoza/ (5 clics)</x:v>
      </x:c>
      <x:c r="K287" s="4" t="str">
        <x:v>URLs de detalle page/query/country por clics. No asignan las impresiones de esta consulta a cada página.</x:v>
      </x:c>
    </x:row>
    <x:row r="288" ht="28" customHeight="1">
      <x:c r="A288" s="4" t="n">
        <x:v>278</x:v>
      </x:c>
      <x:c r="B288" s="4" t="str">
        <x:v>caminito</x:v>
      </x:c>
      <x:c r="C288" s="11" t="n">
        <x:v>5</x:v>
      </x:c>
      <x:c r="D288" s="11" t="n">
        <x:v>1095</x:v>
      </x:c>
      <x:c r="E288" s="14" t="n">
        <x:v>0.0045662100456621</x:v>
      </x:c>
      <x:c r="F288" s="12" t="n">
        <x:v>9.04931506849315</x:v>
      </x:c>
      <x:c r="G288" s="4" t="str">
        <x:v>Sin marca literal</x:v>
      </x:c>
      <x:c r="H288" s="11" t="n">
        <x:v>5</x:v>
      </x:c>
      <x:c r="I288" s="11" t="n">
        <x:f>IF(H288="","",C288-H288)</x:f>
        <x:v>0</x:v>
      </x:c>
      <x:c r="J288" s="4" t="str">
        <x:v>https://blog.skyairline.com/10-cosas-que-hacer-en-caminito/ (5 clics)</x:v>
      </x:c>
      <x:c r="K288" s="4" t="str">
        <x:v>URLs de detalle page/query/country por clics. No asignan las impresiones de esta consulta a cada página.</x:v>
      </x:c>
    </x:row>
    <x:row r="289" ht="28" customHeight="1">
      <x:c r="A289" s="4" t="n">
        <x:v>279</x:v>
      </x:c>
      <x:c r="B289" s="4" t="str">
        <x:v>check-in sky chile</x:v>
      </x:c>
      <x:c r="C289" s="11" t="n">
        <x:v>5</x:v>
      </x:c>
      <x:c r="D289" s="11" t="n">
        <x:v>841</x:v>
      </x:c>
      <x:c r="E289" s="14" t="n">
        <x:v>0.005945303210463734</x:v>
      </x:c>
      <x:c r="F289" s="12" t="n">
        <x:v>7.967895362663496</x:v>
      </x:c>
      <x:c r="G289" s="4" t="str">
        <x:v>Sin marca literal</x:v>
      </x:c>
      <x:c r="H289" s="11"/>
      <x:c r="I289" s="11" t="str">
        <x:f>IF(H289="","",C289-H289)</x:f>
      </x:c>
      <x:c r="J289" s="4"/>
      <x:c r="K289" s="4" t="str">
        <x:v>URLs de detalle page/query/country por clics. No asignan las impresiones de esta consulta a cada página.</x:v>
      </x:c>
    </x:row>
    <x:row r="290" ht="28" customHeight="1">
      <x:c r="A290" s="4" t="n">
        <x:v>280</x:v>
      </x:c>
      <x:c r="B290" s="4" t="str">
        <x:v>all inclusive chile</x:v>
      </x:c>
      <x:c r="C290" s="11" t="n">
        <x:v>5</x:v>
      </x:c>
      <x:c r="D290" s="11" t="n">
        <x:v>551</x:v>
      </x:c>
      <x:c r="E290" s="14" t="n">
        <x:v>0.009074410163339383</x:v>
      </x:c>
      <x:c r="F290" s="12" t="n">
        <x:v>12.272232304900182</x:v>
      </x:c>
      <x:c r="G290" s="4" t="str">
        <x:v>Sin marca literal</x:v>
      </x:c>
      <x:c r="H290" s="11"/>
      <x:c r="I290" s="11" t="str">
        <x:f>IF(H290="","",C290-H290)</x:f>
      </x:c>
      <x:c r="J290" s="4"/>
      <x:c r="K290" s="4" t="str">
        <x:v>URLs de detalle page/query/country por clics. No asignan las impresiones de esta consulta a cada página.</x:v>
      </x:c>
    </x:row>
    <x:row r="291" ht="28" customHeight="1">
      <x:c r="A291" s="4" t="n">
        <x:v>281</x:v>
      </x:c>
      <x:c r="B291" s="4" t="str">
        <x:v>aeropuertos buenos aires</x:v>
      </x:c>
      <x:c r="C291" s="11" t="n">
        <x:v>5</x:v>
      </x:c>
      <x:c r="D291" s="11" t="n">
        <x:v>447</x:v>
      </x:c>
      <x:c r="E291" s="14" t="n">
        <x:v>0.011185682326621925</x:v>
      </x:c>
      <x:c r="F291" s="12" t="n">
        <x:v>4.123042505592841</x:v>
      </x:c>
      <x:c r="G291" s="4" t="str">
        <x:v>Sin marca literal</x:v>
      </x:c>
      <x:c r="H291" s="11"/>
      <x:c r="I291" s="11" t="str">
        <x:f>IF(H291="","",C291-H291)</x:f>
      </x:c>
      <x:c r="J291" s="4"/>
      <x:c r="K291" s="4" t="str">
        <x:v>URLs de detalle page/query/country por clics. No asignan las impresiones de esta consulta a cada página.</x:v>
      </x:c>
    </x:row>
    <x:row r="292" ht="28" customHeight="1">
      <x:c r="A292" s="4" t="n">
        <x:v>282</x:v>
      </x:c>
      <x:c r="B292" s="4" t="str">
        <x:v>enchufes en argentina</x:v>
      </x:c>
      <x:c r="C292" s="11" t="n">
        <x:v>5</x:v>
      </x:c>
      <x:c r="D292" s="11" t="n">
        <x:v>447</x:v>
      </x:c>
      <x:c r="E292" s="14" t="n">
        <x:v>0.011185682326621925</x:v>
      </x:c>
      <x:c r="F292" s="12" t="n">
        <x:v>6.782997762863535</x:v>
      </x:c>
      <x:c r="G292" s="4" t="str">
        <x:v>Sin marca literal</x:v>
      </x:c>
      <x:c r="H292" s="11"/>
      <x:c r="I292" s="11" t="str">
        <x:f>IF(H292="","",C292-H292)</x:f>
      </x:c>
      <x:c r="J292" s="4"/>
      <x:c r="K292" s="4" t="str">
        <x:v>URLs de detalle page/query/country por clics. No asignan las impresiones de esta consulta a cada página.</x:v>
      </x:c>
    </x:row>
    <x:row r="293" ht="28" customHeight="1">
      <x:c r="A293" s="4" t="n">
        <x:v>283</x:v>
      </x:c>
      <x:c r="B293" s="4" t="str">
        <x:v>aurora boreal chile</x:v>
      </x:c>
      <x:c r="C293" s="11" t="n">
        <x:v>5</x:v>
      </x:c>
      <x:c r="D293" s="11" t="n">
        <x:v>408</x:v>
      </x:c>
      <x:c r="E293" s="14" t="n">
        <x:v>0.012254901960784314</x:v>
      </x:c>
      <x:c r="F293" s="12" t="n">
        <x:v>5.578431372549019</x:v>
      </x:c>
      <x:c r="G293" s="4" t="str">
        <x:v>Sin marca literal</x:v>
      </x:c>
      <x:c r="H293" s="11"/>
      <x:c r="I293" s="11" t="str">
        <x:f>IF(H293="","",C293-H293)</x:f>
      </x:c>
      <x:c r="J293" s="4"/>
      <x:c r="K293" s="4" t="str">
        <x:v>URLs de detalle page/query/country por clics. No asignan las impresiones de esta consulta a cada página.</x:v>
      </x:c>
    </x:row>
    <x:row r="294" ht="28" customHeight="1">
      <x:c r="A294" s="4" t="n">
        <x:v>284</x:v>
      </x:c>
      <x:c r="B294" s="4" t="str">
        <x:v>comida típica de perú lima</x:v>
      </x:c>
      <x:c r="C294" s="11" t="n">
        <x:v>5</x:v>
      </x:c>
      <x:c r="D294" s="11" t="n">
        <x:v>282</x:v>
      </x:c>
      <x:c r="E294" s="14" t="n">
        <x:v>0.01773049645390071</x:v>
      </x:c>
      <x:c r="F294" s="12" t="n">
        <x:v>3.673758865248227</x:v>
      </x:c>
      <x:c r="G294" s="4" t="str">
        <x:v>Sin marca literal</x:v>
      </x:c>
      <x:c r="H294" s="11"/>
      <x:c r="I294" s="11" t="str">
        <x:f>IF(H294="","",C294-H294)</x:f>
      </x:c>
      <x:c r="J294" s="4"/>
      <x:c r="K294" s="4" t="str">
        <x:v>URLs de detalle page/query/country por clics. No asignan las impresiones de esta consulta a cada página.</x:v>
      </x:c>
    </x:row>
    <x:row r="295" ht="28" customHeight="1">
      <x:c r="A295" s="4" t="n">
        <x:v>285</x:v>
      </x:c>
      <x:c r="B295" s="4" t="str">
        <x:v>azafata carrera</x:v>
      </x:c>
      <x:c r="C295" s="11" t="n">
        <x:v>5</x:v>
      </x:c>
      <x:c r="D295" s="11" t="n">
        <x:v>266</x:v>
      </x:c>
      <x:c r="E295" s="14" t="n">
        <x:v>0.018796992481203006</x:v>
      </x:c>
      <x:c r="F295" s="12" t="n">
        <x:v>12.563909774436091</x:v>
      </x:c>
      <x:c r="G295" s="4" t="str">
        <x:v>Sin marca literal</x:v>
      </x:c>
      <x:c r="H295" s="11"/>
      <x:c r="I295" s="11" t="str">
        <x:f>IF(H295="","",C295-H295)</x:f>
      </x:c>
      <x:c r="J295" s="4"/>
      <x:c r="K295" s="4" t="str">
        <x:v>URLs de detalle page/query/country por clics. No asignan las impresiones de esta consulta a cada página.</x:v>
      </x:c>
    </x:row>
    <x:row r="296" ht="28" customHeight="1">
      <x:c r="A296" s="4" t="n">
        <x:v>286</x:v>
      </x:c>
      <x:c r="B296" s="4" t="str">
        <x:v>que no se puede llevar en el equipaje de mano</x:v>
      </x:c>
      <x:c r="C296" s="11" t="n">
        <x:v>5</x:v>
      </x:c>
      <x:c r="D296" s="11" t="n">
        <x:v>264</x:v>
      </x:c>
      <x:c r="E296" s="14" t="n">
        <x:v>0.01893939393939394</x:v>
      </x:c>
      <x:c r="F296" s="12" t="n">
        <x:v>9.890151515151516</x:v>
      </x:c>
      <x:c r="G296" s="4" t="str">
        <x:v>Sin marca literal</x:v>
      </x:c>
      <x:c r="H296" s="11"/>
      <x:c r="I296" s="11" t="str">
        <x:f>IF(H296="","",C296-H296)</x:f>
      </x:c>
      <x:c r="J296" s="4"/>
      <x:c r="K296" s="4" t="str">
        <x:v>URLs de detalle page/query/country por clics. No asignan las impresiones de esta consulta a cada página.</x:v>
      </x:c>
    </x:row>
    <x:row r="297" ht="28" customHeight="1">
      <x:c r="A297" s="4" t="n">
        <x:v>287</x:v>
      </x:c>
      <x:c r="B297" s="4" t="str">
        <x:v>cambiar fecha de vuelo sky</x:v>
      </x:c>
      <x:c r="C297" s="11" t="n">
        <x:v>5</x:v>
      </x:c>
      <x:c r="D297" s="11" t="n">
        <x:v>179</x:v>
      </x:c>
      <x:c r="E297" s="14" t="n">
        <x:v>0.027932960893854747</x:v>
      </x:c>
      <x:c r="F297" s="12" t="n">
        <x:v>5.441340782122905</x:v>
      </x:c>
      <x:c r="G297" s="4" t="str">
        <x:v>Sin marca literal</x:v>
      </x:c>
      <x:c r="H297" s="11"/>
      <x:c r="I297" s="11" t="str">
        <x:f>IF(H297="","",C297-H297)</x:f>
      </x:c>
      <x:c r="J297" s="4"/>
      <x:c r="K297" s="4" t="str">
        <x:v>URLs de detalle page/query/country por clics. No asignan las impresiones de esta consulta a cada página.</x:v>
      </x:c>
    </x:row>
    <x:row r="298" ht="28" customHeight="1">
      <x:c r="A298" s="4" t="n">
        <x:v>288</x:v>
      </x:c>
      <x:c r="B298" s="4" t="str">
        <x:v>beneficios sky plus</x:v>
      </x:c>
      <x:c r="C298" s="11" t="n">
        <x:v>5</x:v>
      </x:c>
      <x:c r="D298" s="11" t="n">
        <x:v>156</x:v>
      </x:c>
      <x:c r="E298" s="14" t="n">
        <x:v>0.03205128205128205</x:v>
      </x:c>
      <x:c r="F298" s="12" t="n">
        <x:v>4.519230769230769</x:v>
      </x:c>
      <x:c r="G298" s="4" t="str">
        <x:v>Contiene marca</x:v>
      </x:c>
      <x:c r="H298" s="11" t="n">
        <x:v>10</x:v>
      </x:c>
      <x:c r="I298" s="11" t="n">
        <x:f>IF(H298="","",C298-H298)</x:f>
        <x:v>-5</x:v>
      </x:c>
      <x:c r="J298" s="4" t="str">
        <x:v>https://blog.skyairline.com/sky-plus/ (5 clics)</x:v>
      </x:c>
      <x:c r="K298" s="4" t="str">
        <x:v>URLs de detalle page/query/country por clics. No asignan las impresiones de esta consulta a cada página.</x:v>
      </x:c>
    </x:row>
    <x:row r="299" ht="28" customHeight="1">
      <x:c r="A299" s="4" t="n">
        <x:v>289</x:v>
      </x:c>
      <x:c r="B299" s="4" t="str">
        <x:v>medidas de maleta de cabina sky</x:v>
      </x:c>
      <x:c r="C299" s="11" t="n">
        <x:v>5</x:v>
      </x:c>
      <x:c r="D299" s="11" t="n">
        <x:v>140</x:v>
      </x:c>
      <x:c r="E299" s="14" t="n">
        <x:v>0.03571428571428571</x:v>
      </x:c>
      <x:c r="F299" s="12" t="n">
        <x:v>4.842857142857143</x:v>
      </x:c>
      <x:c r="G299" s="4" t="str">
        <x:v>Sin marca literal</x:v>
      </x:c>
      <x:c r="H299" s="11"/>
      <x:c r="I299" s="11" t="str">
        <x:f>IF(H299="","",C299-H299)</x:f>
      </x:c>
      <x:c r="J299" s="4"/>
      <x:c r="K299" s="4" t="str">
        <x:v>URLs de detalle page/query/country por clics. No asignan las impresiones de esta consulta a cada página.</x:v>
      </x:c>
    </x:row>
    <x:row r="300" ht="28" customHeight="1">
      <x:c r="A300" s="4" t="n">
        <x:v>290</x:v>
      </x:c>
      <x:c r="B300" s="4" t="str">
        <x:v>requisitos para viajar a brasil desde chile</x:v>
      </x:c>
      <x:c r="C300" s="11" t="n">
        <x:v>5</x:v>
      </x:c>
      <x:c r="D300" s="11" t="n">
        <x:v>138</x:v>
      </x:c>
      <x:c r="E300" s="14" t="n">
        <x:v>0.036231884057971016</x:v>
      </x:c>
      <x:c r="F300" s="12" t="n">
        <x:v>3.6449275362318843</x:v>
      </x:c>
      <x:c r="G300" s="4" t="str">
        <x:v>Sin marca literal</x:v>
      </x:c>
      <x:c r="H300" s="11"/>
      <x:c r="I300" s="11" t="str">
        <x:f>IF(H300="","",C300-H300)</x:f>
      </x:c>
      <x:c r="J300" s="4"/>
      <x:c r="K300" s="4" t="str">
        <x:v>URLs de detalle page/query/country por clics. No asignan las impresiones de esta consulta a cada página.</x:v>
      </x:c>
    </x:row>
    <x:row r="301" ht="28" customHeight="1">
      <x:c r="A301" s="4" t="n">
        <x:v>291</x:v>
      </x:c>
      <x:c r="B301" s="4" t="str">
        <x:v>sky check-in automático</x:v>
      </x:c>
      <x:c r="C301" s="11" t="n">
        <x:v>5</x:v>
      </x:c>
      <x:c r="D301" s="11" t="n">
        <x:v>136</x:v>
      </x:c>
      <x:c r="E301" s="14" t="n">
        <x:v>0.03676470588235294</x:v>
      </x:c>
      <x:c r="F301" s="12" t="n">
        <x:v>3.9338235294117645</x:v>
      </x:c>
      <x:c r="G301" s="4" t="str">
        <x:v>Sin marca literal</x:v>
      </x:c>
      <x:c r="H301" s="11"/>
      <x:c r="I301" s="11" t="str">
        <x:f>IF(H301="","",C301-H301)</x:f>
      </x:c>
      <x:c r="J301" s="4"/>
      <x:c r="K301" s="4" t="str">
        <x:v>URLs de detalle page/query/country por clics. No asignan las impresiones de esta consulta a cada página.</x:v>
      </x:c>
    </x:row>
    <x:row r="302" ht="28" customHeight="1">
      <x:c r="A302" s="4" t="n">
        <x:v>292</x:v>
      </x:c>
      <x:c r="B302" s="4" t="str">
        <x:v>como llegar a coyhaique</x:v>
      </x:c>
      <x:c r="C302" s="11" t="n">
        <x:v>5</x:v>
      </x:c>
      <x:c r="D302" s="11" t="n">
        <x:v>129</x:v>
      </x:c>
      <x:c r="E302" s="14" t="n">
        <x:v>0.03875968992248062</x:v>
      </x:c>
      <x:c r="F302" s="12" t="n">
        <x:v>3.062015503875969</x:v>
      </x:c>
      <x:c r="G302" s="4" t="str">
        <x:v>Sin marca literal</x:v>
      </x:c>
      <x:c r="H302" s="11"/>
      <x:c r="I302" s="11" t="str">
        <x:f>IF(H302="","",C302-H302)</x:f>
      </x:c>
      <x:c r="J302" s="4"/>
      <x:c r="K302" s="4" t="str">
        <x:v>URLs de detalle page/query/country por clics. No asignan las impresiones de esta consulta a cada página.</x:v>
      </x:c>
    </x:row>
    <x:row r="303" ht="28" customHeight="1">
      <x:c r="A303" s="4" t="n">
        <x:v>293</x:v>
      </x:c>
      <x:c r="B303" s="4" t="str">
        <x:v>sky pasajero frecuente</x:v>
      </x:c>
      <x:c r="C303" s="11" t="n">
        <x:v>5</x:v>
      </x:c>
      <x:c r="D303" s="11" t="n">
        <x:v>115</x:v>
      </x:c>
      <x:c r="E303" s="14" t="n">
        <x:v>0.043478260869565216</x:v>
      </x:c>
      <x:c r="F303" s="12" t="n">
        <x:v>3.878260869565217</x:v>
      </x:c>
      <x:c r="G303" s="4" t="str">
        <x:v>Sin marca literal</x:v>
      </x:c>
      <x:c r="H303" s="11"/>
      <x:c r="I303" s="11" t="str">
        <x:f>IF(H303="","",C303-H303)</x:f>
      </x:c>
      <x:c r="J303" s="4"/>
      <x:c r="K303" s="4" t="str">
        <x:v>URLs de detalle page/query/country por clics. No asignan las impresiones de esta consulta a cada página.</x:v>
      </x:c>
    </x:row>
    <x:row r="304" ht="28" customHeight="1">
      <x:c r="A304" s="4" t="n">
        <x:v>294</x:v>
      </x:c>
      <x:c r="B304" s="4" t="str">
        <x:v>que es un hostal y para que sirve</x:v>
      </x:c>
      <x:c r="C304" s="11" t="n">
        <x:v>5</x:v>
      </x:c>
      <x:c r="D304" s="11" t="n">
        <x:v>113</x:v>
      </x:c>
      <x:c r="E304" s="14" t="n">
        <x:v>0.04424778761061947</x:v>
      </x:c>
      <x:c r="F304" s="12" t="n">
        <x:v>2.3097345132743365</x:v>
      </x:c>
      <x:c r="G304" s="4" t="str">
        <x:v>Sin marca literal</x:v>
      </x:c>
      <x:c r="H304" s="11"/>
      <x:c r="I304" s="11" t="str">
        <x:f>IF(H304="","",C304-H304)</x:f>
      </x:c>
      <x:c r="J304" s="4"/>
      <x:c r="K304" s="4" t="str">
        <x:v>URLs de detalle page/query/country por clics. No asignan las impresiones de esta consulta a cada página.</x:v>
      </x:c>
    </x:row>
    <x:row r="305" ht="28" customHeight="1">
      <x:c r="A305" s="4" t="n">
        <x:v>295</x:v>
      </x:c>
      <x:c r="B305" s="4" t="str">
        <x:v>medidas de maleta de mano sky</x:v>
      </x:c>
      <x:c r="C305" s="11" t="n">
        <x:v>5</x:v>
      </x:c>
      <x:c r="D305" s="11" t="n">
        <x:v>109</x:v>
      </x:c>
      <x:c r="E305" s="14" t="n">
        <x:v>0.045871559633027525</x:v>
      </x:c>
      <x:c r="F305" s="12" t="n">
        <x:v>3.596330275229358</x:v>
      </x:c>
      <x:c r="G305" s="4" t="str">
        <x:v>Sin marca literal</x:v>
      </x:c>
      <x:c r="H305" s="11"/>
      <x:c r="I305" s="11" t="str">
        <x:f>IF(H305="","",C305-H305)</x:f>
      </x:c>
      <x:c r="J305" s="4"/>
      <x:c r="K305" s="4" t="str">
        <x:v>URLs de detalle page/query/country por clics. No asignan las impresiones de esta consulta a cada página.</x:v>
      </x:c>
    </x:row>
    <x:row r="306" ht="28" customHeight="1">
      <x:c r="A306" s="4" t="n">
        <x:v>296</x:v>
      </x:c>
      <x:c r="B306" s="4" t="str">
        <x:v>comprar maleta sky</x:v>
      </x:c>
      <x:c r="C306" s="11" t="n">
        <x:v>5</x:v>
      </x:c>
      <x:c r="D306" s="11" t="n">
        <x:v>108</x:v>
      </x:c>
      <x:c r="E306" s="14" t="n">
        <x:v>0.046296296296296294</x:v>
      </x:c>
      <x:c r="F306" s="12" t="n">
        <x:v>3.6574074074074074</x:v>
      </x:c>
      <x:c r="G306" s="4" t="str">
        <x:v>Sin marca literal</x:v>
      </x:c>
      <x:c r="H306" s="11"/>
      <x:c r="I306" s="11" t="str">
        <x:f>IF(H306="","",C306-H306)</x:f>
      </x:c>
      <x:c r="J306" s="4"/>
      <x:c r="K306" s="4" t="str">
        <x:v>URLs de detalle page/query/country por clics. No asignan las impresiones de esta consulta a cada página.</x:v>
      </x:c>
    </x:row>
    <x:row r="307" ht="28" customHeight="1">
      <x:c r="A307" s="4" t="n">
        <x:v>297</x:v>
      </x:c>
      <x:c r="B307" s="4" t="str">
        <x:v>mochila de mano sky</x:v>
      </x:c>
      <x:c r="C307" s="11" t="n">
        <x:v>5</x:v>
      </x:c>
      <x:c r="D307" s="11" t="n">
        <x:v>106</x:v>
      </x:c>
      <x:c r="E307" s="14" t="n">
        <x:v>0.04716981132075472</x:v>
      </x:c>
      <x:c r="F307" s="12" t="n">
        <x:v>4.7075471698113205</x:v>
      </x:c>
      <x:c r="G307" s="4" t="str">
        <x:v>Sin marca literal</x:v>
      </x:c>
      <x:c r="H307" s="11"/>
      <x:c r="I307" s="11" t="str">
        <x:f>IF(H307="","",C307-H307)</x:f>
      </x:c>
      <x:c r="J307" s="4"/>
      <x:c r="K307" s="4" t="str">
        <x:v>URLs de detalle page/query/country por clics. No asignan las impresiones de esta consulta a cada página.</x:v>
      </x:c>
    </x:row>
    <x:row r="308" ht="28" customHeight="1">
      <x:c r="A308" s="4" t="n">
        <x:v>298</x:v>
      </x:c>
      <x:c r="B308" s="4" t="str">
        <x:v>curso de azafata</x:v>
      </x:c>
      <x:c r="C308" s="11" t="n">
        <x:v>5</x:v>
      </x:c>
      <x:c r="D308" s="11" t="n">
        <x:v>97</x:v>
      </x:c>
      <x:c r="E308" s="14" t="n">
        <x:v>0.05154639175257732</x:v>
      </x:c>
      <x:c r="F308" s="12" t="n">
        <x:v>7.762886597938144</x:v>
      </x:c>
      <x:c r="G308" s="4" t="str">
        <x:v>Sin marca literal</x:v>
      </x:c>
      <x:c r="H308" s="11"/>
      <x:c r="I308" s="11" t="str">
        <x:f>IF(H308="","",C308-H308)</x:f>
      </x:c>
      <x:c r="J308" s="4"/>
      <x:c r="K308" s="4" t="str">
        <x:v>URLs de detalle page/query/country por clics. No asignan las impresiones de esta consulta a cada página.</x:v>
      </x:c>
    </x:row>
    <x:row r="309" ht="28" customHeight="1">
      <x:c r="A309" s="4" t="n">
        <x:v>299</x:v>
      </x:c>
      <x:c r="B309" s="4" t="str">
        <x:v>medidas de sky bolso de mano</x:v>
      </x:c>
      <x:c r="C309" s="11" t="n">
        <x:v>5</x:v>
      </x:c>
      <x:c r="D309" s="11" t="n">
        <x:v>92</x:v>
      </x:c>
      <x:c r="E309" s="14" t="n">
        <x:v>0.05434782608695652</x:v>
      </x:c>
      <x:c r="F309" s="12" t="n">
        <x:v>4.260869565217391</x:v>
      </x:c>
      <x:c r="G309" s="4" t="str">
        <x:v>Sin marca literal</x:v>
      </x:c>
      <x:c r="H309" s="11"/>
      <x:c r="I309" s="11" t="str">
        <x:f>IF(H309="","",C309-H309)</x:f>
      </x:c>
      <x:c r="J309" s="4"/>
      <x:c r="K309" s="4" t="str">
        <x:v>URLs de detalle page/query/country por clics. No asignan las impresiones de esta consulta a cada página.</x:v>
      </x:c>
    </x:row>
    <x:row r="310" ht="28" customHeight="1">
      <x:c r="A310" s="4" t="n">
        <x:v>300</x:v>
      </x:c>
      <x:c r="B310" s="4" t="str">
        <x:v>bolso de mano medidas sky</x:v>
      </x:c>
      <x:c r="C310" s="11" t="n">
        <x:v>5</x:v>
      </x:c>
      <x:c r="D310" s="11" t="n">
        <x:v>83</x:v>
      </x:c>
      <x:c r="E310" s="14" t="n">
        <x:v>0.060240963855421686</x:v>
      </x:c>
      <x:c r="F310" s="12" t="n">
        <x:v>3.036144578313253</x:v>
      </x:c>
      <x:c r="G310" s="4" t="str">
        <x:v>Sin marca literal</x:v>
      </x:c>
      <x:c r="H310" s="11"/>
      <x:c r="I310" s="11" t="str">
        <x:f>IF(H310="","",C310-H310)</x:f>
      </x:c>
      <x:c r="J310" s="4"/>
      <x:c r="K310" s="4" t="str">
        <x:v>URLs de detalle page/query/country por clics. No asignan las impresiones de esta consulta a cada página.</x:v>
      </x:c>
    </x:row>
    <x:row r="311" ht="28" customHeight="1">
      <x:c r="A311" s="4" t="n">
        <x:v>301</x:v>
      </x:c>
      <x:c r="B311" s="4" t="str">
        <x:v>curso azafata chile</x:v>
      </x:c>
      <x:c r="C311" s="11" t="n">
        <x:v>5</x:v>
      </x:c>
      <x:c r="D311" s="11" t="n">
        <x:v>83</x:v>
      </x:c>
      <x:c r="E311" s="14" t="n">
        <x:v>0.060240963855421686</x:v>
      </x:c>
      <x:c r="F311" s="12" t="n">
        <x:v>8.072289156626507</x:v>
      </x:c>
      <x:c r="G311" s="4" t="str">
        <x:v>Sin marca literal</x:v>
      </x:c>
      <x:c r="H311" s="11"/>
      <x:c r="I311" s="11" t="str">
        <x:f>IF(H311="","",C311-H311)</x:f>
      </x:c>
      <x:c r="J311" s="4"/>
      <x:c r="K311" s="4" t="str">
        <x:v>URLs de detalle page/query/country por clics. No asignan las impresiones de esta consulta a cada página.</x:v>
      </x:c>
    </x:row>
    <x:row r="312" ht="28" customHeight="1">
      <x:c r="A312" s="4" t="n">
        <x:v>302</x:v>
      </x:c>
      <x:c r="B312" s="4" t="str">
        <x:v>medida maleta cabina sky</x:v>
      </x:c>
      <x:c r="C312" s="11" t="n">
        <x:v>5</x:v>
      </x:c>
      <x:c r="D312" s="11" t="n">
        <x:v>80</x:v>
      </x:c>
      <x:c r="E312" s="14" t="n">
        <x:v>0.0625</x:v>
      </x:c>
      <x:c r="F312" s="12" t="n">
        <x:v>3.875</x:v>
      </x:c>
      <x:c r="G312" s="4" t="str">
        <x:v>Sin marca literal</x:v>
      </x:c>
      <x:c r="H312" s="11"/>
      <x:c r="I312" s="11" t="str">
        <x:f>IF(H312="","",C312-H312)</x:f>
      </x:c>
      <x:c r="J312" s="4"/>
      <x:c r="K312" s="4" t="str">
        <x:v>URLs de detalle page/query/country por clics. No asignan las impresiones de esta consulta a cada página.</x:v>
      </x:c>
    </x:row>
    <x:row r="313" ht="28" customHeight="1">
      <x:c r="A313" s="4" t="n">
        <x:v>303</x:v>
      </x:c>
      <x:c r="B313" s="4" t="str">
        <x:v>escapada romantica fin de semana</x:v>
      </x:c>
      <x:c r="C313" s="11" t="n">
        <x:v>5</x:v>
      </x:c>
      <x:c r="D313" s="11" t="n">
        <x:v>79</x:v>
      </x:c>
      <x:c r="E313" s="14" t="n">
        <x:v>0.06329113924050633</x:v>
      </x:c>
      <x:c r="F313" s="12" t="n">
        <x:v>8.126582278481013</x:v>
      </x:c>
      <x:c r="G313" s="4" t="str">
        <x:v>Sin marca literal</x:v>
      </x:c>
      <x:c r="H313" s="11"/>
      <x:c r="I313" s="11" t="str">
        <x:f>IF(H313="","",C313-H313)</x:f>
      </x:c>
      <x:c r="J313" s="4"/>
      <x:c r="K313" s="4" t="str">
        <x:v>URLs de detalle page/query/country por clics. No asignan las impresiones de esta consulta a cada página.</x:v>
      </x:c>
    </x:row>
    <x:row r="314" ht="28" customHeight="1">
      <x:c r="A314" s="4" t="n">
        <x:v>304</x:v>
      </x:c>
      <x:c r="B314" s="4" t="str">
        <x:v>1 bolso de mano sky medidas</x:v>
      </x:c>
      <x:c r="C314" s="11" t="n">
        <x:v>5</x:v>
      </x:c>
      <x:c r="D314" s="11" t="n">
        <x:v>72</x:v>
      </x:c>
      <x:c r="E314" s="14" t="n">
        <x:v>0.06944444444444445</x:v>
      </x:c>
      <x:c r="F314" s="12" t="n">
        <x:v>2.4444444444444446</x:v>
      </x:c>
      <x:c r="G314" s="4" t="str">
        <x:v>Sin marca literal</x:v>
      </x:c>
      <x:c r="H314" s="11"/>
      <x:c r="I314" s="11" t="str">
        <x:f>IF(H314="","",C314-H314)</x:f>
      </x:c>
      <x:c r="J314" s="4"/>
      <x:c r="K314" s="4" t="str">
        <x:v>URLs de detalle page/query/country por clics. No asignan las impresiones de esta consulta a cada página.</x:v>
      </x:c>
    </x:row>
    <x:row r="315" ht="28" customHeight="1">
      <x:c r="A315" s="4" t="n">
        <x:v>305</x:v>
      </x:c>
      <x:c r="B315" s="4" t="str">
        <x:v>medida de bolso de mano sky</x:v>
      </x:c>
      <x:c r="C315" s="11" t="n">
        <x:v>5</x:v>
      </x:c>
      <x:c r="D315" s="11" t="n">
        <x:v>72</x:v>
      </x:c>
      <x:c r="E315" s="14" t="n">
        <x:v>0.06944444444444445</x:v>
      </x:c>
      <x:c r="F315" s="12" t="n">
        <x:v>4.069444444444445</x:v>
      </x:c>
      <x:c r="G315" s="4" t="str">
        <x:v>Sin marca literal</x:v>
      </x:c>
      <x:c r="H315" s="11"/>
      <x:c r="I315" s="11" t="str">
        <x:f>IF(H315="","",C315-H315)</x:f>
      </x:c>
      <x:c r="J315" s="4"/>
      <x:c r="K315" s="4" t="str">
        <x:v>URLs de detalle page/query/country por clics. No asignan las impresiones de esta consulta a cada página.</x:v>
      </x:c>
    </x:row>
    <x:row r="316" ht="28" customHeight="1">
      <x:c r="A316" s="4" t="n">
        <x:v>306</x:v>
      </x:c>
      <x:c r="B316" s="4" t="str">
        <x:v>puedo llevar maquillaje en el equipaje de mano</x:v>
      </x:c>
      <x:c r="C316" s="11" t="n">
        <x:v>5</x:v>
      </x:c>
      <x:c r="D316" s="11" t="n">
        <x:v>71</x:v>
      </x:c>
      <x:c r="E316" s="14" t="n">
        <x:v>0.07042253521126761</x:v>
      </x:c>
      <x:c r="F316" s="12" t="n">
        <x:v>2.802816901408451</x:v>
      </x:c>
      <x:c r="G316" s="4" t="str">
        <x:v>Sin marca literal</x:v>
      </x:c>
      <x:c r="H316" s="11"/>
      <x:c r="I316" s="11" t="str">
        <x:f>IF(H316="","",C316-H316)</x:f>
      </x:c>
      <x:c r="J316" s="4"/>
      <x:c r="K316" s="4" t="str">
        <x:v>URLs de detalle page/query/country por clics. No asignan las impresiones de esta consulta a cada página.</x:v>
      </x:c>
    </x:row>
    <x:row r="317" ht="28" customHeight="1">
      <x:c r="A317" s="4" t="n">
        <x:v>307</x:v>
      </x:c>
      <x:c r="B317" s="4" t="str">
        <x:v>equipaje de mano medidas sky</x:v>
      </x:c>
      <x:c r="C317" s="11" t="n">
        <x:v>5</x:v>
      </x:c>
      <x:c r="D317" s="11" t="n">
        <x:v>68</x:v>
      </x:c>
      <x:c r="E317" s="14" t="n">
        <x:v>0.07352941176470588</x:v>
      </x:c>
      <x:c r="F317" s="12" t="n">
        <x:v>3.6176470588235294</x:v>
      </x:c>
      <x:c r="G317" s="4" t="str">
        <x:v>Sin marca literal</x:v>
      </x:c>
      <x:c r="H317" s="11"/>
      <x:c r="I317" s="11" t="str">
        <x:f>IF(H317="","",C317-H317)</x:f>
      </x:c>
      <x:c r="J317" s="4"/>
      <x:c r="K317" s="4" t="str">
        <x:v>URLs de detalle page/query/country por clics. No asignan las impresiones de esta consulta a cada página.</x:v>
      </x:c>
    </x:row>
    <x:row r="318" ht="28" customHeight="1">
      <x:c r="A318" s="4" t="n">
        <x:v>308</x:v>
      </x:c>
      <x:c r="B318" s="4" t="str">
        <x:v>bolsa de mano sky medidas</x:v>
      </x:c>
      <x:c r="C318" s="11" t="n">
        <x:v>5</x:v>
      </x:c>
      <x:c r="D318" s="11" t="n">
        <x:v>66</x:v>
      </x:c>
      <x:c r="E318" s="14" t="n">
        <x:v>0.07575757575757576</x:v>
      </x:c>
      <x:c r="F318" s="12" t="n">
        <x:v>3.4393939393939394</x:v>
      </x:c>
      <x:c r="G318" s="4" t="str">
        <x:v>Sin marca literal</x:v>
      </x:c>
      <x:c r="H318" s="11"/>
      <x:c r="I318" s="11" t="str">
        <x:f>IF(H318="","",C318-H318)</x:f>
      </x:c>
      <x:c r="J318" s="4"/>
      <x:c r="K318" s="4" t="str">
        <x:v>URLs de detalle page/query/country por clics. No asignan las impresiones de esta consulta a cada página.</x:v>
      </x:c>
    </x:row>
    <x:row r="319" ht="28" customHeight="1">
      <x:c r="A319" s="4" t="n">
        <x:v>309</x:v>
      </x:c>
      <x:c r="B319" s="4" t="str">
        <x:v>upgrade sky</x:v>
      </x:c>
      <x:c r="C319" s="11" t="n">
        <x:v>5</x:v>
      </x:c>
      <x:c r="D319" s="11" t="n">
        <x:v>66</x:v>
      </x:c>
      <x:c r="E319" s="14" t="n">
        <x:v>0.07575757575757576</x:v>
      </x:c>
      <x:c r="F319" s="12" t="n">
        <x:v>5.363636363636363</x:v>
      </x:c>
      <x:c r="G319" s="4" t="str">
        <x:v>Sin marca literal</x:v>
      </x:c>
      <x:c r="H319" s="11"/>
      <x:c r="I319" s="11" t="str">
        <x:f>IF(H319="","",C319-H319)</x:f>
      </x:c>
      <x:c r="J319" s="4"/>
      <x:c r="K319" s="4" t="str">
        <x:v>URLs de detalle page/query/country por clics. No asignan las impresiones de esta consulta a cada página.</x:v>
      </x:c>
    </x:row>
    <x:row r="320" ht="28" customHeight="1">
      <x:c r="A320" s="4" t="n">
        <x:v>310</x:v>
      </x:c>
      <x:c r="B320" s="4" t="str">
        <x:v>sky multidestino</x:v>
      </x:c>
      <x:c r="C320" s="11" t="n">
        <x:v>5</x:v>
      </x:c>
      <x:c r="D320" s="11" t="n">
        <x:v>61</x:v>
      </x:c>
      <x:c r="E320" s="14" t="n">
        <x:v>0.08196721311475409</x:v>
      </x:c>
      <x:c r="F320" s="12" t="n">
        <x:v>5.180327868852459</x:v>
      </x:c>
      <x:c r="G320" s="4" t="str">
        <x:v>Sin marca literal</x:v>
      </x:c>
      <x:c r="H320" s="11"/>
      <x:c r="I320" s="11" t="str">
        <x:f>IF(H320="","",C320-H320)</x:f>
      </x:c>
      <x:c r="J320" s="4"/>
      <x:c r="K320" s="4" t="str">
        <x:v>URLs de detalle page/query/country por clics. No asignan las impresiones de esta consulta a cada página.</x:v>
      </x:c>
    </x:row>
    <x:row r="321" ht="28" customHeight="1">
      <x:c r="A321" s="4" t="n">
        <x:v>311</x:v>
      </x:c>
      <x:c r="B321" s="4" t="str">
        <x:v>lugares para visitar en el sur argentino en verano</x:v>
      </x:c>
      <x:c r="C321" s="11" t="n">
        <x:v>5</x:v>
      </x:c>
      <x:c r="D321" s="11" t="n">
        <x:v>58</x:v>
      </x:c>
      <x:c r="E321" s="14" t="n">
        <x:v>0.08620689655172414</x:v>
      </x:c>
      <x:c r="F321" s="12" t="n">
        <x:v>3.206896551724138</x:v>
      </x:c>
      <x:c r="G321" s="4" t="str">
        <x:v>Sin marca literal</x:v>
      </x:c>
      <x:c r="H321" s="11"/>
      <x:c r="I321" s="11" t="str">
        <x:f>IF(H321="","",C321-H321)</x:f>
      </x:c>
      <x:c r="J321" s="4"/>
      <x:c r="K321" s="4" t="str">
        <x:v>URLs de detalle page/query/country por clics. No asignan las impresiones de esta consulta a cada página.</x:v>
      </x:c>
    </x:row>
    <x:row r="322" ht="28" customHeight="1">
      <x:c r="A322" s="4" t="n">
        <x:v>312</x:v>
      </x:c>
      <x:c r="B322" s="4" t="str">
        <x:v>los niños pagan pasaje en avion</x:v>
      </x:c>
      <x:c r="C322" s="11" t="n">
        <x:v>5</x:v>
      </x:c>
      <x:c r="D322" s="11" t="n">
        <x:v>55</x:v>
      </x:c>
      <x:c r="E322" s="14" t="n">
        <x:v>0.09090909090909091</x:v>
      </x:c>
      <x:c r="F322" s="12" t="n">
        <x:v>2.381818181818182</x:v>
      </x:c>
      <x:c r="G322" s="4" t="str">
        <x:v>Sin marca literal</x:v>
      </x:c>
      <x:c r="H322" s="11"/>
      <x:c r="I322" s="11" t="str">
        <x:f>IF(H322="","",C322-H322)</x:f>
      </x:c>
      <x:c r="J322" s="4"/>
      <x:c r="K322" s="4" t="str">
        <x:v>URLs de detalle page/query/country por clics. No asignan las impresiones de esta consulta a cada página.</x:v>
      </x:c>
    </x:row>
    <x:row r="323" ht="28" customHeight="1">
      <x:c r="A323" s="4" t="n">
        <x:v>313</x:v>
      </x:c>
      <x:c r="B323" s="4" t="str">
        <x:v>billetera sky peru</x:v>
      </x:c>
      <x:c r="C323" s="11" t="n">
        <x:v>5</x:v>
      </x:c>
      <x:c r="D323" s="11" t="n">
        <x:v>51</x:v>
      </x:c>
      <x:c r="E323" s="14" t="n">
        <x:v>0.09803921568627451</x:v>
      </x:c>
      <x:c r="F323" s="12" t="n">
        <x:v>2.8823529411764706</x:v>
      </x:c>
      <x:c r="G323" s="4" t="str">
        <x:v>Sin marca literal</x:v>
      </x:c>
      <x:c r="H323" s="11"/>
      <x:c r="I323" s="11" t="str">
        <x:f>IF(H323="","",C323-H323)</x:f>
      </x:c>
      <x:c r="J323" s="4"/>
      <x:c r="K323" s="4" t="str">
        <x:v>URLs de detalle page/query/country por clics. No asignan las impresiones de esta consulta a cada página.</x:v>
      </x:c>
    </x:row>
    <x:row r="324" ht="28" customHeight="1">
      <x:c r="A324" s="4" t="n">
        <x:v>314</x:v>
      </x:c>
      <x:c r="B324" s="4" t="str">
        <x:v>tamaño maleta sky</x:v>
      </x:c>
      <x:c r="C324" s="11" t="n">
        <x:v>5</x:v>
      </x:c>
      <x:c r="D324" s="11" t="n">
        <x:v>51</x:v>
      </x:c>
      <x:c r="E324" s="14" t="n">
        <x:v>0.09803921568627451</x:v>
      </x:c>
      <x:c r="F324" s="12" t="n">
        <x:v>11.529411764705882</x:v>
      </x:c>
      <x:c r="G324" s="4" t="str">
        <x:v>Sin marca literal</x:v>
      </x:c>
      <x:c r="H324" s="11"/>
      <x:c r="I324" s="11" t="str">
        <x:f>IF(H324="","",C324-H324)</x:f>
      </x:c>
      <x:c r="J324" s="4"/>
      <x:c r="K324" s="4" t="str">
        <x:v>URLs de detalle page/query/country por clics. No asignan las impresiones de esta consulta a cada página.</x:v>
      </x:c>
    </x:row>
    <x:row r="325" ht="28" customHeight="1">
      <x:c r="A325" s="4" t="n">
        <x:v>315</x:v>
      </x:c>
      <x:c r="B325" s="4" t="str">
        <x:v>mochila de mano sky medidas</x:v>
      </x:c>
      <x:c r="C325" s="11" t="n">
        <x:v>5</x:v>
      </x:c>
      <x:c r="D325" s="11" t="n">
        <x:v>50</x:v>
      </x:c>
      <x:c r="E325" s="14" t="n">
        <x:v>0.1</x:v>
      </x:c>
      <x:c r="F325" s="12" t="n">
        <x:v>3.6</x:v>
      </x:c>
      <x:c r="G325" s="4" t="str">
        <x:v>Sin marca literal</x:v>
      </x:c>
      <x:c r="H325" s="11"/>
      <x:c r="I325" s="11" t="str">
        <x:f>IF(H325="","",C325-H325)</x:f>
      </x:c>
      <x:c r="J325" s="4"/>
      <x:c r="K325" s="4" t="str">
        <x:v>URLs de detalle page/query/country por clics. No asignan las impresiones de esta consulta a cada página.</x:v>
      </x:c>
    </x:row>
    <x:row r="326" ht="28" customHeight="1">
      <x:c r="A326" s="4" t="n">
        <x:v>316</x:v>
      </x:c>
      <x:c r="B326" s="4" t="str">
        <x:v>tamaño mochila sky</x:v>
      </x:c>
      <x:c r="C326" s="11" t="n">
        <x:v>5</x:v>
      </x:c>
      <x:c r="D326" s="11" t="n">
        <x:v>48</x:v>
      </x:c>
      <x:c r="E326" s="14" t="n">
        <x:v>0.10416666666666667</x:v>
      </x:c>
      <x:c r="F326" s="12" t="n">
        <x:v>4.625</x:v>
      </x:c>
      <x:c r="G326" s="4" t="str">
        <x:v>Sin marca literal</x:v>
      </x:c>
      <x:c r="H326" s="11"/>
      <x:c r="I326" s="11" t="str">
        <x:f>IF(H326="","",C326-H326)</x:f>
      </x:c>
      <x:c r="J326" s="4"/>
      <x:c r="K326" s="4" t="str">
        <x:v>URLs de detalle page/query/country por clics. No asignan las impresiones de esta consulta a cada página.</x:v>
      </x:c>
    </x:row>
    <x:row r="327" ht="28" customHeight="1">
      <x:c r="A327" s="4" t="n">
        <x:v>317</x:v>
      </x:c>
      <x:c r="B327" s="4" t="str">
        <x:v>adelantar vuelo sky</x:v>
      </x:c>
      <x:c r="C327" s="11" t="n">
        <x:v>5</x:v>
      </x:c>
      <x:c r="D327" s="11" t="n">
        <x:v>47</x:v>
      </x:c>
      <x:c r="E327" s="14" t="n">
        <x:v>0.10638297872340426</x:v>
      </x:c>
      <x:c r="F327" s="12" t="n">
        <x:v>6.468085106382978</x:v>
      </x:c>
      <x:c r="G327" s="4" t="str">
        <x:v>Sin marca literal</x:v>
      </x:c>
      <x:c r="H327" s="11"/>
      <x:c r="I327" s="11" t="str">
        <x:f>IF(H327="","",C327-H327)</x:f>
      </x:c>
      <x:c r="J327" s="4"/>
      <x:c r="K327" s="4" t="str">
        <x:v>URLs de detalle page/query/country por clics. No asignan las impresiones de esta consulta a cada página.</x:v>
      </x:c>
    </x:row>
    <x:row r="328" ht="28" customHeight="1">
      <x:c r="A328" s="4" t="n">
        <x:v>318</x:v>
      </x:c>
      <x:c r="B328" s="4" t="str">
        <x:v>que aviones usa sky airlines</x:v>
      </x:c>
      <x:c r="C328" s="11" t="n">
        <x:v>5</x:v>
      </x:c>
      <x:c r="D328" s="11" t="n">
        <x:v>46</x:v>
      </x:c>
      <x:c r="E328" s="14" t="n">
        <x:v>0.10869565217391304</x:v>
      </x:c>
      <x:c r="F328" s="12" t="n">
        <x:v>4.978260869565217</x:v>
      </x:c>
      <x:c r="G328" s="4" t="str">
        <x:v>Sin marca literal</x:v>
      </x:c>
      <x:c r="H328" s="11"/>
      <x:c r="I328" s="11" t="str">
        <x:f>IF(H328="","",C328-H328)</x:f>
      </x:c>
      <x:c r="J328" s="4"/>
      <x:c r="K328" s="4" t="str">
        <x:v>URLs de detalle page/query/country por clics. No asignan las impresiones de esta consulta a cada página.</x:v>
      </x:c>
    </x:row>
    <x:row r="329" ht="28" customHeight="1">
      <x:c r="A329" s="4" t="n">
        <x:v>319</x:v>
      </x:c>
      <x:c r="B329" s="4" t="str">
        <x:v>cambiar vuelo sky airline</x:v>
      </x:c>
      <x:c r="C329" s="11" t="n">
        <x:v>5</x:v>
      </x:c>
      <x:c r="D329" s="11" t="n">
        <x:v>45</x:v>
      </x:c>
      <x:c r="E329" s="14" t="n">
        <x:v>0.1111111111111111</x:v>
      </x:c>
      <x:c r="F329" s="12" t="n">
        <x:v>5.266666666666667</x:v>
      </x:c>
      <x:c r="G329" s="4" t="str">
        <x:v>Sin marca literal</x:v>
      </x:c>
      <x:c r="H329" s="11"/>
      <x:c r="I329" s="11" t="str">
        <x:f>IF(H329="","",C329-H329)</x:f>
      </x:c>
      <x:c r="J329" s="4"/>
      <x:c r="K329" s="4" t="str">
        <x:v>URLs de detalle page/query/country por clics. No asignan las impresiones de esta consulta a cada página.</x:v>
      </x:c>
    </x:row>
    <x:row r="330" ht="28" customHeight="1">
      <x:c r="A330" s="4" t="n">
        <x:v>320</x:v>
      </x:c>
      <x:c r="B330" s="4" t="str">
        <x:v>membresia sky</x:v>
      </x:c>
      <x:c r="C330" s="11" t="n">
        <x:v>5</x:v>
      </x:c>
      <x:c r="D330" s="11" t="n">
        <x:v>39</x:v>
      </x:c>
      <x:c r="E330" s="14" t="n">
        <x:v>0.1282051282051282</x:v>
      </x:c>
      <x:c r="F330" s="12" t="n">
        <x:v>3.641025641025641</x:v>
      </x:c>
      <x:c r="G330" s="4" t="str">
        <x:v>Sin marca literal</x:v>
      </x:c>
      <x:c r="H330" s="11"/>
      <x:c r="I330" s="11" t="str">
        <x:f>IF(H330="","",C330-H330)</x:f>
      </x:c>
      <x:c r="J330" s="4"/>
      <x:c r="K330" s="4" t="str">
        <x:v>URLs de detalle page/query/country por clics. No asignan las impresiones de esta consulta a cada página.</x:v>
      </x:c>
    </x:row>
    <x:row r="331" ht="28" customHeight="1">
      <x:c r="A331" s="4" t="n">
        <x:v>321</x:v>
      </x:c>
      <x:c r="B331" s="4" t="str">
        <x:v>empleo sky airline</x:v>
      </x:c>
      <x:c r="C331" s="11" t="n">
        <x:v>5</x:v>
      </x:c>
      <x:c r="D331" s="11" t="n">
        <x:v>37</x:v>
      </x:c>
      <x:c r="E331" s="14" t="n">
        <x:v>0.13513513513513514</x:v>
      </x:c>
      <x:c r="F331" s="12" t="n">
        <x:v>5.054054054054054</x:v>
      </x:c>
      <x:c r="G331" s="4" t="str">
        <x:v>Sin marca literal</x:v>
      </x:c>
      <x:c r="H331" s="11"/>
      <x:c r="I331" s="11" t="str">
        <x:f>IF(H331="","",C331-H331)</x:f>
      </x:c>
      <x:c r="J331" s="4"/>
      <x:c r="K331" s="4" t="str">
        <x:v>URLs de detalle page/query/country por clics. No asignan las impresiones de esta consulta a cada página.</x:v>
      </x:c>
    </x:row>
    <x:row r="332" ht="28" customHeight="1">
      <x:c r="A332" s="4" t="n">
        <x:v>322</x:v>
      </x:c>
      <x:c r="B332" s="4" t="str">
        <x:v>cambio de vuelo sky peru</x:v>
      </x:c>
      <x:c r="C332" s="11" t="n">
        <x:v>5</x:v>
      </x:c>
      <x:c r="D332" s="11" t="n">
        <x:v>36</x:v>
      </x:c>
      <x:c r="E332" s="14" t="n">
        <x:v>0.1388888888888889</x:v>
      </x:c>
      <x:c r="F332" s="12" t="n">
        <x:v>4.583333333333334</x:v>
      </x:c>
      <x:c r="G332" s="4" t="str">
        <x:v>Sin marca literal</x:v>
      </x:c>
      <x:c r="H332" s="11"/>
      <x:c r="I332" s="11" t="str">
        <x:f>IF(H332="","",C332-H332)</x:f>
      </x:c>
      <x:c r="J332" s="4"/>
      <x:c r="K332" s="4" t="str">
        <x:v>URLs de detalle page/query/country por clics. No asignan las impresiones de esta consulta a cada página.</x:v>
      </x:c>
    </x:row>
    <x:row r="333" ht="28" customHeight="1">
      <x:c r="A333" s="4" t="n">
        <x:v>323</x:v>
      </x:c>
      <x:c r="B333" s="4" t="str">
        <x:v>trabajo sky</x:v>
      </x:c>
      <x:c r="C333" s="11" t="n">
        <x:v>5</x:v>
      </x:c>
      <x:c r="D333" s="11" t="n">
        <x:v>35</x:v>
      </x:c>
      <x:c r="E333" s="14" t="n">
        <x:v>0.14285714285714285</x:v>
      </x:c>
      <x:c r="F333" s="12" t="n">
        <x:v>4.571428571428571</x:v>
      </x:c>
      <x:c r="G333" s="4" t="str">
        <x:v>Sin marca literal</x:v>
      </x:c>
      <x:c r="H333" s="11"/>
      <x:c r="I333" s="11" t="str">
        <x:f>IF(H333="","",C333-H333)</x:f>
      </x:c>
      <x:c r="J333" s="4"/>
      <x:c r="K333" s="4" t="str">
        <x:v>URLs de detalle page/query/country por clics. No asignan las impresiones de esta consulta a cada página.</x:v>
      </x:c>
    </x:row>
    <x:row r="334" ht="28" customHeight="1">
      <x:c r="A334" s="4" t="n">
        <x:v>324</x:v>
      </x:c>
      <x:c r="B334" s="4" t="str">
        <x:v>equipajes sky</x:v>
      </x:c>
      <x:c r="C334" s="11" t="n">
        <x:v>5</x:v>
      </x:c>
      <x:c r="D334" s="11" t="n">
        <x:v>25</x:v>
      </x:c>
      <x:c r="E334" s="14" t="n">
        <x:v>0.2</x:v>
      </x:c>
      <x:c r="F334" s="12" t="n">
        <x:v>4.12</x:v>
      </x:c>
      <x:c r="G334" s="4" t="str">
        <x:v>Sin marca literal</x:v>
      </x:c>
      <x:c r="H334" s="11"/>
      <x:c r="I334" s="11" t="str">
        <x:f>IF(H334="","",C334-H334)</x:f>
      </x:c>
      <x:c r="J334" s="4"/>
      <x:c r="K334" s="4" t="str">
        <x:v>URLs de detalle page/query/country por clics. No asignan las impresiones de esta consulta a cada página.</x:v>
      </x:c>
    </x:row>
    <x:row r="335" ht="28" customHeight="1">
      <x:c r="A335" s="4" t="n">
        <x:v>325</x:v>
      </x:c>
      <x:c r="B335" s="4" t="str">
        <x:v>trabaja en sky airlines</x:v>
      </x:c>
      <x:c r="C335" s="11" t="n">
        <x:v>5</x:v>
      </x:c>
      <x:c r="D335" s="11" t="n">
        <x:v>25</x:v>
      </x:c>
      <x:c r="E335" s="14" t="n">
        <x:v>0.2</x:v>
      </x:c>
      <x:c r="F335" s="12" t="n">
        <x:v>5.08</x:v>
      </x:c>
      <x:c r="G335" s="4" t="str">
        <x:v>Sin marca literal</x:v>
      </x:c>
      <x:c r="H335" s="11"/>
      <x:c r="I335" s="11" t="str">
        <x:f>IF(H335="","",C335-H335)</x:f>
      </x:c>
      <x:c r="J335" s="4"/>
      <x:c r="K335" s="4" t="str">
        <x:v>URLs de detalle page/query/country por clics. No asignan las impresiones de esta consulta a cada página.</x:v>
      </x:c>
    </x:row>
    <x:row r="336" ht="28" customHeight="1">
      <x:c r="A336" s="4" t="n">
        <x:v>326</x:v>
      </x:c>
      <x:c r="B336" s="4" t="str">
        <x:v>sky trabajo tripulante de cabina</x:v>
      </x:c>
      <x:c r="C336" s="11" t="n">
        <x:v>5</x:v>
      </x:c>
      <x:c r="D336" s="11" t="n">
        <x:v>18</x:v>
      </x:c>
      <x:c r="E336" s="14" t="n">
        <x:v>0.2777777777777778</x:v>
      </x:c>
      <x:c r="F336" s="12" t="n">
        <x:v>5.5</x:v>
      </x:c>
      <x:c r="G336" s="4" t="str">
        <x:v>Sin marca literal</x:v>
      </x:c>
      <x:c r="H336" s="11"/>
      <x:c r="I336" s="11" t="str">
        <x:f>IF(H336="","",C336-H336)</x:f>
      </x:c>
      <x:c r="J336" s="4"/>
      <x:c r="K336" s="4" t="str">
        <x:v>URLs de detalle page/query/country por clics. No asignan las impresiones de esta consulta a cada página.</x:v>
      </x:c>
    </x:row>
    <x:row r="337" ht="28" customHeight="1">
      <x:c r="A337" s="4" t="n">
        <x:v>327</x:v>
      </x:c>
      <x:c r="B337" s="4" t="str">
        <x:v>estacionamiento aeropuerto santiago</x:v>
      </x:c>
      <x:c r="C337" s="11" t="n">
        <x:v>4</x:v>
      </x:c>
      <x:c r="D337" s="11" t="n">
        <x:v>1569</x:v>
      </x:c>
      <x:c r="E337" s="14" t="n">
        <x:v>0.0025493945188017845</x:v>
      </x:c>
      <x:c r="F337" s="12" t="n">
        <x:v>10.092415551306564</x:v>
      </x:c>
      <x:c r="G337" s="4" t="str">
        <x:v>Sin marca literal</x:v>
      </x:c>
      <x:c r="H337" s="11" t="n">
        <x:v>3</x:v>
      </x:c>
      <x:c r="I337" s="11" t="n">
        <x:f>IF(H337="","",C337-H337)</x:f>
        <x:v>1</x:v>
      </x:c>
      <x:c r="J337" s="4" t="str">
        <x:v>https://blog.skyairline.com/estacionamiento-aeropuerto-santiago/ (4 clics)</x:v>
      </x:c>
      <x:c r="K337" s="4" t="str">
        <x:v>URLs de detalle page/query/country por clics. No asignan las impresiones de esta consulta a cada página.</x:v>
      </x:c>
    </x:row>
    <x:row r="338" ht="28" customHeight="1">
      <x:c r="A338" s="4" t="n">
        <x:v>328</x:v>
      </x:c>
      <x:c r="B338" s="4" t="str">
        <x:v>caminito buenos aires</x:v>
      </x:c>
      <x:c r="C338" s="11" t="n">
        <x:v>4</x:v>
      </x:c>
      <x:c r="D338" s="11" t="n">
        <x:v>1510</x:v>
      </x:c>
      <x:c r="E338" s="14" t="n">
        <x:v>0.0026490066225165563</x:v>
      </x:c>
      <x:c r="F338" s="12" t="n">
        <x:v>8.429801324503313</x:v>
      </x:c>
      <x:c r="G338" s="4" t="str">
        <x:v>Sin marca literal</x:v>
      </x:c>
      <x:c r="H338" s="11" t="n">
        <x:v>8</x:v>
      </x:c>
      <x:c r="I338" s="11" t="n">
        <x:f>IF(H338="","",C338-H338)</x:f>
        <x:v>-4</x:v>
      </x:c>
      <x:c r="J338" s="4" t="str">
        <x:v>https://blog.skyairline.com/10-cosas-que-hacer-en-caminito/ (4 clics)</x:v>
      </x:c>
      <x:c r="K338" s="4" t="str">
        <x:v>URLs de detalle page/query/country por clics. No asignan las impresiones de esta consulta a cada página.</x:v>
      </x:c>
    </x:row>
    <x:row r="339" ht="28" customHeight="1">
      <x:c r="A339" s="4" t="n">
        <x:v>329</x:v>
      </x:c>
      <x:c r="B339" s="4" t="str">
        <x:v>enchufe argentina</x:v>
      </x:c>
      <x:c r="C339" s="11" t="n">
        <x:v>4</x:v>
      </x:c>
      <x:c r="D339" s="11" t="n">
        <x:v>1316</x:v>
      </x:c>
      <x:c r="E339" s="14" t="n">
        <x:v>0.00303951367781155</x:v>
      </x:c>
      <x:c r="F339" s="12" t="n">
        <x:v>8.268996960486323</x:v>
      </x:c>
      <x:c r="G339" s="4" t="str">
        <x:v>Sin marca literal</x:v>
      </x:c>
      <x:c r="H339" s="11" t="n">
        <x:v>0</x:v>
      </x:c>
      <x:c r="I339" s="11" t="str">
        <x:f>IF(H339="","",C339-H339)</x:f>
      </x:c>
      <x:c r="J339" s="4" t="str">
        <x:v>https://blog.skyairline.com/enchufe-argentina/ (4 clics)</x:v>
      </x:c>
      <x:c r="K339" s="4" t="str">
        <x:v>URLs de detalle page/query/country por clics. No asignan las impresiones de esta consulta a cada página.</x:v>
      </x:c>
    </x:row>
    <x:row r="340" ht="28" customHeight="1">
      <x:c r="A340" s="4" t="n">
        <x:v>330</x:v>
      </x:c>
      <x:c r="B340" s="4" t="str">
        <x:v>donde queda punta sal</x:v>
      </x:c>
      <x:c r="C340" s="11" t="n">
        <x:v>4</x:v>
      </x:c>
      <x:c r="D340" s="11" t="n">
        <x:v>1157</x:v>
      </x:c>
      <x:c r="E340" s="14" t="n">
        <x:v>0.003457216940363008</x:v>
      </x:c>
      <x:c r="F340" s="12" t="n">
        <x:v>5.997407087294728</x:v>
      </x:c>
      <x:c r="G340" s="4" t="str">
        <x:v>Sin marca literal</x:v>
      </x:c>
      <x:c r="H340" s="11" t="n">
        <x:v>4</x:v>
      </x:c>
      <x:c r="I340" s="11" t="n">
        <x:f>IF(H340="","",C340-H340)</x:f>
        <x:v>0</x:v>
      </x:c>
      <x:c r="J340" s="4" t="str">
        <x:v>https://blog.skyairline.com/punta-sal/ (4 clics)</x:v>
      </x:c>
      <x:c r="K340" s="4" t="str">
        <x:v>URLs de detalle page/query/country por clics. No asignan las impresiones de esta consulta a cada página.</x:v>
      </x:c>
    </x:row>
    <x:row r="341" ht="28" customHeight="1">
      <x:c r="A341" s="4" t="n">
        <x:v>331</x:v>
      </x:c>
      <x:c r="B341" s="4" t="str">
        <x:v>que estacion estamos en chile</x:v>
      </x:c>
      <x:c r="C341" s="11" t="n">
        <x:v>4</x:v>
      </x:c>
      <x:c r="D341" s="11" t="n">
        <x:v>1095</x:v>
      </x:c>
      <x:c r="E341" s="14" t="n">
        <x:v>0.0036529680365296802</x:v>
      </x:c>
      <x:c r="F341" s="12" t="n">
        <x:v>3.4273972602739726</x:v>
      </x:c>
      <x:c r="G341" s="4" t="str">
        <x:v>Sin marca literal</x:v>
      </x:c>
      <x:c r="H341" s="11" t="n">
        <x:v>1</x:v>
      </x:c>
      <x:c r="I341" s="11" t="n">
        <x:f>IF(H341="","",C341-H341)</x:f>
        <x:v>3</x:v>
      </x:c>
      <x:c r="J341" s="4" t="str">
        <x:v>https://blog.skyairline.com/estaciones-en-chile/ (4 clics)</x:v>
      </x:c>
      <x:c r="K341" s="4" t="str">
        <x:v>URLs de detalle page/query/country por clics. No asignan las impresiones de esta consulta a cada página.</x:v>
      </x:c>
    </x:row>
    <x:row r="342" ht="28" customHeight="1">
      <x:c r="A342" s="4" t="n">
        <x:v>332</x:v>
      </x:c>
      <x:c r="B342" s="4" t="str">
        <x:v>canasvieiras</x:v>
      </x:c>
      <x:c r="C342" s="11" t="n">
        <x:v>4</x:v>
      </x:c>
      <x:c r="D342" s="11" t="n">
        <x:v>1064</x:v>
      </x:c>
      <x:c r="E342" s="14" t="n">
        <x:v>0.0037593984962406013</x:v>
      </x:c>
      <x:c r="F342" s="12" t="n">
        <x:v>10.605263157894736</x:v>
      </x:c>
      <x:c r="G342" s="4" t="str">
        <x:v>Sin marca literal</x:v>
      </x:c>
      <x:c r="H342" s="11" t="n">
        <x:v>2</x:v>
      </x:c>
      <x:c r="I342" s="11" t="n">
        <x:f>IF(H342="","",C342-H342)</x:f>
        <x:v>2</x:v>
      </x:c>
      <x:c r="J342" s="4" t="str">
        <x:v>https://blog.skyairline.com/canasvieiras/ (4 clics)</x:v>
      </x:c>
      <x:c r="K342" s="4" t="str">
        <x:v>URLs de detalle page/query/country por clics. No asignan las impresiones de esta consulta a cada página.</x:v>
      </x:c>
    </x:row>
    <x:row r="343" ht="28" customHeight="1">
      <x:c r="A343" s="4" t="n">
        <x:v>333</x:v>
      </x:c>
      <x:c r="B343" s="4" t="str">
        <x:v>check-in sky con rut</x:v>
      </x:c>
      <x:c r="C343" s="11" t="n">
        <x:v>4</x:v>
      </x:c>
      <x:c r="D343" s="11" t="n">
        <x:v>782</x:v>
      </x:c>
      <x:c r="E343" s="14" t="n">
        <x:v>0.005115089514066497</x:v>
      </x:c>
      <x:c r="F343" s="12" t="n">
        <x:v>7.824808184143222</x:v>
      </x:c>
      <x:c r="G343" s="4" t="str">
        <x:v>Sin marca literal</x:v>
      </x:c>
      <x:c r="H343" s="11"/>
      <x:c r="I343" s="11" t="str">
        <x:f>IF(H343="","",C343-H343)</x:f>
      </x:c>
      <x:c r="J343" s="4"/>
      <x:c r="K343" s="4" t="str">
        <x:v>URLs de detalle page/query/country por clics. No asignan las impresiones de esta consulta a cada página.</x:v>
      </x:c>
    </x:row>
    <x:row r="344" ht="28" customHeight="1">
      <x:c r="A344" s="4" t="n">
        <x:v>334</x:v>
      </x:c>
      <x:c r="B344" s="4" t="str">
        <x:v>teléfonos de sky servicio al cliente chile</x:v>
      </x:c>
      <x:c r="C344" s="11" t="n">
        <x:v>4</x:v>
      </x:c>
      <x:c r="D344" s="11" t="n">
        <x:v>610</x:v>
      </x:c>
      <x:c r="E344" s="14" t="n">
        <x:v>0.006557377049180328</x:v>
      </x:c>
      <x:c r="F344" s="12" t="n">
        <x:v>8.098360655737704</x:v>
      </x:c>
      <x:c r="G344" s="4" t="str">
        <x:v>Sin marca literal</x:v>
      </x:c>
      <x:c r="H344" s="11"/>
      <x:c r="I344" s="11" t="str">
        <x:f>IF(H344="","",C344-H344)</x:f>
      </x:c>
      <x:c r="J344" s="4"/>
      <x:c r="K344" s="4" t="str">
        <x:v>URLs de detalle page/query/country por clics. No asignan las impresiones de esta consulta a cada página.</x:v>
      </x:c>
    </x:row>
    <x:row r="345" ht="28" customHeight="1">
      <x:c r="A345" s="4" t="n">
        <x:v>335</x:v>
      </x:c>
      <x:c r="B345" s="4" t="str">
        <x:v>distancia de montevideo a punta del este</x:v>
      </x:c>
      <x:c r="C345" s="11" t="n">
        <x:v>4</x:v>
      </x:c>
      <x:c r="D345" s="11" t="n">
        <x:v>499</x:v>
      </x:c>
      <x:c r="E345" s="14" t="n">
        <x:v>0.008016032064128256</x:v>
      </x:c>
      <x:c r="F345" s="12" t="n">
        <x:v>4.547094188376754</x:v>
      </x:c>
      <x:c r="G345" s="4" t="str">
        <x:v>Sin marca literal</x:v>
      </x:c>
      <x:c r="H345" s="11"/>
      <x:c r="I345" s="11" t="str">
        <x:f>IF(H345="","",C345-H345)</x:f>
      </x:c>
      <x:c r="J345" s="4"/>
      <x:c r="K345" s="4" t="str">
        <x:v>URLs de detalle page/query/country por clics. No asignan las impresiones de esta consulta a cada página.</x:v>
      </x:c>
    </x:row>
    <x:row r="346" ht="28" customHeight="1">
      <x:c r="A346" s="4" t="n">
        <x:v>336</x:v>
      </x:c>
      <x:c r="B346" s="4" t="str">
        <x:v>hacer check in sky</x:v>
      </x:c>
      <x:c r="C346" s="11" t="n">
        <x:v>4</x:v>
      </x:c>
      <x:c r="D346" s="11" t="n">
        <x:v>464</x:v>
      </x:c>
      <x:c r="E346" s="14" t="n">
        <x:v>0.008620689655172414</x:v>
      </x:c>
      <x:c r="F346" s="12" t="n">
        <x:v>6.743534482758621</x:v>
      </x:c>
      <x:c r="G346" s="4" t="str">
        <x:v>Sin marca literal</x:v>
      </x:c>
      <x:c r="H346" s="11"/>
      <x:c r="I346" s="11" t="str">
        <x:f>IF(H346="","",C346-H346)</x:f>
      </x:c>
      <x:c r="J346" s="4"/>
      <x:c r="K346" s="4" t="str">
        <x:v>URLs de detalle page/query/country por clics. No asignan las impresiones de esta consulta a cada página.</x:v>
      </x:c>
    </x:row>
    <x:row r="347" ht="28" customHeight="1">
      <x:c r="A347" s="4" t="n">
        <x:v>337</x:v>
      </x:c>
      <x:c r="B347" s="4" t="str">
        <x:v>para ir a brasil se necesita pasaporte</x:v>
      </x:c>
      <x:c r="C347" s="11" t="n">
        <x:v>4</x:v>
      </x:c>
      <x:c r="D347" s="11" t="n">
        <x:v>443</x:v>
      </x:c>
      <x:c r="E347" s="14" t="n">
        <x:v>0.009029345372460496</x:v>
      </x:c>
      <x:c r="F347" s="12" t="n">
        <x:v>3.740406320541761</x:v>
      </x:c>
      <x:c r="G347" s="4" t="str">
        <x:v>Sin marca literal</x:v>
      </x:c>
      <x:c r="H347" s="11"/>
      <x:c r="I347" s="11" t="str">
        <x:f>IF(H347="","",C347-H347)</x:f>
      </x:c>
      <x:c r="J347" s="4"/>
      <x:c r="K347" s="4" t="str">
        <x:v>URLs de detalle page/query/country por clics. No asignan las impresiones de esta consulta a cada página.</x:v>
      </x:c>
    </x:row>
    <x:row r="348" ht="28" customHeight="1">
      <x:c r="A348" s="4" t="n">
        <x:v>338</x:v>
      </x:c>
      <x:c r="B348" s="4" t="str">
        <x:v>enchufes en brasil</x:v>
      </x:c>
      <x:c r="C348" s="11" t="n">
        <x:v>4</x:v>
      </x:c>
      <x:c r="D348" s="11" t="n">
        <x:v>378</x:v>
      </x:c>
      <x:c r="E348" s="14" t="n">
        <x:v>0.010582010582010581</x:v>
      </x:c>
      <x:c r="F348" s="12" t="n">
        <x:v>6.751322751322752</x:v>
      </x:c>
      <x:c r="G348" s="4" t="str">
        <x:v>Sin marca literal</x:v>
      </x:c>
      <x:c r="H348" s="11"/>
      <x:c r="I348" s="11" t="str">
        <x:f>IF(H348="","",C348-H348)</x:f>
      </x:c>
      <x:c r="J348" s="4"/>
      <x:c r="K348" s="4" t="str">
        <x:v>URLs de detalle page/query/country por clics. No asignan las impresiones de esta consulta a cada página.</x:v>
      </x:c>
    </x:row>
    <x:row r="349" ht="28" customHeight="1">
      <x:c r="A349" s="4" t="n">
        <x:v>339</x:v>
      </x:c>
      <x:c r="B349" s="4" t="str">
        <x:v>vuelos emin</x:v>
      </x:c>
      <x:c r="C349" s="11" t="n">
        <x:v>4</x:v>
      </x:c>
      <x:c r="D349" s="11" t="n">
        <x:v>357</x:v>
      </x:c>
      <x:c r="E349" s="14" t="n">
        <x:v>0.011204481792717087</x:v>
      </x:c>
      <x:c r="F349" s="12" t="n">
        <x:v>6.526610644257703</x:v>
      </x:c>
      <x:c r="G349" s="4" t="str">
        <x:v>Sin marca literal</x:v>
      </x:c>
      <x:c r="H349" s="11"/>
      <x:c r="I349" s="11" t="str">
        <x:f>IF(H349="","",C349-H349)</x:f>
      </x:c>
      <x:c r="J349" s="4"/>
      <x:c r="K349" s="4" t="str">
        <x:v>URLs de detalle page/query/country por clics. No asignan las impresiones de esta consulta a cada página.</x:v>
      </x:c>
    </x:row>
    <x:row r="350" ht="28" customHeight="1">
      <x:c r="A350" s="4" t="n">
        <x:v>340</x:v>
      </x:c>
      <x:c r="B350" s="4" t="str">
        <x:v>enchufe en argentina</x:v>
      </x:c>
      <x:c r="C350" s="11" t="n">
        <x:v>4</x:v>
      </x:c>
      <x:c r="D350" s="11" t="n">
        <x:v>353</x:v>
      </x:c>
      <x:c r="E350" s="14" t="n">
        <x:v>0.0113314447592068</x:v>
      </x:c>
      <x:c r="F350" s="12" t="n">
        <x:v>7.1784702549575075</x:v>
      </x:c>
      <x:c r="G350" s="4" t="str">
        <x:v>Sin marca literal</x:v>
      </x:c>
      <x:c r="H350" s="11"/>
      <x:c r="I350" s="11" t="str">
        <x:f>IF(H350="","",C350-H350)</x:f>
      </x:c>
      <x:c r="J350" s="4"/>
      <x:c r="K350" s="4" t="str">
        <x:v>URLs de detalle page/query/country por clics. No asignan las impresiones de esta consulta a cada página.</x:v>
      </x:c>
    </x:row>
    <x:row r="351" ht="28" customHeight="1">
      <x:c r="A351" s="4" t="n">
        <x:v>341</x:v>
      </x:c>
      <x:c r="B351" s="4" t="str">
        <x:v>que es el check in de un vuelo</x:v>
      </x:c>
      <x:c r="C351" s="11" t="n">
        <x:v>4</x:v>
      </x:c>
      <x:c r="D351" s="11" t="n">
        <x:v>326</x:v>
      </x:c>
      <x:c r="E351" s="14" t="n">
        <x:v>0.012269938650306749</x:v>
      </x:c>
      <x:c r="F351" s="12" t="n">
        <x:v>7.6656441717791415</x:v>
      </x:c>
      <x:c r="G351" s="4" t="str">
        <x:v>Sin marca literal</x:v>
      </x:c>
      <x:c r="H351" s="11"/>
      <x:c r="I351" s="11" t="str">
        <x:f>IF(H351="","",C351-H351)</x:f>
      </x:c>
      <x:c r="J351" s="4"/>
      <x:c r="K351" s="4" t="str">
        <x:v>URLs de detalle page/query/country por clics. No asignan las impresiones de esta consulta a cada página.</x:v>
      </x:c>
    </x:row>
    <x:row r="352" ht="28" customHeight="1">
      <x:c r="A352" s="4" t="n">
        <x:v>342</x:v>
      </x:c>
      <x:c r="B352" s="4" t="str">
        <x:v>si</x:v>
      </x:c>
      <x:c r="C352" s="11" t="n">
        <x:v>4</x:v>
      </x:c>
      <x:c r="D352" s="11" t="n">
        <x:v>295</x:v>
      </x:c>
      <x:c r="E352" s="14" t="n">
        <x:v>0.013559322033898305</x:v>
      </x:c>
      <x:c r="F352" s="12" t="n">
        <x:v>4.545762711864407</x:v>
      </x:c>
      <x:c r="G352" s="4" t="str">
        <x:v>Sin marca literal</x:v>
      </x:c>
      <x:c r="H352" s="11"/>
      <x:c r="I352" s="11" t="str">
        <x:f>IF(H352="","",C352-H352)</x:f>
      </x:c>
      <x:c r="J352" s="4"/>
      <x:c r="K352" s="4" t="str">
        <x:v>URLs de detalle page/query/country por clics. No asignan las impresiones de esta consulta a cada página.</x:v>
      </x:c>
    </x:row>
    <x:row r="353" ht="28" customHeight="1">
      <x:c r="A353" s="4" t="n">
        <x:v>343</x:v>
      </x:c>
      <x:c r="B353" s="4" t="str">
        <x:v>ilha do campeche</x:v>
      </x:c>
      <x:c r="C353" s="11" t="n">
        <x:v>4</x:v>
      </x:c>
      <x:c r="D353" s="11" t="n">
        <x:v>277</x:v>
      </x:c>
      <x:c r="E353" s="14" t="n">
        <x:v>0.01444043321299639</x:v>
      </x:c>
      <x:c r="F353" s="12" t="n">
        <x:v>12.108303249097473</x:v>
      </x:c>
      <x:c r="G353" s="4" t="str">
        <x:v>Sin marca literal</x:v>
      </x:c>
      <x:c r="H353" s="11"/>
      <x:c r="I353" s="11" t="str">
        <x:f>IF(H353="","",C353-H353)</x:f>
      </x:c>
      <x:c r="J353" s="4"/>
      <x:c r="K353" s="4" t="str">
        <x:v>URLs de detalle page/query/country por clics. No asignan las impresiones de esta consulta a cada página.</x:v>
      </x:c>
    </x:row>
    <x:row r="354" ht="28" customHeight="1">
      <x:c r="A354" s="4" t="n">
        <x:v>344</x:v>
      </x:c>
      <x:c r="B354" s="4" t="str">
        <x:v>aeropuerto mocopulli</x:v>
      </x:c>
      <x:c r="C354" s="11" t="n">
        <x:v>4</x:v>
      </x:c>
      <x:c r="D354" s="11" t="n">
        <x:v>274</x:v>
      </x:c>
      <x:c r="E354" s="14" t="n">
        <x:v>0.014598540145985401</x:v>
      </x:c>
      <x:c r="F354" s="12" t="n">
        <x:v>6.507299270072993</x:v>
      </x:c>
      <x:c r="G354" s="4" t="str">
        <x:v>Sin marca literal</x:v>
      </x:c>
      <x:c r="H354" s="11"/>
      <x:c r="I354" s="11" t="str">
        <x:f>IF(H354="","",C354-H354)</x:f>
      </x:c>
      <x:c r="J354" s="4"/>
      <x:c r="K354" s="4" t="str">
        <x:v>URLs de detalle page/query/country por clics. No asignan las impresiones de esta consulta a cada página.</x:v>
      </x:c>
    </x:row>
    <x:row r="355" ht="28" customHeight="1">
      <x:c r="A355" s="4" t="n">
        <x:v>345</x:v>
      </x:c>
      <x:c r="B355" s="4" t="str">
        <x:v>tipo de enchufe en argentina</x:v>
      </x:c>
      <x:c r="C355" s="11" t="n">
        <x:v>4</x:v>
      </x:c>
      <x:c r="D355" s="11" t="n">
        <x:v>231</x:v>
      </x:c>
      <x:c r="E355" s="14" t="n">
        <x:v>0.017316017316017316</x:v>
      </x:c>
      <x:c r="F355" s="12" t="n">
        <x:v>7.367965367965368</x:v>
      </x:c>
      <x:c r="G355" s="4" t="str">
        <x:v>Sin marca literal</x:v>
      </x:c>
      <x:c r="H355" s="11"/>
      <x:c r="I355" s="11" t="str">
        <x:f>IF(H355="","",C355-H355)</x:f>
      </x:c>
      <x:c r="J355" s="4"/>
      <x:c r="K355" s="4" t="str">
        <x:v>URLs de detalle page/query/country por clics. No asignan las impresiones de esta consulta a cada página.</x:v>
      </x:c>
    </x:row>
    <x:row r="356" ht="28" customHeight="1">
      <x:c r="A356" s="4" t="n">
        <x:v>346</x:v>
      </x:c>
      <x:c r="B356" s="4" t="str">
        <x:v>frutillar</x:v>
      </x:c>
      <x:c r="C356" s="11" t="n">
        <x:v>4</x:v>
      </x:c>
      <x:c r="D356" s="11" t="n">
        <x:v>199</x:v>
      </x:c>
      <x:c r="E356" s="14" t="n">
        <x:v>0.020100502512562814</x:v>
      </x:c>
      <x:c r="F356" s="12" t="n">
        <x:v>8.21608040201005</x:v>
      </x:c>
      <x:c r="G356" s="4" t="str">
        <x:v>Sin marca literal</x:v>
      </x:c>
      <x:c r="H356" s="11"/>
      <x:c r="I356" s="11" t="str">
        <x:f>IF(H356="","",C356-H356)</x:f>
      </x:c>
      <x:c r="J356" s="4"/>
      <x:c r="K356" s="4" t="str">
        <x:v>URLs de detalle page/query/country por clics. No asignan las impresiones de esta consulta a cada página.</x:v>
      </x:c>
    </x:row>
    <x:row r="357" ht="28" customHeight="1">
      <x:c r="A357" s="4" t="n">
        <x:v>347</x:v>
      </x:c>
      <x:c r="B357" s="4" t="str">
        <x:v>punta cana a santo domingo distancia</x:v>
      </x:c>
      <x:c r="C357" s="11" t="n">
        <x:v>4</x:v>
      </x:c>
      <x:c r="D357" s="11" t="n">
        <x:v>192</x:v>
      </x:c>
      <x:c r="E357" s="14" t="n">
        <x:v>0.020833333333333332</x:v>
      </x:c>
      <x:c r="F357" s="12" t="n">
        <x:v>6.723958333333333</x:v>
      </x:c>
      <x:c r="G357" s="4" t="str">
        <x:v>Sin marca literal</x:v>
      </x:c>
      <x:c r="H357" s="11"/>
      <x:c r="I357" s="11" t="str">
        <x:f>IF(H357="","",C357-H357)</x:f>
      </x:c>
      <x:c r="J357" s="4"/>
      <x:c r="K357" s="4" t="str">
        <x:v>URLs de detalle page/query/country por clics. No asignan las impresiones de esta consulta a cada página.</x:v>
      </x:c>
    </x:row>
    <x:row r="358" ht="28" customHeight="1">
      <x:c r="A358" s="4" t="n">
        <x:v>348</x:v>
      </x:c>
      <x:c r="B358" s="4" t="str">
        <x:v>que tipo de enchufe se usa en peru</x:v>
      </x:c>
      <x:c r="C358" s="11" t="n">
        <x:v>4</x:v>
      </x:c>
      <x:c r="D358" s="11" t="n">
        <x:v>191</x:v>
      </x:c>
      <x:c r="E358" s="14" t="n">
        <x:v>0.020942408376963352</x:v>
      </x:c>
      <x:c r="F358" s="12" t="n">
        <x:v>5.43455497382199</x:v>
      </x:c>
      <x:c r="G358" s="4" t="str">
        <x:v>Sin marca literal</x:v>
      </x:c>
      <x:c r="H358" s="11"/>
      <x:c r="I358" s="11" t="str">
        <x:f>IF(H358="","",C358-H358)</x:f>
      </x:c>
      <x:c r="J358" s="4"/>
      <x:c r="K358" s="4" t="str">
        <x:v>URLs de detalle page/query/country por clics. No asignan las impresiones de esta consulta a cada página.</x:v>
      </x:c>
    </x:row>
    <x:row r="359" ht="28" customHeight="1">
      <x:c r="A359" s="4" t="n">
        <x:v>349</x:v>
      </x:c>
      <x:c r="B359" s="4" t="str">
        <x:v>cuando es temporada baja en punta cana</x:v>
      </x:c>
      <x:c r="C359" s="11" t="n">
        <x:v>4</x:v>
      </x:c>
      <x:c r="D359" s="11" t="n">
        <x:v>156</x:v>
      </x:c>
      <x:c r="E359" s="14" t="n">
        <x:v>0.02564102564102564</x:v>
      </x:c>
      <x:c r="F359" s="12" t="n">
        <x:v>6.852564102564102</x:v>
      </x:c>
      <x:c r="G359" s="4" t="str">
        <x:v>Sin marca literal</x:v>
      </x:c>
      <x:c r="H359" s="11"/>
      <x:c r="I359" s="11" t="str">
        <x:f>IF(H359="","",C359-H359)</x:f>
      </x:c>
      <x:c r="J359" s="4"/>
      <x:c r="K359" s="4" t="str">
        <x:v>URLs de detalle page/query/country por clics. No asignan las impresiones de esta consulta a cada página.</x:v>
      </x:c>
    </x:row>
    <x:row r="360" ht="28" customHeight="1">
      <x:c r="A360" s="4" t="n">
        <x:v>350</x:v>
      </x:c>
      <x:c r="B360" s="4" t="str">
        <x:v>sky cambiar vuelo</x:v>
      </x:c>
      <x:c r="C360" s="11" t="n">
        <x:v>4</x:v>
      </x:c>
      <x:c r="D360" s="11" t="n">
        <x:v>151</x:v>
      </x:c>
      <x:c r="E360" s="14" t="n">
        <x:v>0.026490066225165563</x:v>
      </x:c>
      <x:c r="F360" s="12" t="n">
        <x:v>5.947019867549669</x:v>
      </x:c>
      <x:c r="G360" s="4" t="str">
        <x:v>Contiene marca</x:v>
      </x:c>
      <x:c r="H360" s="11" t="n">
        <x:v>10</x:v>
      </x:c>
      <x:c r="I360" s="11" t="n">
        <x:f>IF(H360="","",C360-H360)</x:f>
        <x:v>-6</x:v>
      </x:c>
      <x:c r="J360" s="4" t="str">
        <x:v>https://blog.skyairline.com/cambiar-vuelo-sky/ (4 clics)</x:v>
      </x:c>
      <x:c r="K360" s="4" t="str">
        <x:v>URLs de detalle page/query/country por clics. No asignan las impresiones de esta consulta a cada página.</x:v>
      </x:c>
    </x:row>
    <x:row r="361" ht="28" customHeight="1">
      <x:c r="A361" s="4" t="n">
        <x:v>351</x:v>
      </x:c>
      <x:c r="B361" s="4" t="str">
        <x:v>sky plus chile</x:v>
      </x:c>
      <x:c r="C361" s="11" t="n">
        <x:v>4</x:v>
      </x:c>
      <x:c r="D361" s="11" t="n">
        <x:v>148</x:v>
      </x:c>
      <x:c r="E361" s="14" t="n">
        <x:v>0.02702702702702703</x:v>
      </x:c>
      <x:c r="F361" s="12" t="n">
        <x:v>5.1891891891891895</x:v>
      </x:c>
      <x:c r="G361" s="4" t="str">
        <x:v>Sin marca literal</x:v>
      </x:c>
      <x:c r="H361" s="11"/>
      <x:c r="I361" s="11" t="str">
        <x:f>IF(H361="","",C361-H361)</x:f>
      </x:c>
      <x:c r="J361" s="4"/>
      <x:c r="K361" s="4" t="str">
        <x:v>URLs de detalle page/query/country por clics. No asignan las impresiones de esta consulta a cada página.</x:v>
      </x:c>
    </x:row>
    <x:row r="362" ht="28" customHeight="1">
      <x:c r="A362" s="4" t="n">
        <x:v>352</x:v>
      </x:c>
      <x:c r="B362" s="4" t="str">
        <x:v>lugares del sur de argentina</x:v>
      </x:c>
      <x:c r="C362" s="11" t="n">
        <x:v>4</x:v>
      </x:c>
      <x:c r="D362" s="11" t="n">
        <x:v>146</x:v>
      </x:c>
      <x:c r="E362" s="14" t="n">
        <x:v>0.0273972602739726</x:v>
      </x:c>
      <x:c r="F362" s="12" t="n">
        <x:v>4.164383561643836</x:v>
      </x:c>
      <x:c r="G362" s="4" t="str">
        <x:v>Sin marca literal</x:v>
      </x:c>
      <x:c r="H362" s="11"/>
      <x:c r="I362" s="11" t="str">
        <x:f>IF(H362="","",C362-H362)</x:f>
      </x:c>
      <x:c r="J362" s="4"/>
      <x:c r="K362" s="4" t="str">
        <x:v>URLs de detalle page/query/country por clics. No asignan las impresiones de esta consulta a cada página.</x:v>
      </x:c>
    </x:row>
    <x:row r="363" ht="28" customHeight="1">
      <x:c r="A363" s="4" t="n">
        <x:v>353</x:v>
      </x:c>
      <x:c r="B363" s="4" t="str">
        <x:v>sky platino</x:v>
      </x:c>
      <x:c r="C363" s="11" t="n">
        <x:v>4</x:v>
      </x:c>
      <x:c r="D363" s="11" t="n">
        <x:v>130</x:v>
      </x:c>
      <x:c r="E363" s="14" t="n">
        <x:v>0.03076923076923077</x:v>
      </x:c>
      <x:c r="F363" s="12" t="n">
        <x:v>5.538461538461538</x:v>
      </x:c>
      <x:c r="G363" s="4" t="str">
        <x:v>Sin marca literal</x:v>
      </x:c>
      <x:c r="H363" s="11"/>
      <x:c r="I363" s="11" t="str">
        <x:f>IF(H363="","",C363-H363)</x:f>
      </x:c>
      <x:c r="J363" s="4"/>
      <x:c r="K363" s="4" t="str">
        <x:v>URLs de detalle page/query/country por clics. No asignan las impresiones de esta consulta a cada página.</x:v>
      </x:c>
    </x:row>
    <x:row r="364" ht="28" customHeight="1">
      <x:c r="A364" s="4" t="n">
        <x:v>354</x:v>
      </x:c>
      <x:c r="B364" s="4" t="str">
        <x:v>como ser azafata</x:v>
      </x:c>
      <x:c r="C364" s="11" t="n">
        <x:v>4</x:v>
      </x:c>
      <x:c r="D364" s="11" t="n">
        <x:v>126</x:v>
      </x:c>
      <x:c r="E364" s="14" t="n">
        <x:v>0.031746031746031744</x:v>
      </x:c>
      <x:c r="F364" s="12" t="n">
        <x:v>6.603174603174603</x:v>
      </x:c>
      <x:c r="G364" s="4" t="str">
        <x:v>Sin marca literal</x:v>
      </x:c>
      <x:c r="H364" s="11"/>
      <x:c r="I364" s="11" t="str">
        <x:f>IF(H364="","",C364-H364)</x:f>
      </x:c>
      <x:c r="J364" s="4"/>
      <x:c r="K364" s="4" t="str">
        <x:v>URLs de detalle page/query/country por clics. No asignan las impresiones de esta consulta a cada página.</x:v>
      </x:c>
    </x:row>
    <x:row r="365" ht="28" customHeight="1">
      <x:c r="A365" s="4" t="n">
        <x:v>355</x:v>
      </x:c>
      <x:c r="B365" s="4" t="str">
        <x:v>pucon</x:v>
      </x:c>
      <x:c r="C365" s="11" t="n">
        <x:v>4</x:v>
      </x:c>
      <x:c r="D365" s="11" t="n">
        <x:v>122</x:v>
      </x:c>
      <x:c r="E365" s="14" t="n">
        <x:v>0.03278688524590164</x:v>
      </x:c>
      <x:c r="F365" s="12" t="n">
        <x:v>7.877049180327869</x:v>
      </x:c>
      <x:c r="G365" s="4" t="str">
        <x:v>Sin marca literal</x:v>
      </x:c>
      <x:c r="H365" s="11"/>
      <x:c r="I365" s="11" t="str">
        <x:f>IF(H365="","",C365-H365)</x:f>
      </x:c>
      <x:c r="J365" s="4"/>
      <x:c r="K365" s="4" t="str">
        <x:v>URLs de detalle page/query/country por clics. No asignan las impresiones de esta consulta a cada página.</x:v>
      </x:c>
    </x:row>
    <x:row r="366" ht="28" customHeight="1">
      <x:c r="A366" s="4" t="n">
        <x:v>356</x:v>
      </x:c>
      <x:c r="B366" s="4" t="str">
        <x:v>ciudades cerca de rio de janeiro</x:v>
      </x:c>
      <x:c r="C366" s="11" t="n">
        <x:v>4</x:v>
      </x:c>
      <x:c r="D366" s="11" t="n">
        <x:v>121</x:v>
      </x:c>
      <x:c r="E366" s="14" t="n">
        <x:v>0.03305785123966942</x:v>
      </x:c>
      <x:c r="F366" s="12" t="n">
        <x:v>2.4793388429752063</x:v>
      </x:c>
      <x:c r="G366" s="4" t="str">
        <x:v>Sin marca literal</x:v>
      </x:c>
      <x:c r="H366" s="11"/>
      <x:c r="I366" s="11" t="str">
        <x:f>IF(H366="","",C366-H366)</x:f>
      </x:c>
      <x:c r="J366" s="4"/>
      <x:c r="K366" s="4" t="str">
        <x:v>URLs de detalle page/query/country por clics. No asignan las impresiones de esta consulta a cada página.</x:v>
      </x:c>
    </x:row>
    <x:row r="367" ht="28" customHeight="1">
      <x:c r="A367" s="4" t="n">
        <x:v>357</x:v>
      </x:c>
      <x:c r="B367" s="4" t="str">
        <x:v>a partir de que edad pagan pasaje los niños en avion</x:v>
      </x:c>
      <x:c r="C367" s="11" t="n">
        <x:v>4</x:v>
      </x:c>
      <x:c r="D367" s="11" t="n">
        <x:v>101</x:v>
      </x:c>
      <x:c r="E367" s="14" t="n">
        <x:v>0.039603960396039604</x:v>
      </x:c>
      <x:c r="F367" s="12" t="n">
        <x:v>3.1782178217821784</x:v>
      </x:c>
      <x:c r="G367" s="4" t="str">
        <x:v>Sin marca literal</x:v>
      </x:c>
      <x:c r="H367" s="11"/>
      <x:c r="I367" s="11" t="str">
        <x:f>IF(H367="","",C367-H367)</x:f>
      </x:c>
      <x:c r="J367" s="4"/>
      <x:c r="K367" s="4" t="str">
        <x:v>URLs de detalle page/query/country por clics. No asignan las impresiones de esta consulta a cada página.</x:v>
      </x:c>
    </x:row>
    <x:row r="368" ht="28" customHeight="1">
      <x:c r="A368" s="4" t="n">
        <x:v>358</x:v>
      </x:c>
      <x:c r="B368" s="4" t="str">
        <x:v>cuantos aeropuertos hay en buenos aires argentina</x:v>
      </x:c>
      <x:c r="C368" s="11" t="n">
        <x:v>4</x:v>
      </x:c>
      <x:c r="D368" s="11" t="n">
        <x:v>100</x:v>
      </x:c>
      <x:c r="E368" s="14" t="n">
        <x:v>0.04</x:v>
      </x:c>
      <x:c r="F368" s="12" t="n">
        <x:v>2.34</x:v>
      </x:c>
      <x:c r="G368" s="4" t="str">
        <x:v>Sin marca literal</x:v>
      </x:c>
      <x:c r="H368" s="11"/>
      <x:c r="I368" s="11" t="str">
        <x:f>IF(H368="","",C368-H368)</x:f>
      </x:c>
      <x:c r="J368" s="4"/>
      <x:c r="K368" s="4" t="str">
        <x:v>URLs de detalle page/query/country por clics. No asignan las impresiones de esta consulta a cada página.</x:v>
      </x:c>
    </x:row>
    <x:row r="369" ht="28" customHeight="1">
      <x:c r="A369" s="4" t="n">
        <x:v>359</x:v>
      </x:c>
      <x:c r="B369" s="4" t="str">
        <x:v>objetos prohibidos en equipaje de mano</x:v>
      </x:c>
      <x:c r="C369" s="11" t="n">
        <x:v>4</x:v>
      </x:c>
      <x:c r="D369" s="11" t="n">
        <x:v>100</x:v>
      </x:c>
      <x:c r="E369" s="14" t="n">
        <x:v>0.04</x:v>
      </x:c>
      <x:c r="F369" s="12" t="n">
        <x:v>8.91</x:v>
      </x:c>
      <x:c r="G369" s="4" t="str">
        <x:v>Sin marca literal</x:v>
      </x:c>
      <x:c r="H369" s="11"/>
      <x:c r="I369" s="11" t="str">
        <x:f>IF(H369="","",C369-H369)</x:f>
      </x:c>
      <x:c r="J369" s="4"/>
      <x:c r="K369" s="4" t="str">
        <x:v>URLs de detalle page/query/country por clics. No asignan las impresiones de esta consulta a cada página.</x:v>
      </x:c>
    </x:row>
    <x:row r="370" ht="28" customHeight="1">
      <x:c r="A370" s="4" t="n">
        <x:v>360</x:v>
      </x:c>
      <x:c r="B370" s="4" t="str">
        <x:v>aeropuerto castro chiloe</x:v>
      </x:c>
      <x:c r="C370" s="11" t="n">
        <x:v>4</x:v>
      </x:c>
      <x:c r="D370" s="11" t="n">
        <x:v>90</x:v>
      </x:c>
      <x:c r="E370" s="14" t="n">
        <x:v>0.044444444444444446</x:v>
      </x:c>
      <x:c r="F370" s="12" t="n">
        <x:v>4.811111111111111</x:v>
      </x:c>
      <x:c r="G370" s="4" t="str">
        <x:v>Sin marca literal</x:v>
      </x:c>
      <x:c r="H370" s="11"/>
      <x:c r="I370" s="11" t="str">
        <x:f>IF(H370="","",C370-H370)</x:f>
      </x:c>
      <x:c r="J370" s="4"/>
      <x:c r="K370" s="4" t="str">
        <x:v>URLs de detalle page/query/country por clics. No asignan las impresiones de esta consulta a cada página.</x:v>
      </x:c>
    </x:row>
    <x:row r="371" ht="28" customHeight="1">
      <x:c r="A371" s="4" t="n">
        <x:v>361</x:v>
      </x:c>
      <x:c r="B371" s="4" t="str">
        <x:v>cambio pasaje sky</x:v>
      </x:c>
      <x:c r="C371" s="11" t="n">
        <x:v>4</x:v>
      </x:c>
      <x:c r="D371" s="11" t="n">
        <x:v>88</x:v>
      </x:c>
      <x:c r="E371" s="14" t="n">
        <x:v>0.045454545454545456</x:v>
      </x:c>
      <x:c r="F371" s="12" t="n">
        <x:v>5.409090909090909</x:v>
      </x:c>
      <x:c r="G371" s="4" t="str">
        <x:v>Contiene marca</x:v>
      </x:c>
      <x:c r="H371" s="11" t="n">
        <x:v>10</x:v>
      </x:c>
      <x:c r="I371" s="11" t="n">
        <x:f>IF(H371="","",C371-H371)</x:f>
        <x:v>-6</x:v>
      </x:c>
      <x:c r="J371" s="4" t="str">
        <x:v>https://blog.skyairline.com/cambiar-vuelo-sky/ (4 clics)</x:v>
      </x:c>
      <x:c r="K371" s="4" t="str">
        <x:v>URLs de detalle page/query/country por clics. No asignan las impresiones de esta consulta a cada página.</x:v>
      </x:c>
    </x:row>
    <x:row r="372" ht="28" customHeight="1">
      <x:c r="A372" s="4" t="n">
        <x:v>362</x:v>
      </x:c>
      <x:c r="B372" s="4" t="str">
        <x:v>cambio de fecha de vuelo sky</x:v>
      </x:c>
      <x:c r="C372" s="11" t="n">
        <x:v>4</x:v>
      </x:c>
      <x:c r="D372" s="11" t="n">
        <x:v>86</x:v>
      </x:c>
      <x:c r="E372" s="14" t="n">
        <x:v>0.046511627906976744</x:v>
      </x:c>
      <x:c r="F372" s="12" t="n">
        <x:v>4.325581395348838</x:v>
      </x:c>
      <x:c r="G372" s="4" t="str">
        <x:v>Sin marca literal</x:v>
      </x:c>
      <x:c r="H372" s="11"/>
      <x:c r="I372" s="11" t="str">
        <x:f>IF(H372="","",C372-H372)</x:f>
      </x:c>
      <x:c r="J372" s="4"/>
      <x:c r="K372" s="4" t="str">
        <x:v>URLs de detalle page/query/country por clics. No asignan las impresiones de esta consulta a cada página.</x:v>
      </x:c>
    </x:row>
    <x:row r="373" ht="28" customHeight="1">
      <x:c r="A373" s="4" t="n">
        <x:v>363</x:v>
      </x:c>
      <x:c r="B373" s="4" t="str">
        <x:v>valor maleta sky</x:v>
      </x:c>
      <x:c r="C373" s="11" t="n">
        <x:v>4</x:v>
      </x:c>
      <x:c r="D373" s="11" t="n">
        <x:v>81</x:v>
      </x:c>
      <x:c r="E373" s="14" t="n">
        <x:v>0.04938271604938271</x:v>
      </x:c>
      <x:c r="F373" s="12" t="n">
        <x:v>5.160493827160494</x:v>
      </x:c>
      <x:c r="G373" s="4" t="str">
        <x:v>Sin marca literal</x:v>
      </x:c>
      <x:c r="H373" s="11"/>
      <x:c r="I373" s="11" t="str">
        <x:f>IF(H373="","",C373-H373)</x:f>
      </x:c>
      <x:c r="J373" s="4"/>
      <x:c r="K373" s="4" t="str">
        <x:v>URLs de detalle page/query/country por clics. No asignan las impresiones de esta consulta a cada página.</x:v>
      </x:c>
    </x:row>
    <x:row r="374" ht="28" customHeight="1">
      <x:c r="A374" s="4" t="n">
        <x:v>364</x:v>
      </x:c>
      <x:c r="B374" s="4" t="str">
        <x:v>comidas típicas de lima</x:v>
      </x:c>
      <x:c r="C374" s="11" t="n">
        <x:v>4</x:v>
      </x:c>
      <x:c r="D374" s="11" t="n">
        <x:v>80</x:v>
      </x:c>
      <x:c r="E374" s="14" t="n">
        <x:v>0.05</x:v>
      </x:c>
      <x:c r="F374" s="12" t="n">
        <x:v>2.3125</x:v>
      </x:c>
      <x:c r="G374" s="4" t="str">
        <x:v>Sin marca literal</x:v>
      </x:c>
      <x:c r="H374" s="11"/>
      <x:c r="I374" s="11" t="str">
        <x:f>IF(H374="","",C374-H374)</x:f>
      </x:c>
      <x:c r="J374" s="4"/>
      <x:c r="K374" s="4" t="str">
        <x:v>URLs de detalle page/query/country por clics. No asignan las impresiones de esta consulta a cada página.</x:v>
      </x:c>
    </x:row>
    <x:row r="375" ht="28" customHeight="1">
      <x:c r="A375" s="4" t="n">
        <x:v>365</x:v>
      </x:c>
      <x:c r="B375" s="4" t="str">
        <x:v>equipaje de mano en sky</x:v>
      </x:c>
      <x:c r="C375" s="11" t="n">
        <x:v>4</x:v>
      </x:c>
      <x:c r="D375" s="11" t="n">
        <x:v>80</x:v>
      </x:c>
      <x:c r="E375" s="14" t="n">
        <x:v>0.05</x:v>
      </x:c>
      <x:c r="F375" s="12" t="n">
        <x:v>4.4125</x:v>
      </x:c>
      <x:c r="G375" s="4" t="str">
        <x:v>Sin marca literal</x:v>
      </x:c>
      <x:c r="H375" s="11"/>
      <x:c r="I375" s="11" t="str">
        <x:f>IF(H375="","",C375-H375)</x:f>
      </x:c>
      <x:c r="J375" s="4"/>
      <x:c r="K375" s="4" t="str">
        <x:v>URLs de detalle page/query/country por clics. No asignan las impresiones de esta consulta a cada página.</x:v>
      </x:c>
    </x:row>
    <x:row r="376" ht="28" customHeight="1">
      <x:c r="A376" s="4" t="n">
        <x:v>366</x:v>
      </x:c>
      <x:c r="B376" s="4" t="str">
        <x:v>como llegar a punta sal</x:v>
      </x:c>
      <x:c r="C376" s="11" t="n">
        <x:v>4</x:v>
      </x:c>
      <x:c r="D376" s="11" t="n">
        <x:v>79</x:v>
      </x:c>
      <x:c r="E376" s="14" t="n">
        <x:v>0.05063291139240506</x:v>
      </x:c>
      <x:c r="F376" s="12" t="n">
        <x:v>1.9113924050632911</x:v>
      </x:c>
      <x:c r="G376" s="4" t="str">
        <x:v>Sin marca literal</x:v>
      </x:c>
      <x:c r="H376" s="11"/>
      <x:c r="I376" s="11" t="str">
        <x:f>IF(H376="","",C376-H376)</x:f>
      </x:c>
      <x:c r="J376" s="4"/>
      <x:c r="K376" s="4" t="str">
        <x:v>URLs de detalle page/query/country por clics. No asignan las impresiones de esta consulta a cada página.</x:v>
      </x:c>
    </x:row>
    <x:row r="377" ht="28" customHeight="1">
      <x:c r="A377" s="4" t="n">
        <x:v>367</x:v>
      </x:c>
      <x:c r="B377" s="4" t="str">
        <x:v>medidas de maleta sky</x:v>
      </x:c>
      <x:c r="C377" s="11" t="n">
        <x:v>4</x:v>
      </x:c>
      <x:c r="D377" s="11" t="n">
        <x:v>75</x:v>
      </x:c>
      <x:c r="E377" s="14" t="n">
        <x:v>0.05333333333333334</x:v>
      </x:c>
      <x:c r="F377" s="12" t="n">
        <x:v>4.1866666666666665</x:v>
      </x:c>
      <x:c r="G377" s="4" t="str">
        <x:v>Contiene marca</x:v>
      </x:c>
      <x:c r="H377" s="11" t="n">
        <x:v>14</x:v>
      </x:c>
      <x:c r="I377" s="11" t="n">
        <x:f>IF(H377="","",C377-H377)</x:f>
        <x:v>-10</x:v>
      </x:c>
      <x:c r="J377" s="4" t="str">
        <x:v>https://blog.skyairline.com/equipaje-de-bodega/ (4 clics)</x:v>
      </x:c>
      <x:c r="K377" s="4" t="str">
        <x:v>URLs de detalle page/query/country por clics. No asignan las impresiones de esta consulta a cada página.</x:v>
      </x:c>
    </x:row>
    <x:row r="378" ht="28" customHeight="1">
      <x:c r="A378" s="4" t="n">
        <x:v>368</x:v>
      </x:c>
      <x:c r="B378" s="4" t="str">
        <x:v>aeropuerto cerca de pucon</x:v>
      </x:c>
      <x:c r="C378" s="11" t="n">
        <x:v>4</x:v>
      </x:c>
      <x:c r="D378" s="11" t="n">
        <x:v>71</x:v>
      </x:c>
      <x:c r="E378" s="14" t="n">
        <x:v>0.056338028169014086</x:v>
      </x:c>
      <x:c r="F378" s="12" t="n">
        <x:v>3.140845070422535</x:v>
      </x:c>
      <x:c r="G378" s="4" t="str">
        <x:v>Sin marca literal</x:v>
      </x:c>
      <x:c r="H378" s="11"/>
      <x:c r="I378" s="11" t="str">
        <x:f>IF(H378="","",C378-H378)</x:f>
      </x:c>
      <x:c r="J378" s="4"/>
      <x:c r="K378" s="4" t="str">
        <x:v>URLs de detalle page/query/country por clics. No asignan las impresiones de esta consulta a cada página.</x:v>
      </x:c>
    </x:row>
    <x:row r="379" ht="28" customHeight="1">
      <x:c r="A379" s="4" t="n">
        <x:v>369</x:v>
      </x:c>
      <x:c r="B379" s="4" t="str">
        <x:v>asistente de cabina</x:v>
      </x:c>
      <x:c r="C379" s="11" t="n">
        <x:v>4</x:v>
      </x:c>
      <x:c r="D379" s="11" t="n">
        <x:v>71</x:v>
      </x:c>
      <x:c r="E379" s="14" t="n">
        <x:v>0.056338028169014086</x:v>
      </x:c>
      <x:c r="F379" s="12" t="n">
        <x:v>8.126760563380282</x:v>
      </x:c>
      <x:c r="G379" s="4" t="str">
        <x:v>Sin marca literal</x:v>
      </x:c>
      <x:c r="H379" s="11"/>
      <x:c r="I379" s="11" t="str">
        <x:f>IF(H379="","",C379-H379)</x:f>
      </x:c>
      <x:c r="J379" s="4"/>
      <x:c r="K379" s="4" t="str">
        <x:v>URLs de detalle page/query/country por clics. No asignan las impresiones de esta consulta a cada página.</x:v>
      </x:c>
    </x:row>
    <x:row r="380" ht="28" customHeight="1">
      <x:c r="A380" s="4" t="n">
        <x:v>370</x:v>
      </x:c>
      <x:c r="B380" s="4" t="str">
        <x:v>distancia desde montevideo a punta del este</x:v>
      </x:c>
      <x:c r="C380" s="11" t="n">
        <x:v>4</x:v>
      </x:c>
      <x:c r="D380" s="11" t="n">
        <x:v>60</x:v>
      </x:c>
      <x:c r="E380" s="14" t="n">
        <x:v>0.06666666666666667</x:v>
      </x:c>
      <x:c r="F380" s="12" t="n">
        <x:v>5</x:v>
      </x:c>
      <x:c r="G380" s="4" t="str">
        <x:v>Sin marca literal</x:v>
      </x:c>
      <x:c r="H380" s="11"/>
      <x:c r="I380" s="11" t="str">
        <x:f>IF(H380="","",C380-H380)</x:f>
      </x:c>
      <x:c r="J380" s="4"/>
      <x:c r="K380" s="4" t="str">
        <x:v>URLs de detalle page/query/country por clics. No asignan las impresiones de esta consulta a cada página.</x:v>
      </x:c>
    </x:row>
    <x:row r="381" ht="28" customHeight="1">
      <x:c r="A381" s="4" t="n">
        <x:v>371</x:v>
      </x:c>
      <x:c r="B381" s="4" t="str">
        <x:v>sky bolsa de mano</x:v>
      </x:c>
      <x:c r="C381" s="11" t="n">
        <x:v>4</x:v>
      </x:c>
      <x:c r="D381" s="11" t="n">
        <x:v>58</x:v>
      </x:c>
      <x:c r="E381" s="14" t="n">
        <x:v>0.06896551724137931</x:v>
      </x:c>
      <x:c r="F381" s="12" t="n">
        <x:v>8.948275862068964</x:v>
      </x:c>
      <x:c r="G381" s="4" t="str">
        <x:v>Sin marca literal</x:v>
      </x:c>
      <x:c r="H381" s="11"/>
      <x:c r="I381" s="11" t="str">
        <x:f>IF(H381="","",C381-H381)</x:f>
      </x:c>
      <x:c r="J381" s="4"/>
      <x:c r="K381" s="4" t="str">
        <x:v>URLs de detalle page/query/country por clics. No asignan las impresiones de esta consulta a cada página.</x:v>
      </x:c>
    </x:row>
    <x:row r="382" ht="28" customHeight="1">
      <x:c r="A382" s="4" t="n">
        <x:v>372</x:v>
      </x:c>
      <x:c r="B382" s="4" t="str">
        <x:v>con cuantos puntos sky plus puedo viajar</x:v>
      </x:c>
      <x:c r="C382" s="11" t="n">
        <x:v>4</x:v>
      </x:c>
      <x:c r="D382" s="11" t="n">
        <x:v>57</x:v>
      </x:c>
      <x:c r="E382" s="14" t="n">
        <x:v>0.07017543859649122</x:v>
      </x:c>
      <x:c r="F382" s="12" t="n">
        <x:v>3.3684210526315788</x:v>
      </x:c>
      <x:c r="G382" s="4" t="str">
        <x:v>Sin marca literal</x:v>
      </x:c>
      <x:c r="H382" s="11"/>
      <x:c r="I382" s="11" t="str">
        <x:f>IF(H382="","",C382-H382)</x:f>
      </x:c>
      <x:c r="J382" s="4"/>
      <x:c r="K382" s="4" t="str">
        <x:v>URLs de detalle page/query/country por clics. No asignan las impresiones de esta consulta a cada página.</x:v>
      </x:c>
    </x:row>
    <x:row r="383" ht="28" customHeight="1">
      <x:c r="A383" s="4" t="n">
        <x:v>373</x:v>
      </x:c>
      <x:c r="B383" s="4" t="str">
        <x:v>aeropuertos del sur de chile</x:v>
      </x:c>
      <x:c r="C383" s="11" t="n">
        <x:v>4</x:v>
      </x:c>
      <x:c r="D383" s="11" t="n">
        <x:v>55</x:v>
      </x:c>
      <x:c r="E383" s="14" t="n">
        <x:v>0.07272727272727272</x:v>
      </x:c>
      <x:c r="F383" s="12" t="n">
        <x:v>1.4181818181818182</x:v>
      </x:c>
      <x:c r="G383" s="4" t="str">
        <x:v>Sin marca literal</x:v>
      </x:c>
      <x:c r="H383" s="11"/>
      <x:c r="I383" s="11" t="str">
        <x:f>IF(H383="","",C383-H383)</x:f>
      </x:c>
      <x:c r="J383" s="4"/>
      <x:c r="K383" s="4" t="str">
        <x:v>URLs de detalle page/query/country por clics. No asignan las impresiones de esta consulta a cada página.</x:v>
      </x:c>
    </x:row>
    <x:row r="384" ht="28" customHeight="1">
      <x:c r="A384" s="4" t="n">
        <x:v>374</x:v>
      </x:c>
      <x:c r="B384" s="4" t="str">
        <x:v>numero pasajero frecuente sky</x:v>
      </x:c>
      <x:c r="C384" s="11" t="n">
        <x:v>4</x:v>
      </x:c>
      <x:c r="D384" s="11" t="n">
        <x:v>55</x:v>
      </x:c>
      <x:c r="E384" s="14" t="n">
        <x:v>0.07272727272727272</x:v>
      </x:c>
      <x:c r="F384" s="12" t="n">
        <x:v>3</x:v>
      </x:c>
      <x:c r="G384" s="4" t="str">
        <x:v>Sin marca literal</x:v>
      </x:c>
      <x:c r="H384" s="11"/>
      <x:c r="I384" s="11" t="str">
        <x:f>IF(H384="","",C384-H384)</x:f>
      </x:c>
      <x:c r="J384" s="4"/>
      <x:c r="K384" s="4" t="str">
        <x:v>URLs de detalle page/query/country por clics. No asignan las impresiones de esta consulta a cada página.</x:v>
      </x:c>
    </x:row>
    <x:row r="385" ht="28" customHeight="1">
      <x:c r="A385" s="4" t="n">
        <x:v>375</x:v>
      </x:c>
      <x:c r="B385" s="4" t="str">
        <x:v>cambio de pasaje sky chile</x:v>
      </x:c>
      <x:c r="C385" s="11" t="n">
        <x:v>4</x:v>
      </x:c>
      <x:c r="D385" s="11" t="n">
        <x:v>52</x:v>
      </x:c>
      <x:c r="E385" s="14" t="n">
        <x:v>0.07692307692307693</x:v>
      </x:c>
      <x:c r="F385" s="12" t="n">
        <x:v>5</x:v>
      </x:c>
      <x:c r="G385" s="4" t="str">
        <x:v>Sin marca literal</x:v>
      </x:c>
      <x:c r="H385" s="11"/>
      <x:c r="I385" s="11" t="str">
        <x:f>IF(H385="","",C385-H385)</x:f>
      </x:c>
      <x:c r="J385" s="4"/>
      <x:c r="K385" s="4" t="str">
        <x:v>URLs de detalle page/query/country por clics. No asignan las impresiones de esta consulta a cada página.</x:v>
      </x:c>
    </x:row>
    <x:row r="386" ht="28" customHeight="1">
      <x:c r="A386" s="4" t="n">
        <x:v>376</x:v>
      </x:c>
      <x:c r="B386" s="4" t="str">
        <x:v>equipaje mano sky</x:v>
      </x:c>
      <x:c r="C386" s="11" t="n">
        <x:v>4</x:v>
      </x:c>
      <x:c r="D386" s="11" t="n">
        <x:v>52</x:v>
      </x:c>
      <x:c r="E386" s="14" t="n">
        <x:v>0.07692307692307693</x:v>
      </x:c>
      <x:c r="F386" s="12" t="n">
        <x:v>4.538461538461538</x:v>
      </x:c>
      <x:c r="G386" s="4" t="str">
        <x:v>Sin marca literal</x:v>
      </x:c>
      <x:c r="H386" s="11"/>
      <x:c r="I386" s="11" t="str">
        <x:f>IF(H386="","",C386-H386)</x:f>
      </x:c>
      <x:c r="J386" s="4"/>
      <x:c r="K386" s="4" t="str">
        <x:v>URLs de detalle page/query/country por clics. No asignan las impresiones de esta consulta a cada página.</x:v>
      </x:c>
    </x:row>
    <x:row r="387" ht="28" customHeight="1">
      <x:c r="A387" s="4" t="n">
        <x:v>377</x:v>
      </x:c>
      <x:c r="B387" s="4" t="str">
        <x:v>que se necesita para viajar a argentina desde chile</x:v>
      </x:c>
      <x:c r="C387" s="11" t="n">
        <x:v>4</x:v>
      </x:c>
      <x:c r="D387" s="11" t="n">
        <x:v>52</x:v>
      </x:c>
      <x:c r="E387" s="14" t="n">
        <x:v>0.07692307692307693</x:v>
      </x:c>
      <x:c r="F387" s="12" t="n">
        <x:v>5.134615384615385</x:v>
      </x:c>
      <x:c r="G387" s="4" t="str">
        <x:v>Sin marca literal</x:v>
      </x:c>
      <x:c r="H387" s="11"/>
      <x:c r="I387" s="11" t="str">
        <x:f>IF(H387="","",C387-H387)</x:f>
      </x:c>
      <x:c r="J387" s="4"/>
      <x:c r="K387" s="4" t="str">
        <x:v>URLs de detalle page/query/country por clics. No asignan las impresiones de esta consulta a cada página.</x:v>
      </x:c>
    </x:row>
    <x:row r="388" ht="28" customHeight="1">
      <x:c r="A388" s="4" t="n">
        <x:v>378</x:v>
      </x:c>
      <x:c r="B388" s="4" t="str">
        <x:v>como cambiar fecha de vuelo en sky</x:v>
      </x:c>
      <x:c r="C388" s="11" t="n">
        <x:v>4</x:v>
      </x:c>
      <x:c r="D388" s="11" t="n">
        <x:v>51</x:v>
      </x:c>
      <x:c r="E388" s="14" t="n">
        <x:v>0.0784313725490196</x:v>
      </x:c>
      <x:c r="F388" s="12" t="n">
        <x:v>3.7254901960784315</x:v>
      </x:c>
      <x:c r="G388" s="4" t="str">
        <x:v>Sin marca literal</x:v>
      </x:c>
      <x:c r="H388" s="11"/>
      <x:c r="I388" s="11" t="str">
        <x:f>IF(H388="","",C388-H388)</x:f>
      </x:c>
      <x:c r="J388" s="4"/>
      <x:c r="K388" s="4" t="str">
        <x:v>URLs de detalle page/query/country por clics. No asignan las impresiones de esta consulta a cada página.</x:v>
      </x:c>
    </x:row>
    <x:row r="389" ht="28" customHeight="1">
      <x:c r="A389" s="4" t="n">
        <x:v>379</x:v>
      </x:c>
      <x:c r="B389" s="4" t="str">
        <x:v>medidas maleta 23 kg sky</x:v>
      </x:c>
      <x:c r="C389" s="11" t="n">
        <x:v>4</x:v>
      </x:c>
      <x:c r="D389" s="11" t="n">
        <x:v>51</x:v>
      </x:c>
      <x:c r="E389" s="14" t="n">
        <x:v>0.0784313725490196</x:v>
      </x:c>
      <x:c r="F389" s="12" t="n">
        <x:v>4.96078431372549</x:v>
      </x:c>
      <x:c r="G389" s="4" t="str">
        <x:v>Sin marca literal</x:v>
      </x:c>
      <x:c r="H389" s="11"/>
      <x:c r="I389" s="11" t="str">
        <x:f>IF(H389="","",C389-H389)</x:f>
      </x:c>
      <x:c r="J389" s="4"/>
      <x:c r="K389" s="4" t="str">
        <x:v>URLs de detalle page/query/country por clics. No asignan las impresiones de esta consulta a cada página.</x:v>
      </x:c>
    </x:row>
    <x:row r="390" ht="28" customHeight="1">
      <x:c r="A390" s="4" t="n">
        <x:v>380</x:v>
      </x:c>
      <x:c r="B390" s="4" t="str">
        <x:v>programa de beneficios sky plus</x:v>
      </x:c>
      <x:c r="C390" s="11" t="n">
        <x:v>4</x:v>
      </x:c>
      <x:c r="D390" s="11" t="n">
        <x:v>51</x:v>
      </x:c>
      <x:c r="E390" s="14" t="n">
        <x:v>0.0784313725490196</x:v>
      </x:c>
      <x:c r="F390" s="12" t="n">
        <x:v>5.352941176470588</x:v>
      </x:c>
      <x:c r="G390" s="4" t="str">
        <x:v>Sin marca literal</x:v>
      </x:c>
      <x:c r="H390" s="11"/>
      <x:c r="I390" s="11" t="str">
        <x:f>IF(H390="","",C390-H390)</x:f>
      </x:c>
      <x:c r="J390" s="4"/>
      <x:c r="K390" s="4" t="str">
        <x:v>URLs de detalle page/query/country por clics. No asignan las impresiones de esta consulta a cada página.</x:v>
      </x:c>
    </x:row>
    <x:row r="391" ht="28" customHeight="1">
      <x:c r="A391" s="4" t="n">
        <x:v>381</x:v>
      </x:c>
      <x:c r="B391" s="4" t="str">
        <x:v>como cambiar mi vuelo en sky</x:v>
      </x:c>
      <x:c r="C391" s="11" t="n">
        <x:v>4</x:v>
      </x:c>
      <x:c r="D391" s="11" t="n">
        <x:v>50</x:v>
      </x:c>
      <x:c r="E391" s="14" t="n">
        <x:v>0.08</x:v>
      </x:c>
      <x:c r="F391" s="12" t="n">
        <x:v>3.82</x:v>
      </x:c>
      <x:c r="G391" s="4" t="str">
        <x:v>Sin marca literal</x:v>
      </x:c>
      <x:c r="H391" s="11"/>
      <x:c r="I391" s="11" t="str">
        <x:f>IF(H391="","",C391-H391)</x:f>
      </x:c>
      <x:c r="J391" s="4"/>
      <x:c r="K391" s="4" t="str">
        <x:v>URLs de detalle page/query/country por clics. No asignan las impresiones de esta consulta a cada página.</x:v>
      </x:c>
    </x:row>
    <x:row r="392" ht="28" customHeight="1">
      <x:c r="A392" s="4" t="n">
        <x:v>382</x:v>
      </x:c>
      <x:c r="B392" s="4" t="str">
        <x:v>sky blog</x:v>
      </x:c>
      <x:c r="C392" s="11" t="n">
        <x:v>4</x:v>
      </x:c>
      <x:c r="D392" s="11" t="n">
        <x:v>48</x:v>
      </x:c>
      <x:c r="E392" s="14" t="n">
        <x:v>0.08333333333333333</x:v>
      </x:c>
      <x:c r="F392" s="12" t="n">
        <x:v>2.895833333333333</x:v>
      </x:c>
      <x:c r="G392" s="4" t="str">
        <x:v>Sin marca literal</x:v>
      </x:c>
      <x:c r="H392" s="11"/>
      <x:c r="I392" s="11" t="str">
        <x:f>IF(H392="","",C392-H392)</x:f>
      </x:c>
      <x:c r="J392" s="4"/>
      <x:c r="K392" s="4" t="str">
        <x:v>URLs de detalle page/query/country por clics. No asignan las impresiones de esta consulta a cada página.</x:v>
      </x:c>
    </x:row>
    <x:row r="393" ht="28" customHeight="1">
      <x:c r="A393" s="4" t="n">
        <x:v>383</x:v>
      </x:c>
      <x:c r="B393" s="4" t="str">
        <x:v>sky peru equipaje de mano</x:v>
      </x:c>
      <x:c r="C393" s="11" t="n">
        <x:v>4</x:v>
      </x:c>
      <x:c r="D393" s="11" t="n">
        <x:v>47</x:v>
      </x:c>
      <x:c r="E393" s="14" t="n">
        <x:v>0.0851063829787234</x:v>
      </x:c>
      <x:c r="F393" s="12" t="n">
        <x:v>4.170212765957446</x:v>
      </x:c>
      <x:c r="G393" s="4" t="str">
        <x:v>Sin marca literal</x:v>
      </x:c>
      <x:c r="H393" s="11"/>
      <x:c r="I393" s="11" t="str">
        <x:f>IF(H393="","",C393-H393)</x:f>
      </x:c>
      <x:c r="J393" s="4"/>
      <x:c r="K393" s="4" t="str">
        <x:v>URLs de detalle page/query/country por clics. No asignan las impresiones de esta consulta a cada página.</x:v>
      </x:c>
    </x:row>
    <x:row r="394" ht="28" customHeight="1">
      <x:c r="A394" s="4" t="n">
        <x:v>384</x:v>
      </x:c>
      <x:c r="B394" s="4" t="str">
        <x:v>cambio pasajes sky</x:v>
      </x:c>
      <x:c r="C394" s="11" t="n">
        <x:v>4</x:v>
      </x:c>
      <x:c r="D394" s="11" t="n">
        <x:v>42</x:v>
      </x:c>
      <x:c r="E394" s="14" t="n">
        <x:v>0.09523809523809523</x:v>
      </x:c>
      <x:c r="F394" s="12" t="n">
        <x:v>4.571428571428571</x:v>
      </x:c>
      <x:c r="G394" s="4" t="str">
        <x:v>Sin marca literal</x:v>
      </x:c>
      <x:c r="H394" s="11"/>
      <x:c r="I394" s="11" t="str">
        <x:f>IF(H394="","",C394-H394)</x:f>
      </x:c>
      <x:c r="J394" s="4"/>
      <x:c r="K394" s="4" t="str">
        <x:v>URLs de detalle page/query/country por clics. No asignan las impresiones de esta consulta a cada página.</x:v>
      </x:c>
    </x:row>
    <x:row r="395" ht="28" customHeight="1">
      <x:c r="A395" s="4" t="n">
        <x:v>385</x:v>
      </x:c>
      <x:c r="B395" s="4" t="str">
        <x:v>sky trabajos</x:v>
      </x:c>
      <x:c r="C395" s="11" t="n">
        <x:v>4</x:v>
      </x:c>
      <x:c r="D395" s="11" t="n">
        <x:v>42</x:v>
      </x:c>
      <x:c r="E395" s="14" t="n">
        <x:v>0.09523809523809523</x:v>
      </x:c>
      <x:c r="F395" s="12" t="n">
        <x:v>4.404761904761905</x:v>
      </x:c>
      <x:c r="G395" s="4" t="str">
        <x:v>Sin marca literal</x:v>
      </x:c>
      <x:c r="H395" s="11"/>
      <x:c r="I395" s="11" t="str">
        <x:f>IF(H395="","",C395-H395)</x:f>
      </x:c>
      <x:c r="J395" s="4"/>
      <x:c r="K395" s="4" t="str">
        <x:v>URLs de detalle page/query/country por clics. No asignan las impresiones de esta consulta a cada página.</x:v>
      </x:c>
    </x:row>
    <x:row r="396" ht="28" customHeight="1">
      <x:c r="A396" s="4" t="n">
        <x:v>386</x:v>
      </x:c>
      <x:c r="B396" s="4" t="str">
        <x:v>medidas maletas sky airline</x:v>
      </x:c>
      <x:c r="C396" s="11" t="n">
        <x:v>4</x:v>
      </x:c>
      <x:c r="D396" s="11" t="n">
        <x:v>41</x:v>
      </x:c>
      <x:c r="E396" s="14" t="n">
        <x:v>0.0975609756097561</x:v>
      </x:c>
      <x:c r="F396" s="12" t="n">
        <x:v>3.658536585365854</x:v>
      </x:c>
      <x:c r="G396" s="4" t="str">
        <x:v>Sin marca literal</x:v>
      </x:c>
      <x:c r="H396" s="11"/>
      <x:c r="I396" s="11" t="str">
        <x:f>IF(H396="","",C396-H396)</x:f>
      </x:c>
      <x:c r="J396" s="4"/>
      <x:c r="K396" s="4" t="str">
        <x:v>URLs de detalle page/query/country por clics. No asignan las impresiones de esta consulta a cada página.</x:v>
      </x:c>
    </x:row>
    <x:row r="397" ht="28" customHeight="1">
      <x:c r="A397" s="4" t="n">
        <x:v>387</x:v>
      </x:c>
      <x:c r="B397" s="4" t="str">
        <x:v>volcanes en puerto montt</x:v>
      </x:c>
      <x:c r="C397" s="11" t="n">
        <x:v>4</x:v>
      </x:c>
      <x:c r="D397" s="11" t="n">
        <x:v>39</x:v>
      </x:c>
      <x:c r="E397" s="14" t="n">
        <x:v>0.10256410256410256</x:v>
      </x:c>
      <x:c r="F397" s="12" t="n">
        <x:v>2.128205128205128</x:v>
      </x:c>
      <x:c r="G397" s="4" t="str">
        <x:v>Sin marca literal</x:v>
      </x:c>
      <x:c r="H397" s="11"/>
      <x:c r="I397" s="11" t="str">
        <x:f>IF(H397="","",C397-H397)</x:f>
      </x:c>
      <x:c r="J397" s="4"/>
      <x:c r="K397" s="4" t="str">
        <x:v>URLs de detalle page/query/country por clics. No asignan las impresiones de esta consulta a cada página.</x:v>
      </x:c>
    </x:row>
    <x:row r="398" ht="28" customHeight="1">
      <x:c r="A398" s="4" t="n">
        <x:v>388</x:v>
      </x:c>
      <x:c r="B398" s="4" t="str">
        <x:v>mochila sky medidas</x:v>
      </x:c>
      <x:c r="C398" s="11" t="n">
        <x:v>4</x:v>
      </x:c>
      <x:c r="D398" s="11" t="n">
        <x:v>38</x:v>
      </x:c>
      <x:c r="E398" s="14" t="n">
        <x:v>0.10526315789473684</x:v>
      </x:c>
      <x:c r="F398" s="12" t="n">
        <x:v>3.0789473684210527</x:v>
      </x:c>
      <x:c r="G398" s="4" t="str">
        <x:v>Sin marca literal</x:v>
      </x:c>
      <x:c r="H398" s="11"/>
      <x:c r="I398" s="11" t="str">
        <x:f>IF(H398="","",C398-H398)</x:f>
      </x:c>
      <x:c r="J398" s="4"/>
      <x:c r="K398" s="4" t="str">
        <x:v>URLs de detalle page/query/country por clics. No asignan las impresiones de esta consulta a cada página.</x:v>
      </x:c>
    </x:row>
    <x:row r="399" ht="28" customHeight="1">
      <x:c r="A399" s="4" t="n">
        <x:v>389</x:v>
      </x:c>
      <x:c r="B399" s="4" t="str">
        <x:v>dimensiones mochila sky</x:v>
      </x:c>
      <x:c r="C399" s="11" t="n">
        <x:v>4</x:v>
      </x:c>
      <x:c r="D399" s="11" t="n">
        <x:v>37</x:v>
      </x:c>
      <x:c r="E399" s="14" t="n">
        <x:v>0.10810810810810811</x:v>
      </x:c>
      <x:c r="F399" s="12" t="n">
        <x:v>3.891891891891892</x:v>
      </x:c>
      <x:c r="G399" s="4" t="str">
        <x:v>Sin marca literal</x:v>
      </x:c>
      <x:c r="H399" s="11"/>
      <x:c r="I399" s="11" t="str">
        <x:f>IF(H399="","",C399-H399)</x:f>
      </x:c>
      <x:c r="J399" s="4"/>
      <x:c r="K399" s="4" t="str">
        <x:v>URLs de detalle page/query/country por clics. No asignan las impresiones de esta consulta a cada página.</x:v>
      </x:c>
    </x:row>
    <x:row r="400" ht="28" customHeight="1">
      <x:c r="A400" s="4" t="n">
        <x:v>390</x:v>
      </x:c>
      <x:c r="B400" s="4" t="str">
        <x:v>sky airlines cambiar fecha de vuelo</x:v>
      </x:c>
      <x:c r="C400" s="11" t="n">
        <x:v>4</x:v>
      </x:c>
      <x:c r="D400" s="11" t="n">
        <x:v>37</x:v>
      </x:c>
      <x:c r="E400" s="14" t="n">
        <x:v>0.10810810810810811</x:v>
      </x:c>
      <x:c r="F400" s="12" t="n">
        <x:v>5.27027027027027</x:v>
      </x:c>
      <x:c r="G400" s="4" t="str">
        <x:v>Sin marca literal</x:v>
      </x:c>
      <x:c r="H400" s="11"/>
      <x:c r="I400" s="11" t="str">
        <x:f>IF(H400="","",C400-H400)</x:f>
      </x:c>
      <x:c r="J400" s="4"/>
      <x:c r="K400" s="4" t="str">
        <x:v>URLs de detalle page/query/country por clics. No asignan las impresiones de esta consulta a cada página.</x:v>
      </x:c>
    </x:row>
    <x:row r="401" ht="28" customHeight="1">
      <x:c r="A401" s="4" t="n">
        <x:v>391</x:v>
      </x:c>
      <x:c r="B401" s="4" t="str">
        <x:v>curso tripulante de cabina sky 2026</x:v>
      </x:c>
      <x:c r="C401" s="11" t="n">
        <x:v>4</x:v>
      </x:c>
      <x:c r="D401" s="11" t="n">
        <x:v>34</x:v>
      </x:c>
      <x:c r="E401" s="14" t="n">
        <x:v>0.11764705882352941</x:v>
      </x:c>
      <x:c r="F401" s="12" t="n">
        <x:v>5.705882352941177</x:v>
      </x:c>
      <x:c r="G401" s="4" t="str">
        <x:v>Sin marca literal</x:v>
      </x:c>
      <x:c r="H401" s="11"/>
      <x:c r="I401" s="11" t="str">
        <x:f>IF(H401="","",C401-H401)</x:f>
      </x:c>
      <x:c r="J401" s="4"/>
      <x:c r="K401" s="4" t="str">
        <x:v>URLs de detalle page/query/country por clics. No asignan las impresiones de esta consulta a cada página.</x:v>
      </x:c>
    </x:row>
    <x:row r="402" ht="28" customHeight="1">
      <x:c r="A402" s="4" t="n">
        <x:v>392</x:v>
      </x:c>
      <x:c r="B402" s="4" t="str">
        <x:v>medidas de maleta de 23 kilos sky</x:v>
      </x:c>
      <x:c r="C402" s="11" t="n">
        <x:v>4</x:v>
      </x:c>
      <x:c r="D402" s="11" t="n">
        <x:v>32</x:v>
      </x:c>
      <x:c r="E402" s="14" t="n">
        <x:v>0.125</x:v>
      </x:c>
      <x:c r="F402" s="12" t="n">
        <x:v>4.28125</x:v>
      </x:c>
      <x:c r="G402" s="4" t="str">
        <x:v>Sin marca literal</x:v>
      </x:c>
      <x:c r="H402" s="11"/>
      <x:c r="I402" s="11" t="str">
        <x:f>IF(H402="","",C402-H402)</x:f>
      </x:c>
      <x:c r="J402" s="4"/>
      <x:c r="K402" s="4" t="str">
        <x:v>URLs de detalle page/query/country por clics. No asignan las impresiones de esta consulta a cada página.</x:v>
      </x:c>
    </x:row>
    <x:row r="403" ht="28" customHeight="1">
      <x:c r="A403" s="4" t="n">
        <x:v>393</x:v>
      </x:c>
      <x:c r="B403" s="4" t="str">
        <x:v>sky medidas de mochila</x:v>
      </x:c>
      <x:c r="C403" s="11" t="n">
        <x:v>4</x:v>
      </x:c>
      <x:c r="D403" s="11" t="n">
        <x:v>30</x:v>
      </x:c>
      <x:c r="E403" s="14" t="n">
        <x:v>0.13333333333333333</x:v>
      </x:c>
      <x:c r="F403" s="12" t="n">
        <x:v>3</x:v>
      </x:c>
      <x:c r="G403" s="4" t="str">
        <x:v>Sin marca literal</x:v>
      </x:c>
      <x:c r="H403" s="11"/>
      <x:c r="I403" s="11" t="str">
        <x:f>IF(H403="","",C403-H403)</x:f>
      </x:c>
      <x:c r="J403" s="4"/>
      <x:c r="K403" s="4" t="str">
        <x:v>URLs de detalle page/query/country por clics. No asignan las impresiones de esta consulta a cada página.</x:v>
      </x:c>
    </x:row>
    <x:row r="404" ht="28" customHeight="1">
      <x:c r="A404" s="4" t="n">
        <x:v>394</x:v>
      </x:c>
      <x:c r="B404" s="4" t="str">
        <x:v>medida maleta de cabina sky</x:v>
      </x:c>
      <x:c r="C404" s="11" t="n">
        <x:v>4</x:v>
      </x:c>
      <x:c r="D404" s="11" t="n">
        <x:v>28</x:v>
      </x:c>
      <x:c r="E404" s="14" t="n">
        <x:v>0.14285714285714285</x:v>
      </x:c>
      <x:c r="F404" s="12" t="n">
        <x:v>4.321428571428571</x:v>
      </x:c>
      <x:c r="G404" s="4" t="str">
        <x:v>Sin marca literal</x:v>
      </x:c>
      <x:c r="H404" s="11"/>
      <x:c r="I404" s="11" t="str">
        <x:f>IF(H404="","",C404-H404)</x:f>
      </x:c>
      <x:c r="J404" s="4"/>
      <x:c r="K404" s="4" t="str">
        <x:v>URLs de detalle page/query/country por clics. No asignan las impresiones de esta consulta a cada página.</x:v>
      </x:c>
    </x:row>
    <x:row r="405" ht="28" customHeight="1">
      <x:c r="A405" s="4" t="n">
        <x:v>395</x:v>
      </x:c>
      <x:c r="B405" s="4" t="str">
        <x:v>empleos sky airlines</x:v>
      </x:c>
      <x:c r="C405" s="11" t="n">
        <x:v>4</x:v>
      </x:c>
      <x:c r="D405" s="11" t="n">
        <x:v>27</x:v>
      </x:c>
      <x:c r="E405" s="14" t="n">
        <x:v>0.14814814814814814</x:v>
      </x:c>
      <x:c r="F405" s="12" t="n">
        <x:v>4.888888888888889</x:v>
      </x:c>
      <x:c r="G405" s="4" t="str">
        <x:v>Sin marca literal</x:v>
      </x:c>
      <x:c r="H405" s="11"/>
      <x:c r="I405" s="11" t="str">
        <x:f>IF(H405="","",C405-H405)</x:f>
      </x:c>
      <x:c r="J405" s="4"/>
      <x:c r="K405" s="4" t="str">
        <x:v>URLs de detalle page/query/country por clics. No asignan las impresiones de esta consulta a cada página.</x:v>
      </x:c>
    </x:row>
    <x:row r="406" ht="28" customHeight="1">
      <x:c r="A406" s="4" t="n">
        <x:v>396</x:v>
      </x:c>
      <x:c r="B406" s="4" t="str">
        <x:v>sky medidas mochila</x:v>
      </x:c>
      <x:c r="C406" s="11" t="n">
        <x:v>4</x:v>
      </x:c>
      <x:c r="D406" s="11" t="n">
        <x:v>26</x:v>
      </x:c>
      <x:c r="E406" s="14" t="n">
        <x:v>0.15384615384615385</x:v>
      </x:c>
      <x:c r="F406" s="12" t="n">
        <x:v>3.6538461538461537</x:v>
      </x:c>
      <x:c r="G406" s="4" t="str">
        <x:v>Sin marca literal</x:v>
      </x:c>
      <x:c r="H406" s="11"/>
      <x:c r="I406" s="11" t="str">
        <x:f>IF(H406="","",C406-H406)</x:f>
      </x:c>
      <x:c r="J406" s="4"/>
      <x:c r="K406" s="4" t="str">
        <x:v>URLs de detalle page/query/country por clics. No asignan las impresiones de esta consulta a cada página.</x:v>
      </x:c>
    </x:row>
    <x:row r="407" ht="28" customHeight="1">
      <x:c r="A407" s="4" t="n">
        <x:v>397</x:v>
      </x:c>
      <x:c r="B407" s="4" t="str">
        <x:v>declaración jurada para ingresar a argentina 2026</x:v>
      </x:c>
      <x:c r="C407" s="11" t="n">
        <x:v>4</x:v>
      </x:c>
      <x:c r="D407" s="11" t="n">
        <x:v>25</x:v>
      </x:c>
      <x:c r="E407" s="14" t="n">
        <x:v>0.16</x:v>
      </x:c>
      <x:c r="F407" s="12" t="n">
        <x:v>4.84</x:v>
      </x:c>
      <x:c r="G407" s="4" t="str">
        <x:v>Sin marca literal</x:v>
      </x:c>
      <x:c r="H407" s="11"/>
      <x:c r="I407" s="11" t="str">
        <x:f>IF(H407="","",C407-H407)</x:f>
      </x:c>
      <x:c r="J407" s="4"/>
      <x:c r="K407" s="4" t="str">
        <x:v>URLs de detalle page/query/country por clics. No asignan las impresiones de esta consulta a cada página.</x:v>
      </x:c>
    </x:row>
    <x:row r="408" ht="28" customHeight="1">
      <x:c r="A408" s="4" t="n">
        <x:v>398</x:v>
      </x:c>
      <x:c r="B408" s="4" t="str">
        <x:v>que hacer en caminito argentina</x:v>
      </x:c>
      <x:c r="C408" s="11" t="n">
        <x:v>4</x:v>
      </x:c>
      <x:c r="D408" s="11" t="n">
        <x:v>25</x:v>
      </x:c>
      <x:c r="E408" s="14" t="n">
        <x:v>0.16</x:v>
      </x:c>
      <x:c r="F408" s="12" t="n">
        <x:v>2.88</x:v>
      </x:c>
      <x:c r="G408" s="4" t="str">
        <x:v>Sin marca literal</x:v>
      </x:c>
      <x:c r="H408" s="11"/>
      <x:c r="I408" s="11" t="str">
        <x:f>IF(H408="","",C408-H408)</x:f>
      </x:c>
      <x:c r="J408" s="4"/>
      <x:c r="K408" s="4" t="str">
        <x:v>URLs de detalle page/query/country por clics. No asignan las impresiones de esta consulta a cada página.</x:v>
      </x:c>
    </x:row>
    <x:row r="409" ht="28" customHeight="1">
      <x:c r="A409" s="4" t="n">
        <x:v>399</x:v>
      </x:c>
      <x:c r="B409" s="4" t="str">
        <x:v>sky airlines empleos</x:v>
      </x:c>
      <x:c r="C409" s="11" t="n">
        <x:v>4</x:v>
      </x:c>
      <x:c r="D409" s="11" t="n">
        <x:v>24</x:v>
      </x:c>
      <x:c r="E409" s="14" t="n">
        <x:v>0.16666666666666666</x:v>
      </x:c>
      <x:c r="F409" s="12" t="n">
        <x:v>4.958333333333334</x:v>
      </x:c>
      <x:c r="G409" s="4" t="str">
        <x:v>Contiene marca</x:v>
      </x:c>
      <x:c r="H409" s="11" t="n">
        <x:v>10</x:v>
      </x:c>
      <x:c r="I409" s="11" t="n">
        <x:f>IF(H409="","",C409-H409)</x:f>
        <x:v>-6</x:v>
      </x:c>
      <x:c r="J409" s="4" t="str">
        <x:v>https://blog.skyairline.com/categoria/oportunidades/ (4 clics)</x:v>
      </x:c>
      <x:c r="K409" s="4" t="str">
        <x:v>URLs de detalle page/query/country por clics. No asignan las impresiones de esta consulta a cada página.</x:v>
      </x:c>
    </x:row>
    <x:row r="410" ht="28" customHeight="1">
      <x:c r="A410" s="4" t="n">
        <x:v>400</x:v>
      </x:c>
      <x:c r="B410" s="4" t="str">
        <x:v>sky embarazadas</x:v>
      </x:c>
      <x:c r="C410" s="11" t="n">
        <x:v>4</x:v>
      </x:c>
      <x:c r="D410" s="11" t="n">
        <x:v>24</x:v>
      </x:c>
      <x:c r="E410" s="14" t="n">
        <x:v>0.16666666666666666</x:v>
      </x:c>
      <x:c r="F410" s="12" t="n">
        <x:v>3.7083333333333335</x:v>
      </x:c>
      <x:c r="G410" s="4" t="str">
        <x:v>Sin marca literal</x:v>
      </x:c>
      <x:c r="H410" s="11"/>
      <x:c r="I410" s="11" t="str">
        <x:f>IF(H410="","",C410-H410)</x:f>
      </x:c>
      <x:c r="J410" s="4"/>
      <x:c r="K410" s="4" t="str">
        <x:v>URLs de detalle page/query/country por clics. No asignan las impresiones de esta consulta a cada página.</x:v>
      </x:c>
    </x:row>
    <x:row r="411" ht="28" customHeight="1">
      <x:c r="A411" s="4" t="n">
        <x:v>401</x:v>
      </x:c>
      <x:c r="B411" s="4" t="str">
        <x:v>cursos tripulante de cabina</x:v>
      </x:c>
      <x:c r="C411" s="11" t="n">
        <x:v>4</x:v>
      </x:c>
      <x:c r="D411" s="11" t="n">
        <x:v>19</x:v>
      </x:c>
      <x:c r="E411" s="14" t="n">
        <x:v>0.21052631578947367</x:v>
      </x:c>
      <x:c r="F411" s="12" t="n">
        <x:v>4.894736842105264</x:v>
      </x:c>
      <x:c r="G411" s="4" t="str">
        <x:v>Sin marca literal</x:v>
      </x:c>
      <x:c r="H411" s="11"/>
      <x:c r="I411" s="11" t="str">
        <x:f>IF(H411="","",C411-H411)</x:f>
      </x:c>
      <x:c r="J411" s="4"/>
      <x:c r="K411" s="4" t="str">
        <x:v>URLs de detalle page/query/country por clics. No asignan las impresiones de esta consulta a cada página.</x:v>
      </x:c>
    </x:row>
    <x:row r="412" ht="28" customHeight="1">
      <x:c r="A412" s="4" t="n">
        <x:v>402</x:v>
      </x:c>
      <x:c r="B412" s="4" t="str">
        <x:v>en peru</x:v>
      </x:c>
      <x:c r="C412" s="11" t="n">
        <x:v>4</x:v>
      </x:c>
      <x:c r="D412" s="11" t="n">
        <x:v>19</x:v>
      </x:c>
      <x:c r="E412" s="14" t="n">
        <x:v>0.21052631578947367</x:v>
      </x:c>
      <x:c r="F412" s="12" t="n">
        <x:v>4.052631578947368</x:v>
      </x:c>
      <x:c r="G412" s="4" t="str">
        <x:v>Sin marca literal</x:v>
      </x:c>
      <x:c r="H412" s="11"/>
      <x:c r="I412" s="11" t="str">
        <x:f>IF(H412="","",C412-H412)</x:f>
      </x:c>
      <x:c r="J412" s="4"/>
      <x:c r="K412" s="4" t="str">
        <x:v>URLs de detalle page/query/country por clics. No asignan las impresiones de esta consulta a cada página.</x:v>
      </x:c>
    </x:row>
    <x:row r="413" ht="28" customHeight="1">
      <x:c r="A413" s="4" t="n">
        <x:v>403</x:v>
      </x:c>
      <x:c r="B413" s="4" t="str">
        <x:v>sky airline flota</x:v>
      </x:c>
      <x:c r="C413" s="11" t="n">
        <x:v>4</x:v>
      </x:c>
      <x:c r="D413" s="11" t="n">
        <x:v>16</x:v>
      </x:c>
      <x:c r="E413" s="14" t="n">
        <x:v>0.25</x:v>
      </x:c>
      <x:c r="F413" s="12" t="n">
        <x:v>4.375</x:v>
      </x:c>
      <x:c r="G413" s="4" t="str">
        <x:v>Sin marca literal</x:v>
      </x:c>
      <x:c r="H413" s="11"/>
      <x:c r="I413" s="11" t="str">
        <x:f>IF(H413="","",C413-H413)</x:f>
      </x:c>
      <x:c r="J413" s="4"/>
      <x:c r="K413" s="4" t="str">
        <x:v>URLs de detalle page/query/country por clics. No asignan las impresiones de esta consulta a cada página.</x:v>
      </x:c>
    </x:row>
    <x:row r="414" ht="28" customHeight="1">
      <x:c r="A414" s="4" t="n">
        <x:v>404</x:v>
      </x:c>
      <x:c r="B414" s="4" t="str">
        <x:v>tripulante de cabina sky postular</x:v>
      </x:c>
      <x:c r="C414" s="11" t="n">
        <x:v>4</x:v>
      </x:c>
      <x:c r="D414" s="11" t="n">
        <x:v>15</x:v>
      </x:c>
      <x:c r="E414" s="14" t="n">
        <x:v>0.26666666666666666</x:v>
      </x:c>
      <x:c r="F414" s="12" t="n">
        <x:v>4.466666666666667</x:v>
      </x:c>
      <x:c r="G414" s="4" t="str">
        <x:v>Contiene marca</x:v>
      </x:c>
      <x:c r="H414" s="11" t="n">
        <x:v>10</x:v>
      </x:c>
      <x:c r="I414" s="11" t="n">
        <x:f>IF(H414="","",C414-H414)</x:f>
        <x:v>-6</x:v>
      </x:c>
      <x:c r="J414" s="4" t="str">
        <x:v>https://blog.skyairline.com/curso-tripulante-cabina/ (4 clics)</x:v>
      </x:c>
      <x:c r="K414" s="4" t="str">
        <x:v>URLs de detalle page/query/country por clics. No asignan las impresiones de esta consulta a cada página.</x:v>
      </x:c>
    </x:row>
    <x:row r="415" ht="28" customHeight="1">
      <x:c r="A415" s="4" t="n">
        <x:v>405</x:v>
      </x:c>
      <x:c r="B415" s="4" t="str">
        <x:v>tripulante de cabina sky trabajo</x:v>
      </x:c>
      <x:c r="C415" s="11" t="n">
        <x:v>4</x:v>
      </x:c>
      <x:c r="D415" s="11" t="n">
        <x:v>15</x:v>
      </x:c>
      <x:c r="E415" s="14" t="n">
        <x:v>0.26666666666666666</x:v>
      </x:c>
      <x:c r="F415" s="12" t="n">
        <x:v>5.533333333333333</x:v>
      </x:c>
      <x:c r="G415" s="4" t="str">
        <x:v>Sin marca literal</x:v>
      </x:c>
      <x:c r="H415" s="11"/>
      <x:c r="I415" s="11" t="str">
        <x:f>IF(H415="","",C415-H415)</x:f>
      </x:c>
      <x:c r="J415" s="4"/>
      <x:c r="K415" s="4" t="str">
        <x:v>URLs de detalle page/query/country por clics. No asignan las impresiones de esta consulta a cada página.</x:v>
      </x:c>
    </x:row>
    <x:row r="416" ht="28" customHeight="1">
      <x:c r="A416" s="4" t="n">
        <x:v>406</x:v>
      </x:c>
      <x:c r="B416" s="4" t="str">
        <x:v>mascotas sky</x:v>
      </x:c>
      <x:c r="C416" s="11" t="n">
        <x:v>4</x:v>
      </x:c>
      <x:c r="D416" s="11" t="n">
        <x:v>10</x:v>
      </x:c>
      <x:c r="E416" s="14" t="n">
        <x:v>0.4</x:v>
      </x:c>
      <x:c r="F416" s="12" t="n">
        <x:v>1.6</x:v>
      </x:c>
      <x:c r="G416" s="4" t="str">
        <x:v>Contiene marca</x:v>
      </x:c>
      <x:c r="H416" s="11" t="n">
        <x:v>10</x:v>
      </x:c>
      <x:c r="I416" s="11" t="n">
        <x:f>IF(H416="","",C416-H416)</x:f>
        <x:v>-6</x:v>
      </x:c>
      <x:c r="J416" s="4" t="str">
        <x:v>https://blog.skyairline.com/mascotas-en-cabina/ (2 clics)
https://blog.skyairline.com/viajar-con-perros/ (2 clics)</x:v>
      </x:c>
      <x:c r="K416" s="4" t="str">
        <x:v>URLs de detalle page/query/country por clics. No asignan las impresiones de esta consulta a cada página.</x:v>
      </x:c>
    </x:row>
    <x:row r="417" ht="28" customHeight="1">
      <x:c r="A417" s="4" t="n">
        <x:v>407</x:v>
      </x:c>
      <x:c r="B417" s="4" t="str">
        <x:v>check in</x:v>
      </x:c>
      <x:c r="C417" s="11" t="n">
        <x:v>3</x:v>
      </x:c>
      <x:c r="D417" s="11" t="n">
        <x:v>4675</x:v>
      </x:c>
      <x:c r="E417" s="14" t="n">
        <x:v>0.0006417112299465241</x:v>
      </x:c>
      <x:c r="F417" s="12" t="n">
        <x:v>10.457967914438502</x:v>
      </x:c>
      <x:c r="G417" s="4" t="str">
        <x:v>Sin marca literal</x:v>
      </x:c>
      <x:c r="H417" s="11" t="n">
        <x:v>0</x:v>
      </x:c>
      <x:c r="I417" s="11" t="str">
        <x:f>IF(H417="","",C417-H417)</x:f>
      </x:c>
      <x:c r="J417" s="4" t="str">
        <x:v>https://blog.skyairline.com/que-es-el-check-in/ (3 clics)</x:v>
      </x:c>
      <x:c r="K417" s="4" t="str">
        <x:v>URLs de detalle page/query/country por clics. No asignan las impresiones de esta consulta a cada página.</x:v>
      </x:c>
    </x:row>
    <x:row r="418" ht="28" customHeight="1">
      <x:c r="A418" s="4" t="n">
        <x:v>408</x:v>
      </x:c>
      <x:c r="B418" s="4" t="str">
        <x:v>cuando empieza el verano en chile</x:v>
      </x:c>
      <x:c r="C418" s="11" t="n">
        <x:v>3</x:v>
      </x:c>
      <x:c r="D418" s="11" t="n">
        <x:v>3984</x:v>
      </x:c>
      <x:c r="E418" s="14" t="n">
        <x:v>0.0007530120481927711</x:v>
      </x:c>
      <x:c r="F418" s="12" t="n">
        <x:v>5.886546184738956</x:v>
      </x:c>
      <x:c r="G418" s="4" t="str">
        <x:v>Sin marca literal</x:v>
      </x:c>
      <x:c r="H418" s="11" t="n">
        <x:v>0</x:v>
      </x:c>
      <x:c r="I418" s="11" t="str">
        <x:f>IF(H418="","",C418-H418)</x:f>
      </x:c>
      <x:c r="J418" s="4" t="str">
        <x:v>https://blog.skyairline.com/estaciones-en-chile/ (3 clics)</x:v>
      </x:c>
      <x:c r="K418" s="4" t="str">
        <x:v>URLs de detalle page/query/country por clics. No asignan las impresiones de esta consulta a cada página.</x:v>
      </x:c>
    </x:row>
    <x:row r="419" ht="28" customHeight="1">
      <x:c r="A419" s="4" t="n">
        <x:v>409</x:v>
      </x:c>
      <x:c r="B419" s="4" t="str">
        <x:v>sky empresas</x:v>
      </x:c>
      <x:c r="C419" s="11" t="n">
        <x:v>3</x:v>
      </x:c>
      <x:c r="D419" s="11" t="n">
        <x:v>1688</x:v>
      </x:c>
      <x:c r="E419" s="14" t="n">
        <x:v>0.0017772511848341231</x:v>
      </x:c>
      <x:c r="F419" s="12" t="n">
        <x:v>6.75</x:v>
      </x:c>
      <x:c r="G419" s="4" t="str">
        <x:v>Contiene marca</x:v>
      </x:c>
      <x:c r="H419" s="11" t="n">
        <x:v>1</x:v>
      </x:c>
      <x:c r="I419" s="11" t="n">
        <x:f>IF(H419="","",C419-H419)</x:f>
        <x:v>2</x:v>
      </x:c>
      <x:c r="J419" s="4" t="str">
        <x:v>https://blog.skyairline.com/nuevo-programa-de-fidelizacion-exclusivo-para-clientes-corporativos-sky-plus-empresas-2/ (3 clics)</x:v>
      </x:c>
      <x:c r="K419" s="4" t="str">
        <x:v>URLs de detalle page/query/country por clics. No asignan las impresiones de esta consulta a cada página.</x:v>
      </x:c>
    </x:row>
    <x:row r="420" ht="28" customHeight="1">
      <x:c r="A420" s="4" t="n">
        <x:v>410</x:v>
      </x:c>
      <x:c r="B420" s="4" t="str">
        <x:v>aeropuerto concepcion</x:v>
      </x:c>
      <x:c r="C420" s="11" t="n">
        <x:v>3</x:v>
      </x:c>
      <x:c r="D420" s="11" t="n">
        <x:v>1465</x:v>
      </x:c>
      <x:c r="E420" s="14" t="n">
        <x:v>0.0020477815699658703</x:v>
      </x:c>
      <x:c r="F420" s="12" t="n">
        <x:v>8.473720136518772</x:v>
      </x:c>
      <x:c r="G420" s="4" t="str">
        <x:v>Sin marca literal</x:v>
      </x:c>
      <x:c r="H420" s="11" t="n">
        <x:v>2</x:v>
      </x:c>
      <x:c r="I420" s="11" t="n">
        <x:f>IF(H420="","",C420-H420)</x:f>
        <x:v>1</x:v>
      </x:c>
      <x:c r="J420" s="4" t="str">
        <x:v>https://blog.skyairline.com/aeropuerto-concepcion/ (3 clics)</x:v>
      </x:c>
      <x:c r="K420" s="4" t="str">
        <x:v>URLs de detalle page/query/country por clics. No asignan las impresiones de esta consulta a cada página.</x:v>
      </x:c>
    </x:row>
    <x:row r="421" ht="28" customHeight="1">
      <x:c r="A421" s="4" t="n">
        <x:v>411</x:v>
      </x:c>
      <x:c r="B421" s="4" t="str">
        <x:v>clima punta cana</x:v>
      </x:c>
      <x:c r="C421" s="11" t="n">
        <x:v>3</x:v>
      </x:c>
      <x:c r="D421" s="11" t="n">
        <x:v>922</x:v>
      </x:c>
      <x:c r="E421" s="14" t="n">
        <x:v>0.0032537960954446853</x:v>
      </x:c>
      <x:c r="F421" s="12" t="n">
        <x:v>9.062906724511931</x:v>
      </x:c>
      <x:c r="G421" s="4" t="str">
        <x:v>Sin marca literal</x:v>
      </x:c>
      <x:c r="H421" s="11"/>
      <x:c r="I421" s="11" t="str">
        <x:f>IF(H421="","",C421-H421)</x:f>
      </x:c>
      <x:c r="J421" s="4"/>
      <x:c r="K421" s="4" t="str">
        <x:v>URLs de detalle page/query/country por clics. No asignan las impresiones de esta consulta a cada página.</x:v>
      </x:c>
    </x:row>
    <x:row r="422" ht="28" customHeight="1">
      <x:c r="A422" s="4" t="n">
        <x:v>412</x:v>
      </x:c>
      <x:c r="B422" s="4" t="str">
        <x:v>porto alegre</x:v>
      </x:c>
      <x:c r="C422" s="11" t="n">
        <x:v>3</x:v>
      </x:c>
      <x:c r="D422" s="11" t="n">
        <x:v>786</x:v>
      </x:c>
      <x:c r="E422" s="14" t="n">
        <x:v>0.003816793893129771</x:v>
      </x:c>
      <x:c r="F422" s="12" t="n">
        <x:v>11.440203562340967</x:v>
      </x:c>
      <x:c r="G422" s="4" t="str">
        <x:v>Sin marca literal</x:v>
      </x:c>
      <x:c r="H422" s="11"/>
      <x:c r="I422" s="11" t="str">
        <x:f>IF(H422="","",C422-H422)</x:f>
      </x:c>
      <x:c r="J422" s="4"/>
      <x:c r="K422" s="4" t="str">
        <x:v>URLs de detalle page/query/country por clics. No asignan las impresiones de esta consulta a cada página.</x:v>
      </x:c>
    </x:row>
    <x:row r="423" ht="28" customHeight="1">
      <x:c r="A423" s="4" t="n">
        <x:v>413</x:v>
      </x:c>
      <x:c r="B423" s="4" t="str">
        <x:v>montevideo a punta del este</x:v>
      </x:c>
      <x:c r="C423" s="11" t="n">
        <x:v>3</x:v>
      </x:c>
      <x:c r="D423" s="11" t="n">
        <x:v>671</x:v>
      </x:c>
      <x:c r="E423" s="14" t="n">
        <x:v>0.004470938897168405</x:v>
      </x:c>
      <x:c r="F423" s="12" t="n">
        <x:v>7.301043219076006</x:v>
      </x:c>
      <x:c r="G423" s="4" t="str">
        <x:v>Sin marca literal</x:v>
      </x:c>
      <x:c r="H423" s="11"/>
      <x:c r="I423" s="11" t="str">
        <x:f>IF(H423="","",C423-H423)</x:f>
      </x:c>
      <x:c r="J423" s="4"/>
      <x:c r="K423" s="4" t="str">
        <x:v>URLs de detalle page/query/country por clics. No asignan las impresiones de esta consulta a cada página.</x:v>
      </x:c>
    </x:row>
    <x:row r="424" ht="28" customHeight="1">
      <x:c r="A424" s="4" t="n">
        <x:v>414</x:v>
      </x:c>
      <x:c r="B424" s="4" t="str">
        <x:v>que estacion del año es en chile</x:v>
      </x:c>
      <x:c r="C424" s="11" t="n">
        <x:v>3</x:v>
      </x:c>
      <x:c r="D424" s="11" t="n">
        <x:v>609</x:v>
      </x:c>
      <x:c r="E424" s="14" t="n">
        <x:v>0.0049261083743842365</x:v>
      </x:c>
      <x:c r="F424" s="12" t="n">
        <x:v>3.2479474548440064</x:v>
      </x:c>
      <x:c r="G424" s="4" t="str">
        <x:v>Sin marca literal</x:v>
      </x:c>
      <x:c r="H424" s="11"/>
      <x:c r="I424" s="11" t="str">
        <x:f>IF(H424="","",C424-H424)</x:f>
      </x:c>
      <x:c r="J424" s="4"/>
      <x:c r="K424" s="4" t="str">
        <x:v>URLs de detalle page/query/country por clics. No asignan las impresiones de esta consulta a cada página.</x:v>
      </x:c>
    </x:row>
    <x:row r="425" ht="28" customHeight="1">
      <x:c r="A425" s="4" t="n">
        <x:v>415</x:v>
      </x:c>
      <x:c r="B425" s="4" t="str">
        <x:v>se necesita pasaporte para viajar a brasil</x:v>
      </x:c>
      <x:c r="C425" s="11" t="n">
        <x:v>3</x:v>
      </x:c>
      <x:c r="D425" s="11" t="n">
        <x:v>603</x:v>
      </x:c>
      <x:c r="E425" s="14" t="n">
        <x:v>0.004975124378109453</x:v>
      </x:c>
      <x:c r="F425" s="12" t="n">
        <x:v>3.558872305140962</x:v>
      </x:c>
      <x:c r="G425" s="4" t="str">
        <x:v>Sin marca literal</x:v>
      </x:c>
      <x:c r="H425" s="11"/>
      <x:c r="I425" s="11" t="str">
        <x:f>IF(H425="","",C425-H425)</x:f>
      </x:c>
      <x:c r="J425" s="4"/>
      <x:c r="K425" s="4" t="str">
        <x:v>URLs de detalle page/query/country por clics. No asignan las impresiones de esta consulta a cada página.</x:v>
      </x:c>
    </x:row>
    <x:row r="426" ht="28" customHeight="1">
      <x:c r="A426" s="4" t="n">
        <x:v>416</x:v>
      </x:c>
      <x:c r="B426" s="4" t="str">
        <x:v>folklore chileno</x:v>
      </x:c>
      <x:c r="C426" s="11" t="n">
        <x:v>3</x:v>
      </x:c>
      <x:c r="D426" s="11" t="n">
        <x:v>582</x:v>
      </x:c>
      <x:c r="E426" s="14" t="n">
        <x:v>0.005154639175257732</x:v>
      </x:c>
      <x:c r="F426" s="12" t="n">
        <x:v>9.541237113402062</x:v>
      </x:c>
      <x:c r="G426" s="4" t="str">
        <x:v>Sin marca literal</x:v>
      </x:c>
      <x:c r="H426" s="11"/>
      <x:c r="I426" s="11" t="str">
        <x:f>IF(H426="","",C426-H426)</x:f>
      </x:c>
      <x:c r="J426" s="4"/>
      <x:c r="K426" s="4" t="str">
        <x:v>URLs de detalle page/query/country por clics. No asignan las impresiones de esta consulta a cada página.</x:v>
      </x:c>
    </x:row>
    <x:row r="427" ht="28" customHeight="1">
      <x:c r="A427" s="4" t="n">
        <x:v>417</x:v>
      </x:c>
      <x:c r="B427" s="4" t="str">
        <x:v>aeropuertos de buenos aires</x:v>
      </x:c>
      <x:c r="C427" s="11" t="n">
        <x:v>3</x:v>
      </x:c>
      <x:c r="D427" s="11" t="n">
        <x:v>562</x:v>
      </x:c>
      <x:c r="E427" s="14" t="n">
        <x:v>0.005338078291814947</x:v>
      </x:c>
      <x:c r="F427" s="12" t="n">
        <x:v>3.9466192170818504</x:v>
      </x:c>
      <x:c r="G427" s="4" t="str">
        <x:v>Sin marca literal</x:v>
      </x:c>
      <x:c r="H427" s="11"/>
      <x:c r="I427" s="11" t="str">
        <x:f>IF(H427="","",C427-H427)</x:f>
      </x:c>
      <x:c r="J427" s="4"/>
      <x:c r="K427" s="4" t="str">
        <x:v>URLs de detalle page/query/country por clics. No asignan las impresiones de esta consulta a cada página.</x:v>
      </x:c>
    </x:row>
    <x:row r="428" ht="28" customHeight="1">
      <x:c r="A428" s="4" t="n">
        <x:v>418</x:v>
      </x:c>
      <x:c r="B428" s="4" t="str">
        <x:v>aeropuerto buenos aires</x:v>
      </x:c>
      <x:c r="C428" s="11" t="n">
        <x:v>3</x:v>
      </x:c>
      <x:c r="D428" s="11" t="n">
        <x:v>512</x:v>
      </x:c>
      <x:c r="E428" s="14" t="n">
        <x:v>0.005859375</x:v>
      </x:c>
      <x:c r="F428" s="12" t="n">
        <x:v>5.9375</x:v>
      </x:c>
      <x:c r="G428" s="4" t="str">
        <x:v>Sin marca literal</x:v>
      </x:c>
      <x:c r="H428" s="11"/>
      <x:c r="I428" s="11" t="str">
        <x:f>IF(H428="","",C428-H428)</x:f>
      </x:c>
      <x:c r="J428" s="4"/>
      <x:c r="K428" s="4" t="str">
        <x:v>URLs de detalle page/query/country por clics. No asignan las impresiones de esta consulta a cada página.</x:v>
      </x:c>
    </x:row>
    <x:row r="429" ht="28" customHeight="1">
      <x:c r="A429" s="4" t="n">
        <x:v>419</x:v>
      </x:c>
      <x:c r="B429" s="4" t="str">
        <x:v>aeropuertos en buenos aires</x:v>
      </x:c>
      <x:c r="C429" s="11" t="n">
        <x:v>3</x:v>
      </x:c>
      <x:c r="D429" s="11" t="n">
        <x:v>458</x:v>
      </x:c>
      <x:c r="E429" s="14" t="n">
        <x:v>0.006550218340611353</x:v>
      </x:c>
      <x:c r="F429" s="12" t="n">
        <x:v>4.12882096069869</x:v>
      </x:c>
      <x:c r="G429" s="4" t="str">
        <x:v>Sin marca literal</x:v>
      </x:c>
      <x:c r="H429" s="11"/>
      <x:c r="I429" s="11" t="str">
        <x:f>IF(H429="","",C429-H429)</x:f>
      </x:c>
      <x:c r="J429" s="4"/>
      <x:c r="K429" s="4" t="str">
        <x:v>URLs de detalle page/query/country por clics. No asignan las impresiones de esta consulta a cada página.</x:v>
      </x:c>
    </x:row>
    <x:row r="430" ht="28" customHeight="1">
      <x:c r="A430" s="4" t="n">
        <x:v>420</x:v>
      </x:c>
      <x:c r="B430" s="4" t="str">
        <x:v>terminal sur como llegar</x:v>
      </x:c>
      <x:c r="C430" s="11" t="n">
        <x:v>3</x:v>
      </x:c>
      <x:c r="D430" s="11" t="n">
        <x:v>450</x:v>
      </x:c>
      <x:c r="E430" s="14" t="n">
        <x:v>0.006666666666666667</x:v>
      </x:c>
      <x:c r="F430" s="12" t="n">
        <x:v>6.564444444444445</x:v>
      </x:c>
      <x:c r="G430" s="4" t="str">
        <x:v>Sin marca literal</x:v>
      </x:c>
      <x:c r="H430" s="11"/>
      <x:c r="I430" s="11" t="str">
        <x:f>IF(H430="","",C430-H430)</x:f>
      </x:c>
      <x:c r="J430" s="4"/>
      <x:c r="K430" s="4" t="str">
        <x:v>URLs de detalle page/query/country por clics. No asignan las impresiones de esta consulta a cada página.</x:v>
      </x:c>
    </x:row>
    <x:row r="431" ht="28" customHeight="1">
      <x:c r="A431" s="4" t="n">
        <x:v>421</x:v>
      </x:c>
      <x:c r="B431" s="4" t="str">
        <x:v>auroras australes</x:v>
      </x:c>
      <x:c r="C431" s="11" t="n">
        <x:v>3</x:v>
      </x:c>
      <x:c r="D431" s="11" t="n">
        <x:v>378</x:v>
      </x:c>
      <x:c r="E431" s="14" t="n">
        <x:v>0.007936507936507936</x:v>
      </x:c>
      <x:c r="F431" s="12" t="n">
        <x:v>6</x:v>
      </x:c>
      <x:c r="G431" s="4" t="str">
        <x:v>Sin marca literal</x:v>
      </x:c>
      <x:c r="H431" s="11"/>
      <x:c r="I431" s="11" t="str">
        <x:f>IF(H431="","",C431-H431)</x:f>
      </x:c>
      <x:c r="J431" s="4"/>
      <x:c r="K431" s="4" t="str">
        <x:v>URLs de detalle page/query/country por clics. No asignan las impresiones de esta consulta a cada página.</x:v>
      </x:c>
    </x:row>
    <x:row r="432" ht="28" customHeight="1">
      <x:c r="A432" s="4" t="n">
        <x:v>422</x:v>
      </x:c>
      <x:c r="B432" s="4" t="str">
        <x:v>florianopolis a rio de janeiro</x:v>
      </x:c>
      <x:c r="C432" s="11" t="n">
        <x:v>3</x:v>
      </x:c>
      <x:c r="D432" s="11" t="n">
        <x:v>369</x:v>
      </x:c>
      <x:c r="E432" s="14" t="n">
        <x:v>0.008130081300813009</x:v>
      </x:c>
      <x:c r="F432" s="12" t="n">
        <x:v>7.791327913279133</x:v>
      </x:c>
      <x:c r="G432" s="4" t="str">
        <x:v>Sin marca literal</x:v>
      </x:c>
      <x:c r="H432" s="11"/>
      <x:c r="I432" s="11" t="str">
        <x:f>IF(H432="","",C432-H432)</x:f>
      </x:c>
      <x:c r="J432" s="4"/>
      <x:c r="K432" s="4" t="str">
        <x:v>URLs de detalle page/query/country por clics. No asignan las impresiones de esta consulta a cada página.</x:v>
      </x:c>
    </x:row>
    <x:row r="433" ht="28" customHeight="1">
      <x:c r="A433" s="4" t="n">
        <x:v>423</x:v>
      </x:c>
      <x:c r="B433" s="4" t="str">
        <x:v>puedo llevar perfume en el avion</x:v>
      </x:c>
      <x:c r="C433" s="11" t="n">
        <x:v>3</x:v>
      </x:c>
      <x:c r="D433" s="11" t="n">
        <x:v>340</x:v>
      </x:c>
      <x:c r="E433" s="14" t="n">
        <x:v>0.008823529411764706</x:v>
      </x:c>
      <x:c r="F433" s="12" t="n">
        <x:v>5.482352941176471</x:v>
      </x:c>
      <x:c r="G433" s="4" t="str">
        <x:v>Sin marca literal</x:v>
      </x:c>
      <x:c r="H433" s="11"/>
      <x:c r="I433" s="11" t="str">
        <x:f>IF(H433="","",C433-H433)</x:f>
      </x:c>
      <x:c r="J433" s="4"/>
      <x:c r="K433" s="4" t="str">
        <x:v>URLs de detalle page/query/country por clics. No asignan las impresiones de esta consulta a cada página.</x:v>
      </x:c>
    </x:row>
    <x:row r="434" ht="28" customHeight="1">
      <x:c r="A434" s="4" t="n">
        <x:v>424</x:v>
      </x:c>
      <x:c r="B434" s="4" t="str">
        <x:v>que hacer en punta cana gratis</x:v>
      </x:c>
      <x:c r="C434" s="11" t="n">
        <x:v>3</x:v>
      </x:c>
      <x:c r="D434" s="11" t="n">
        <x:v>327</x:v>
      </x:c>
      <x:c r="E434" s="14" t="n">
        <x:v>0.009174311926605505</x:v>
      </x:c>
      <x:c r="F434" s="12" t="n">
        <x:v>6.4984709480122325</x:v>
      </x:c>
      <x:c r="G434" s="4" t="str">
        <x:v>Sin marca literal</x:v>
      </x:c>
      <x:c r="H434" s="11" t="n">
        <x:v>11</x:v>
      </x:c>
      <x:c r="I434" s="11" t="n">
        <x:f>IF(H434="","",C434-H434)</x:f>
        <x:v>-8</x:v>
      </x:c>
      <x:c r="J434" s="4" t="str">
        <x:v>https://blog.skyairline.com/cosas-gratis-en-punta-cana/ (3 clics)</x:v>
      </x:c>
      <x:c r="K434" s="4" t="str">
        <x:v>URLs de detalle page/query/country por clics. No asignan las impresiones de esta consulta a cada página.</x:v>
      </x:c>
    </x:row>
    <x:row r="435" ht="28" customHeight="1">
      <x:c r="A435" s="4" t="n">
        <x:v>425</x:v>
      </x:c>
      <x:c r="B435" s="4" t="str">
        <x:v>sky airlines check-in</x:v>
      </x:c>
      <x:c r="C435" s="11" t="n">
        <x:v>3</x:v>
      </x:c>
      <x:c r="D435" s="11" t="n">
        <x:v>323</x:v>
      </x:c>
      <x:c r="E435" s="14" t="n">
        <x:v>0.009287925696594427</x:v>
      </x:c>
      <x:c r="F435" s="12" t="n">
        <x:v>7.269349845201238</x:v>
      </x:c>
      <x:c r="G435" s="4" t="str">
        <x:v>Sin marca literal</x:v>
      </x:c>
      <x:c r="H435" s="11"/>
      <x:c r="I435" s="11" t="str">
        <x:f>IF(H435="","",C435-H435)</x:f>
      </x:c>
      <x:c r="J435" s="4"/>
      <x:c r="K435" s="4" t="str">
        <x:v>URLs de detalle page/query/country por clics. No asignan las impresiones de esta consulta a cada página.</x:v>
      </x:c>
    </x:row>
    <x:row r="436" ht="28" customHeight="1">
      <x:c r="A436" s="4" t="n">
        <x:v>426</x:v>
      </x:c>
      <x:c r="B436" s="4" t="str">
        <x:v>como hacer el check in en sky</x:v>
      </x:c>
      <x:c r="C436" s="11" t="n">
        <x:v>3</x:v>
      </x:c>
      <x:c r="D436" s="11" t="n">
        <x:v>278</x:v>
      </x:c>
      <x:c r="E436" s="14" t="n">
        <x:v>0.01079136690647482</x:v>
      </x:c>
      <x:c r="F436" s="12" t="n">
        <x:v>6.330935251798561</x:v>
      </x:c>
      <x:c r="G436" s="4" t="str">
        <x:v>Sin marca literal</x:v>
      </x:c>
      <x:c r="H436" s="11"/>
      <x:c r="I436" s="11" t="str">
        <x:f>IF(H436="","",C436-H436)</x:f>
      </x:c>
      <x:c r="J436" s="4"/>
      <x:c r="K436" s="4" t="str">
        <x:v>URLs de detalle page/query/country por clics. No asignan las impresiones de esta consulta a cada página.</x:v>
      </x:c>
    </x:row>
    <x:row r="437" ht="28" customHeight="1">
      <x:c r="A437" s="4" t="n">
        <x:v>427</x:v>
      </x:c>
      <x:c r="B437" s="4" t="str">
        <x:v>sky peru</x:v>
      </x:c>
      <x:c r="C437" s="11" t="n">
        <x:v>3</x:v>
      </x:c>
      <x:c r="D437" s="11" t="n">
        <x:v>264</x:v>
      </x:c>
      <x:c r="E437" s="14" t="n">
        <x:v>0.011363636363636364</x:v>
      </x:c>
      <x:c r="F437" s="12" t="n">
        <x:v>6.412878787878788</x:v>
      </x:c>
      <x:c r="G437" s="4" t="str">
        <x:v>Sin marca literal</x:v>
      </x:c>
      <x:c r="H437" s="11"/>
      <x:c r="I437" s="11" t="str">
        <x:f>IF(H437="","",C437-H437)</x:f>
      </x:c>
      <x:c r="J437" s="4"/>
      <x:c r="K437" s="4" t="str">
        <x:v>URLs de detalle page/query/country por clics. No asignan las impresiones de esta consulta a cada página.</x:v>
      </x:c>
    </x:row>
    <x:row r="438" ht="28" customHeight="1">
      <x:c r="A438" s="4" t="n">
        <x:v>428</x:v>
      </x:c>
      <x:c r="B438" s="4" t="str">
        <x:v>donde queda punta cana en que pais</x:v>
      </x:c>
      <x:c r="C438" s="11" t="n">
        <x:v>3</x:v>
      </x:c>
      <x:c r="D438" s="11" t="n">
        <x:v>255</x:v>
      </x:c>
      <x:c r="E438" s="14" t="n">
        <x:v>0.011764705882352941</x:v>
      </x:c>
      <x:c r="F438" s="12" t="n">
        <x:v>9.24313725490196</x:v>
      </x:c>
      <x:c r="G438" s="4" t="str">
        <x:v>Sin marca literal</x:v>
      </x:c>
      <x:c r="H438" s="11"/>
      <x:c r="I438" s="11" t="str">
        <x:f>IF(H438="","",C438-H438)</x:f>
      </x:c>
      <x:c r="J438" s="4"/>
      <x:c r="K438" s="4" t="str">
        <x:v>URLs de detalle page/query/country por clics. No asignan las impresiones de esta consulta a cada página.</x:v>
      </x:c>
    </x:row>
    <x:row r="439" ht="28" customHeight="1">
      <x:c r="A439" s="4" t="n">
        <x:v>429</x:v>
      </x:c>
      <x:c r="B439" s="4" t="str">
        <x:v>azafata</x:v>
      </x:c>
      <x:c r="C439" s="11" t="n">
        <x:v>3</x:v>
      </x:c>
      <x:c r="D439" s="11" t="n">
        <x:v>227</x:v>
      </x:c>
      <x:c r="E439" s="14" t="n">
        <x:v>0.013215859030837005</x:v>
      </x:c>
      <x:c r="F439" s="12" t="n">
        <x:v>10.784140969162996</x:v>
      </x:c>
      <x:c r="G439" s="4" t="str">
        <x:v>Sin marca literal</x:v>
      </x:c>
      <x:c r="H439" s="11"/>
      <x:c r="I439" s="11" t="str">
        <x:f>IF(H439="","",C439-H439)</x:f>
      </x:c>
      <x:c r="J439" s="4"/>
      <x:c r="K439" s="4" t="str">
        <x:v>URLs de detalle page/query/country por clics. No asignan las impresiones de esta consulta a cada página.</x:v>
      </x:c>
    </x:row>
    <x:row r="440" ht="28" customHeight="1">
      <x:c r="A440" s="4" t="n">
        <x:v>430</x:v>
      </x:c>
      <x:c r="B440" s="4" t="str">
        <x:v>cabo frio brasil</x:v>
      </x:c>
      <x:c r="C440" s="11" t="n">
        <x:v>3</x:v>
      </x:c>
      <x:c r="D440" s="11" t="n">
        <x:v>210</x:v>
      </x:c>
      <x:c r="E440" s="14" t="n">
        <x:v>0.014285714285714285</x:v>
      </x:c>
      <x:c r="F440" s="12" t="n">
        <x:v>10.719047619047618</x:v>
      </x:c>
      <x:c r="G440" s="4" t="str">
        <x:v>Sin marca literal</x:v>
      </x:c>
      <x:c r="H440" s="11"/>
      <x:c r="I440" s="11" t="str">
        <x:f>IF(H440="","",C440-H440)</x:f>
      </x:c>
      <x:c r="J440" s="4"/>
      <x:c r="K440" s="4" t="str">
        <x:v>URLs de detalle page/query/country por clics. No asignan las impresiones de esta consulta a cada página.</x:v>
      </x:c>
    </x:row>
    <x:row r="441" ht="28" customHeight="1">
      <x:c r="A441" s="4" t="n">
        <x:v>431</x:v>
      </x:c>
      <x:c r="B441" s="4" t="str">
        <x:v>aurora austral chile</x:v>
      </x:c>
      <x:c r="C441" s="11" t="n">
        <x:v>3</x:v>
      </x:c>
      <x:c r="D441" s="11" t="n">
        <x:v>205</x:v>
      </x:c>
      <x:c r="E441" s="14" t="n">
        <x:v>0.014634146341463415</x:v>
      </x:c>
      <x:c r="F441" s="12" t="n">
        <x:v>4.595121951219513</x:v>
      </x:c>
      <x:c r="G441" s="4" t="str">
        <x:v>Sin marca literal</x:v>
      </x:c>
      <x:c r="H441" s="11"/>
      <x:c r="I441" s="11" t="str">
        <x:f>IF(H441="","",C441-H441)</x:f>
      </x:c>
      <x:c r="J441" s="4"/>
      <x:c r="K441" s="4" t="str">
        <x:v>URLs de detalle page/query/country por clics. No asignan las impresiones de esta consulta a cada página.</x:v>
      </x:c>
    </x:row>
    <x:row r="442" ht="28" customHeight="1">
      <x:c r="A442" s="4" t="n">
        <x:v>432</x:v>
      </x:c>
      <x:c r="B442" s="4" t="str">
        <x:v>aviones sky</x:v>
      </x:c>
      <x:c r="C442" s="11" t="n">
        <x:v>3</x:v>
      </x:c>
      <x:c r="D442" s="11" t="n">
        <x:v>199</x:v>
      </x:c>
      <x:c r="E442" s="14" t="n">
        <x:v>0.01507537688442211</x:v>
      </x:c>
      <x:c r="F442" s="12" t="n">
        <x:v>2.919597989949749</x:v>
      </x:c>
      <x:c r="G442" s="4" t="str">
        <x:v>Sin marca literal</x:v>
      </x:c>
      <x:c r="H442" s="11"/>
      <x:c r="I442" s="11" t="str">
        <x:f>IF(H442="","",C442-H442)</x:f>
      </x:c>
      <x:c r="J442" s="4"/>
      <x:c r="K442" s="4" t="str">
        <x:v>URLs de detalle page/query/country por clics. No asignan las impresiones de esta consulta a cada página.</x:v>
      </x:c>
    </x:row>
    <x:row r="443" ht="28" customHeight="1">
      <x:c r="A443" s="4" t="n">
        <x:v>433</x:v>
      </x:c>
      <x:c r="B443" s="4" t="str">
        <x:v>cuando es invierno en chile</x:v>
      </x:c>
      <x:c r="C443" s="11" t="n">
        <x:v>3</x:v>
      </x:c>
      <x:c r="D443" s="11" t="n">
        <x:v>197</x:v>
      </x:c>
      <x:c r="E443" s="14" t="n">
        <x:v>0.015228426395939087</x:v>
      </x:c>
      <x:c r="F443" s="12" t="n">
        <x:v>9.593908629441625</x:v>
      </x:c>
      <x:c r="G443" s="4" t="str">
        <x:v>Sin marca literal</x:v>
      </x:c>
      <x:c r="H443" s="11"/>
      <x:c r="I443" s="11" t="str">
        <x:f>IF(H443="","",C443-H443)</x:f>
      </x:c>
      <x:c r="J443" s="4"/>
      <x:c r="K443" s="4" t="str">
        <x:v>URLs de detalle page/query/country por clics. No asignan las impresiones de esta consulta a cada página.</x:v>
      </x:c>
    </x:row>
    <x:row r="444" ht="28" customHeight="1">
      <x:c r="A444" s="4" t="n">
        <x:v>434</x:v>
      </x:c>
      <x:c r="B444" s="4" t="str">
        <x:v>vacunas para ir a brasil</x:v>
      </x:c>
      <x:c r="C444" s="11" t="n">
        <x:v>3</x:v>
      </x:c>
      <x:c r="D444" s="11" t="n">
        <x:v>191</x:v>
      </x:c>
      <x:c r="E444" s="14" t="n">
        <x:v>0.015706806282722512</x:v>
      </x:c>
      <x:c r="F444" s="12" t="n">
        <x:v>9.141361256544503</x:v>
      </x:c>
      <x:c r="G444" s="4" t="str">
        <x:v>Sin marca literal</x:v>
      </x:c>
      <x:c r="H444" s="11"/>
      <x:c r="I444" s="11" t="str">
        <x:f>IF(H444="","",C444-H444)</x:f>
      </x:c>
      <x:c r="J444" s="4"/>
      <x:c r="K444" s="4" t="str">
        <x:v>URLs de detalle page/query/country por clics. No asignan las impresiones de esta consulta a cada página.</x:v>
      </x:c>
    </x:row>
    <x:row r="445" ht="28" customHeight="1">
      <x:c r="A445" s="4" t="n">
        <x:v>435</x:v>
      </x:c>
      <x:c r="B445" s="4" t="str">
        <x:v>retiro espiritual chile</x:v>
      </x:c>
      <x:c r="C445" s="11" t="n">
        <x:v>3</x:v>
      </x:c>
      <x:c r="D445" s="11" t="n">
        <x:v>188</x:v>
      </x:c>
      <x:c r="E445" s="14" t="n">
        <x:v>0.015957446808510637</x:v>
      </x:c>
      <x:c r="F445" s="12" t="n">
        <x:v>7.207446808510638</x:v>
      </x:c>
      <x:c r="G445" s="4" t="str">
        <x:v>Sin marca literal</x:v>
      </x:c>
      <x:c r="H445" s="11"/>
      <x:c r="I445" s="11" t="str">
        <x:f>IF(H445="","",C445-H445)</x:f>
      </x:c>
      <x:c r="J445" s="4"/>
      <x:c r="K445" s="4" t="str">
        <x:v>URLs de detalle page/query/country por clics. No asignan las impresiones de esta consulta a cada página.</x:v>
      </x:c>
    </x:row>
    <x:row r="446" ht="28" customHeight="1">
      <x:c r="A446" s="4" t="n">
        <x:v>436</x:v>
      </x:c>
      <x:c r="B446" s="4" t="str">
        <x:v>cuántos aeropuertos hay en buenos aires</x:v>
      </x:c>
      <x:c r="C446" s="11" t="n">
        <x:v>3</x:v>
      </x:c>
      <x:c r="D446" s="11" t="n">
        <x:v>187</x:v>
      </x:c>
      <x:c r="E446" s="14" t="n">
        <x:v>0.016042780748663103</x:v>
      </x:c>
      <x:c r="F446" s="12" t="n">
        <x:v>2.7540106951871657</x:v>
      </x:c>
      <x:c r="G446" s="4" t="str">
        <x:v>Sin marca literal</x:v>
      </x:c>
      <x:c r="H446" s="11"/>
      <x:c r="I446" s="11" t="str">
        <x:f>IF(H446="","",C446-H446)</x:f>
      </x:c>
      <x:c r="J446" s="4"/>
      <x:c r="K446" s="4" t="str">
        <x:v>URLs de detalle page/query/country por clics. No asignan las impresiones de esta consulta a cada página.</x:v>
      </x:c>
    </x:row>
    <x:row r="447" ht="28" customHeight="1">
      <x:c r="A447" s="4" t="n">
        <x:v>437</x:v>
      </x:c>
      <x:c r="B447" s="4" t="str">
        <x:v>requisitos para ser azafata en chile</x:v>
      </x:c>
      <x:c r="C447" s="11" t="n">
        <x:v>3</x:v>
      </x:c>
      <x:c r="D447" s="11" t="n">
        <x:v>186</x:v>
      </x:c>
      <x:c r="E447" s="14" t="n">
        <x:v>0.016129032258064516</x:v>
      </x:c>
      <x:c r="F447" s="12" t="n">
        <x:v>7.408602150537634</x:v>
      </x:c>
      <x:c r="G447" s="4" t="str">
        <x:v>Sin marca literal</x:v>
      </x:c>
      <x:c r="H447" s="11"/>
      <x:c r="I447" s="11" t="str">
        <x:f>IF(H447="","",C447-H447)</x:f>
      </x:c>
      <x:c r="J447" s="4"/>
      <x:c r="K447" s="4" t="str">
        <x:v>URLs de detalle page/query/country por clics. No asignan las impresiones de esta consulta a cada página.</x:v>
      </x:c>
    </x:row>
    <x:row r="448" ht="28" customHeight="1">
      <x:c r="A448" s="4" t="n">
        <x:v>438</x:v>
      </x:c>
      <x:c r="B448" s="4" t="str">
        <x:v>ipanema brasil</x:v>
      </x:c>
      <x:c r="C448" s="11" t="n">
        <x:v>3</x:v>
      </x:c>
      <x:c r="D448" s="11" t="n">
        <x:v>184</x:v>
      </x:c>
      <x:c r="E448" s="14" t="n">
        <x:v>0.016304347826086956</x:v>
      </x:c>
      <x:c r="F448" s="12" t="n">
        <x:v>11.065217391304348</x:v>
      </x:c>
      <x:c r="G448" s="4" t="str">
        <x:v>Sin marca literal</x:v>
      </x:c>
      <x:c r="H448" s="11"/>
      <x:c r="I448" s="11" t="str">
        <x:f>IF(H448="","",C448-H448)</x:f>
      </x:c>
      <x:c r="J448" s="4"/>
      <x:c r="K448" s="4" t="str">
        <x:v>URLs de detalle page/query/country por clics. No asignan las impresiones de esta consulta a cada página.</x:v>
      </x:c>
    </x:row>
    <x:row r="449" ht="28" customHeight="1">
      <x:c r="A449" s="4" t="n">
        <x:v>439</x:v>
      </x:c>
      <x:c r="B449" s="4" t="str">
        <x:v>cuantos ml puedo llevar en equipaje de mano</x:v>
      </x:c>
      <x:c r="C449" s="11" t="n">
        <x:v>3</x:v>
      </x:c>
      <x:c r="D449" s="11" t="n">
        <x:v>179</x:v>
      </x:c>
      <x:c r="E449" s="14" t="n">
        <x:v>0.01675977653631285</x:v>
      </x:c>
      <x:c r="F449" s="12" t="n">
        <x:v>6.4748603351955305</x:v>
      </x:c>
      <x:c r="G449" s="4" t="str">
        <x:v>Sin marca literal</x:v>
      </x:c>
      <x:c r="H449" s="11"/>
      <x:c r="I449" s="11" t="str">
        <x:f>IF(H449="","",C449-H449)</x:f>
      </x:c>
      <x:c r="J449" s="4"/>
      <x:c r="K449" s="4" t="str">
        <x:v>URLs de detalle page/query/country por clics. No asignan las impresiones de esta consulta a cada página.</x:v>
      </x:c>
    </x:row>
    <x:row r="450" ht="28" customHeight="1">
      <x:c r="A450" s="4" t="n">
        <x:v>440</x:v>
      </x:c>
      <x:c r="B450" s="4" t="str">
        <x:v>que enchufe se usa en argentina</x:v>
      </x:c>
      <x:c r="C450" s="11" t="n">
        <x:v>3</x:v>
      </x:c>
      <x:c r="D450" s="11" t="n">
        <x:v>177</x:v>
      </x:c>
      <x:c r="E450" s="14" t="n">
        <x:v>0.01694915254237288</x:v>
      </x:c>
      <x:c r="F450" s="12" t="n">
        <x:v>7.112994350282486</x:v>
      </x:c>
      <x:c r="G450" s="4" t="str">
        <x:v>Sin marca literal</x:v>
      </x:c>
      <x:c r="H450" s="11"/>
      <x:c r="I450" s="11" t="str">
        <x:f>IF(H450="","",C450-H450)</x:f>
      </x:c>
      <x:c r="J450" s="4"/>
      <x:c r="K450" s="4" t="str">
        <x:v>URLs de detalle page/query/country por clics. No asignan las impresiones de esta consulta a cada página.</x:v>
      </x:c>
    </x:row>
    <x:row r="451" ht="28" customHeight="1">
      <x:c r="A451" s="4" t="n">
        <x:v>441</x:v>
      </x:c>
      <x:c r="B451" s="4" t="str">
        <x:v>reprogramar vuelo sky</x:v>
      </x:c>
      <x:c r="C451" s="11" t="n">
        <x:v>3</x:v>
      </x:c>
      <x:c r="D451" s="11" t="n">
        <x:v>168</x:v>
      </x:c>
      <x:c r="E451" s="14" t="n">
        <x:v>0.017857142857142856</x:v>
      </x:c>
      <x:c r="F451" s="12" t="n">
        <x:v>5.833333333333333</x:v>
      </x:c>
      <x:c r="G451" s="4" t="str">
        <x:v>Sin marca literal</x:v>
      </x:c>
      <x:c r="H451" s="11"/>
      <x:c r="I451" s="11" t="str">
        <x:f>IF(H451="","",C451-H451)</x:f>
      </x:c>
      <x:c r="J451" s="4"/>
      <x:c r="K451" s="4" t="str">
        <x:v>URLs de detalle page/query/country por clics. No asignan las impresiones de esta consulta a cada página.</x:v>
      </x:c>
    </x:row>
    <x:row r="452" ht="28" customHeight="1">
      <x:c r="A452" s="4" t="n">
        <x:v>442</x:v>
      </x:c>
      <x:c r="B452" s="4" t="str">
        <x:v>hasta cuantos ml se pueden llevar en el avion</x:v>
      </x:c>
      <x:c r="C452" s="11" t="n">
        <x:v>3</x:v>
      </x:c>
      <x:c r="D452" s="11" t="n">
        <x:v>164</x:v>
      </x:c>
      <x:c r="E452" s="14" t="n">
        <x:v>0.018292682926829267</x:v>
      </x:c>
      <x:c r="F452" s="12" t="n">
        <x:v>5.554878048780488</x:v>
      </x:c>
      <x:c r="G452" s="4" t="str">
        <x:v>Sin marca literal</x:v>
      </x:c>
      <x:c r="H452" s="11"/>
      <x:c r="I452" s="11" t="str">
        <x:f>IF(H452="","",C452-H452)</x:f>
      </x:c>
      <x:c r="J452" s="4"/>
      <x:c r="K452" s="4" t="str">
        <x:v>URLs de detalle page/query/country por clics. No asignan las impresiones de esta consulta a cada página.</x:v>
      </x:c>
    </x:row>
    <x:row r="453" ht="28" customHeight="1">
      <x:c r="A453" s="4" t="n">
        <x:v>443</x:v>
      </x:c>
      <x:c r="B453" s="4" t="str">
        <x:v>bolso de mano en sky</x:v>
      </x:c>
      <x:c r="C453" s="11" t="n">
        <x:v>3</x:v>
      </x:c>
      <x:c r="D453" s="11" t="n">
        <x:v>161</x:v>
      </x:c>
      <x:c r="E453" s="14" t="n">
        <x:v>0.018633540372670808</x:v>
      </x:c>
      <x:c r="F453" s="12" t="n">
        <x:v>5.298136645962733</x:v>
      </x:c>
      <x:c r="G453" s="4" t="str">
        <x:v>Sin marca literal</x:v>
      </x:c>
      <x:c r="H453" s="11"/>
      <x:c r="I453" s="11" t="str">
        <x:f>IF(H453="","",C453-H453)</x:f>
      </x:c>
      <x:c r="J453" s="4"/>
      <x:c r="K453" s="4" t="str">
        <x:v>URLs de detalle page/query/country por clics. No asignan las impresiones de esta consulta a cada página.</x:v>
      </x:c>
    </x:row>
    <x:row r="454" ht="28" customHeight="1">
      <x:c r="A454" s="4" t="n">
        <x:v>444</x:v>
      </x:c>
      <x:c r="B454" s="4" t="str">
        <x:v>curso de azafata chile</x:v>
      </x:c>
      <x:c r="C454" s="11" t="n">
        <x:v>3</x:v>
      </x:c>
      <x:c r="D454" s="11" t="n">
        <x:v>158</x:v>
      </x:c>
      <x:c r="E454" s="14" t="n">
        <x:v>0.0189873417721519</x:v>
      </x:c>
      <x:c r="F454" s="12" t="n">
        <x:v>8.791139240506329</x:v>
      </x:c>
      <x:c r="G454" s="4" t="str">
        <x:v>Sin marca literal</x:v>
      </x:c>
      <x:c r="H454" s="11"/>
      <x:c r="I454" s="11" t="str">
        <x:f>IF(H454="","",C454-H454)</x:f>
      </x:c>
      <x:c r="J454" s="4"/>
      <x:c r="K454" s="4" t="str">
        <x:v>URLs de detalle page/query/country por clics. No asignan las impresiones de esta consulta a cada página.</x:v>
      </x:c>
    </x:row>
    <x:row r="455" ht="28" customHeight="1">
      <x:c r="A455" s="4" t="n">
        <x:v>445</x:v>
      </x:c>
      <x:c r="B455" s="4" t="str">
        <x:v>1 bolso de mano sky</x:v>
      </x:c>
      <x:c r="C455" s="11" t="n">
        <x:v>3</x:v>
      </x:c>
      <x:c r="D455" s="11" t="n">
        <x:v>156</x:v>
      </x:c>
      <x:c r="E455" s="14" t="n">
        <x:v>0.019230769230769232</x:v>
      </x:c>
      <x:c r="F455" s="12" t="n">
        <x:v>4.128205128205128</x:v>
      </x:c>
      <x:c r="G455" s="4" t="str">
        <x:v>Sin marca literal</x:v>
      </x:c>
      <x:c r="H455" s="11"/>
      <x:c r="I455" s="11" t="str">
        <x:f>IF(H455="","",C455-H455)</x:f>
      </x:c>
      <x:c r="J455" s="4"/>
      <x:c r="K455" s="4" t="str">
        <x:v>URLs de detalle page/query/country por clics. No asignan las impresiones de esta consulta a cada página.</x:v>
      </x:c>
    </x:row>
    <x:row r="456" ht="28" customHeight="1">
      <x:c r="A456" s="4" t="n">
        <x:v>446</x:v>
      </x:c>
      <x:c r="B456" s="4" t="str">
        <x:v>mhc aeropuerto</x:v>
      </x:c>
      <x:c r="C456" s="11" t="n">
        <x:v>3</x:v>
      </x:c>
      <x:c r="D456" s="11" t="n">
        <x:v>148</x:v>
      </x:c>
      <x:c r="E456" s="14" t="n">
        <x:v>0.02027027027027027</x:v>
      </x:c>
      <x:c r="F456" s="12" t="n">
        <x:v>5.587837837837838</x:v>
      </x:c>
      <x:c r="G456" s="4" t="str">
        <x:v>Sin marca literal</x:v>
      </x:c>
      <x:c r="H456" s="11"/>
      <x:c r="I456" s="11" t="str">
        <x:f>IF(H456="","",C456-H456)</x:f>
      </x:c>
      <x:c r="J456" s="4"/>
      <x:c r="K456" s="4" t="str">
        <x:v>URLs de detalle page/query/country por clics. No asignan las impresiones de esta consulta a cada página.</x:v>
      </x:c>
    </x:row>
    <x:row r="457" ht="28" customHeight="1">
      <x:c r="A457" s="4" t="n">
        <x:v>447</x:v>
      </x:c>
      <x:c r="B457" s="4" t="str">
        <x:v>sky reprogramar vuelo</x:v>
      </x:c>
      <x:c r="C457" s="11" t="n">
        <x:v>3</x:v>
      </x:c>
      <x:c r="D457" s="11" t="n">
        <x:v>148</x:v>
      </x:c>
      <x:c r="E457" s="14" t="n">
        <x:v>0.02027027027027027</x:v>
      </x:c>
      <x:c r="F457" s="12" t="n">
        <x:v>5.628378378378378</x:v>
      </x:c>
      <x:c r="G457" s="4" t="str">
        <x:v>Sin marca literal</x:v>
      </x:c>
      <x:c r="H457" s="11"/>
      <x:c r="I457" s="11" t="str">
        <x:f>IF(H457="","",C457-H457)</x:f>
      </x:c>
      <x:c r="J457" s="4"/>
      <x:c r="K457" s="4" t="str">
        <x:v>URLs de detalle page/query/country por clics. No asignan las impresiones de esta consulta a cada página.</x:v>
      </x:c>
    </x:row>
    <x:row r="458" ht="28" customHeight="1">
      <x:c r="A458" s="4" t="n">
        <x:v>448</x:v>
      </x:c>
      <x:c r="B458" s="4" t="str">
        <x:v>que es un bolso de mano en sky</x:v>
      </x:c>
      <x:c r="C458" s="11" t="n">
        <x:v>3</x:v>
      </x:c>
      <x:c r="D458" s="11" t="n">
        <x:v>145</x:v>
      </x:c>
      <x:c r="E458" s="14" t="n">
        <x:v>0.020689655172413793</x:v>
      </x:c>
      <x:c r="F458" s="12" t="n">
        <x:v>4.751724137931035</x:v>
      </x:c>
      <x:c r="G458" s="4" t="str">
        <x:v>Sin marca literal</x:v>
      </x:c>
      <x:c r="H458" s="11"/>
      <x:c r="I458" s="11" t="str">
        <x:f>IF(H458="","",C458-H458)</x:f>
      </x:c>
      <x:c r="J458" s="4"/>
      <x:c r="K458" s="4" t="str">
        <x:v>URLs de detalle page/query/country por clics. No asignan las impresiones de esta consulta a cada página.</x:v>
      </x:c>
    </x:row>
    <x:row r="459" ht="28" customHeight="1">
      <x:c r="A459" s="4" t="n">
        <x:v>449</x:v>
      </x:c>
      <x:c r="B459" s="4" t="str">
        <x:v>como ir de punta cana a santo domingo</x:v>
      </x:c>
      <x:c r="C459" s="11" t="n">
        <x:v>3</x:v>
      </x:c>
      <x:c r="D459" s="11" t="n">
        <x:v>137</x:v>
      </x:c>
      <x:c r="E459" s="14" t="n">
        <x:v>0.021897810218978103</x:v>
      </x:c>
      <x:c r="F459" s="12" t="n">
        <x:v>6.839416058394161</x:v>
      </x:c>
      <x:c r="G459" s="4" t="str">
        <x:v>Sin marca literal</x:v>
      </x:c>
      <x:c r="H459" s="11"/>
      <x:c r="I459" s="11" t="str">
        <x:f>IF(H459="","",C459-H459)</x:f>
      </x:c>
      <x:c r="J459" s="4"/>
      <x:c r="K459" s="4" t="str">
        <x:v>URLs de detalle page/query/country por clics. No asignan las impresiones de esta consulta a cada página.</x:v>
      </x:c>
    </x:row>
    <x:row r="460" ht="28" customHeight="1">
      <x:c r="A460" s="4" t="n">
        <x:v>450</x:v>
      </x:c>
      <x:c r="B460" s="4" t="str">
        <x:v>hay que vacunarse para ir a brasil</x:v>
      </x:c>
      <x:c r="C460" s="11" t="n">
        <x:v>3</x:v>
      </x:c>
      <x:c r="D460" s="11" t="n">
        <x:v>134</x:v>
      </x:c>
      <x:c r="E460" s="14" t="n">
        <x:v>0.022388059701492536</x:v>
      </x:c>
      <x:c r="F460" s="12" t="n">
        <x:v>4.82089552238806</x:v>
      </x:c>
      <x:c r="G460" s="4" t="str">
        <x:v>Sin marca literal</x:v>
      </x:c>
      <x:c r="H460" s="11"/>
      <x:c r="I460" s="11" t="str">
        <x:f>IF(H460="","",C460-H460)</x:f>
      </x:c>
      <x:c r="J460" s="4"/>
      <x:c r="K460" s="4" t="str">
        <x:v>URLs de detalle page/query/country por clics. No asignan las impresiones de esta consulta a cada página.</x:v>
      </x:c>
    </x:row>
    <x:row r="461" ht="28" customHeight="1">
      <x:c r="A461" s="4" t="n">
        <x:v>451</x:v>
      </x:c>
      <x:c r="B461" s="4" t="str">
        <x:v>requisitos para ser azafata</x:v>
      </x:c>
      <x:c r="C461" s="11" t="n">
        <x:v>3</x:v>
      </x:c>
      <x:c r="D461" s="11" t="n">
        <x:v>132</x:v>
      </x:c>
      <x:c r="E461" s="14" t="n">
        <x:v>0.022727272727272728</x:v>
      </x:c>
      <x:c r="F461" s="12" t="n">
        <x:v>5.318181818181818</x:v>
      </x:c>
      <x:c r="G461" s="4" t="str">
        <x:v>Sin marca literal</x:v>
      </x:c>
      <x:c r="H461" s="11"/>
      <x:c r="I461" s="11" t="str">
        <x:f>IF(H461="","",C461-H461)</x:f>
      </x:c>
      <x:c r="J461" s="4"/>
      <x:c r="K461" s="4" t="str">
        <x:v>URLs de detalle page/query/country por clics. No asignan las impresiones de esta consulta a cada página.</x:v>
      </x:c>
    </x:row>
    <x:row r="462" ht="28" customHeight="1">
      <x:c r="A462" s="4" t="n">
        <x:v>452</x:v>
      </x:c>
      <x:c r="B462" s="4" t="str">
        <x:v>aeropuerto de chiloe</x:v>
      </x:c>
      <x:c r="C462" s="11" t="n">
        <x:v>3</x:v>
      </x:c>
      <x:c r="D462" s="11" t="n">
        <x:v>127</x:v>
      </x:c>
      <x:c r="E462" s="14" t="n">
        <x:v>0.023622047244094488</x:v>
      </x:c>
      <x:c r="F462" s="12" t="n">
        <x:v>3.732283464566929</x:v>
      </x:c>
      <x:c r="G462" s="4" t="str">
        <x:v>Sin marca literal</x:v>
      </x:c>
      <x:c r="H462" s="11"/>
      <x:c r="I462" s="11" t="str">
        <x:f>IF(H462="","",C462-H462)</x:f>
      </x:c>
      <x:c r="J462" s="4"/>
      <x:c r="K462" s="4" t="str">
        <x:v>URLs de detalle page/query/country por clics. No asignan las impresiones de esta consulta a cada página.</x:v>
      </x:c>
    </x:row>
    <x:row r="463" ht="28" customHeight="1">
      <x:c r="A463" s="4" t="n">
        <x:v>453</x:v>
      </x:c>
      <x:c r="B463" s="4" t="str">
        <x:v>sky aviones</x:v>
      </x:c>
      <x:c r="C463" s="11" t="n">
        <x:v>3</x:v>
      </x:c>
      <x:c r="D463" s="11" t="n">
        <x:v>124</x:v>
      </x:c>
      <x:c r="E463" s="14" t="n">
        <x:v>0.024193548387096774</x:v>
      </x:c>
      <x:c r="F463" s="12" t="n">
        <x:v>4.435483870967742</x:v>
      </x:c>
      <x:c r="G463" s="4" t="str">
        <x:v>Sin marca literal</x:v>
      </x:c>
      <x:c r="H463" s="11"/>
      <x:c r="I463" s="11" t="str">
        <x:f>IF(H463="","",C463-H463)</x:f>
      </x:c>
      <x:c r="J463" s="4"/>
      <x:c r="K463" s="4" t="str">
        <x:v>URLs de detalle page/query/country por clics. No asignan las impresiones de esta consulta a cada página.</x:v>
      </x:c>
    </x:row>
    <x:row r="464" ht="28" customHeight="1">
      <x:c r="A464" s="4" t="n">
        <x:v>454</x:v>
      </x:c>
      <x:c r="B464" s="4" t="str">
        <x:v>enchufes brasil</x:v>
      </x:c>
      <x:c r="C464" s="11" t="n">
        <x:v>3</x:v>
      </x:c>
      <x:c r="D464" s="11" t="n">
        <x:v>122</x:v>
      </x:c>
      <x:c r="E464" s="14" t="n">
        <x:v>0.02459016393442623</x:v>
      </x:c>
      <x:c r="F464" s="12" t="n">
        <x:v>6.098360655737705</x:v>
      </x:c>
      <x:c r="G464" s="4" t="str">
        <x:v>Sin marca literal</x:v>
      </x:c>
      <x:c r="H464" s="11"/>
      <x:c r="I464" s="11" t="str">
        <x:f>IF(H464="","",C464-H464)</x:f>
      </x:c>
      <x:c r="J464" s="4"/>
      <x:c r="K464" s="4" t="str">
        <x:v>URLs de detalle page/query/country por clics. No asignan las impresiones de esta consulta a cada página.</x:v>
      </x:c>
    </x:row>
    <x:row r="465" ht="28" customHeight="1">
      <x:c r="A465" s="4" t="n">
        <x:v>455</x:v>
      </x:c>
      <x:c r="B465" s="4" t="str">
        <x:v>que es sky plus</x:v>
      </x:c>
      <x:c r="C465" s="11" t="n">
        <x:v>3</x:v>
      </x:c>
      <x:c r="D465" s="11" t="n">
        <x:v>122</x:v>
      </x:c>
      <x:c r="E465" s="14" t="n">
        <x:v>0.02459016393442623</x:v>
      </x:c>
      <x:c r="F465" s="12" t="n">
        <x:v>2.221311475409836</x:v>
      </x:c>
      <x:c r="G465" s="4" t="str">
        <x:v>Sin marca literal</x:v>
      </x:c>
      <x:c r="H465" s="11"/>
      <x:c r="I465" s="11" t="str">
        <x:f>IF(H465="","",C465-H465)</x:f>
      </x:c>
      <x:c r="J465" s="4"/>
      <x:c r="K465" s="4" t="str">
        <x:v>URLs de detalle page/query/country por clics. No asignan las impresiones de esta consulta a cada página.</x:v>
      </x:c>
    </x:row>
    <x:row r="466" ht="28" customHeight="1">
      <x:c r="A466" s="4" t="n">
        <x:v>456</x:v>
      </x:c>
      <x:c r="B466" s="4" t="str">
        <x:v>como son los enchufes en brasil</x:v>
      </x:c>
      <x:c r="C466" s="11" t="n">
        <x:v>3</x:v>
      </x:c>
      <x:c r="D466" s="11" t="n">
        <x:v>119</x:v>
      </x:c>
      <x:c r="E466" s="14" t="n">
        <x:v>0.025210084033613446</x:v>
      </x:c>
      <x:c r="F466" s="12" t="n">
        <x:v>6.705882352941177</x:v>
      </x:c>
      <x:c r="G466" s="4" t="str">
        <x:v>Sin marca literal</x:v>
      </x:c>
      <x:c r="H466" s="11"/>
      <x:c r="I466" s="11" t="str">
        <x:f>IF(H466="","",C466-H466)</x:f>
      </x:c>
      <x:c r="J466" s="4"/>
      <x:c r="K466" s="4" t="str">
        <x:v>URLs de detalle page/query/country por clics. No asignan las impresiones de esta consulta a cada página.</x:v>
      </x:c>
    </x:row>
    <x:row r="467" ht="28" customHeight="1">
      <x:c r="A467" s="4" t="n">
        <x:v>457</x:v>
      </x:c>
      <x:c r="B467" s="4" t="str">
        <x:v>sky estado de vuelo</x:v>
      </x:c>
      <x:c r="C467" s="11" t="n">
        <x:v>3</x:v>
      </x:c>
      <x:c r="D467" s="11" t="n">
        <x:v>118</x:v>
      </x:c>
      <x:c r="E467" s="14" t="n">
        <x:v>0.025423728813559324</x:v>
      </x:c>
      <x:c r="F467" s="12" t="n">
        <x:v>8.118644067796609</x:v>
      </x:c>
      <x:c r="G467" s="4" t="str">
        <x:v>Sin marca literal</x:v>
      </x:c>
      <x:c r="H467" s="11"/>
      <x:c r="I467" s="11" t="str">
        <x:f>IF(H467="","",C467-H467)</x:f>
      </x:c>
      <x:c r="J467" s="4"/>
      <x:c r="K467" s="4" t="str">
        <x:v>URLs de detalle page/query/country por clics. No asignan las impresiones de esta consulta a cada página.</x:v>
      </x:c>
    </x:row>
    <x:row r="468" ht="28" customHeight="1">
      <x:c r="A468" s="4" t="n">
        <x:v>458</x:v>
      </x:c>
      <x:c r="B468" s="4" t="str">
        <x:v>aeropuerto de castro</x:v>
      </x:c>
      <x:c r="C468" s="11" t="n">
        <x:v>3</x:v>
      </x:c>
      <x:c r="D468" s="11" t="n">
        <x:v>115</x:v>
      </x:c>
      <x:c r="E468" s="14" t="n">
        <x:v>0.02608695652173913</x:v>
      </x:c>
      <x:c r="F468" s="12" t="n">
        <x:v>4.3826086956521735</x:v>
      </x:c>
      <x:c r="G468" s="4" t="str">
        <x:v>Sin marca literal</x:v>
      </x:c>
      <x:c r="H468" s="11"/>
      <x:c r="I468" s="11" t="str">
        <x:f>IF(H468="","",C468-H468)</x:f>
      </x:c>
      <x:c r="J468" s="4"/>
      <x:c r="K468" s="4" t="str">
        <x:v>URLs de detalle page/query/country por clics. No asignan las impresiones de esta consulta a cada página.</x:v>
      </x:c>
    </x:row>
    <x:row r="469" ht="28" customHeight="1">
      <x:c r="A469" s="4" t="n">
        <x:v>459</x:v>
      </x:c>
      <x:c r="B469" s="4" t="str">
        <x:v>cuál es la importancia del templo chavín de huántar</x:v>
      </x:c>
      <x:c r="C469" s="11" t="n">
        <x:v>3</x:v>
      </x:c>
      <x:c r="D469" s="11" t="n">
        <x:v>115</x:v>
      </x:c>
      <x:c r="E469" s="14" t="n">
        <x:v>0.02608695652173913</x:v>
      </x:c>
      <x:c r="F469" s="12" t="n">
        <x:v>1</x:v>
      </x:c>
      <x:c r="G469" s="4" t="str">
        <x:v>Sin marca literal</x:v>
      </x:c>
      <x:c r="H469" s="11"/>
      <x:c r="I469" s="11" t="str">
        <x:f>IF(H469="","",C469-H469)</x:f>
      </x:c>
      <x:c r="J469" s="4"/>
      <x:c r="K469" s="4" t="str">
        <x:v>URLs de detalle page/query/country por clics. No asignan las impresiones de esta consulta a cada página.</x:v>
      </x:c>
    </x:row>
    <x:row r="470" ht="28" customHeight="1">
      <x:c r="A470" s="4" t="n">
        <x:v>460</x:v>
      </x:c>
      <x:c r="B470" s="4" t="str">
        <x:v>los bebes pagan pasaje de avion</x:v>
      </x:c>
      <x:c r="C470" s="11" t="n">
        <x:v>3</x:v>
      </x:c>
      <x:c r="D470" s="11" t="n">
        <x:v>112</x:v>
      </x:c>
      <x:c r="E470" s="14" t="n">
        <x:v>0.026785714285714284</x:v>
      </x:c>
      <x:c r="F470" s="12" t="n">
        <x:v>3.1517857142857144</x:v>
      </x:c>
      <x:c r="G470" s="4" t="str">
        <x:v>Sin marca literal</x:v>
      </x:c>
      <x:c r="H470" s="11"/>
      <x:c r="I470" s="11" t="str">
        <x:f>IF(H470="","",C470-H470)</x:f>
      </x:c>
      <x:c r="J470" s="4"/>
      <x:c r="K470" s="4" t="str">
        <x:v>URLs de detalle page/query/country por clics. No asignan las impresiones de esta consulta a cada página.</x:v>
      </x:c>
    </x:row>
    <x:row r="471" ht="28" customHeight="1">
      <x:c r="A471" s="4" t="n">
        <x:v>461</x:v>
      </x:c>
      <x:c r="B471" s="4" t="str">
        <x:v>cuanto tiempo antes debo estar en el aeropuerto vuelo nacional</x:v>
      </x:c>
      <x:c r="C471" s="11" t="n">
        <x:v>3</x:v>
      </x:c>
      <x:c r="D471" s="11" t="n">
        <x:v>107</x:v>
      </x:c>
      <x:c r="E471" s="14" t="n">
        <x:v>0.028037383177570093</x:v>
      </x:c>
      <x:c r="F471" s="12" t="n">
        <x:v>7.177570093457944</x:v>
      </x:c>
      <x:c r="G471" s="4" t="str">
        <x:v>Sin marca literal</x:v>
      </x:c>
      <x:c r="H471" s="11"/>
      <x:c r="I471" s="11" t="str">
        <x:f>IF(H471="","",C471-H471)</x:f>
      </x:c>
      <x:c r="J471" s="4"/>
      <x:c r="K471" s="4" t="str">
        <x:v>URLs de detalle page/query/country por clics. No asignan las impresiones de esta consulta a cada página.</x:v>
      </x:c>
    </x:row>
    <x:row r="472" ht="28" customHeight="1">
      <x:c r="A472" s="4" t="n">
        <x:v>462</x:v>
      </x:c>
      <x:c r="B472" s="4" t="str">
        <x:v>pozos azules</x:v>
      </x:c>
      <x:c r="C472" s="11" t="n">
        <x:v>3</x:v>
      </x:c>
      <x:c r="D472" s="11" t="n">
        <x:v>105</x:v>
      </x:c>
      <x:c r="E472" s="14" t="n">
        <x:v>0.02857142857142857</x:v>
      </x:c>
      <x:c r="F472" s="12" t="n">
        <x:v>8.60952380952381</x:v>
      </x:c>
      <x:c r="G472" s="4" t="str">
        <x:v>Sin marca literal</x:v>
      </x:c>
      <x:c r="H472" s="11"/>
      <x:c r="I472" s="11" t="str">
        <x:f>IF(H472="","",C472-H472)</x:f>
      </x:c>
      <x:c r="J472" s="4"/>
      <x:c r="K472" s="4" t="str">
        <x:v>URLs de detalle page/query/country por clics. No asignan las impresiones de esta consulta a cada página.</x:v>
      </x:c>
    </x:row>
    <x:row r="473" ht="28" customHeight="1">
      <x:c r="A473" s="4" t="n">
        <x:v>463</x:v>
      </x:c>
      <x:c r="B473" s="4" t="str">
        <x:v>como ser tripulante de cabina en chile</x:v>
      </x:c>
      <x:c r="C473" s="11" t="n">
        <x:v>3</x:v>
      </x:c>
      <x:c r="D473" s="11" t="n">
        <x:v>103</x:v>
      </x:c>
      <x:c r="E473" s="14" t="n">
        <x:v>0.02912621359223301</x:v>
      </x:c>
      <x:c r="F473" s="12" t="n">
        <x:v>6.912621359223301</x:v>
      </x:c>
      <x:c r="G473" s="4" t="str">
        <x:v>Sin marca literal</x:v>
      </x:c>
      <x:c r="H473" s="11"/>
      <x:c r="I473" s="11" t="str">
        <x:f>IF(H473="","",C473-H473)</x:f>
      </x:c>
      <x:c r="J473" s="4"/>
      <x:c r="K473" s="4" t="str">
        <x:v>URLs de detalle page/query/country por clics. No asignan las impresiones de esta consulta a cada página.</x:v>
      </x:c>
    </x:row>
    <x:row r="474" ht="28" customHeight="1">
      <x:c r="A474" s="4" t="n">
        <x:v>464</x:v>
      </x:c>
      <x:c r="B474" s="4" t="str">
        <x:v>punta cana temporada baja</x:v>
      </x:c>
      <x:c r="C474" s="11" t="n">
        <x:v>3</x:v>
      </x:c>
      <x:c r="D474" s="11" t="n">
        <x:v>103</x:v>
      </x:c>
      <x:c r="E474" s="14" t="n">
        <x:v>0.02912621359223301</x:v>
      </x:c>
      <x:c r="F474" s="12" t="n">
        <x:v>4.398058252427184</x:v>
      </x:c>
      <x:c r="G474" s="4" t="str">
        <x:v>Sin marca literal</x:v>
      </x:c>
      <x:c r="H474" s="11"/>
      <x:c r="I474" s="11" t="str">
        <x:f>IF(H474="","",C474-H474)</x:f>
      </x:c>
      <x:c r="J474" s="4"/>
      <x:c r="K474" s="4" t="str">
        <x:v>URLs de detalle page/query/country por clics. No asignan las impresiones de esta consulta a cada página.</x:v>
      </x:c>
    </x:row>
    <x:row r="475" ht="28" customHeight="1">
      <x:c r="A475" s="4" t="n">
        <x:v>465</x:v>
      </x:c>
      <x:c r="B475" s="4" t="str">
        <x:v>cual es el bolso de mano en sky</x:v>
      </x:c>
      <x:c r="C475" s="11" t="n">
        <x:v>3</x:v>
      </x:c>
      <x:c r="D475" s="11" t="n">
        <x:v>101</x:v>
      </x:c>
      <x:c r="E475" s="14" t="n">
        <x:v>0.0297029702970297</x:v>
      </x:c>
      <x:c r="F475" s="12" t="n">
        <x:v>4.01980198019802</x:v>
      </x:c>
      <x:c r="G475" s="4" t="str">
        <x:v>Sin marca literal</x:v>
      </x:c>
      <x:c r="H475" s="11"/>
      <x:c r="I475" s="11" t="str">
        <x:f>IF(H475="","",C475-H475)</x:f>
      </x:c>
      <x:c r="J475" s="4"/>
      <x:c r="K475" s="4" t="str">
        <x:v>URLs de detalle page/query/country por clics. No asignan las impresiones de esta consulta a cada página.</x:v>
      </x:c>
    </x:row>
    <x:row r="476" ht="28" customHeight="1">
      <x:c r="A476" s="4" t="n">
        <x:v>466</x:v>
      </x:c>
      <x:c r="B476" s="4" t="str">
        <x:v>grupos sky airlines</x:v>
      </x:c>
      <x:c r="C476" s="11" t="n">
        <x:v>3</x:v>
      </x:c>
      <x:c r="D476" s="11" t="n">
        <x:v>99</x:v>
      </x:c>
      <x:c r="E476" s="14" t="n">
        <x:v>0.030303030303030304</x:v>
      </x:c>
      <x:c r="F476" s="12" t="n">
        <x:v>5.282828282828283</x:v>
      </x:c>
      <x:c r="G476" s="4" t="str">
        <x:v>Sin marca literal</x:v>
      </x:c>
      <x:c r="H476" s="11"/>
      <x:c r="I476" s="11" t="str">
        <x:f>IF(H476="","",C476-H476)</x:f>
      </x:c>
      <x:c r="J476" s="4"/>
      <x:c r="K476" s="4" t="str">
        <x:v>URLs de detalle page/query/country por clics. No asignan las impresiones de esta consulta a cada página.</x:v>
      </x:c>
    </x:row>
    <x:row r="477" ht="28" customHeight="1">
      <x:c r="A477" s="4" t="n">
        <x:v>467</x:v>
      </x:c>
      <x:c r="B477" s="4" t="str">
        <x:v>nacional</x:v>
      </x:c>
      <x:c r="C477" s="11" t="n">
        <x:v>3</x:v>
      </x:c>
      <x:c r="D477" s="11" t="n">
        <x:v>99</x:v>
      </x:c>
      <x:c r="E477" s="14" t="n">
        <x:v>0.030303030303030304</x:v>
      </x:c>
      <x:c r="F477" s="12" t="n">
        <x:v>3.0303030303030303</x:v>
      </x:c>
      <x:c r="G477" s="4" t="str">
        <x:v>Sin marca literal</x:v>
      </x:c>
      <x:c r="H477" s="11"/>
      <x:c r="I477" s="11" t="str">
        <x:f>IF(H477="","",C477-H477)</x:f>
      </x:c>
      <x:c r="J477" s="4"/>
      <x:c r="K477" s="4" t="str">
        <x:v>URLs de detalle page/query/country por clics. No asignan las impresiones de esta consulta a cada página.</x:v>
      </x:c>
    </x:row>
    <x:row r="478" ht="28" customHeight="1">
      <x:c r="A478" s="4" t="n">
        <x:v>468</x:v>
      </x:c>
      <x:c r="B478" s="4" t="str">
        <x:v>agregar maleta sky</x:v>
      </x:c>
      <x:c r="C478" s="11" t="n">
        <x:v>3</x:v>
      </x:c>
      <x:c r="D478" s="11" t="n">
        <x:v>98</x:v>
      </x:c>
      <x:c r="E478" s="14" t="n">
        <x:v>0.030612244897959183</x:v>
      </x:c>
      <x:c r="F478" s="12" t="n">
        <x:v>6.551020408163265</x:v>
      </x:c>
      <x:c r="G478" s="4" t="str">
        <x:v>Sin marca literal</x:v>
      </x:c>
      <x:c r="H478" s="11"/>
      <x:c r="I478" s="11" t="str">
        <x:f>IF(H478="","",C478-H478)</x:f>
      </x:c>
      <x:c r="J478" s="4"/>
      <x:c r="K478" s="4" t="str">
        <x:v>URLs de detalle page/query/country por clics. No asignan las impresiones de esta consulta a cada página.</x:v>
      </x:c>
    </x:row>
    <x:row r="479" ht="28" customHeight="1">
      <x:c r="A479" s="4" t="n">
        <x:v>469</x:v>
      </x:c>
      <x:c r="B479" s="4" t="str">
        <x:v>como llegar a machu picchu</x:v>
      </x:c>
      <x:c r="C479" s="11" t="n">
        <x:v>3</x:v>
      </x:c>
      <x:c r="D479" s="11" t="n">
        <x:v>98</x:v>
      </x:c>
      <x:c r="E479" s="14" t="n">
        <x:v>0.030612244897959183</x:v>
      </x:c>
      <x:c r="F479" s="12" t="n">
        <x:v>7.153061224489796</x:v>
      </x:c>
      <x:c r="G479" s="4" t="str">
        <x:v>Sin marca literal</x:v>
      </x:c>
      <x:c r="H479" s="11"/>
      <x:c r="I479" s="11" t="str">
        <x:f>IF(H479="","",C479-H479)</x:f>
      </x:c>
      <x:c r="J479" s="4"/>
      <x:c r="K479" s="4" t="str">
        <x:v>URLs de detalle page/query/country por clics. No asignan las impresiones de esta consulta a cada página.</x:v>
      </x:c>
    </x:row>
    <x:row r="480" ht="28" customHeight="1">
      <x:c r="A480" s="4" t="n">
        <x:v>470</x:v>
      </x:c>
      <x:c r="B480" s="4" t="str">
        <x:v>países baratos para viajar desde chile</x:v>
      </x:c>
      <x:c r="C480" s="11" t="n">
        <x:v>3</x:v>
      </x:c>
      <x:c r="D480" s="11" t="n">
        <x:v>97</x:v>
      </x:c>
      <x:c r="E480" s="14" t="n">
        <x:v>0.030927835051546393</x:v>
      </x:c>
      <x:c r="F480" s="12" t="n">
        <x:v>3.845360824742268</x:v>
      </x:c>
      <x:c r="G480" s="4" t="str">
        <x:v>Sin marca literal</x:v>
      </x:c>
      <x:c r="H480" s="11"/>
      <x:c r="I480" s="11" t="str">
        <x:f>IF(H480="","",C480-H480)</x:f>
      </x:c>
      <x:c r="J480" s="4"/>
      <x:c r="K480" s="4" t="str">
        <x:v>URLs de detalle page/query/country por clics. No asignan las impresiones de esta consulta a cada página.</x:v>
      </x:c>
    </x:row>
    <x:row r="481" ht="28" customHeight="1">
      <x:c r="A481" s="4" t="n">
        <x:v>471</x:v>
      </x:c>
      <x:c r="B481" s="4" t="str">
        <x:v>requisitos para viajar a brasil desde perú</x:v>
      </x:c>
      <x:c r="C481" s="11" t="n">
        <x:v>3</x:v>
      </x:c>
      <x:c r="D481" s="11" t="n">
        <x:v>96</x:v>
      </x:c>
      <x:c r="E481" s="14" t="n">
        <x:v>0.03125</x:v>
      </x:c>
      <x:c r="F481" s="12" t="n">
        <x:v>6.552083333333333</x:v>
      </x:c>
      <x:c r="G481" s="4" t="str">
        <x:v>Sin marca literal</x:v>
      </x:c>
      <x:c r="H481" s="11"/>
      <x:c r="I481" s="11" t="str">
        <x:f>IF(H481="","",C481-H481)</x:f>
      </x:c>
      <x:c r="J481" s="4"/>
      <x:c r="K481" s="4" t="str">
        <x:v>URLs de detalle page/query/country por clics. No asignan las impresiones de esta consulta a cada página.</x:v>
      </x:c>
    </x:row>
    <x:row r="482" ht="28" customHeight="1">
      <x:c r="A482" s="4" t="n">
        <x:v>472</x:v>
      </x:c>
      <x:c r="B482" s="4" t="str">
        <x:v>sky peru cambio de vuelo</x:v>
      </x:c>
      <x:c r="C482" s="11" t="n">
        <x:v>3</x:v>
      </x:c>
      <x:c r="D482" s="11" t="n">
        <x:v>96</x:v>
      </x:c>
      <x:c r="E482" s="14" t="n">
        <x:v>0.03125</x:v>
      </x:c>
      <x:c r="F482" s="12" t="n">
        <x:v>8.21875</x:v>
      </x:c>
      <x:c r="G482" s="4" t="str">
        <x:v>Sin marca literal</x:v>
      </x:c>
      <x:c r="H482" s="11"/>
      <x:c r="I482" s="11" t="str">
        <x:f>IF(H482="","",C482-H482)</x:f>
      </x:c>
      <x:c r="J482" s="4"/>
      <x:c r="K482" s="4" t="str">
        <x:v>URLs de detalle page/query/country por clics. No asignan las impresiones de esta consulta a cada página.</x:v>
      </x:c>
    </x:row>
    <x:row r="483" ht="28" customHeight="1">
      <x:c r="A483" s="4" t="n">
        <x:v>473</x:v>
      </x:c>
      <x:c r="B483" s="4" t="str">
        <x:v>comida tipica de lima</x:v>
      </x:c>
      <x:c r="C483" s="11" t="n">
        <x:v>3</x:v>
      </x:c>
      <x:c r="D483" s="11" t="n">
        <x:v>95</x:v>
      </x:c>
      <x:c r="E483" s="14" t="n">
        <x:v>0.031578947368421054</x:v>
      </x:c>
      <x:c r="F483" s="12" t="n">
        <x:v>2.757894736842105</x:v>
      </x:c>
      <x:c r="G483" s="4" t="str">
        <x:v>Sin marca literal</x:v>
      </x:c>
      <x:c r="H483" s="11"/>
      <x:c r="I483" s="11" t="str">
        <x:f>IF(H483="","",C483-H483)</x:f>
      </x:c>
      <x:c r="J483" s="4"/>
      <x:c r="K483" s="4" t="str">
        <x:v>URLs de detalle page/query/country por clics. No asignan las impresiones de esta consulta a cada página.</x:v>
      </x:c>
    </x:row>
    <x:row r="484" ht="28" customHeight="1">
      <x:c r="A484" s="4" t="n">
        <x:v>474</x:v>
      </x:c>
      <x:c r="B484" s="4" t="str">
        <x:v>cuantas horas son de chile a brasil</x:v>
      </x:c>
      <x:c r="C484" s="11" t="n">
        <x:v>3</x:v>
      </x:c>
      <x:c r="D484" s="11" t="n">
        <x:v>95</x:v>
      </x:c>
      <x:c r="E484" s="14" t="n">
        <x:v>0.031578947368421054</x:v>
      </x:c>
      <x:c r="F484" s="12" t="n">
        <x:v>2.4105263157894736</x:v>
      </x:c>
      <x:c r="G484" s="4" t="str">
        <x:v>Sin marca literal</x:v>
      </x:c>
      <x:c r="H484" s="11"/>
      <x:c r="I484" s="11" t="str">
        <x:f>IF(H484="","",C484-H484)</x:f>
      </x:c>
      <x:c r="J484" s="4"/>
      <x:c r="K484" s="4" t="str">
        <x:v>URLs de detalle page/query/country por clics. No asignan las impresiones de esta consulta a cada página.</x:v>
      </x:c>
    </x:row>
    <x:row r="485" ht="28" customHeight="1">
      <x:c r="A485" s="4" t="n">
        <x:v>475</x:v>
      </x:c>
      <x:c r="B485" s="4" t="str">
        <x:v>apartir de que edad pagan boleto de avion los niños</x:v>
      </x:c>
      <x:c r="C485" s="11" t="n">
        <x:v>3</x:v>
      </x:c>
      <x:c r="D485" s="11" t="n">
        <x:v>90</x:v>
      </x:c>
      <x:c r="E485" s="14" t="n">
        <x:v>0.03333333333333333</x:v>
      </x:c>
      <x:c r="F485" s="12" t="n">
        <x:v>4.4</x:v>
      </x:c>
      <x:c r="G485" s="4" t="str">
        <x:v>Sin marca literal</x:v>
      </x:c>
      <x:c r="H485" s="11"/>
      <x:c r="I485" s="11" t="str">
        <x:f>IF(H485="","",C485-H485)</x:f>
      </x:c>
      <x:c r="J485" s="4"/>
      <x:c r="K485" s="4" t="str">
        <x:v>URLs de detalle page/query/country por clics. No asignan las impresiones de esta consulta a cada página.</x:v>
      </x:c>
    </x:row>
    <x:row r="486" ht="28" customHeight="1">
      <x:c r="A486" s="4" t="n">
        <x:v>476</x:v>
      </x:c>
      <x:c r="B486" s="4" t="str">
        <x:v>modificar vuelo sky</x:v>
      </x:c>
      <x:c r="C486" s="11" t="n">
        <x:v>3</x:v>
      </x:c>
      <x:c r="D486" s="11" t="n">
        <x:v>90</x:v>
      </x:c>
      <x:c r="E486" s="14" t="n">
        <x:v>0.03333333333333333</x:v>
      </x:c>
      <x:c r="F486" s="12" t="n">
        <x:v>6.411111111111111</x:v>
      </x:c>
      <x:c r="G486" s="4" t="str">
        <x:v>Sin marca literal</x:v>
      </x:c>
      <x:c r="H486" s="11"/>
      <x:c r="I486" s="11" t="str">
        <x:f>IF(H486="","",C486-H486)</x:f>
      </x:c>
      <x:c r="J486" s="4"/>
      <x:c r="K486" s="4" t="str">
        <x:v>URLs de detalle page/query/country por clics. No asignan las impresiones de esta consulta a cada página.</x:v>
      </x:c>
    </x:row>
    <x:row r="487" ht="28" customHeight="1">
      <x:c r="A487" s="4" t="n">
        <x:v>477</x:v>
      </x:c>
      <x:c r="B487" s="4" t="str">
        <x:v>sur argentino en verano</x:v>
      </x:c>
      <x:c r="C487" s="11" t="n">
        <x:v>3</x:v>
      </x:c>
      <x:c r="D487" s="11" t="n">
        <x:v>88</x:v>
      </x:c>
      <x:c r="E487" s="14" t="n">
        <x:v>0.03409090909090909</x:v>
      </x:c>
      <x:c r="F487" s="12" t="n">
        <x:v>5.238636363636363</x:v>
      </x:c>
      <x:c r="G487" s="4" t="str">
        <x:v>Sin marca literal</x:v>
      </x:c>
      <x:c r="H487" s="11"/>
      <x:c r="I487" s="11" t="str">
        <x:f>IF(H487="","",C487-H487)</x:f>
      </x:c>
      <x:c r="J487" s="4"/>
      <x:c r="K487" s="4" t="str">
        <x:v>URLs de detalle page/query/country por clics. No asignan las impresiones de esta consulta a cada página.</x:v>
      </x:c>
    </x:row>
    <x:row r="488" ht="28" customHeight="1">
      <x:c r="A488" s="4" t="n">
        <x:v>478</x:v>
      </x:c>
      <x:c r="B488" s="4" t="str">
        <x:v>cambiar fecha de vuelo en sky</x:v>
      </x:c>
      <x:c r="C488" s="11" t="n">
        <x:v>3</x:v>
      </x:c>
      <x:c r="D488" s="11" t="n">
        <x:v>87</x:v>
      </x:c>
      <x:c r="E488" s="14" t="n">
        <x:v>0.034482758620689655</x:v>
      </x:c>
      <x:c r="F488" s="12" t="n">
        <x:v>4.32183908045977</x:v>
      </x:c>
      <x:c r="G488" s="4" t="str">
        <x:v>Sin marca literal</x:v>
      </x:c>
      <x:c r="H488" s="11"/>
      <x:c r="I488" s="11" t="str">
        <x:f>IF(H488="","",C488-H488)</x:f>
      </x:c>
      <x:c r="J488" s="4"/>
      <x:c r="K488" s="4" t="str">
        <x:v>URLs de detalle page/query/country por clics. No asignan las impresiones de esta consulta a cada página.</x:v>
      </x:c>
    </x:row>
    <x:row r="489" ht="28" customHeight="1">
      <x:c r="A489" s="4" t="n">
        <x:v>479</x:v>
      </x:c>
      <x:c r="B489" s="4" t="str">
        <x:v>como reprogramar un vuelo en sky</x:v>
      </x:c>
      <x:c r="C489" s="11" t="n">
        <x:v>3</x:v>
      </x:c>
      <x:c r="D489" s="11" t="n">
        <x:v>87</x:v>
      </x:c>
      <x:c r="E489" s="14" t="n">
        <x:v>0.034482758620689655</x:v>
      </x:c>
      <x:c r="F489" s="12" t="n">
        <x:v>4.402298850574713</x:v>
      </x:c>
      <x:c r="G489" s="4" t="str">
        <x:v>Sin marca literal</x:v>
      </x:c>
      <x:c r="H489" s="11"/>
      <x:c r="I489" s="11" t="str">
        <x:f>IF(H489="","",C489-H489)</x:f>
      </x:c>
      <x:c r="J489" s="4"/>
      <x:c r="K489" s="4" t="str">
        <x:v>URLs de detalle page/query/country por clics. No asignan las impresiones de esta consulta a cada página.</x:v>
      </x:c>
    </x:row>
    <x:row r="490" ht="28" customHeight="1">
      <x:c r="A490" s="4" t="n">
        <x:v>480</x:v>
      </x:c>
      <x:c r="B490" s="4" t="str">
        <x:v>puntos sky plus para que sirven</x:v>
      </x:c>
      <x:c r="C490" s="11" t="n">
        <x:v>3</x:v>
      </x:c>
      <x:c r="D490" s="11" t="n">
        <x:v>85</x:v>
      </x:c>
      <x:c r="E490" s="14" t="n">
        <x:v>0.03529411764705882</x:v>
      </x:c>
      <x:c r="F490" s="12" t="n">
        <x:v>4.423529411764706</x:v>
      </x:c>
      <x:c r="G490" s="4" t="str">
        <x:v>Sin marca literal</x:v>
      </x:c>
      <x:c r="H490" s="11"/>
      <x:c r="I490" s="11" t="str">
        <x:f>IF(H490="","",C490-H490)</x:f>
      </x:c>
      <x:c r="J490" s="4"/>
      <x:c r="K490" s="4" t="str">
        <x:v>URLs de detalle page/query/country por clics. No asignan las impresiones de esta consulta a cada página.</x:v>
      </x:c>
    </x:row>
    <x:row r="491" ht="28" customHeight="1">
      <x:c r="A491" s="4" t="n">
        <x:v>481</x:v>
      </x:c>
      <x:c r="B491" s="4" t="str">
        <x:v>aeropuerto mas cercano a pucon</x:v>
      </x:c>
      <x:c r="C491" s="11" t="n">
        <x:v>3</x:v>
      </x:c>
      <x:c r="D491" s="11" t="n">
        <x:v>84</x:v>
      </x:c>
      <x:c r="E491" s="14" t="n">
        <x:v>0.03571428571428571</x:v>
      </x:c>
      <x:c r="F491" s="12" t="n">
        <x:v>2.083333333333333</x:v>
      </x:c>
      <x:c r="G491" s="4" t="str">
        <x:v>Sin marca literal</x:v>
      </x:c>
      <x:c r="H491" s="11"/>
      <x:c r="I491" s="11" t="str">
        <x:f>IF(H491="","",C491-H491)</x:f>
      </x:c>
      <x:c r="J491" s="4"/>
      <x:c r="K491" s="4" t="str">
        <x:v>URLs de detalle page/query/country por clics. No asignan las impresiones de esta consulta a cada página.</x:v>
      </x:c>
    </x:row>
    <x:row r="492" ht="28" customHeight="1">
      <x:c r="A492" s="4" t="n">
        <x:v>482</x:v>
      </x:c>
      <x:c r="B492" s="4" t="str">
        <x:v>se puede llevar perfumes en el avion</x:v>
      </x:c>
      <x:c r="C492" s="11" t="n">
        <x:v>3</x:v>
      </x:c>
      <x:c r="D492" s="11" t="n">
        <x:v>84</x:v>
      </x:c>
      <x:c r="E492" s="14" t="n">
        <x:v>0.03571428571428571</x:v>
      </x:c>
      <x:c r="F492" s="12" t="n">
        <x:v>4.857142857142858</x:v>
      </x:c>
      <x:c r="G492" s="4" t="str">
        <x:v>Sin marca literal</x:v>
      </x:c>
      <x:c r="H492" s="11"/>
      <x:c r="I492" s="11" t="str">
        <x:f>IF(H492="","",C492-H492)</x:f>
      </x:c>
      <x:c r="J492" s="4"/>
      <x:c r="K492" s="4" t="str">
        <x:v>URLs de detalle page/query/country por clics. No asignan las impresiones de esta consulta a cada página.</x:v>
      </x:c>
    </x:row>
    <x:row r="493" ht="28" customHeight="1">
      <x:c r="A493" s="4" t="n">
        <x:v>483</x:v>
      </x:c>
      <x:c r="B493" s="4" t="str">
        <x:v>medidas de maleta sky airlines</x:v>
      </x:c>
      <x:c r="C493" s="11" t="n">
        <x:v>3</x:v>
      </x:c>
      <x:c r="D493" s="11" t="n">
        <x:v>82</x:v>
      </x:c>
      <x:c r="E493" s="14" t="n">
        <x:v>0.036585365853658534</x:v>
      </x:c>
      <x:c r="F493" s="12" t="n">
        <x:v>3.597560975609756</x:v>
      </x:c>
      <x:c r="G493" s="4" t="str">
        <x:v>Sin marca literal</x:v>
      </x:c>
      <x:c r="H493" s="11"/>
      <x:c r="I493" s="11" t="str">
        <x:f>IF(H493="","",C493-H493)</x:f>
      </x:c>
      <x:c r="J493" s="4"/>
      <x:c r="K493" s="4" t="str">
        <x:v>URLs de detalle page/query/country por clics. No asignan las impresiones de esta consulta a cada página.</x:v>
      </x:c>
    </x:row>
    <x:row r="494" ht="28" customHeight="1">
      <x:c r="A494" s="4" t="n">
        <x:v>484</x:v>
      </x:c>
      <x:c r="B494" s="4" t="str">
        <x:v>medidas de mochila de mano sky</x:v>
      </x:c>
      <x:c r="C494" s="11" t="n">
        <x:v>3</x:v>
      </x:c>
      <x:c r="D494" s="11" t="n">
        <x:v>81</x:v>
      </x:c>
      <x:c r="E494" s="14" t="n">
        <x:v>0.037037037037037035</x:v>
      </x:c>
      <x:c r="F494" s="12" t="n">
        <x:v>3.2839506172839505</x:v>
      </x:c>
      <x:c r="G494" s="4" t="str">
        <x:v>Sin marca literal</x:v>
      </x:c>
      <x:c r="H494" s="11"/>
      <x:c r="I494" s="11" t="str">
        <x:f>IF(H494="","",C494-H494)</x:f>
      </x:c>
      <x:c r="J494" s="4"/>
      <x:c r="K494" s="4" t="str">
        <x:v>URLs de detalle page/query/country por clics. No asignan las impresiones de esta consulta a cada página.</x:v>
      </x:c>
    </x:row>
    <x:row r="495" ht="28" customHeight="1">
      <x:c r="A495" s="4" t="n">
        <x:v>485</x:v>
      </x:c>
      <x:c r="B495" s="4" t="str">
        <x:v>como ir de montevideo a punta del este</x:v>
      </x:c>
      <x:c r="C495" s="11" t="n">
        <x:v>3</x:v>
      </x:c>
      <x:c r="D495" s="11" t="n">
        <x:v>78</x:v>
      </x:c>
      <x:c r="E495" s="14" t="n">
        <x:v>0.038461538461538464</x:v>
      </x:c>
      <x:c r="F495" s="12" t="n">
        <x:v>3.9358974358974357</x:v>
      </x:c>
      <x:c r="G495" s="4" t="str">
        <x:v>Sin marca literal</x:v>
      </x:c>
      <x:c r="H495" s="11"/>
      <x:c r="I495" s="11" t="str">
        <x:f>IF(H495="","",C495-H495)</x:f>
      </x:c>
      <x:c r="J495" s="4"/>
      <x:c r="K495" s="4" t="str">
        <x:v>URLs de detalle page/query/country por clics. No asignan las impresiones de esta consulta a cada página.</x:v>
      </x:c>
    </x:row>
    <x:row r="496" ht="28" customHeight="1">
      <x:c r="A496" s="4" t="n">
        <x:v>486</x:v>
      </x:c>
      <x:c r="B496" s="4" t="str">
        <x:v>retiros espirituales</x:v>
      </x:c>
      <x:c r="C496" s="11" t="n">
        <x:v>3</x:v>
      </x:c>
      <x:c r="D496" s="11" t="n">
        <x:v>78</x:v>
      </x:c>
      <x:c r="E496" s="14" t="n">
        <x:v>0.038461538461538464</x:v>
      </x:c>
      <x:c r="F496" s="12" t="n">
        <x:v>7.961538461538462</x:v>
      </x:c>
      <x:c r="G496" s="4" t="str">
        <x:v>Sin marca literal</x:v>
      </x:c>
      <x:c r="H496" s="11"/>
      <x:c r="I496" s="11" t="str">
        <x:f>IF(H496="","",C496-H496)</x:f>
      </x:c>
      <x:c r="J496" s="4"/>
      <x:c r="K496" s="4" t="str">
        <x:v>URLs de detalle page/query/country por clics. No asignan las impresiones de esta consulta a cada página.</x:v>
      </x:c>
    </x:row>
    <x:row r="497" ht="28" customHeight="1">
      <x:c r="A497" s="4" t="n">
        <x:v>487</x:v>
      </x:c>
      <x:c r="B497" s="4" t="str">
        <x:v>ciudades de rio de janeiro</x:v>
      </x:c>
      <x:c r="C497" s="11" t="n">
        <x:v>3</x:v>
      </x:c>
      <x:c r="D497" s="11" t="n">
        <x:v>76</x:v>
      </x:c>
      <x:c r="E497" s="14" t="n">
        <x:v>0.039473684210526314</x:v>
      </x:c>
      <x:c r="F497" s="12" t="n">
        <x:v>6.75</x:v>
      </x:c>
      <x:c r="G497" s="4" t="str">
        <x:v>Sin marca literal</x:v>
      </x:c>
      <x:c r="H497" s="11"/>
      <x:c r="I497" s="11" t="str">
        <x:f>IF(H497="","",C497-H497)</x:f>
      </x:c>
      <x:c r="J497" s="4"/>
      <x:c r="K497" s="4" t="str">
        <x:v>URLs de detalle page/query/country por clics. No asignan las impresiones de esta consulta a cada página.</x:v>
      </x:c>
    </x:row>
    <x:row r="498" ht="28" customHeight="1">
      <x:c r="A498" s="4" t="n">
        <x:v>488</x:v>
      </x:c>
      <x:c r="B498" s="4" t="str">
        <x:v>comidas tipicas de lima</x:v>
      </x:c>
      <x:c r="C498" s="11" t="n">
        <x:v>3</x:v>
      </x:c>
      <x:c r="D498" s="11" t="n">
        <x:v>75</x:v>
      </x:c>
      <x:c r="E498" s="14" t="n">
        <x:v>0.04</x:v>
      </x:c>
      <x:c r="F498" s="12" t="n">
        <x:v>1.76</x:v>
      </x:c>
      <x:c r="G498" s="4" t="str">
        <x:v>Sin marca literal</x:v>
      </x:c>
      <x:c r="H498" s="11"/>
      <x:c r="I498" s="11" t="str">
        <x:f>IF(H498="","",C498-H498)</x:f>
      </x:c>
      <x:c r="J498" s="4"/>
      <x:c r="K498" s="4" t="str">
        <x:v>URLs de detalle page/query/country por clics. No asignan las impresiones de esta consulta a cada página.</x:v>
      </x:c>
    </x:row>
    <x:row r="499" ht="28" customHeight="1">
      <x:c r="A499" s="4" t="n">
        <x:v>489</x:v>
      </x:c>
      <x:c r="B499" s="4" t="str">
        <x:v>panoramas para niños en santiago este fin de semana</x:v>
      </x:c>
      <x:c r="C499" s="11" t="n">
        <x:v>3</x:v>
      </x:c>
      <x:c r="D499" s="11" t="n">
        <x:v>75</x:v>
      </x:c>
      <x:c r="E499" s="14" t="n">
        <x:v>0.04</x:v>
      </x:c>
      <x:c r="F499" s="12" t="n">
        <x:v>6.933333333333334</x:v>
      </x:c>
      <x:c r="G499" s="4" t="str">
        <x:v>Sin marca literal</x:v>
      </x:c>
      <x:c r="H499" s="11"/>
      <x:c r="I499" s="11" t="str">
        <x:f>IF(H499="","",C499-H499)</x:f>
      </x:c>
      <x:c r="J499" s="4"/>
      <x:c r="K499" s="4" t="str">
        <x:v>URLs de detalle page/query/country por clics. No asignan las impresiones de esta consulta a cada página.</x:v>
      </x:c>
    </x:row>
    <x:row r="500" ht="28" customHeight="1">
      <x:c r="A500" s="4" t="n">
        <x:v>490</x:v>
      </x:c>
      <x:c r="B500" s="4" t="str">
        <x:v>es necesario vacunarse para ir a brasil</x:v>
      </x:c>
      <x:c r="C500" s="11" t="n">
        <x:v>3</x:v>
      </x:c>
      <x:c r="D500" s="11" t="n">
        <x:v>74</x:v>
      </x:c>
      <x:c r="E500" s="14" t="n">
        <x:v>0.04054054054054054</x:v>
      </x:c>
      <x:c r="F500" s="12" t="n">
        <x:v>5.04054054054054</x:v>
      </x:c>
      <x:c r="G500" s="4" t="str">
        <x:v>Sin marca literal</x:v>
      </x:c>
      <x:c r="H500" s="11"/>
      <x:c r="I500" s="11" t="str">
        <x:f>IF(H500="","",C500-H500)</x:f>
      </x:c>
      <x:c r="J500" s="4"/>
      <x:c r="K500" s="4" t="str">
        <x:v>URLs de detalle page/query/country por clics. No asignan las impresiones de esta consulta a cada página.</x:v>
      </x:c>
    </x:row>
    <x:row r="501" ht="28" customHeight="1">
      <x:c r="A501" s="4" t="n">
        <x:v>491</x:v>
      </x:c>
      <x:c r="B501" s="4" t="str">
        <x:v>panorama para niños en santiago</x:v>
      </x:c>
      <x:c r="C501" s="11" t="n">
        <x:v>3</x:v>
      </x:c>
      <x:c r="D501" s="11" t="n">
        <x:v>73</x:v>
      </x:c>
      <x:c r="E501" s="14" t="n">
        <x:v>0.0410958904109589</x:v>
      </x:c>
      <x:c r="F501" s="12" t="n">
        <x:v>8.26027397260274</x:v>
      </x:c>
      <x:c r="G501" s="4" t="str">
        <x:v>Sin marca literal</x:v>
      </x:c>
      <x:c r="H501" s="11"/>
      <x:c r="I501" s="11" t="str">
        <x:f>IF(H501="","",C501-H501)</x:f>
      </x:c>
      <x:c r="J501" s="4"/>
      <x:c r="K501" s="4" t="str">
        <x:v>URLs de detalle page/query/country por clics. No asignan las impresiones de esta consulta a cada página.</x:v>
      </x:c>
    </x:row>
    <x:row r="502" ht="28" customHeight="1">
      <x:c r="A502" s="4" t="n">
        <x:v>492</x:v>
      </x:c>
      <x:c r="B502" s="4" t="str">
        <x:v>a320neo sky</x:v>
      </x:c>
      <x:c r="C502" s="11" t="n">
        <x:v>3</x:v>
      </x:c>
      <x:c r="D502" s="11" t="n">
        <x:v>72</x:v>
      </x:c>
      <x:c r="E502" s="14" t="n">
        <x:v>0.041666666666666664</x:v>
      </x:c>
      <x:c r="F502" s="12" t="n">
        <x:v>11.5</x:v>
      </x:c>
      <x:c r="G502" s="4" t="str">
        <x:v>Sin marca literal</x:v>
      </x:c>
      <x:c r="H502" s="11"/>
      <x:c r="I502" s="11" t="str">
        <x:f>IF(H502="","",C502-H502)</x:f>
      </x:c>
      <x:c r="J502" s="4"/>
      <x:c r="K502" s="4" t="str">
        <x:v>URLs de detalle page/query/country por clics. No asignan las impresiones de esta consulta a cada página.</x:v>
      </x:c>
    </x:row>
    <x:row r="503" ht="28" customHeight="1">
      <x:c r="A503" s="4" t="n">
        <x:v>493</x:v>
      </x:c>
      <x:c r="B503" s="4" t="str">
        <x:v>distancia de punta cana a santo domingo en bus</x:v>
      </x:c>
      <x:c r="C503" s="11" t="n">
        <x:v>3</x:v>
      </x:c>
      <x:c r="D503" s="11" t="n">
        <x:v>72</x:v>
      </x:c>
      <x:c r="E503" s="14" t="n">
        <x:v>0.041666666666666664</x:v>
      </x:c>
      <x:c r="F503" s="12" t="n">
        <x:v>5.694444444444445</x:v>
      </x:c>
      <x:c r="G503" s="4" t="str">
        <x:v>Sin marca literal</x:v>
      </x:c>
      <x:c r="H503" s="11"/>
      <x:c r="I503" s="11" t="str">
        <x:f>IF(H503="","",C503-H503)</x:f>
      </x:c>
      <x:c r="J503" s="4"/>
      <x:c r="K503" s="4" t="str">
        <x:v>URLs de detalle page/query/country por clics. No asignan las impresiones de esta consulta a cada página.</x:v>
      </x:c>
    </x:row>
    <x:row r="504" ht="28" customHeight="1">
      <x:c r="A504" s="4" t="n">
        <x:v>494</x:v>
      </x:c>
      <x:c r="B504" s="4" t="str">
        <x:v>maleta de mano sky medidas</x:v>
      </x:c>
      <x:c r="C504" s="11" t="n">
        <x:v>3</x:v>
      </x:c>
      <x:c r="D504" s="11" t="n">
        <x:v>72</x:v>
      </x:c>
      <x:c r="E504" s="14" t="n">
        <x:v>0.041666666666666664</x:v>
      </x:c>
      <x:c r="F504" s="12" t="n">
        <x:v>3.513888888888889</x:v>
      </x:c>
      <x:c r="G504" s="4" t="str">
        <x:v>Sin marca literal</x:v>
      </x:c>
      <x:c r="H504" s="11"/>
      <x:c r="I504" s="11" t="str">
        <x:f>IF(H504="","",C504-H504)</x:f>
      </x:c>
      <x:c r="J504" s="4"/>
      <x:c r="K504" s="4" t="str">
        <x:v>URLs de detalle page/query/country por clics. No asignan las impresiones de esta consulta a cada página.</x:v>
      </x:c>
    </x:row>
    <x:row r="505" ht="28" customHeight="1">
      <x:c r="A505" s="4" t="n">
        <x:v>495</x:v>
      </x:c>
      <x:c r="B505" s="4" t="str">
        <x:v>tamaño de equipaje de mano sky</x:v>
      </x:c>
      <x:c r="C505" s="11" t="n">
        <x:v>3</x:v>
      </x:c>
      <x:c r="D505" s="11" t="n">
        <x:v>72</x:v>
      </x:c>
      <x:c r="E505" s="14" t="n">
        <x:v>0.041666666666666664</x:v>
      </x:c>
      <x:c r="F505" s="12" t="n">
        <x:v>3.8333333333333335</x:v>
      </x:c>
      <x:c r="G505" s="4" t="str">
        <x:v>Sin marca literal</x:v>
      </x:c>
      <x:c r="H505" s="11"/>
      <x:c r="I505" s="11" t="str">
        <x:f>IF(H505="","",C505-H505)</x:f>
      </x:c>
      <x:c r="J505" s="4"/>
      <x:c r="K505" s="4" t="str">
        <x:v>URLs de detalle page/query/country por clics. No asignan las impresiones de esta consulta a cada página.</x:v>
      </x:c>
    </x:row>
    <x:row r="506" ht="28" customHeight="1">
      <x:c r="A506" s="4" t="n">
        <x:v>496</x:v>
      </x:c>
      <x:c r="B506" s="4" t="str">
        <x:v>sky modificar vuelo</x:v>
      </x:c>
      <x:c r="C506" s="11" t="n">
        <x:v>3</x:v>
      </x:c>
      <x:c r="D506" s="11" t="n">
        <x:v>68</x:v>
      </x:c>
      <x:c r="E506" s="14" t="n">
        <x:v>0.04411764705882353</x:v>
      </x:c>
      <x:c r="F506" s="12" t="n">
        <x:v>5.294117647058823</x:v>
      </x:c>
      <x:c r="G506" s="4" t="str">
        <x:v>Sin marca literal</x:v>
      </x:c>
      <x:c r="H506" s="11"/>
      <x:c r="I506" s="11" t="str">
        <x:f>IF(H506="","",C506-H506)</x:f>
      </x:c>
      <x:c r="J506" s="4"/>
      <x:c r="K506" s="4" t="str">
        <x:v>URLs de detalle page/query/country por clics. No asignan las impresiones de esta consulta a cada página.</x:v>
      </x:c>
    </x:row>
    <x:row r="507" ht="28" customHeight="1">
      <x:c r="A507" s="4" t="n">
        <x:v>497</x:v>
      </x:c>
      <x:c r="B507" s="4" t="str">
        <x:v>medidas de mochila para avion sky</x:v>
      </x:c>
      <x:c r="C507" s="11" t="n">
        <x:v>3</x:v>
      </x:c>
      <x:c r="D507" s="11" t="n">
        <x:v>65</x:v>
      </x:c>
      <x:c r="E507" s="14" t="n">
        <x:v>0.046153846153846156</x:v>
      </x:c>
      <x:c r="F507" s="12" t="n">
        <x:v>4.430769230769231</x:v>
      </x:c>
      <x:c r="G507" s="4" t="str">
        <x:v>Sin marca literal</x:v>
      </x:c>
      <x:c r="H507" s="11"/>
      <x:c r="I507" s="11" t="str">
        <x:f>IF(H507="","",C507-H507)</x:f>
      </x:c>
      <x:c r="J507" s="4"/>
      <x:c r="K507" s="4" t="str">
        <x:v>URLs de detalle page/query/country por clics. No asignan las impresiones de esta consulta a cada página.</x:v>
      </x:c>
    </x:row>
    <x:row r="508" ht="28" customHeight="1">
      <x:c r="A508" s="4" t="n">
        <x:v>498</x:v>
      </x:c>
      <x:c r="B508" s="4" t="str">
        <x:v>aeropuerto de pucon</x:v>
      </x:c>
      <x:c r="C508" s="11" t="n">
        <x:v>3</x:v>
      </x:c>
      <x:c r="D508" s="11" t="n">
        <x:v>64</x:v>
      </x:c>
      <x:c r="E508" s="14" t="n">
        <x:v>0.046875</x:v>
      </x:c>
      <x:c r="F508" s="12" t="n">
        <x:v>3.578125</x:v>
      </x:c>
      <x:c r="G508" s="4" t="str">
        <x:v>Sin marca literal</x:v>
      </x:c>
      <x:c r="H508" s="11"/>
      <x:c r="I508" s="11" t="str">
        <x:f>IF(H508="","",C508-H508)</x:f>
      </x:c>
      <x:c r="J508" s="4"/>
      <x:c r="K508" s="4" t="str">
        <x:v>URLs de detalle page/query/country por clics. No asignan las impresiones de esta consulta a cada página.</x:v>
      </x:c>
    </x:row>
    <x:row r="509" ht="28" customHeight="1">
      <x:c r="A509" s="4" t="n">
        <x:v>499</x:v>
      </x:c>
      <x:c r="B509" s="4" t="str">
        <x:v>destinos economicos para viajar desde chile</x:v>
      </x:c>
      <x:c r="C509" s="11" t="n">
        <x:v>3</x:v>
      </x:c>
      <x:c r="D509" s="11" t="n">
        <x:v>63</x:v>
      </x:c>
      <x:c r="E509" s="14" t="n">
        <x:v>0.047619047619047616</x:v>
      </x:c>
      <x:c r="F509" s="12" t="n">
        <x:v>6.396825396825397</x:v>
      </x:c>
      <x:c r="G509" s="4" t="str">
        <x:v>Sin marca literal</x:v>
      </x:c>
      <x:c r="H509" s="11"/>
      <x:c r="I509" s="11" t="str">
        <x:f>IF(H509="","",C509-H509)</x:f>
      </x:c>
      <x:c r="J509" s="4"/>
      <x:c r="K509" s="4" t="str">
        <x:v>URLs de detalle page/query/country por clics. No asignan las impresiones de esta consulta a cada página.</x:v>
      </x:c>
    </x:row>
    <x:row r="510" ht="28" customHeight="1">
      <x:c r="A510" s="4" t="n">
        <x:v>500</x:v>
      </x:c>
      <x:c r="B510" s="4" t="str">
        <x:v>requisitos para entrar a argentina desde chile</x:v>
      </x:c>
      <x:c r="C510" s="11" t="n">
        <x:v>3</x:v>
      </x:c>
      <x:c r="D510" s="11" t="n">
        <x:v>62</x:v>
      </x:c>
      <x:c r="E510" s="14" t="n">
        <x:v>0.04838709677419355</x:v>
      </x:c>
      <x:c r="F510" s="12" t="n">
        <x:v>5.870967741935484</x:v>
      </x:c>
      <x:c r="G510" s="4" t="str">
        <x:v>Sin marca literal</x:v>
      </x:c>
      <x:c r="H510" s="11"/>
      <x:c r="I510" s="11" t="str">
        <x:f>IF(H510="","",C510-H510)</x:f>
      </x:c>
      <x:c r="J510" s="4"/>
      <x:c r="K510" s="4" t="str">
        <x:v>URLs de detalle page/query/country por clics. No asignan las impresiones de esta consulta a cada página.</x:v>
      </x:c>
    </x:row>
    <x:row r="511" ht="28" customHeight="1">
      <x:c r="A511" s="4" t="n">
        <x:v>501</x:v>
      </x:c>
      <x:c r="B511" s="4" t="str">
        <x:v>como llegar a punta sal desde lima</x:v>
      </x:c>
      <x:c r="C511" s="11" t="n">
        <x:v>3</x:v>
      </x:c>
      <x:c r="D511" s="11" t="n">
        <x:v>60</x:v>
      </x:c>
      <x:c r="E511" s="14" t="n">
        <x:v>0.05</x:v>
      </x:c>
      <x:c r="F511" s="12" t="n">
        <x:v>4.25</x:v>
      </x:c>
      <x:c r="G511" s="4" t="str">
        <x:v>Sin marca literal</x:v>
      </x:c>
      <x:c r="H511" s="11"/>
      <x:c r="I511" s="11" t="str">
        <x:f>IF(H511="","",C511-H511)</x:f>
      </x:c>
      <x:c r="J511" s="4"/>
      <x:c r="K511" s="4" t="str">
        <x:v>URLs de detalle page/query/country por clics. No asignan las impresiones de esta consulta a cada página.</x:v>
      </x:c>
    </x:row>
    <x:row r="512" ht="28" customHeight="1">
      <x:c r="A512" s="4" t="n">
        <x:v>502</x:v>
      </x:c>
      <x:c r="B512" s="4" t="str">
        <x:v>tipo de enchufe en brasil vs chile</x:v>
      </x:c>
      <x:c r="C512" s="11" t="n">
        <x:v>3</x:v>
      </x:c>
      <x:c r="D512" s="11" t="n">
        <x:v>60</x:v>
      </x:c>
      <x:c r="E512" s="14" t="n">
        <x:v>0.05</x:v>
      </x:c>
      <x:c r="F512" s="12" t="n">
        <x:v>3.433333333333333</x:v>
      </x:c>
      <x:c r="G512" s="4" t="str">
        <x:v>Sin marca literal</x:v>
      </x:c>
      <x:c r="H512" s="11"/>
      <x:c r="I512" s="11" t="str">
        <x:f>IF(H512="","",C512-H512)</x:f>
      </x:c>
      <x:c r="J512" s="4"/>
      <x:c r="K512" s="4" t="str">
        <x:v>URLs de detalle page/query/country por clics. No asignan las impresiones de esta consulta a cada página.</x:v>
      </x:c>
    </x:row>
    <x:row r="513" ht="28" customHeight="1">
      <x:c r="A513" s="4" t="n">
        <x:v>503</x:v>
      </x:c>
      <x:c r="B513" s="4" t="str">
        <x:v>cuando bajan los pasajes de avion</x:v>
      </x:c>
      <x:c r="C513" s="11" t="n">
        <x:v>3</x:v>
      </x:c>
      <x:c r="D513" s="11" t="n">
        <x:v>59</x:v>
      </x:c>
      <x:c r="E513" s="14" t="n">
        <x:v>0.05084745762711865</x:v>
      </x:c>
      <x:c r="F513" s="12" t="n">
        <x:v>3.016949152542373</x:v>
      </x:c>
      <x:c r="G513" s="4" t="str">
        <x:v>Sin marca literal</x:v>
      </x:c>
      <x:c r="H513" s="11"/>
      <x:c r="I513" s="11" t="str">
        <x:f>IF(H513="","",C513-H513)</x:f>
      </x:c>
      <x:c r="J513" s="4"/>
      <x:c r="K513" s="4" t="str">
        <x:v>URLs de detalle page/query/country por clics. No asignan las impresiones de esta consulta a cada página.</x:v>
      </x:c>
    </x:row>
    <x:row r="514" ht="28" customHeight="1">
      <x:c r="A514" s="4" t="n">
        <x:v>504</x:v>
      </x:c>
      <x:c r="B514" s="4" t="str">
        <x:v>medidas maleta de cabina sky chile</x:v>
      </x:c>
      <x:c r="C514" s="11" t="n">
        <x:v>3</x:v>
      </x:c>
      <x:c r="D514" s="11" t="n">
        <x:v>55</x:v>
      </x:c>
      <x:c r="E514" s="14" t="n">
        <x:v>0.05454545454545454</x:v>
      </x:c>
      <x:c r="F514" s="12" t="n">
        <x:v>4.254545454545454</x:v>
      </x:c>
      <x:c r="G514" s="4" t="str">
        <x:v>Sin marca literal</x:v>
      </x:c>
      <x:c r="H514" s="11"/>
      <x:c r="I514" s="11" t="str">
        <x:f>IF(H514="","",C514-H514)</x:f>
      </x:c>
      <x:c r="J514" s="4"/>
      <x:c r="K514" s="4" t="str">
        <x:v>URLs de detalle page/query/country por clics. No asignan las impresiones de esta consulta a cada página.</x:v>
      </x:c>
    </x:row>
    <x:row r="515" ht="28" customHeight="1">
      <x:c r="A515" s="4" t="n">
        <x:v>505</x:v>
      </x:c>
      <x:c r="B515" s="4" t="str">
        <x:v>sky airline cambiar vuelo</x:v>
      </x:c>
      <x:c r="C515" s="11" t="n">
        <x:v>3</x:v>
      </x:c>
      <x:c r="D515" s="11" t="n">
        <x:v>55</x:v>
      </x:c>
      <x:c r="E515" s="14" t="n">
        <x:v>0.05454545454545454</x:v>
      </x:c>
      <x:c r="F515" s="12" t="n">
        <x:v>6.072727272727272</x:v>
      </x:c>
      <x:c r="G515" s="4" t="str">
        <x:v>Sin marca literal</x:v>
      </x:c>
      <x:c r="H515" s="11"/>
      <x:c r="I515" s="11" t="str">
        <x:f>IF(H515="","",C515-H515)</x:f>
      </x:c>
      <x:c r="J515" s="4"/>
      <x:c r="K515" s="4" t="str">
        <x:v>URLs de detalle page/query/country por clics. No asignan las impresiones de esta consulta a cada página.</x:v>
      </x:c>
    </x:row>
    <x:row r="516" ht="28" customHeight="1">
      <x:c r="A516" s="4" t="n">
        <x:v>506</x:v>
      </x:c>
      <x:c r="B516" s="4" t="str">
        <x:v>comprar maleta en sky</x:v>
      </x:c>
      <x:c r="C516" s="11" t="n">
        <x:v>3</x:v>
      </x:c>
      <x:c r="D516" s="11" t="n">
        <x:v>54</x:v>
      </x:c>
      <x:c r="E516" s="14" t="n">
        <x:v>0.05555555555555555</x:v>
      </x:c>
      <x:c r="F516" s="12" t="n">
        <x:v>2.9814814814814814</x:v>
      </x:c>
      <x:c r="G516" s="4" t="str">
        <x:v>Sin marca literal</x:v>
      </x:c>
      <x:c r="H516" s="11"/>
      <x:c r="I516" s="11" t="str">
        <x:f>IF(H516="","",C516-H516)</x:f>
      </x:c>
      <x:c r="J516" s="4"/>
      <x:c r="K516" s="4" t="str">
        <x:v>URLs de detalle page/query/country por clics. No asignan las impresiones de esta consulta a cada página.</x:v>
      </x:c>
    </x:row>
    <x:row r="517" ht="28" customHeight="1">
      <x:c r="A517" s="4" t="n">
        <x:v>507</x:v>
      </x:c>
      <x:c r="B517" s="4" t="str">
        <x:v>lugares en el sur de argentina</x:v>
      </x:c>
      <x:c r="C517" s="11" t="n">
        <x:v>3</x:v>
      </x:c>
      <x:c r="D517" s="11" t="n">
        <x:v>54</x:v>
      </x:c>
      <x:c r="E517" s="14" t="n">
        <x:v>0.05555555555555555</x:v>
      </x:c>
      <x:c r="F517" s="12" t="n">
        <x:v>3.3703703703703702</x:v>
      </x:c>
      <x:c r="G517" s="4" t="str">
        <x:v>Sin marca literal</x:v>
      </x:c>
      <x:c r="H517" s="11"/>
      <x:c r="I517" s="11" t="str">
        <x:f>IF(H517="","",C517-H517)</x:f>
      </x:c>
      <x:c r="J517" s="4"/>
      <x:c r="K517" s="4" t="str">
        <x:v>URLs de detalle page/query/country por clics. No asignan las impresiones de esta consulta a cada página.</x:v>
      </x:c>
    </x:row>
    <x:row r="518" ht="28" customHeight="1">
      <x:c r="A518" s="4" t="n">
        <x:v>508</x:v>
      </x:c>
      <x:c r="B518" s="4" t="str">
        <x:v>tripulante de cabina carrera</x:v>
      </x:c>
      <x:c r="C518" s="11" t="n">
        <x:v>3</x:v>
      </x:c>
      <x:c r="D518" s="11" t="n">
        <x:v>54</x:v>
      </x:c>
      <x:c r="E518" s="14" t="n">
        <x:v>0.05555555555555555</x:v>
      </x:c>
      <x:c r="F518" s="12" t="n">
        <x:v>12.185185185185185</x:v>
      </x:c>
      <x:c r="G518" s="4" t="str">
        <x:v>Sin marca literal</x:v>
      </x:c>
      <x:c r="H518" s="11"/>
      <x:c r="I518" s="11" t="str">
        <x:f>IF(H518="","",C518-H518)</x:f>
      </x:c>
      <x:c r="J518" s="4"/>
      <x:c r="K518" s="4" t="str">
        <x:v>URLs de detalle page/query/country por clics. No asignan las impresiones de esta consulta a cada página.</x:v>
      </x:c>
    </x:row>
    <x:row r="519" ht="28" customHeight="1">
      <x:c r="A519" s="4" t="n">
        <x:v>509</x:v>
      </x:c>
      <x:c r="B519" s="4" t="str">
        <x:v>aerodromo pucon</x:v>
      </x:c>
      <x:c r="C519" s="11" t="n">
        <x:v>3</x:v>
      </x:c>
      <x:c r="D519" s="11" t="n">
        <x:v>53</x:v>
      </x:c>
      <x:c r="E519" s="14" t="n">
        <x:v>0.05660377358490566</x:v>
      </x:c>
      <x:c r="F519" s="12" t="n">
        <x:v>7.377358490566038</x:v>
      </x:c>
      <x:c r="G519" s="4" t="str">
        <x:v>Sin marca literal</x:v>
      </x:c>
      <x:c r="H519" s="11"/>
      <x:c r="I519" s="11" t="str">
        <x:f>IF(H519="","",C519-H519)</x:f>
      </x:c>
      <x:c r="J519" s="4"/>
      <x:c r="K519" s="4" t="str">
        <x:v>URLs de detalle page/query/country por clics. No asignan las impresiones de esta consulta a cada página.</x:v>
      </x:c>
    </x:row>
    <x:row r="520" ht="28" customHeight="1">
      <x:c r="A520" s="4" t="n">
        <x:v>510</x:v>
      </x:c>
      <x:c r="B520" s="4" t="str">
        <x:v>mochila de viaje sky medidas</x:v>
      </x:c>
      <x:c r="C520" s="11" t="n">
        <x:v>3</x:v>
      </x:c>
      <x:c r="D520" s="11" t="n">
        <x:v>53</x:v>
      </x:c>
      <x:c r="E520" s="14" t="n">
        <x:v>0.05660377358490566</x:v>
      </x:c>
      <x:c r="F520" s="12" t="n">
        <x:v>3.207547169811321</x:v>
      </x:c>
      <x:c r="G520" s="4" t="str">
        <x:v>Sin marca literal</x:v>
      </x:c>
      <x:c r="H520" s="11"/>
      <x:c r="I520" s="11" t="str">
        <x:f>IF(H520="","",C520-H520)</x:f>
      </x:c>
      <x:c r="J520" s="4"/>
      <x:c r="K520" s="4" t="str">
        <x:v>URLs de detalle page/query/country por clics. No asignan las impresiones de esta consulta a cada página.</x:v>
      </x:c>
    </x:row>
    <x:row r="521" ht="28" customHeight="1">
      <x:c r="A521" s="4" t="n">
        <x:v>511</x:v>
      </x:c>
      <x:c r="B521" s="4" t="str">
        <x:v>en sky?</x:v>
      </x:c>
      <x:c r="C521" s="11" t="n">
        <x:v>3</x:v>
      </x:c>
      <x:c r="D521" s="11" t="n">
        <x:v>52</x:v>
      </x:c>
      <x:c r="E521" s="14" t="n">
        <x:v>0.057692307692307696</x:v>
      </x:c>
      <x:c r="F521" s="12" t="n">
        <x:v>2.7884615384615383</x:v>
      </x:c>
      <x:c r="G521" s="4" t="str">
        <x:v>Sin marca literal</x:v>
      </x:c>
      <x:c r="H521" s="11"/>
      <x:c r="I521" s="11" t="str">
        <x:f>IF(H521="","",C521-H521)</x:f>
      </x:c>
      <x:c r="J521" s="4"/>
      <x:c r="K521" s="4" t="str">
        <x:v>URLs de detalle page/query/country por clics. No asignan las impresiones de esta consulta a cada página.</x:v>
      </x:c>
    </x:row>
    <x:row r="522" ht="28" customHeight="1">
      <x:c r="A522" s="4" t="n">
        <x:v>512</x:v>
      </x:c>
      <x:c r="B522" s="4" t="str">
        <x:v>que hacer en balmaceda</x:v>
      </x:c>
      <x:c r="C522" s="11" t="n">
        <x:v>3</x:v>
      </x:c>
      <x:c r="D522" s="11" t="n">
        <x:v>52</x:v>
      </x:c>
      <x:c r="E522" s="14" t="n">
        <x:v>0.057692307692307696</x:v>
      </x:c>
      <x:c r="F522" s="12" t="n">
        <x:v>6.653846153846154</x:v>
      </x:c>
      <x:c r="G522" s="4" t="str">
        <x:v>Sin marca literal</x:v>
      </x:c>
      <x:c r="H522" s="11"/>
      <x:c r="I522" s="11" t="str">
        <x:f>IF(H522="","",C522-H522)</x:f>
      </x:c>
      <x:c r="J522" s="4"/>
      <x:c r="K522" s="4" t="str">
        <x:v>URLs de detalle page/query/country por clics. No asignan las impresiones de esta consulta a cada página.</x:v>
      </x:c>
    </x:row>
    <x:row r="523" ht="28" customHeight="1">
      <x:c r="A523" s="4" t="n">
        <x:v>513</x:v>
      </x:c>
      <x:c r="B523" s="4" t="str">
        <x:v>sky cambio de pasaje</x:v>
      </x:c>
      <x:c r="C523" s="11" t="n">
        <x:v>3</x:v>
      </x:c>
      <x:c r="D523" s="11" t="n">
        <x:v>51</x:v>
      </x:c>
      <x:c r="E523" s="14" t="n">
        <x:v>0.058823529411764705</x:v>
      </x:c>
      <x:c r="F523" s="12" t="n">
        <x:v>5.098039215686274</x:v>
      </x:c>
      <x:c r="G523" s="4" t="str">
        <x:v>Sin marca literal</x:v>
      </x:c>
      <x:c r="H523" s="11"/>
      <x:c r="I523" s="11" t="str">
        <x:f>IF(H523="","",C523-H523)</x:f>
      </x:c>
      <x:c r="J523" s="4"/>
      <x:c r="K523" s="4" t="str">
        <x:v>URLs de detalle page/query/country por clics. No asignan las impresiones de esta consulta a cada página.</x:v>
      </x:c>
    </x:row>
    <x:row r="524" ht="28" customHeight="1">
      <x:c r="A524" s="4" t="n">
        <x:v>514</x:v>
      </x:c>
      <x:c r="B524" s="4" t="str">
        <x:v>sky que se puede llevar en equipaje de mano</x:v>
      </x:c>
      <x:c r="C524" s="11" t="n">
        <x:v>3</x:v>
      </x:c>
      <x:c r="D524" s="11" t="n">
        <x:v>51</x:v>
      </x:c>
      <x:c r="E524" s="14" t="n">
        <x:v>0.058823529411764705</x:v>
      </x:c>
      <x:c r="F524" s="12" t="n">
        <x:v>4.9411764705882355</x:v>
      </x:c>
      <x:c r="G524" s="4" t="str">
        <x:v>Sin marca literal</x:v>
      </x:c>
      <x:c r="H524" s="11"/>
      <x:c r="I524" s="11" t="str">
        <x:f>IF(H524="","",C524-H524)</x:f>
      </x:c>
      <x:c r="J524" s="4"/>
      <x:c r="K524" s="4" t="str">
        <x:v>URLs de detalle page/query/country por clics. No asignan las impresiones de esta consulta a cada página.</x:v>
      </x:c>
    </x:row>
    <x:row r="525" ht="28" customHeight="1">
      <x:c r="A525" s="4" t="n">
        <x:v>515</x:v>
      </x:c>
      <x:c r="B525" s="4" t="str">
        <x:v>puedo cambiar mi vuelo en sky</x:v>
      </x:c>
      <x:c r="C525" s="11" t="n">
        <x:v>3</x:v>
      </x:c>
      <x:c r="D525" s="11" t="n">
        <x:v>49</x:v>
      </x:c>
      <x:c r="E525" s="14" t="n">
        <x:v>0.061224489795918366</x:v>
      </x:c>
      <x:c r="F525" s="12" t="n">
        <x:v>4.448979591836735</x:v>
      </x:c>
      <x:c r="G525" s="4" t="str">
        <x:v>Sin marca literal</x:v>
      </x:c>
      <x:c r="H525" s="11"/>
      <x:c r="I525" s="11" t="str">
        <x:f>IF(H525="","",C525-H525)</x:f>
      </x:c>
      <x:c r="J525" s="4"/>
      <x:c r="K525" s="4" t="str">
        <x:v>URLs de detalle page/query/country por clics. No asignan las impresiones de esta consulta a cada página.</x:v>
      </x:c>
    </x:row>
    <x:row r="526" ht="28" customHeight="1">
      <x:c r="A526" s="4" t="n">
        <x:v>516</x:v>
      </x:c>
      <x:c r="B526" s="4" t="str">
        <x:v>hay aeropuerto en pucon</x:v>
      </x:c>
      <x:c r="C526" s="11" t="n">
        <x:v>3</x:v>
      </x:c>
      <x:c r="D526" s="11" t="n">
        <x:v>46</x:v>
      </x:c>
      <x:c r="E526" s="14" t="n">
        <x:v>0.06521739130434782</x:v>
      </x:c>
      <x:c r="F526" s="12" t="n">
        <x:v>1.9782608695652173</x:v>
      </x:c>
      <x:c r="G526" s="4" t="str">
        <x:v>Sin marca literal</x:v>
      </x:c>
      <x:c r="H526" s="11"/>
      <x:c r="I526" s="11" t="str">
        <x:f>IF(H526="","",C526-H526)</x:f>
      </x:c>
      <x:c r="J526" s="4"/>
      <x:c r="K526" s="4" t="str">
        <x:v>URLs de detalle page/query/country por clics. No asignan las impresiones de esta consulta a cada página.</x:v>
      </x:c>
    </x:row>
    <x:row r="527" ht="28" customHeight="1">
      <x:c r="A527" s="4" t="n">
        <x:v>517</x:v>
      </x:c>
      <x:c r="B527" s="4" t="str">
        <x:v>a320 neo sky</x:v>
      </x:c>
      <x:c r="C527" s="11" t="n">
        <x:v>3</x:v>
      </x:c>
      <x:c r="D527" s="11" t="n">
        <x:v>45</x:v>
      </x:c>
      <x:c r="E527" s="14" t="n">
        <x:v>0.06666666666666667</x:v>
      </x:c>
      <x:c r="F527" s="12" t="n">
        <x:v>3.111111111111111</x:v>
      </x:c>
      <x:c r="G527" s="4" t="str">
        <x:v>Sin marca literal</x:v>
      </x:c>
      <x:c r="H527" s="11"/>
      <x:c r="I527" s="11" t="str">
        <x:f>IF(H527="","",C527-H527)</x:f>
      </x:c>
      <x:c r="J527" s="4"/>
      <x:c r="K527" s="4" t="str">
        <x:v>URLs de detalle page/query/country por clics. No asignan las impresiones de esta consulta a cada página.</x:v>
      </x:c>
    </x:row>
    <x:row r="528" ht="28" customHeight="1">
      <x:c r="A528" s="4" t="n">
        <x:v>518</x:v>
      </x:c>
      <x:c r="B528" s="4" t="str">
        <x:v>comidas limeñas</x:v>
      </x:c>
      <x:c r="C528" s="11" t="n">
        <x:v>3</x:v>
      </x:c>
      <x:c r="D528" s="11" t="n">
        <x:v>45</x:v>
      </x:c>
      <x:c r="E528" s="14" t="n">
        <x:v>0.06666666666666667</x:v>
      </x:c>
      <x:c r="F528" s="12" t="n">
        <x:v>2.177777777777778</x:v>
      </x:c>
      <x:c r="G528" s="4" t="str">
        <x:v>Sin marca literal</x:v>
      </x:c>
      <x:c r="H528" s="11"/>
      <x:c r="I528" s="11" t="str">
        <x:f>IF(H528="","",C528-H528)</x:f>
      </x:c>
      <x:c r="J528" s="4"/>
      <x:c r="K528" s="4" t="str">
        <x:v>URLs de detalle page/query/country por clics. No asignan las impresiones de esta consulta a cada página.</x:v>
      </x:c>
    </x:row>
    <x:row r="529" ht="28" customHeight="1">
      <x:c r="A529" s="4" t="n">
        <x:v>519</x:v>
      </x:c>
      <x:c r="B529" s="4" t="str">
        <x:v>puedo llevar perfumes en equipaje de mano</x:v>
      </x:c>
      <x:c r="C529" s="11" t="n">
        <x:v>3</x:v>
      </x:c>
      <x:c r="D529" s="11" t="n">
        <x:v>45</x:v>
      </x:c>
      <x:c r="E529" s="14" t="n">
        <x:v>0.06666666666666667</x:v>
      </x:c>
      <x:c r="F529" s="12" t="n">
        <x:v>3.2222222222222223</x:v>
      </x:c>
      <x:c r="G529" s="4" t="str">
        <x:v>Sin marca literal</x:v>
      </x:c>
      <x:c r="H529" s="11"/>
      <x:c r="I529" s="11" t="str">
        <x:f>IF(H529="","",C529-H529)</x:f>
      </x:c>
      <x:c r="J529" s="4"/>
      <x:c r="K529" s="4" t="str">
        <x:v>URLs de detalle page/query/country por clics. No asignan las impresiones de esta consulta a cada página.</x:v>
      </x:c>
    </x:row>
    <x:row r="530" ht="28" customHeight="1">
      <x:c r="A530" s="4" t="n">
        <x:v>520</x:v>
      </x:c>
      <x:c r="B530" s="4" t="str">
        <x:v>equipaje en cabina</x:v>
      </x:c>
      <x:c r="C530" s="11" t="n">
        <x:v>3</x:v>
      </x:c>
      <x:c r="D530" s="11" t="n">
        <x:v>43</x:v>
      </x:c>
      <x:c r="E530" s="14" t="n">
        <x:v>0.06976744186046512</x:v>
      </x:c>
      <x:c r="F530" s="12" t="n">
        <x:v>4.162790697674419</x:v>
      </x:c>
      <x:c r="G530" s="4" t="str">
        <x:v>Sin marca literal</x:v>
      </x:c>
      <x:c r="H530" s="11"/>
      <x:c r="I530" s="11" t="str">
        <x:f>IF(H530="","",C530-H530)</x:f>
      </x:c>
      <x:c r="J530" s="4"/>
      <x:c r="K530" s="4" t="str">
        <x:v>URLs de detalle page/query/country por clics. No asignan las impresiones de esta consulta a cada página.</x:v>
      </x:c>
    </x:row>
    <x:row r="531" ht="28" customHeight="1">
      <x:c r="A531" s="4" t="n">
        <x:v>521</x:v>
      </x:c>
      <x:c r="B531" s="4" t="str">
        <x:v>escapadas romanticas de fin de semana</x:v>
      </x:c>
      <x:c r="C531" s="11" t="n">
        <x:v>3</x:v>
      </x:c>
      <x:c r="D531" s="11" t="n">
        <x:v>43</x:v>
      </x:c>
      <x:c r="E531" s="14" t="n">
        <x:v>0.06976744186046512</x:v>
      </x:c>
      <x:c r="F531" s="12" t="n">
        <x:v>8.697674418604652</x:v>
      </x:c>
      <x:c r="G531" s="4" t="str">
        <x:v>Sin marca literal</x:v>
      </x:c>
      <x:c r="H531" s="11"/>
      <x:c r="I531" s="11" t="str">
        <x:f>IF(H531="","",C531-H531)</x:f>
      </x:c>
      <x:c r="J531" s="4"/>
      <x:c r="K531" s="4" t="str">
        <x:v>URLs de detalle page/query/country por clics. No asignan las impresiones de esta consulta a cada página.</x:v>
      </x:c>
    </x:row>
    <x:row r="532" ht="28" customHeight="1">
      <x:c r="A532" s="4" t="n">
        <x:v>522</x:v>
      </x:c>
      <x:c r="B532" s="4" t="str">
        <x:v>sky maleta de mano medidas</x:v>
      </x:c>
      <x:c r="C532" s="11" t="n">
        <x:v>3</x:v>
      </x:c>
      <x:c r="D532" s="11" t="n">
        <x:v>43</x:v>
      </x:c>
      <x:c r="E532" s="14" t="n">
        <x:v>0.06976744186046512</x:v>
      </x:c>
      <x:c r="F532" s="12" t="n">
        <x:v>4.488372093023256</x:v>
      </x:c>
      <x:c r="G532" s="4" t="str">
        <x:v>Sin marca literal</x:v>
      </x:c>
      <x:c r="H532" s="11"/>
      <x:c r="I532" s="11" t="str">
        <x:f>IF(H532="","",C532-H532)</x:f>
      </x:c>
      <x:c r="J532" s="4"/>
      <x:c r="K532" s="4" t="str">
        <x:v>URLs de detalle page/query/country por clics. No asignan las impresiones de esta consulta a cada página.</x:v>
      </x:c>
    </x:row>
    <x:row r="533" ht="28" customHeight="1">
      <x:c r="A533" s="4" t="n">
        <x:v>523</x:v>
      </x:c>
      <x:c r="B533" s="4" t="str">
        <x:v>aviones de sky airline</x:v>
      </x:c>
      <x:c r="C533" s="11" t="n">
        <x:v>3</x:v>
      </x:c>
      <x:c r="D533" s="11" t="n">
        <x:v>42</x:v>
      </x:c>
      <x:c r="E533" s="14" t="n">
        <x:v>0.07142857142857142</x:v>
      </x:c>
      <x:c r="F533" s="12" t="n">
        <x:v>5.761904761904762</x:v>
      </x:c>
      <x:c r="G533" s="4" t="str">
        <x:v>Sin marca literal</x:v>
      </x:c>
      <x:c r="H533" s="11"/>
      <x:c r="I533" s="11" t="str">
        <x:f>IF(H533="","",C533-H533)</x:f>
      </x:c>
      <x:c r="J533" s="4"/>
      <x:c r="K533" s="4" t="str">
        <x:v>URLs de detalle page/query/country por clics. No asignan las impresiones de esta consulta a cada página.</x:v>
      </x:c>
    </x:row>
    <x:row r="534" ht="28" customHeight="1">
      <x:c r="A534" s="4" t="n">
        <x:v>524</x:v>
      </x:c>
      <x:c r="B534" s="4" t="str">
        <x:v>horas de viaje de chile a brasil</x:v>
      </x:c>
      <x:c r="C534" s="11" t="n">
        <x:v>3</x:v>
      </x:c>
      <x:c r="D534" s="11" t="n">
        <x:v>42</x:v>
      </x:c>
      <x:c r="E534" s="14" t="n">
        <x:v>0.07142857142857142</x:v>
      </x:c>
      <x:c r="F534" s="12" t="n">
        <x:v>2.071428571428571</x:v>
      </x:c>
      <x:c r="G534" s="4" t="str">
        <x:v>Sin marca literal</x:v>
      </x:c>
      <x:c r="H534" s="11"/>
      <x:c r="I534" s="11" t="str">
        <x:f>IF(H534="","",C534-H534)</x:f>
      </x:c>
      <x:c r="J534" s="4"/>
      <x:c r="K534" s="4" t="str">
        <x:v>URLs de detalle page/query/country por clics. No asignan las impresiones de esta consulta a cada página.</x:v>
      </x:c>
    </x:row>
    <x:row r="535" ht="28" customHeight="1">
      <x:c r="A535" s="4" t="n">
        <x:v>525</x:v>
      </x:c>
      <x:c r="B535" s="4" t="str">
        <x:v>sky carry on</x:v>
      </x:c>
      <x:c r="C535" s="11" t="n">
        <x:v>3</x:v>
      </x:c>
      <x:c r="D535" s="11" t="n">
        <x:v>41</x:v>
      </x:c>
      <x:c r="E535" s="14" t="n">
        <x:v>0.07317073170731707</x:v>
      </x:c>
      <x:c r="F535" s="12" t="n">
        <x:v>3.292682926829268</x:v>
      </x:c>
      <x:c r="G535" s="4" t="str">
        <x:v>Contiene marca</x:v>
      </x:c>
      <x:c r="H535" s="11" t="n">
        <x:v>12</x:v>
      </x:c>
      <x:c r="I535" s="11" t="n">
        <x:f>IF(H535="","",C535-H535)</x:f>
        <x:v>-9</x:v>
      </x:c>
      <x:c r="J535" s="4" t="str">
        <x:v>https://blog.skyairline.com/equipaje-de-cabina/ (3 clics)</x:v>
      </x:c>
      <x:c r="K535" s="4" t="str">
        <x:v>URLs de detalle page/query/country por clics. No asignan las impresiones de esta consulta a cada página.</x:v>
      </x:c>
    </x:row>
    <x:row r="536" ht="28" customHeight="1">
      <x:c r="A536" s="4" t="n">
        <x:v>526</x:v>
      </x:c>
      <x:c r="B536" s="4" t="str">
        <x:v>lago de todos los santos</x:v>
      </x:c>
      <x:c r="C536" s="11" t="n">
        <x:v>3</x:v>
      </x:c>
      <x:c r="D536" s="11" t="n">
        <x:v>40</x:v>
      </x:c>
      <x:c r="E536" s="14" t="n">
        <x:v>0.075</x:v>
      </x:c>
      <x:c r="F536" s="12" t="n">
        <x:v>7.3</x:v>
      </x:c>
      <x:c r="G536" s="4" t="str">
        <x:v>Sin marca literal</x:v>
      </x:c>
      <x:c r="H536" s="11"/>
      <x:c r="I536" s="11" t="str">
        <x:f>IF(H536="","",C536-H536)</x:f>
      </x:c>
      <x:c r="J536" s="4"/>
      <x:c r="K536" s="4" t="str">
        <x:v>URLs de detalle page/query/country por clics. No asignan las impresiones de esta consulta a cada página.</x:v>
      </x:c>
    </x:row>
    <x:row r="537" ht="28" customHeight="1">
      <x:c r="A537" s="4" t="n">
        <x:v>527</x:v>
      </x:c>
      <x:c r="B537" s="4" t="str">
        <x:v>tarifa max sky</x:v>
      </x:c>
      <x:c r="C537" s="11" t="n">
        <x:v>3</x:v>
      </x:c>
      <x:c r="D537" s="11" t="n">
        <x:v>39</x:v>
      </x:c>
      <x:c r="E537" s="14" t="n">
        <x:v>0.07692307692307693</x:v>
      </x:c>
      <x:c r="F537" s="12" t="n">
        <x:v>6.256410256410256</x:v>
      </x:c>
      <x:c r="G537" s="4" t="str">
        <x:v>Sin marca literal</x:v>
      </x:c>
      <x:c r="H537" s="11"/>
      <x:c r="I537" s="11" t="str">
        <x:f>IF(H537="","",C537-H537)</x:f>
      </x:c>
      <x:c r="J537" s="4"/>
      <x:c r="K537" s="4" t="str">
        <x:v>URLs de detalle page/query/country por clics. No asignan las impresiones de esta consulta a cada página.</x:v>
      </x:c>
    </x:row>
    <x:row r="538" ht="28" customHeight="1">
      <x:c r="A538" s="4" t="n">
        <x:v>528</x:v>
      </x:c>
      <x:c r="B538" s="4" t="str">
        <x:v>trabajo en sky airlines chile</x:v>
      </x:c>
      <x:c r="C538" s="11" t="n">
        <x:v>3</x:v>
      </x:c>
      <x:c r="D538" s="11" t="n">
        <x:v>39</x:v>
      </x:c>
      <x:c r="E538" s="14" t="n">
        <x:v>0.07692307692307693</x:v>
      </x:c>
      <x:c r="F538" s="12" t="n">
        <x:v>7.589743589743589</x:v>
      </x:c>
      <x:c r="G538" s="4" t="str">
        <x:v>Sin marca literal</x:v>
      </x:c>
      <x:c r="H538" s="11"/>
      <x:c r="I538" s="11" t="str">
        <x:f>IF(H538="","",C538-H538)</x:f>
      </x:c>
      <x:c r="J538" s="4"/>
      <x:c r="K538" s="4" t="str">
        <x:v>URLs de detalle page/query/country por clics. No asignan las impresiones de esta consulta a cada página.</x:v>
      </x:c>
    </x:row>
    <x:row r="539" ht="28" customHeight="1">
      <x:c r="A539" s="4" t="n">
        <x:v>529</x:v>
      </x:c>
      <x:c r="B539" s="4" t="str">
        <x:v>lugares del sur de argentina para visitar</x:v>
      </x:c>
      <x:c r="C539" s="11" t="n">
        <x:v>3</x:v>
      </x:c>
      <x:c r="D539" s="11" t="n">
        <x:v>38</x:v>
      </x:c>
      <x:c r="E539" s="14" t="n">
        <x:v>0.07894736842105263</x:v>
      </x:c>
      <x:c r="F539" s="12" t="n">
        <x:v>2.1578947368421053</x:v>
      </x:c>
      <x:c r="G539" s="4" t="str">
        <x:v>Sin marca literal</x:v>
      </x:c>
      <x:c r="H539" s="11"/>
      <x:c r="I539" s="11" t="str">
        <x:f>IF(H539="","",C539-H539)</x:f>
      </x:c>
      <x:c r="J539" s="4"/>
      <x:c r="K539" s="4" t="str">
        <x:v>URLs de detalle page/query/country por clics. No asignan las impresiones de esta consulta a cada página.</x:v>
      </x:c>
    </x:row>
    <x:row r="540" ht="28" customHeight="1">
      <x:c r="A540" s="4" t="n">
        <x:v>530</x:v>
      </x:c>
      <x:c r="B540" s="4" t="str">
        <x:v>escapada de fin de semana en pareja</x:v>
      </x:c>
      <x:c r="C540" s="11" t="n">
        <x:v>3</x:v>
      </x:c>
      <x:c r="D540" s="11" t="n">
        <x:v>36</x:v>
      </x:c>
      <x:c r="E540" s="14" t="n">
        <x:v>0.08333333333333333</x:v>
      </x:c>
      <x:c r="F540" s="12" t="n">
        <x:v>8.333333333333332</x:v>
      </x:c>
      <x:c r="G540" s="4" t="str">
        <x:v>Sin marca literal</x:v>
      </x:c>
      <x:c r="H540" s="11"/>
      <x:c r="I540" s="11" t="str">
        <x:f>IF(H540="","",C540-H540)</x:f>
      </x:c>
      <x:c r="J540" s="4"/>
      <x:c r="K540" s="4" t="str">
        <x:v>URLs de detalle page/query/country por clics. No asignan las impresiones de esta consulta a cada página.</x:v>
      </x:c>
    </x:row>
    <x:row r="541" ht="28" customHeight="1">
      <x:c r="A541" s="4" t="n">
        <x:v>531</x:v>
      </x:c>
      <x:c r="B541" s="4" t="str">
        <x:v>sky airline trabajo</x:v>
      </x:c>
      <x:c r="C541" s="11" t="n">
        <x:v>3</x:v>
      </x:c>
      <x:c r="D541" s="11" t="n">
        <x:v>36</x:v>
      </x:c>
      <x:c r="E541" s="14" t="n">
        <x:v>0.08333333333333333</x:v>
      </x:c>
      <x:c r="F541" s="12" t="n">
        <x:v>5.166666666666667</x:v>
      </x:c>
      <x:c r="G541" s="4" t="str">
        <x:v>Sin marca literal</x:v>
      </x:c>
      <x:c r="H541" s="11"/>
      <x:c r="I541" s="11" t="str">
        <x:f>IF(H541="","",C541-H541)</x:f>
      </x:c>
      <x:c r="J541" s="4"/>
      <x:c r="K541" s="4" t="str">
        <x:v>URLs de detalle page/query/country por clics. No asignan las impresiones de esta consulta a cada página.</x:v>
      </x:c>
    </x:row>
    <x:row r="542" ht="28" customHeight="1">
      <x:c r="A542" s="4" t="n">
        <x:v>532</x:v>
      </x:c>
      <x:c r="B542" s="4" t="str">
        <x:v>zona de nieve en chile</x:v>
      </x:c>
      <x:c r="C542" s="11" t="n">
        <x:v>3</x:v>
      </x:c>
      <x:c r="D542" s="11" t="n">
        <x:v>36</x:v>
      </x:c>
      <x:c r="E542" s="14" t="n">
        <x:v>0.08333333333333333</x:v>
      </x:c>
      <x:c r="F542" s="12" t="n">
        <x:v>3.5</x:v>
      </x:c>
      <x:c r="G542" s="4" t="str">
        <x:v>Sin marca literal</x:v>
      </x:c>
      <x:c r="H542" s="11"/>
      <x:c r="I542" s="11" t="str">
        <x:f>IF(H542="","",C542-H542)</x:f>
      </x:c>
      <x:c r="J542" s="4"/>
      <x:c r="K542" s="4" t="str">
        <x:v>URLs de detalle page/query/country por clics. No asignan las impresiones de esta consulta a cada página.</x:v>
      </x:c>
    </x:row>
    <x:row r="543" ht="28" customHeight="1">
      <x:c r="A543" s="4" t="n">
        <x:v>533</x:v>
      </x:c>
      <x:c r="B543" s="4" t="str">
        <x:v>cuanto sale agregar una maleta en sky</x:v>
      </x:c>
      <x:c r="C543" s="11" t="n">
        <x:v>3</x:v>
      </x:c>
      <x:c r="D543" s="11" t="n">
        <x:v>34</x:v>
      </x:c>
      <x:c r="E543" s="14" t="n">
        <x:v>0.08823529411764706</x:v>
      </x:c>
      <x:c r="F543" s="12" t="n">
        <x:v>4.647058823529411</x:v>
      </x:c>
      <x:c r="G543" s="4" t="str">
        <x:v>Sin marca literal</x:v>
      </x:c>
      <x:c r="H543" s="11"/>
      <x:c r="I543" s="11" t="str">
        <x:f>IF(H543="","",C543-H543)</x:f>
      </x:c>
      <x:c r="J543" s="4"/>
      <x:c r="K543" s="4" t="str">
        <x:v>URLs de detalle page/query/country por clics. No asignan las impresiones de esta consulta a cada página.</x:v>
      </x:c>
    </x:row>
    <x:row r="544" ht="28" customHeight="1">
      <x:c r="A544" s="4" t="n">
        <x:v>534</x:v>
      </x:c>
      <x:c r="B544" s="4" t="str">
        <x:v>billetera sky chile</x:v>
      </x:c>
      <x:c r="C544" s="11" t="n">
        <x:v>3</x:v>
      </x:c>
      <x:c r="D544" s="11" t="n">
        <x:v>33</x:v>
      </x:c>
      <x:c r="E544" s="14" t="n">
        <x:v>0.09090909090909091</x:v>
      </x:c>
      <x:c r="F544" s="12" t="n">
        <x:v>2.8484848484848486</x:v>
      </x:c>
      <x:c r="G544" s="4" t="str">
        <x:v>Sin marca literal</x:v>
      </x:c>
      <x:c r="H544" s="11"/>
      <x:c r="I544" s="11" t="str">
        <x:f>IF(H544="","",C544-H544)</x:f>
      </x:c>
      <x:c r="J544" s="4"/>
      <x:c r="K544" s="4" t="str">
        <x:v>URLs de detalle page/query/country por clics. No asignan las impresiones de esta consulta a cada página.</x:v>
      </x:c>
    </x:row>
    <x:row r="545" ht="28" customHeight="1">
      <x:c r="A545" s="4" t="n">
        <x:v>535</x:v>
      </x:c>
      <x:c r="B545" s="4" t="str">
        <x:v>canjear puntos sky</x:v>
      </x:c>
      <x:c r="C545" s="11" t="n">
        <x:v>3</x:v>
      </x:c>
      <x:c r="D545" s="11" t="n">
        <x:v>33</x:v>
      </x:c>
      <x:c r="E545" s="14" t="n">
        <x:v>0.09090909090909091</x:v>
      </x:c>
      <x:c r="F545" s="12" t="n">
        <x:v>3.090909090909091</x:v>
      </x:c>
      <x:c r="G545" s="4" t="str">
        <x:v>Sin marca literal</x:v>
      </x:c>
      <x:c r="H545" s="11"/>
      <x:c r="I545" s="11" t="str">
        <x:f>IF(H545="","",C545-H545)</x:f>
      </x:c>
      <x:c r="J545" s="4"/>
      <x:c r="K545" s="4" t="str">
        <x:v>URLs de detalle page/query/country por clics. No asignan las impresiones de esta consulta a cada página.</x:v>
      </x:c>
    </x:row>
    <x:row r="546" ht="28" customHeight="1">
      <x:c r="A546" s="4" t="n">
        <x:v>536</x:v>
      </x:c>
      <x:c r="B546" s="4" t="str">
        <x:v>medidas maleta sky peru</x:v>
      </x:c>
      <x:c r="C546" s="11" t="n">
        <x:v>3</x:v>
      </x:c>
      <x:c r="D546" s="11" t="n">
        <x:v>33</x:v>
      </x:c>
      <x:c r="E546" s="14" t="n">
        <x:v>0.09090909090909091</x:v>
      </x:c>
      <x:c r="F546" s="12" t="n">
        <x:v>4.909090909090909</x:v>
      </x:c>
      <x:c r="G546" s="4" t="str">
        <x:v>Sin marca literal</x:v>
      </x:c>
      <x:c r="H546" s="11"/>
      <x:c r="I546" s="11" t="str">
        <x:f>IF(H546="","",C546-H546)</x:f>
      </x:c>
      <x:c r="J546" s="4"/>
      <x:c r="K546" s="4" t="str">
        <x:v>URLs de detalle page/query/country por clics. No asignan las impresiones de esta consulta a cada página.</x:v>
      </x:c>
    </x:row>
    <x:row r="547" ht="28" customHeight="1">
      <x:c r="A547" s="4" t="n">
        <x:v>537</x:v>
      </x:c>
      <x:c r="B547" s="4" t="str">
        <x:v>sky peru cambio de fecha de vuelo</x:v>
      </x:c>
      <x:c r="C547" s="11" t="n">
        <x:v>3</x:v>
      </x:c>
      <x:c r="D547" s="11" t="n">
        <x:v>33</x:v>
      </x:c>
      <x:c r="E547" s="14" t="n">
        <x:v>0.09090909090909091</x:v>
      </x:c>
      <x:c r="F547" s="12" t="n">
        <x:v>3.9393939393939394</x:v>
      </x:c>
      <x:c r="G547" s="4" t="str">
        <x:v>Sin marca literal</x:v>
      </x:c>
      <x:c r="H547" s="11"/>
      <x:c r="I547" s="11" t="str">
        <x:f>IF(H547="","",C547-H547)</x:f>
      </x:c>
      <x:c r="J547" s="4"/>
      <x:c r="K547" s="4" t="str">
        <x:v>URLs de detalle page/query/country por clics. No asignan las impresiones de esta consulta a cada página.</x:v>
      </x:c>
    </x:row>
    <x:row r="548" ht="28" customHeight="1">
      <x:c r="A548" s="4" t="n">
        <x:v>538</x:v>
      </x:c>
      <x:c r="B548" s="4" t="str">
        <x:v>maletas en sky</x:v>
      </x:c>
      <x:c r="C548" s="11" t="n">
        <x:v>3</x:v>
      </x:c>
      <x:c r="D548" s="11" t="n">
        <x:v>32</x:v>
      </x:c>
      <x:c r="E548" s="14" t="n">
        <x:v>0.09375</x:v>
      </x:c>
      <x:c r="F548" s="12" t="n">
        <x:v>4.90625</x:v>
      </x:c>
      <x:c r="G548" s="4" t="str">
        <x:v>Sin marca literal</x:v>
      </x:c>
      <x:c r="H548" s="11"/>
      <x:c r="I548" s="11" t="str">
        <x:f>IF(H548="","",C548-H548)</x:f>
      </x:c>
      <x:c r="J548" s="4"/>
      <x:c r="K548" s="4" t="str">
        <x:v>URLs de detalle page/query/country por clics. No asignan las impresiones de esta consulta a cada página.</x:v>
      </x:c>
    </x:row>
    <x:row r="549" ht="28" customHeight="1">
      <x:c r="A549" s="4" t="n">
        <x:v>539</x:v>
      </x:c>
      <x:c r="B549" s="4" t="str">
        <x:v>que hacer en san gregorio de polanco</x:v>
      </x:c>
      <x:c r="C549" s="11" t="n">
        <x:v>3</x:v>
      </x:c>
      <x:c r="D549" s="11" t="n">
        <x:v>31</x:v>
      </x:c>
      <x:c r="E549" s="14" t="n">
        <x:v>0.0967741935483871</x:v>
      </x:c>
      <x:c r="F549" s="12" t="n">
        <x:v>1.870967741935484</x:v>
      </x:c>
      <x:c r="G549" s="4" t="str">
        <x:v>Sin marca literal</x:v>
      </x:c>
      <x:c r="H549" s="11"/>
      <x:c r="I549" s="11" t="str">
        <x:f>IF(H549="","",C549-H549)</x:f>
      </x:c>
      <x:c r="J549" s="4"/>
      <x:c r="K549" s="4" t="str">
        <x:v>URLs de detalle page/query/country por clics. No asignan las impresiones de esta consulta a cada página.</x:v>
      </x:c>
    </x:row>
    <x:row r="550" ht="28" customHeight="1">
      <x:c r="A550" s="4" t="n">
        <x:v>540</x:v>
      </x:c>
      <x:c r="B550" s="4" t="str">
        <x:v>como ser sky plus</x:v>
      </x:c>
      <x:c r="C550" s="11" t="n">
        <x:v>3</x:v>
      </x:c>
      <x:c r="D550" s="11" t="n">
        <x:v>30</x:v>
      </x:c>
      <x:c r="E550" s="14" t="n">
        <x:v>0.1</x:v>
      </x:c>
      <x:c r="F550" s="12" t="n">
        <x:v>3.7</x:v>
      </x:c>
      <x:c r="G550" s="4" t="str">
        <x:v>Sin marca literal</x:v>
      </x:c>
      <x:c r="H550" s="11"/>
      <x:c r="I550" s="11" t="str">
        <x:f>IF(H550="","",C550-H550)</x:f>
      </x:c>
      <x:c r="J550" s="4"/>
      <x:c r="K550" s="4" t="str">
        <x:v>URLs de detalle page/query/country por clics. No asignan las impresiones de esta consulta a cada página.</x:v>
      </x:c>
    </x:row>
    <x:row r="551" ht="28" customHeight="1">
      <x:c r="A551" s="4" t="n">
        <x:v>541</x:v>
      </x:c>
      <x:c r="B551" s="4" t="str">
        <x:v>trabajo en sky</x:v>
      </x:c>
      <x:c r="C551" s="11" t="n">
        <x:v>3</x:v>
      </x:c>
      <x:c r="D551" s="11" t="n">
        <x:v>30</x:v>
      </x:c>
      <x:c r="E551" s="14" t="n">
        <x:v>0.1</x:v>
      </x:c>
      <x:c r="F551" s="12" t="n">
        <x:v>5.833333333333333</x:v>
      </x:c>
      <x:c r="G551" s="4" t="str">
        <x:v>Sin marca literal</x:v>
      </x:c>
      <x:c r="H551" s="11"/>
      <x:c r="I551" s="11" t="str">
        <x:f>IF(H551="","",C551-H551)</x:f>
      </x:c>
      <x:c r="J551" s="4"/>
      <x:c r="K551" s="4" t="str">
        <x:v>URLs de detalle page/query/country por clics. No asignan las impresiones de esta consulta a cada página.</x:v>
      </x:c>
    </x:row>
    <x:row r="552" ht="28" customHeight="1">
      <x:c r="A552" s="4" t="n">
        <x:v>542</x:v>
      </x:c>
      <x:c r="B552" s="4" t="str">
        <x:v>azafata sky</x:v>
      </x:c>
      <x:c r="C552" s="11" t="n">
        <x:v>3</x:v>
      </x:c>
      <x:c r="D552" s="11" t="n">
        <x:v>29</x:v>
      </x:c>
      <x:c r="E552" s="14" t="n">
        <x:v>0.10344827586206896</x:v>
      </x:c>
      <x:c r="F552" s="12" t="n">
        <x:v>5.379310344827586</x:v>
      </x:c>
      <x:c r="G552" s="4" t="str">
        <x:v>Sin marca literal</x:v>
      </x:c>
      <x:c r="H552" s="11"/>
      <x:c r="I552" s="11" t="str">
        <x:f>IF(H552="","",C552-H552)</x:f>
      </x:c>
      <x:c r="J552" s="4"/>
      <x:c r="K552" s="4" t="str">
        <x:v>URLs de detalle page/query/country por clics. No asignan las impresiones de esta consulta a cada página.</x:v>
      </x:c>
    </x:row>
    <x:row r="553" ht="28" customHeight="1">
      <x:c r="A553" s="4" t="n">
        <x:v>543</x:v>
      </x:c>
      <x:c r="B553" s="4" t="str">
        <x:v>cambio de pasaje sky peru</x:v>
      </x:c>
      <x:c r="C553" s="11" t="n">
        <x:v>3</x:v>
      </x:c>
      <x:c r="D553" s="11" t="n">
        <x:v>29</x:v>
      </x:c>
      <x:c r="E553" s="14" t="n">
        <x:v>0.10344827586206896</x:v>
      </x:c>
      <x:c r="F553" s="12" t="n">
        <x:v>5.413793103448276</x:v>
      </x:c>
      <x:c r="G553" s="4" t="str">
        <x:v>Sin marca literal</x:v>
      </x:c>
      <x:c r="H553" s="11"/>
      <x:c r="I553" s="11" t="str">
        <x:f>IF(H553="","",C553-H553)</x:f>
      </x:c>
      <x:c r="J553" s="4"/>
      <x:c r="K553" s="4" t="str">
        <x:v>URLs de detalle page/query/country por clics. No asignan las impresiones de esta consulta a cada página.</x:v>
      </x:c>
    </x:row>
    <x:row r="554" ht="28" customHeight="1">
      <x:c r="A554" s="4" t="n">
        <x:v>544</x:v>
      </x:c>
      <x:c r="B554" s="4" t="str">
        <x:v>un niño de 2 años paga pasaje en avión</x:v>
      </x:c>
      <x:c r="C554" s="11" t="n">
        <x:v>3</x:v>
      </x:c>
      <x:c r="D554" s="11" t="n">
        <x:v>29</x:v>
      </x:c>
      <x:c r="E554" s="14" t="n">
        <x:v>0.10344827586206896</x:v>
      </x:c>
      <x:c r="F554" s="12" t="n">
        <x:v>3.7241379310344827</x:v>
      </x:c>
      <x:c r="G554" s="4" t="str">
        <x:v>Sin marca literal</x:v>
      </x:c>
      <x:c r="H554" s="11"/>
      <x:c r="I554" s="11" t="str">
        <x:f>IF(H554="","",C554-H554)</x:f>
      </x:c>
      <x:c r="J554" s="4"/>
      <x:c r="K554" s="4" t="str">
        <x:v>URLs de detalle page/query/country por clics. No asignan las impresiones de esta consulta a cada página.</x:v>
      </x:c>
    </x:row>
    <x:row r="555" ht="28" customHeight="1">
      <x:c r="A555" s="4" t="n">
        <x:v>545</x:v>
      </x:c>
      <x:c r="B555" s="4" t="str">
        <x:v>sky cambio de vuelo chile</x:v>
      </x:c>
      <x:c r="C555" s="11" t="n">
        <x:v>3</x:v>
      </x:c>
      <x:c r="D555" s="11" t="n">
        <x:v>28</x:v>
      </x:c>
      <x:c r="E555" s="14" t="n">
        <x:v>0.10714285714285714</x:v>
      </x:c>
      <x:c r="F555" s="12" t="n">
        <x:v>4.892857142857142</x:v>
      </x:c>
      <x:c r="G555" s="4" t="str">
        <x:v>Sin marca literal</x:v>
      </x:c>
      <x:c r="H555" s="11"/>
      <x:c r="I555" s="11" t="str">
        <x:f>IF(H555="","",C555-H555)</x:f>
      </x:c>
      <x:c r="J555" s="4"/>
      <x:c r="K555" s="4" t="str">
        <x:v>URLs de detalle page/query/country por clics. No asignan las impresiones de esta consulta a cada página.</x:v>
      </x:c>
    </x:row>
    <x:row r="556" ht="28" customHeight="1">
      <x:c r="A556" s="4" t="n">
        <x:v>546</x:v>
      </x:c>
      <x:c r="B556" s="4" t="str">
        <x:v>postulacion tripulante de cabina</x:v>
      </x:c>
      <x:c r="C556" s="11" t="n">
        <x:v>3</x:v>
      </x:c>
      <x:c r="D556" s="11" t="n">
        <x:v>27</x:v>
      </x:c>
      <x:c r="E556" s="14" t="n">
        <x:v>0.1111111111111111</x:v>
      </x:c>
      <x:c r="F556" s="12" t="n">
        <x:v>9.777777777777779</x:v>
      </x:c>
      <x:c r="G556" s="4" t="str">
        <x:v>Sin marca literal</x:v>
      </x:c>
      <x:c r="H556" s="11"/>
      <x:c r="I556" s="11" t="str">
        <x:f>IF(H556="","",C556-H556)</x:f>
      </x:c>
      <x:c r="J556" s="4"/>
      <x:c r="K556" s="4" t="str">
        <x:v>URLs de detalle page/query/country por clics. No asignan las impresiones de esta consulta a cada página.</x:v>
      </x:c>
    </x:row>
    <x:row r="557" ht="28" customHeight="1">
      <x:c r="A557" s="4" t="n">
        <x:v>547</x:v>
      </x:c>
      <x:c r="B557" s="4" t="str">
        <x:v>zero</x:v>
      </x:c>
      <x:c r="C557" s="11" t="n">
        <x:v>3</x:v>
      </x:c>
      <x:c r="D557" s="11" t="n">
        <x:v>27</x:v>
      </x:c>
      <x:c r="E557" s="14" t="n">
        <x:v>0.1111111111111111</x:v>
      </x:c>
      <x:c r="F557" s="12" t="n">
        <x:v>2.7037037037037037</x:v>
      </x:c>
      <x:c r="G557" s="4" t="str">
        <x:v>Sin marca literal</x:v>
      </x:c>
      <x:c r="H557" s="11"/>
      <x:c r="I557" s="11" t="str">
        <x:f>IF(H557="","",C557-H557)</x:f>
      </x:c>
      <x:c r="J557" s="4"/>
      <x:c r="K557" s="4" t="str">
        <x:v>URLs de detalle page/query/country por clics. No asignan las impresiones de esta consulta a cada página.</x:v>
      </x:c>
    </x:row>
    <x:row r="558" ht="28" customHeight="1">
      <x:c r="A558" s="4" t="n">
        <x:v>548</x:v>
      </x:c>
      <x:c r="B558" s="4" t="str">
        <x:v>como postergar un vuelo en sky</x:v>
      </x:c>
      <x:c r="C558" s="11" t="n">
        <x:v>3</x:v>
      </x:c>
      <x:c r="D558" s="11" t="n">
        <x:v>26</x:v>
      </x:c>
      <x:c r="E558" s="14" t="n">
        <x:v>0.11538461538461539</x:v>
      </x:c>
      <x:c r="F558" s="12" t="n">
        <x:v>4.076923076923077</x:v>
      </x:c>
      <x:c r="G558" s="4" t="str">
        <x:v>Sin marca literal</x:v>
      </x:c>
      <x:c r="H558" s="11"/>
      <x:c r="I558" s="11" t="str">
        <x:f>IF(H558="","",C558-H558)</x:f>
      </x:c>
      <x:c r="J558" s="4"/>
      <x:c r="K558" s="4" t="str">
        <x:v>URLs de detalle page/query/country por clics. No asignan las impresiones de esta consulta a cada página.</x:v>
      </x:c>
    </x:row>
    <x:row r="559" ht="28" customHeight="1">
      <x:c r="A559" s="4" t="n">
        <x:v>549</x:v>
      </x:c>
      <x:c r="B559" s="4" t="str">
        <x:v>sky plus que es</x:v>
      </x:c>
      <x:c r="C559" s="11" t="n">
        <x:v>3</x:v>
      </x:c>
      <x:c r="D559" s="11" t="n">
        <x:v>26</x:v>
      </x:c>
      <x:c r="E559" s="14" t="n">
        <x:v>0.11538461538461539</x:v>
      </x:c>
      <x:c r="F559" s="12" t="n">
        <x:v>3.1153846153846154</x:v>
      </x:c>
      <x:c r="G559" s="4" t="str">
        <x:v>Sin marca literal</x:v>
      </x:c>
      <x:c r="H559" s="11"/>
      <x:c r="I559" s="11" t="str">
        <x:f>IF(H559="","",C559-H559)</x:f>
      </x:c>
      <x:c r="J559" s="4"/>
      <x:c r="K559" s="4" t="str">
        <x:v>URLs de detalle page/query/country por clics. No asignan las impresiones de esta consulta a cada página.</x:v>
      </x:c>
    </x:row>
    <x:row r="560" ht="28" customHeight="1">
      <x:c r="A560" s="4" t="n">
        <x:v>550</x:v>
      </x:c>
      <x:c r="B560" s="4" t="str">
        <x:v>maleta de bodega sky</x:v>
      </x:c>
      <x:c r="C560" s="11" t="n">
        <x:v>3</x:v>
      </x:c>
      <x:c r="D560" s="11" t="n">
        <x:v>25</x:v>
      </x:c>
      <x:c r="E560" s="14" t="n">
        <x:v>0.12</x:v>
      </x:c>
      <x:c r="F560" s="12" t="n">
        <x:v>3.96</x:v>
      </x:c>
      <x:c r="G560" s="4" t="str">
        <x:v>Contiene marca</x:v>
      </x:c>
      <x:c r="H560" s="11" t="n">
        <x:v>10</x:v>
      </x:c>
      <x:c r="I560" s="11" t="n">
        <x:f>IF(H560="","",C560-H560)</x:f>
        <x:v>-7</x:v>
      </x:c>
      <x:c r="J560" s="4" t="str">
        <x:v>https://blog.skyairline.com/equipaje-de-bodega/ (3 clics)</x:v>
      </x:c>
      <x:c r="K560" s="4" t="str">
        <x:v>URLs de detalle page/query/country por clics. No asignan las impresiones de esta consulta a cada página.</x:v>
      </x:c>
    </x:row>
    <x:row r="561" ht="28" customHeight="1">
      <x:c r="A561" s="4" t="n">
        <x:v>551</x:v>
      </x:c>
      <x:c r="B561" s="4" t="str">
        <x:v>que ver en caminito la boca</x:v>
      </x:c>
      <x:c r="C561" s="11" t="n">
        <x:v>3</x:v>
      </x:c>
      <x:c r="D561" s="11" t="n">
        <x:v>25</x:v>
      </x:c>
      <x:c r="E561" s="14" t="n">
        <x:v>0.12</x:v>
      </x:c>
      <x:c r="F561" s="12" t="n">
        <x:v>3.48</x:v>
      </x:c>
      <x:c r="G561" s="4" t="str">
        <x:v>Sin marca literal</x:v>
      </x:c>
      <x:c r="H561" s="11"/>
      <x:c r="I561" s="11" t="str">
        <x:f>IF(H561="","",C561-H561)</x:f>
      </x:c>
      <x:c r="J561" s="4"/>
      <x:c r="K561" s="4" t="str">
        <x:v>URLs de detalle page/query/country por clics. No asignan las impresiones de esta consulta a cada página.</x:v>
      </x:c>
    </x:row>
    <x:row r="562" ht="28" customHeight="1">
      <x:c r="A562" s="4" t="n">
        <x:v>552</x:v>
      </x:c>
      <x:c r="B562" s="4" t="str">
        <x:v>que ver en caminito</x:v>
      </x:c>
      <x:c r="C562" s="11" t="n">
        <x:v>3</x:v>
      </x:c>
      <x:c r="D562" s="11" t="n">
        <x:v>22</x:v>
      </x:c>
      <x:c r="E562" s="14" t="n">
        <x:v>0.13636363636363635</x:v>
      </x:c>
      <x:c r="F562" s="12" t="n">
        <x:v>1.2272727272727273</x:v>
      </x:c>
      <x:c r="G562" s="4" t="str">
        <x:v>Sin marca literal</x:v>
      </x:c>
      <x:c r="H562" s="11"/>
      <x:c r="I562" s="11" t="str">
        <x:f>IF(H562="","",C562-H562)</x:f>
      </x:c>
      <x:c r="J562" s="4"/>
      <x:c r="K562" s="4" t="str">
        <x:v>URLs de detalle page/query/country por clics. No asignan las impresiones de esta consulta a cada página.</x:v>
      </x:c>
    </x:row>
    <x:row r="563" ht="28" customHeight="1">
      <x:c r="A563" s="4" t="n">
        <x:v>553</x:v>
      </x:c>
      <x:c r="B563" s="4" t="str">
        <x:v>medidas canil sky</x:v>
      </x:c>
      <x:c r="C563" s="11" t="n">
        <x:v>3</x:v>
      </x:c>
      <x:c r="D563" s="11" t="n">
        <x:v>20</x:v>
      </x:c>
      <x:c r="E563" s="14" t="n">
        <x:v>0.15</x:v>
      </x:c>
      <x:c r="F563" s="12" t="n">
        <x:v>2.6</x:v>
      </x:c>
      <x:c r="G563" s="4" t="str">
        <x:v>Sin marca literal</x:v>
      </x:c>
      <x:c r="H563" s="11"/>
      <x:c r="I563" s="11" t="str">
        <x:f>IF(H563="","",C563-H563)</x:f>
      </x:c>
      <x:c r="J563" s="4"/>
      <x:c r="K563" s="4" t="str">
        <x:v>URLs de detalle page/query/country por clics. No asignan las impresiones de esta consulta a cada página.</x:v>
      </x:c>
    </x:row>
    <x:row r="564" ht="28" customHeight="1">
      <x:c r="A564" s="4" t="n">
        <x:v>554</x:v>
      </x:c>
      <x:c r="B564" s="4" t="str">
        <x:v>sky articulo personal medidas</x:v>
      </x:c>
      <x:c r="C564" s="11" t="n">
        <x:v>3</x:v>
      </x:c>
      <x:c r="D564" s="11" t="n">
        <x:v>20</x:v>
      </x:c>
      <x:c r="E564" s="14" t="n">
        <x:v>0.15</x:v>
      </x:c>
      <x:c r="F564" s="12" t="n">
        <x:v>5.25</x:v>
      </x:c>
      <x:c r="G564" s="4" t="str">
        <x:v>Sin marca literal</x:v>
      </x:c>
      <x:c r="H564" s="11"/>
      <x:c r="I564" s="11" t="str">
        <x:f>IF(H564="","",C564-H564)</x:f>
      </x:c>
      <x:c r="J564" s="4"/>
      <x:c r="K564" s="4" t="str">
        <x:v>URLs de detalle page/query/country por clics. No asignan las impresiones de esta consulta a cada página.</x:v>
      </x:c>
    </x:row>
    <x:row r="565" ht="28" customHeight="1">
      <x:c r="A565" s="4" t="n">
        <x:v>555</x:v>
      </x:c>
      <x:c r="B565" s="4" t="str">
        <x:v>cuantos perfumes puedo llevar en el avion</x:v>
      </x:c>
      <x:c r="C565" s="11" t="n">
        <x:v>3</x:v>
      </x:c>
      <x:c r="D565" s="11" t="n">
        <x:v>19</x:v>
      </x:c>
      <x:c r="E565" s="14" t="n">
        <x:v>0.15789473684210525</x:v>
      </x:c>
      <x:c r="F565" s="12" t="n">
        <x:v>3.210526315789474</x:v>
      </x:c>
      <x:c r="G565" s="4" t="str">
        <x:v>Sin marca literal</x:v>
      </x:c>
      <x:c r="H565" s="11"/>
      <x:c r="I565" s="11" t="str">
        <x:f>IF(H565="","",C565-H565)</x:f>
      </x:c>
      <x:c r="J565" s="4"/>
      <x:c r="K565" s="4" t="str">
        <x:v>URLs de detalle page/query/country por clics. No asignan las impresiones de esta consulta a cada página.</x:v>
      </x:c>
    </x:row>
    <x:row r="566" ht="28" customHeight="1">
      <x:c r="A566" s="4" t="n">
        <x:v>556</x:v>
      </x:c>
      <x:c r="B566" s="4" t="str">
        <x:v>lugares para viajar con niños</x:v>
      </x:c>
      <x:c r="C566" s="11" t="n">
        <x:v>3</x:v>
      </x:c>
      <x:c r="D566" s="11" t="n">
        <x:v>19</x:v>
      </x:c>
      <x:c r="E566" s="14" t="n">
        <x:v>0.15789473684210525</x:v>
      </x:c>
      <x:c r="F566" s="12" t="n">
        <x:v>5.7368421052631575</x:v>
      </x:c>
      <x:c r="G566" s="4" t="str">
        <x:v>Sin marca literal</x:v>
      </x:c>
      <x:c r="H566" s="11"/>
      <x:c r="I566" s="11" t="str">
        <x:f>IF(H566="","",C566-H566)</x:f>
      </x:c>
      <x:c r="J566" s="4"/>
      <x:c r="K566" s="4" t="str">
        <x:v>URLs de detalle page/query/country por clics. No asignan las impresiones de esta consulta a cada página.</x:v>
      </x:c>
    </x:row>
    <x:row r="567" ht="28" customHeight="1">
      <x:c r="A567" s="4" t="n">
        <x:v>557</x:v>
      </x:c>
      <x:c r="B567" s="4" t="str">
        <x:v>por sky</x:v>
      </x:c>
      <x:c r="C567" s="11" t="n">
        <x:v>3</x:v>
      </x:c>
      <x:c r="D567" s="11" t="n">
        <x:v>19</x:v>
      </x:c>
      <x:c r="E567" s="14" t="n">
        <x:v>0.15789473684210525</x:v>
      </x:c>
      <x:c r="F567" s="12" t="n">
        <x:v>3.9473684210526314</x:v>
      </x:c>
      <x:c r="G567" s="4" t="str">
        <x:v>Sin marca literal</x:v>
      </x:c>
      <x:c r="H567" s="11"/>
      <x:c r="I567" s="11" t="str">
        <x:f>IF(H567="","",C567-H567)</x:f>
      </x:c>
      <x:c r="J567" s="4"/>
      <x:c r="K567" s="4" t="str">
        <x:v>URLs de detalle page/query/country por clics. No asignan las impresiones de esta consulta a cada página.</x:v>
      </x:c>
    </x:row>
    <x:row r="568" ht="28" customHeight="1">
      <x:c r="A568" s="4" t="n">
        <x:v>558</x:v>
      </x:c>
      <x:c r="B568" s="4" t="str">
        <x:v>postulaciones tripulante de cabina</x:v>
      </x:c>
      <x:c r="C568" s="11" t="n">
        <x:v>3</x:v>
      </x:c>
      <x:c r="D568" s="11" t="n">
        <x:v>19</x:v>
      </x:c>
      <x:c r="E568" s="14" t="n">
        <x:v>0.15789473684210525</x:v>
      </x:c>
      <x:c r="F568" s="12" t="n">
        <x:v>8.263157894736842</x:v>
      </x:c>
      <x:c r="G568" s="4" t="str">
        <x:v>Sin marca literal</x:v>
      </x:c>
      <x:c r="H568" s="11"/>
      <x:c r="I568" s="11" t="str">
        <x:f>IF(H568="","",C568-H568)</x:f>
      </x:c>
      <x:c r="J568" s="4"/>
      <x:c r="K568" s="4" t="str">
        <x:v>URLs de detalle page/query/country por clics. No asignan las impresiones de esta consulta a cada página.</x:v>
      </x:c>
    </x:row>
    <x:row r="569" ht="28" customHeight="1">
      <x:c r="A569" s="4" t="n">
        <x:v>559</x:v>
      </x:c>
      <x:c r="B569" s="4" t="str">
        <x:v>sky economy</x:v>
      </x:c>
      <x:c r="C569" s="11" t="n">
        <x:v>3</x:v>
      </x:c>
      <x:c r="D569" s="11" t="n">
        <x:v>19</x:v>
      </x:c>
      <x:c r="E569" s="14" t="n">
        <x:v>0.15789473684210525</x:v>
      </x:c>
      <x:c r="F569" s="12" t="n">
        <x:v>2.8421052631578947</x:v>
      </x:c>
      <x:c r="G569" s="4" t="str">
        <x:v>Sin marca literal</x:v>
      </x:c>
      <x:c r="H569" s="11"/>
      <x:c r="I569" s="11" t="str">
        <x:f>IF(H569="","",C569-H569)</x:f>
      </x:c>
      <x:c r="J569" s="4"/>
      <x:c r="K569" s="4" t="str">
        <x:v>URLs de detalle page/query/country por clics. No asignan las impresiones de esta consulta a cada página.</x:v>
      </x:c>
    </x:row>
    <x:row r="570" ht="28" customHeight="1">
      <x:c r="A570" s="4" t="n">
        <x:v>560</x:v>
      </x:c>
      <x:c r="B570" s="4" t="str">
        <x:v>bodega</x:v>
      </x:c>
      <x:c r="C570" s="11" t="n">
        <x:v>3</x:v>
      </x:c>
      <x:c r="D570" s="11" t="n">
        <x:v>18</x:v>
      </x:c>
      <x:c r="E570" s="14" t="n">
        <x:v>0.16666666666666666</x:v>
      </x:c>
      <x:c r="F570" s="12" t="n">
        <x:v>2.5555555555555554</x:v>
      </x:c>
      <x:c r="G570" s="4" t="str">
        <x:v>Sin marca literal</x:v>
      </x:c>
      <x:c r="H570" s="11"/>
      <x:c r="I570" s="11" t="str">
        <x:f>IF(H570="","",C570-H570)</x:f>
      </x:c>
      <x:c r="J570" s="4"/>
      <x:c r="K570" s="4" t="str">
        <x:v>URLs de detalle page/query/country por clics. No asignan las impresiones de esta consulta a cada página.</x:v>
      </x:c>
    </x:row>
    <x:row r="571" ht="28" customHeight="1">
      <x:c r="A571" s="4" t="n">
        <x:v>561</x:v>
      </x:c>
      <x:c r="B571" s="4" t="str">
        <x:v>panoramas para niños de 4 años en santiago</x:v>
      </x:c>
      <x:c r="C571" s="11" t="n">
        <x:v>3</x:v>
      </x:c>
      <x:c r="D571" s="11" t="n">
        <x:v>18</x:v>
      </x:c>
      <x:c r="E571" s="14" t="n">
        <x:v>0.16666666666666666</x:v>
      </x:c>
      <x:c r="F571" s="12" t="n">
        <x:v>6.777777777777778</x:v>
      </x:c>
      <x:c r="G571" s="4" t="str">
        <x:v>Sin marca literal</x:v>
      </x:c>
      <x:c r="H571" s="11"/>
      <x:c r="I571" s="11" t="str">
        <x:f>IF(H571="","",C571-H571)</x:f>
      </x:c>
      <x:c r="J571" s="4"/>
      <x:c r="K571" s="4" t="str">
        <x:v>URLs de detalle page/query/country por clics. No asignan las impresiones de esta consulta a cada página.</x:v>
      </x:c>
    </x:row>
    <x:row r="572" ht="28" customHeight="1">
      <x:c r="A572" s="4" t="n">
        <x:v>562</x:v>
      </x:c>
      <x:c r="B572" s="4" t="str">
        <x:v>sky airlines premium economy</x:v>
      </x:c>
      <x:c r="C572" s="11" t="n">
        <x:v>3</x:v>
      </x:c>
      <x:c r="D572" s="11" t="n">
        <x:v>16</x:v>
      </x:c>
      <x:c r="E572" s="14" t="n">
        <x:v>0.1875</x:v>
      </x:c>
      <x:c r="F572" s="12" t="n">
        <x:v>3.5</x:v>
      </x:c>
      <x:c r="G572" s="4" t="str">
        <x:v>Sin marca literal</x:v>
      </x:c>
      <x:c r="H572" s="11"/>
      <x:c r="I572" s="11" t="str">
        <x:f>IF(H572="","",C572-H572)</x:f>
      </x:c>
      <x:c r="J572" s="4"/>
      <x:c r="K572" s="4" t="str">
        <x:v>URLs de detalle page/query/country por clics. No asignan las impresiones de esta consulta a cada página.</x:v>
      </x:c>
    </x:row>
    <x:row r="573" ht="28" customHeight="1">
      <x:c r="A573" s="4" t="n">
        <x:v>563</x:v>
      </x:c>
      <x:c r="B573" s="4" t="str">
        <x:v>sky billetera digital</x:v>
      </x:c>
      <x:c r="C573" s="11" t="n">
        <x:v>3</x:v>
      </x:c>
      <x:c r="D573" s="11" t="n">
        <x:v>15</x:v>
      </x:c>
      <x:c r="E573" s="14" t="n">
        <x:v>0.2</x:v>
      </x:c>
      <x:c r="F573" s="12" t="n">
        <x:v>1.8</x:v>
      </x:c>
      <x:c r="G573" s="4" t="str">
        <x:v>Sin marca literal</x:v>
      </x:c>
      <x:c r="H573" s="11"/>
      <x:c r="I573" s="11" t="str">
        <x:f>IF(H573="","",C573-H573)</x:f>
      </x:c>
      <x:c r="J573" s="4"/>
      <x:c r="K573" s="4" t="str">
        <x:v>URLs de detalle page/query/country por clics. No asignan las impresiones de esta consulta a cada página.</x:v>
      </x:c>
    </x:row>
    <x:row r="574" ht="28" customHeight="1">
      <x:c r="A574" s="4" t="n">
        <x:v>564</x:v>
      </x:c>
      <x:c r="B574" s="4" t="str">
        <x:v>sky empleo</x:v>
      </x:c>
      <x:c r="C574" s="11" t="n">
        <x:v>3</x:v>
      </x:c>
      <x:c r="D574" s="11" t="n">
        <x:v>15</x:v>
      </x:c>
      <x:c r="E574" s="14" t="n">
        <x:v>0.2</x:v>
      </x:c>
      <x:c r="F574" s="12" t="n">
        <x:v>5.4</x:v>
      </x:c>
      <x:c r="G574" s="4" t="str">
        <x:v>Sin marca literal</x:v>
      </x:c>
      <x:c r="H574" s="11"/>
      <x:c r="I574" s="11" t="str">
        <x:f>IF(H574="","",C574-H574)</x:f>
      </x:c>
      <x:c r="J574" s="4"/>
      <x:c r="K574" s="4" t="str">
        <x:v>URLs de detalle page/query/country por clics. No asignan las impresiones de esta consulta a cada página.</x:v>
      </x:c>
    </x:row>
    <x:row r="575" ht="28" customHeight="1">
      <x:c r="A575" s="4" t="n">
        <x:v>565</x:v>
      </x:c>
      <x:c r="B575" s="4" t="str">
        <x:v>sky perros</x:v>
      </x:c>
      <x:c r="C575" s="11" t="n">
        <x:v>3</x:v>
      </x:c>
      <x:c r="D575" s="11" t="n">
        <x:v>15</x:v>
      </x:c>
      <x:c r="E575" s="14" t="n">
        <x:v>0.2</x:v>
      </x:c>
      <x:c r="F575" s="12" t="n">
        <x:v>1.6</x:v>
      </x:c>
      <x:c r="G575" s="4" t="str">
        <x:v>Sin marca literal</x:v>
      </x:c>
      <x:c r="H575" s="11"/>
      <x:c r="I575" s="11" t="str">
        <x:f>IF(H575="","",C575-H575)</x:f>
      </x:c>
      <x:c r="J575" s="4"/>
      <x:c r="K575" s="4" t="str">
        <x:v>URLs de detalle page/query/country por clics. No asignan las impresiones de esta consulta a cada página.</x:v>
      </x:c>
    </x:row>
    <x:row r="576" ht="28" customHeight="1">
      <x:c r="A576" s="4" t="n">
        <x:v>566</x:v>
      </x:c>
      <x:c r="B576" s="4" t="str">
        <x:v>tripulante cabina sky</x:v>
      </x:c>
      <x:c r="C576" s="11" t="n">
        <x:v>3</x:v>
      </x:c>
      <x:c r="D576" s="11" t="n">
        <x:v>14</x:v>
      </x:c>
      <x:c r="E576" s="14" t="n">
        <x:v>0.21428571428571427</x:v>
      </x:c>
      <x:c r="F576" s="12" t="n">
        <x:v>5.714285714285714</x:v>
      </x:c>
      <x:c r="G576" s="4" t="str">
        <x:v>Sin marca literal</x:v>
      </x:c>
      <x:c r="H576" s="11"/>
      <x:c r="I576" s="11" t="str">
        <x:f>IF(H576="","",C576-H576)</x:f>
      </x:c>
      <x:c r="J576" s="4"/>
      <x:c r="K576" s="4" t="str">
        <x:v>URLs de detalle page/query/country por clics. No asignan las impresiones de esta consulta a cada página.</x:v>
      </x:c>
    </x:row>
    <x:row r="577" ht="28" customHeight="1">
      <x:c r="A577" s="4" t="n">
        <x:v>567</x:v>
      </x:c>
      <x:c r="B577" s="4" t="str">
        <x:v>cambiar fecha de vuelo</x:v>
      </x:c>
      <x:c r="C577" s="11" t="n">
        <x:v>3</x:v>
      </x:c>
      <x:c r="D577" s="11" t="n">
        <x:v>10</x:v>
      </x:c>
      <x:c r="E577" s="14" t="n">
        <x:v>0.3</x:v>
      </x:c>
      <x:c r="F577" s="12" t="n">
        <x:v>9.9</x:v>
      </x:c>
      <x:c r="G577" s="4" t="str">
        <x:v>Sin marca literal</x:v>
      </x:c>
      <x:c r="H577" s="11"/>
      <x:c r="I577" s="11" t="str">
        <x:f>IF(H577="","",C577-H577)</x:f>
      </x:c>
      <x:c r="J577" s="4"/>
      <x:c r="K577" s="4" t="str">
        <x:v>URLs de detalle page/query/country por clics. No asignan las impresiones de esta consulta a cada página.</x:v>
      </x:c>
    </x:row>
    <x:row r="578" ht="28" customHeight="1">
      <x:c r="A578" s="4" t="n">
        <x:v>568</x:v>
      </x:c>
      <x:c r="B578" s="4" t="str">
        <x:v>sky membresia</x:v>
      </x:c>
      <x:c r="C578" s="11" t="n">
        <x:v>3</x:v>
      </x:c>
      <x:c r="D578" s="11" t="n">
        <x:v>10</x:v>
      </x:c>
      <x:c r="E578" s="14" t="n">
        <x:v>0.3</x:v>
      </x:c>
      <x:c r="F578" s="12" t="n">
        <x:v>2.5</x:v>
      </x:c>
      <x:c r="G578" s="4" t="str">
        <x:v>Sin marca literal</x:v>
      </x:c>
      <x:c r="H578" s="11"/>
      <x:c r="I578" s="11" t="str">
        <x:f>IF(H578="","",C578-H578)</x:f>
      </x:c>
      <x:c r="J578" s="4"/>
      <x:c r="K578" s="4" t="str">
        <x:v>URLs de detalle page/query/country por clics. No asignan las impresiones de esta consulta a cada página.</x:v>
      </x:c>
    </x:row>
    <x:row r="579" ht="28" customHeight="1">
      <x:c r="A579" s="4" t="n">
        <x:v>569</x:v>
      </x:c>
      <x:c r="B579" s="4" t="str">
        <x:v>como se come la feijoada</x:v>
      </x:c>
      <x:c r="C579" s="11" t="n">
        <x:v>3</x:v>
      </x:c>
      <x:c r="D579" s="11" t="n">
        <x:v>8</x:v>
      </x:c>
      <x:c r="E579" s="14" t="n">
        <x:v>0.375</x:v>
      </x:c>
      <x:c r="F579" s="12" t="n">
        <x:v>5.75</x:v>
      </x:c>
      <x:c r="G579" s="4" t="str">
        <x:v>Sin marca literal</x:v>
      </x:c>
      <x:c r="H579" s="11"/>
      <x:c r="I579" s="11" t="str">
        <x:f>IF(H579="","",C579-H579)</x:f>
      </x:c>
      <x:c r="J579" s="4"/>
      <x:c r="K579" s="4" t="str">
        <x:v>URLs de detalle page/query/country por clics. No asignan las impresiones de esta consulta a cada página.</x:v>
      </x:c>
    </x:row>
    <x:row r="580" ht="28" customHeight="1">
      <x:c r="A580" s="4" t="n">
        <x:v>570</x:v>
      </x:c>
      <x:c r="B580" s="4" t="str">
        <x:v>que requisitos piden para ser azafata</x:v>
      </x:c>
      <x:c r="C580" s="11" t="n">
        <x:v>3</x:v>
      </x:c>
      <x:c r="D580" s="11" t="n">
        <x:v>8</x:v>
      </x:c>
      <x:c r="E580" s="14" t="n">
        <x:v>0.375</x:v>
      </x:c>
      <x:c r="F580" s="12" t="n">
        <x:v>4.375</x:v>
      </x:c>
      <x:c r="G580" s="4" t="str">
        <x:v>Sin marca literal</x:v>
      </x:c>
      <x:c r="H580" s="11"/>
      <x:c r="I580" s="11" t="str">
        <x:f>IF(H580="","",C580-H580)</x:f>
      </x:c>
      <x:c r="J580" s="4"/>
      <x:c r="K580" s="4" t="str">
        <x:v>URLs de detalle page/query/country por clics. No asignan las impresiones de esta consulta a cada página.</x:v>
      </x:c>
    </x:row>
    <x:row r="581" ht="28" customHeight="1">
      <x:c r="A581" s="4" t="n">
        <x:v>571</x:v>
      </x:c>
      <x:c r="B581" s="4" t="str">
        <x:v>sky airlines bagagem de mão</x:v>
      </x:c>
      <x:c r="C581" s="11" t="n">
        <x:v>3</x:v>
      </x:c>
      <x:c r="D581" s="11" t="n">
        <x:v>7</x:v>
      </x:c>
      <x:c r="E581" s="14" t="n">
        <x:v>0.42857142857142855</x:v>
      </x:c>
      <x:c r="F581" s="12" t="n">
        <x:v>5.142857142857143</x:v>
      </x:c>
      <x:c r="G581" s="4" t="str">
        <x:v>Sin marca literal</x:v>
      </x:c>
      <x:c r="H581" s="11"/>
      <x:c r="I581" s="11" t="str">
        <x:f>IF(H581="","",C581-H581)</x:f>
      </x:c>
      <x:c r="J581" s="4"/>
      <x:c r="K581" s="4" t="str">
        <x:v>URLs de detalle page/query/country por clics. No asignan las impresiones de esta consulta a cada página.</x:v>
      </x:c>
    </x:row>
    <x:row r="582" ht="28" customHeight="1">
      <x:c r="A582" s="4" t="n">
        <x:v>572</x:v>
      </x:c>
      <x:c r="B582" s="4" t="str">
        <x:v>como pagar sky en linea</x:v>
      </x:c>
      <x:c r="C582" s="11" t="n">
        <x:v>3</x:v>
      </x:c>
      <x:c r="D582" s="11" t="n">
        <x:v>6</x:v>
      </x:c>
      <x:c r="E582" s="14" t="n">
        <x:v>0.5</x:v>
      </x:c>
      <x:c r="F582" s="12" t="n">
        <x:v>8</x:v>
      </x:c>
      <x:c r="G582" s="4" t="str">
        <x:v>Sin marca literal</x:v>
      </x:c>
      <x:c r="H582" s="11"/>
      <x:c r="I582" s="11" t="str">
        <x:f>IF(H582="","",C582-H582)</x:f>
      </x:c>
      <x:c r="J582" s="4"/>
      <x:c r="K582" s="4" t="str">
        <x:v>URLs de detalle page/query/country por clics. No asignan las impresiones de esta consulta a cada página.</x:v>
      </x:c>
    </x:row>
    <x:row r="583" ht="28" customHeight="1">
      <x:c r="A583" s="4" t="n">
        <x:v>573</x:v>
      </x:c>
      <x:c r="B583" s="4" t="str">
        <x:v>equipaje de sky airlines</x:v>
      </x:c>
      <x:c r="C583" s="11" t="n">
        <x:v>3</x:v>
      </x:c>
      <x:c r="D583" s="11" t="n">
        <x:v>6</x:v>
      </x:c>
      <x:c r="E583" s="14" t="n">
        <x:v>0.5</x:v>
      </x:c>
      <x:c r="F583" s="12" t="n">
        <x:v>4.833333333333334</x:v>
      </x:c>
      <x:c r="G583" s="4" t="str">
        <x:v>Sin marca literal</x:v>
      </x:c>
      <x:c r="H583" s="11"/>
      <x:c r="I583" s="11" t="str">
        <x:f>IF(H583="","",C583-H583)</x:f>
      </x:c>
      <x:c r="J583" s="4"/>
      <x:c r="K583" s="4" t="str">
        <x:v>URLs de detalle page/query/country por clics. No asignan las impresiones de esta consulta a cada página.</x:v>
      </x:c>
    </x:row>
    <x:row r="584" ht="28" customHeight="1">
      <x:c r="A584" s="4" t="n">
        <x:v>574</x:v>
      </x:c>
      <x:c r="B584" s="4" t="str">
        <x:v>playas de brasil santa catarina</x:v>
      </x:c>
      <x:c r="C584" s="11" t="n">
        <x:v>3</x:v>
      </x:c>
      <x:c r="D584" s="11" t="n">
        <x:v>5</x:v>
      </x:c>
      <x:c r="E584" s="14" t="n">
        <x:v>0.6</x:v>
      </x:c>
      <x:c r="F584" s="12" t="n">
        <x:v>10.2</x:v>
      </x:c>
      <x:c r="G584" s="4" t="str">
        <x:v>Sin marca literal</x:v>
      </x:c>
      <x:c r="H584" s="11"/>
      <x:c r="I584" s="11" t="str">
        <x:f>IF(H584="","",C584-H584)</x:f>
      </x:c>
      <x:c r="J584" s="4"/>
      <x:c r="K584" s="4" t="str">
        <x:v>URLs de detalle page/query/country por clics. No asignan las impresiones de esta consulta a cada página.</x:v>
      </x:c>
    </x:row>
    <x:row r="585" ht="28" customHeight="1">
      <x:c r="A585" s="4" t="n">
        <x:v>575</x:v>
      </x:c>
      <x:c r="B585" s="4" t="str">
        <x:v>que es un hostal</x:v>
      </x:c>
      <x:c r="C585" s="11" t="n">
        <x:v>2</x:v>
      </x:c>
      <x:c r="D585" s="11" t="n">
        <x:v>2538</x:v>
      </x:c>
      <x:c r="E585" s="14" t="n">
        <x:v>0.0007880220646178094</x:v>
      </x:c>
      <x:c r="F585" s="12" t="n">
        <x:v>7.722222222222222</x:v>
      </x:c>
      <x:c r="G585" s="4" t="str">
        <x:v>Sin marca literal</x:v>
      </x:c>
      <x:c r="H585" s="11" t="n">
        <x:v>7</x:v>
      </x:c>
      <x:c r="I585" s="11" t="n">
        <x:f>IF(H585="","",C585-H585)</x:f>
        <x:v>-5</x:v>
      </x:c>
      <x:c r="J585" s="4" t="str">
        <x:v>https://blog.skyairline.com/que-es-hostal/ (2 clics)</x:v>
      </x:c>
      <x:c r="K585" s="4" t="str">
        <x:v>URLs de detalle page/query/country por clics. No asignan las impresiones de esta consulta a cada página.</x:v>
      </x:c>
    </x:row>
    <x:row r="586" ht="28" customHeight="1">
      <x:c r="A586" s="4" t="n">
        <x:v>576</x:v>
      </x:c>
      <x:c r="B586" s="4" t="str">
        <x:v>dónde queda punta cana</x:v>
      </x:c>
      <x:c r="C586" s="11" t="n">
        <x:v>2</x:v>
      </x:c>
      <x:c r="D586" s="11" t="n">
        <x:v>2115</x:v>
      </x:c>
      <x:c r="E586" s="14" t="n">
        <x:v>0.0009456264775413711</x:v>
      </x:c>
      <x:c r="F586" s="12" t="n">
        <x:v>10.007565011820331</x:v>
      </x:c>
      <x:c r="G586" s="4" t="str">
        <x:v>Sin marca literal</x:v>
      </x:c>
      <x:c r="H586" s="11" t="n">
        <x:v>19</x:v>
      </x:c>
      <x:c r="I586" s="11" t="n">
        <x:f>IF(H586="","",C586-H586)</x:f>
        <x:v>-17</x:v>
      </x:c>
      <x:c r="J586" s="4" t="str">
        <x:v>https://blog.skyairline.com/donde-queda-punta-cana/ (2 clics)</x:v>
      </x:c>
      <x:c r="K586" s="4" t="str">
        <x:v>URLs de detalle page/query/country por clics. No asignan las impresiones de esta consulta a cada página.</x:v>
      </x:c>
    </x:row>
    <x:row r="587" ht="28" customHeight="1">
      <x:c r="A587" s="4" t="n">
        <x:v>577</x:v>
      </x:c>
      <x:c r="B587" s="4" t="str">
        <x:v>bahia inglesa</x:v>
      </x:c>
      <x:c r="C587" s="11" t="n">
        <x:v>2</x:v>
      </x:c>
      <x:c r="D587" s="11" t="n">
        <x:v>1915</x:v>
      </x:c>
      <x:c r="E587" s="14" t="n">
        <x:v>0.0010443864229765013</x:v>
      </x:c>
      <x:c r="F587" s="12" t="n">
        <x:v>14.031331592689295</x:v>
      </x:c>
      <x:c r="G587" s="4" t="str">
        <x:v>Sin marca literal</x:v>
      </x:c>
      <x:c r="H587" s="11" t="n">
        <x:v>3</x:v>
      </x:c>
      <x:c r="I587" s="11" t="n">
        <x:f>IF(H587="","",C587-H587)</x:f>
        <x:v>-1</x:v>
      </x:c>
      <x:c r="J587" s="4" t="str">
        <x:v>https://blog.skyairline.com/bahia-inglesa-2/ (2 clics)</x:v>
      </x:c>
      <x:c r="K587" s="4" t="str">
        <x:v>URLs de detalle page/query/country por clics. No asignan las impresiones de esta consulta a cada página.</x:v>
      </x:c>
    </x:row>
    <x:row r="588" ht="28" customHeight="1">
      <x:c r="A588" s="4" t="n">
        <x:v>578</x:v>
      </x:c>
      <x:c r="B588" s="4" t="str">
        <x:v>punta sal</x:v>
      </x:c>
      <x:c r="C588" s="11" t="n">
        <x:v>2</x:v>
      </x:c>
      <x:c r="D588" s="11" t="n">
        <x:v>1552</x:v>
      </x:c>
      <x:c r="E588" s="14" t="n">
        <x:v>0.001288659793814433</x:v>
      </x:c>
      <x:c r="F588" s="12" t="n">
        <x:v>10.092783505154639</x:v>
      </x:c>
      <x:c r="G588" s="4" t="str">
        <x:v>Sin marca literal</x:v>
      </x:c>
      <x:c r="H588" s="11" t="n">
        <x:v>2</x:v>
      </x:c>
      <x:c r="I588" s="11" t="n">
        <x:f>IF(H588="","",C588-H588)</x:f>
        <x:v>0</x:v>
      </x:c>
      <x:c r="J588" s="4" t="str">
        <x:v>https://blog.skyairline.com/punta-sal/ (2 clics)</x:v>
      </x:c>
      <x:c r="K588" s="4" t="str">
        <x:v>URLs de detalle page/query/country por clics. No asignan las impresiones de esta consulta a cada página.</x:v>
      </x:c>
    </x:row>
    <x:row r="589" ht="28" customHeight="1">
      <x:c r="A589" s="4" t="n">
        <x:v>579</x:v>
      </x:c>
      <x:c r="B589" s="4" t="str">
        <x:v>sky airlines</x:v>
      </x:c>
      <x:c r="C589" s="11" t="n">
        <x:v>2</x:v>
      </x:c>
      <x:c r="D589" s="11" t="n">
        <x:v>1548</x:v>
      </x:c>
      <x:c r="E589" s="14" t="n">
        <x:v>0.0012919896640826874</x:v>
      </x:c>
      <x:c r="F589" s="12" t="n">
        <x:v>3.9696382428940566</x:v>
      </x:c>
      <x:c r="G589" s="4" t="str">
        <x:v>Contiene marca</x:v>
      </x:c>
      <x:c r="H589" s="11" t="n">
        <x:v>6</x:v>
      </x:c>
      <x:c r="I589" s="11" t="n">
        <x:f>IF(H589="","",C589-H589)</x:f>
        <x:v>-4</x:v>
      </x:c>
      <x:c r="J589" s="4" t="str">
        <x:v>https://blog.skyairline.com/equipaje-de-cabina/ (2 clics)</x:v>
      </x:c>
      <x:c r="K589" s="4" t="str">
        <x:v>URLs de detalle page/query/country por clics. No asignan las impresiones de esta consulta a cada página.</x:v>
      </x:c>
    </x:row>
    <x:row r="590" ht="28" customHeight="1">
      <x:c r="A590" s="4" t="n">
        <x:v>580</x:v>
      </x:c>
      <x:c r="B590" s="4" t="str">
        <x:v>en que estacion estamos</x:v>
      </x:c>
      <x:c r="C590" s="11" t="n">
        <x:v>2</x:v>
      </x:c>
      <x:c r="D590" s="11" t="n">
        <x:v>1497</x:v>
      </x:c>
      <x:c r="E590" s="14" t="n">
        <x:v>0.0013360053440213762</x:v>
      </x:c>
      <x:c r="F590" s="12" t="n">
        <x:v>4.866399465597862</x:v>
      </x:c>
      <x:c r="G590" s="4" t="str">
        <x:v>Sin marca literal</x:v>
      </x:c>
      <x:c r="H590" s="11" t="n">
        <x:v>1</x:v>
      </x:c>
      <x:c r="I590" s="11" t="n">
        <x:f>IF(H590="","",C590-H590)</x:f>
        <x:v>1</x:v>
      </x:c>
      <x:c r="J590" s="4" t="str">
        <x:v>https://blog.skyairline.com/estaciones-en-chile/ (2 clics)</x:v>
      </x:c>
      <x:c r="K590" s="4" t="str">
        <x:v>URLs de detalle page/query/country por clics. No asignan las impresiones de esta consulta a cada página.</x:v>
      </x:c>
    </x:row>
    <x:row r="591" ht="28" customHeight="1">
      <x:c r="A591" s="4" t="n">
        <x:v>581</x:v>
      </x:c>
      <x:c r="B591" s="4" t="str">
        <x:v>cuando es verano en chile</x:v>
      </x:c>
      <x:c r="C591" s="11" t="n">
        <x:v>2</x:v>
      </x:c>
      <x:c r="D591" s="11" t="n">
        <x:v>1225</x:v>
      </x:c>
      <x:c r="E591" s="14" t="n">
        <x:v>0.0016326530612244899</x:v>
      </x:c>
      <x:c r="F591" s="12" t="n">
        <x:v>5.061224489795919</x:v>
      </x:c>
      <x:c r="G591" s="4" t="str">
        <x:v>Sin marca literal</x:v>
      </x:c>
      <x:c r="H591" s="11" t="n">
        <x:v>5</x:v>
      </x:c>
      <x:c r="I591" s="11" t="n">
        <x:f>IF(H591="","",C591-H591)</x:f>
        <x:v>-3</x:v>
      </x:c>
      <x:c r="J591" s="4" t="str">
        <x:v>https://blog.skyairline.com/estaciones-en-chile/ (2 clics)</x:v>
      </x:c>
      <x:c r="K591" s="4" t="str">
        <x:v>URLs de detalle page/query/country por clics. No asignan las impresiones de esta consulta a cada página.</x:v>
      </x:c>
    </x:row>
    <x:row r="592" ht="28" customHeight="1">
      <x:c r="A592" s="4" t="n">
        <x:v>582</x:v>
      </x:c>
      <x:c r="B592" s="4" t="str">
        <x:v>floripa</x:v>
      </x:c>
      <x:c r="C592" s="11" t="n">
        <x:v>2</x:v>
      </x:c>
      <x:c r="D592" s="11" t="n">
        <x:v>1002</x:v>
      </x:c>
      <x:c r="E592" s="14" t="n">
        <x:v>0.001996007984031936</x:v>
      </x:c>
      <x:c r="F592" s="12" t="n">
        <x:v>10.650698602794412</x:v>
      </x:c>
      <x:c r="G592" s="4" t="str">
        <x:v>Sin marca literal</x:v>
      </x:c>
      <x:c r="H592" s="11" t="n">
        <x:v>0</x:v>
      </x:c>
      <x:c r="I592" s="11" t="str">
        <x:f>IF(H592="","",C592-H592)</x:f>
      </x:c>
      <x:c r="J592" s="4" t="str">
        <x:v>https://blog.skyairline.com/clima-florianopolis/ (1 clics)
https://blog.skyairline.com/floripa/ (1 clics)</x:v>
      </x:c>
      <x:c r="K592" s="4" t="str">
        <x:v>URLs de detalle page/query/country por clics. No asignan las impresiones de esta consulta a cada página.</x:v>
      </x:c>
    </x:row>
    <x:row r="593" ht="28" customHeight="1">
      <x:c r="A593" s="4" t="n">
        <x:v>583</x:v>
      </x:c>
      <x:c r="B593" s="4" t="str">
        <x:v>catedral de tacna</x:v>
      </x:c>
      <x:c r="C593" s="11" t="n">
        <x:v>2</x:v>
      </x:c>
      <x:c r="D593" s="11" t="n">
        <x:v>912</x:v>
      </x:c>
      <x:c r="E593" s="14" t="n">
        <x:v>0.0021929824561403508</x:v>
      </x:c>
      <x:c r="F593" s="12" t="n">
        <x:v>7.336622807017544</x:v>
      </x:c>
      <x:c r="G593" s="4" t="str">
        <x:v>Sin marca literal</x:v>
      </x:c>
      <x:c r="H593" s="11"/>
      <x:c r="I593" s="11" t="str">
        <x:f>IF(H593="","",C593-H593)</x:f>
      </x:c>
      <x:c r="J593" s="4"/>
      <x:c r="K593" s="4" t="str">
        <x:v>URLs de detalle page/query/country por clics. No asignan las impresiones de esta consulta a cada página.</x:v>
      </x:c>
    </x:row>
    <x:row r="594" ht="28" customHeight="1">
      <x:c r="A594" s="4" t="n">
        <x:v>584</x:v>
      </x:c>
      <x:c r="B594" s="4" t="str">
        <x:v>barra de tijuca</x:v>
      </x:c>
      <x:c r="C594" s="11" t="n">
        <x:v>2</x:v>
      </x:c>
      <x:c r="D594" s="11" t="n">
        <x:v>891</x:v>
      </x:c>
      <x:c r="E594" s="14" t="n">
        <x:v>0.002244668911335578</x:v>
      </x:c>
      <x:c r="F594" s="12" t="n">
        <x:v>10.606060606060606</x:v>
      </x:c>
      <x:c r="G594" s="4" t="str">
        <x:v>Sin marca literal</x:v>
      </x:c>
      <x:c r="H594" s="11"/>
      <x:c r="I594" s="11" t="str">
        <x:f>IF(H594="","",C594-H594)</x:f>
      </x:c>
      <x:c r="J594" s="4"/>
      <x:c r="K594" s="4" t="str">
        <x:v>URLs de detalle page/query/country por clics. No asignan las impresiones de esta consulta a cada página.</x:v>
      </x:c>
    </x:row>
    <x:row r="595" ht="28" customHeight="1">
      <x:c r="A595" s="4" t="n">
        <x:v>585</x:v>
      </x:c>
      <x:c r="B595" s="4" t="str">
        <x:v>sur argentino</x:v>
      </x:c>
      <x:c r="C595" s="11" t="n">
        <x:v>2</x:v>
      </x:c>
      <x:c r="D595" s="11" t="n">
        <x:v>832</x:v>
      </x:c>
      <x:c r="E595" s="14" t="n">
        <x:v>0.002403846153846154</x:v>
      </x:c>
      <x:c r="F595" s="12" t="n">
        <x:v>8.917067307692307</x:v>
      </x:c>
      <x:c r="G595" s="4" t="str">
        <x:v>Sin marca literal</x:v>
      </x:c>
      <x:c r="H595" s="11"/>
      <x:c r="I595" s="11" t="str">
        <x:f>IF(H595="","",C595-H595)</x:f>
      </x:c>
      <x:c r="J595" s="4"/>
      <x:c r="K595" s="4" t="str">
        <x:v>URLs de detalle page/query/country por clics. No asignan las impresiones de esta consulta a cada página.</x:v>
      </x:c>
    </x:row>
    <x:row r="596" ht="28" customHeight="1">
      <x:c r="A596" s="4" t="n">
        <x:v>586</x:v>
      </x:c>
      <x:c r="B596" s="4" t="str">
        <x:v>playa los yuyos</x:v>
      </x:c>
      <x:c r="C596" s="11" t="n">
        <x:v>2</x:v>
      </x:c>
      <x:c r="D596" s="11" t="n">
        <x:v>787</x:v>
      </x:c>
      <x:c r="E596" s="14" t="n">
        <x:v>0.0025412960609911056</x:v>
      </x:c>
      <x:c r="F596" s="12" t="n">
        <x:v>9.595933926302415</x:v>
      </x:c>
      <x:c r="G596" s="4" t="str">
        <x:v>Sin marca literal</x:v>
      </x:c>
      <x:c r="H596" s="11"/>
      <x:c r="I596" s="11" t="str">
        <x:f>IF(H596="","",C596-H596)</x:f>
      </x:c>
      <x:c r="J596" s="4"/>
      <x:c r="K596" s="4" t="str">
        <x:v>URLs de detalle page/query/country por clics. No asignan las impresiones de esta consulta a cada página.</x:v>
      </x:c>
    </x:row>
    <x:row r="597" ht="28" customHeight="1">
      <x:c r="A597" s="4" t="n">
        <x:v>587</x:v>
      </x:c>
      <x:c r="B597" s="4" t="str">
        <x:v>aeropuerto de temuco</x:v>
      </x:c>
      <x:c r="C597" s="11" t="n">
        <x:v>2</x:v>
      </x:c>
      <x:c r="D597" s="11" t="n">
        <x:v>763</x:v>
      </x:c>
      <x:c r="E597" s="14" t="n">
        <x:v>0.002621231979030144</x:v>
      </x:c>
      <x:c r="F597" s="12" t="n">
        <x:v>7.6435124508519</x:v>
      </x:c>
      <x:c r="G597" s="4" t="str">
        <x:v>Sin marca literal</x:v>
      </x:c>
      <x:c r="H597" s="11"/>
      <x:c r="I597" s="11" t="str">
        <x:f>IF(H597="","",C597-H597)</x:f>
      </x:c>
      <x:c r="J597" s="4"/>
      <x:c r="K597" s="4" t="str">
        <x:v>URLs de detalle page/query/country por clics. No asignan las impresiones de esta consulta a cada página.</x:v>
      </x:c>
    </x:row>
    <x:row r="598" ht="28" customHeight="1">
      <x:c r="A598" s="4" t="n">
        <x:v>588</x:v>
      </x:c>
      <x:c r="B598" s="4" t="str">
        <x:v>en que epoca del año estamos</x:v>
      </x:c>
      <x:c r="C598" s="11" t="n">
        <x:v>2</x:v>
      </x:c>
      <x:c r="D598" s="11" t="n">
        <x:v>745</x:v>
      </x:c>
      <x:c r="E598" s="14" t="n">
        <x:v>0.0026845637583892616</x:v>
      </x:c>
      <x:c r="F598" s="12" t="n">
        <x:v>5.562416107382551</x:v>
      </x:c>
      <x:c r="G598" s="4" t="str">
        <x:v>Sin marca literal</x:v>
      </x:c>
      <x:c r="H598" s="11"/>
      <x:c r="I598" s="11" t="str">
        <x:f>IF(H598="","",C598-H598)</x:f>
      </x:c>
      <x:c r="J598" s="4"/>
      <x:c r="K598" s="4" t="str">
        <x:v>URLs de detalle page/query/country por clics. No asignan las impresiones de esta consulta a cada página.</x:v>
      </x:c>
    </x:row>
    <x:row r="599" ht="28" customHeight="1">
      <x:c r="A599" s="4" t="n">
        <x:v>589</x:v>
      </x:c>
      <x:c r="B599" s="4" t="str">
        <x:v>huilo huilo donde queda</x:v>
      </x:c>
      <x:c r="C599" s="11" t="n">
        <x:v>2</x:v>
      </x:c>
      <x:c r="D599" s="11" t="n">
        <x:v>742</x:v>
      </x:c>
      <x:c r="E599" s="14" t="n">
        <x:v>0.0026954177897574125</x:v>
      </x:c>
      <x:c r="F599" s="12" t="n">
        <x:v>10.602425876010782</x:v>
      </x:c>
      <x:c r="G599" s="4" t="str">
        <x:v>Sin marca literal</x:v>
      </x:c>
      <x:c r="H599" s="11"/>
      <x:c r="I599" s="11" t="str">
        <x:f>IF(H599="","",C599-H599)</x:f>
      </x:c>
      <x:c r="J599" s="4"/>
      <x:c r="K599" s="4" t="str">
        <x:v>URLs de detalle page/query/country por clics. No asignan las impresiones de esta consulta a cada página.</x:v>
      </x:c>
    </x:row>
    <x:row r="600" ht="28" customHeight="1">
      <x:c r="A600" s="4" t="n">
        <x:v>590</x:v>
      </x:c>
      <x:c r="B600" s="4" t="str">
        <x:v>platos típicos de la costa</x:v>
      </x:c>
      <x:c r="C600" s="11" t="n">
        <x:v>2</x:v>
      </x:c>
      <x:c r="D600" s="11" t="n">
        <x:v>691</x:v>
      </x:c>
      <x:c r="E600" s="14" t="n">
        <x:v>0.002894356005788712</x:v>
      </x:c>
      <x:c r="F600" s="12" t="n">
        <x:v>6.66425470332851</x:v>
      </x:c>
      <x:c r="G600" s="4" t="str">
        <x:v>Sin marca literal</x:v>
      </x:c>
      <x:c r="H600" s="11"/>
      <x:c r="I600" s="11" t="str">
        <x:f>IF(H600="","",C600-H600)</x:f>
      </x:c>
      <x:c r="J600" s="4"/>
      <x:c r="K600" s="4" t="str">
        <x:v>URLs de detalle page/query/country por clics. No asignan las impresiones de esta consulta a cada página.</x:v>
      </x:c>
    </x:row>
    <x:row r="601" ht="28" customHeight="1">
      <x:c r="A601" s="4" t="n">
        <x:v>591</x:v>
      </x:c>
      <x:c r="B601" s="4" t="str">
        <x:v>sky airlines check in</x:v>
      </x:c>
      <x:c r="C601" s="11" t="n">
        <x:v>2</x:v>
      </x:c>
      <x:c r="D601" s="11" t="n">
        <x:v>645</x:v>
      </x:c>
      <x:c r="E601" s="14" t="n">
        <x:v>0.0031007751937984496</x:v>
      </x:c>
      <x:c r="F601" s="12" t="n">
        <x:v>7.3782945736434105</x:v>
      </x:c>
      <x:c r="G601" s="4" t="str">
        <x:v>Sin marca literal</x:v>
      </x:c>
      <x:c r="H601" s="11"/>
      <x:c r="I601" s="11" t="str">
        <x:f>IF(H601="","",C601-H601)</x:f>
      </x:c>
      <x:c r="J601" s="4"/>
      <x:c r="K601" s="4" t="str">
        <x:v>URLs de detalle page/query/country por clics. No asignan las impresiones de esta consulta a cada página.</x:v>
      </x:c>
    </x:row>
    <x:row r="602" ht="28" customHeight="1">
      <x:c r="A602" s="4" t="n">
        <x:v>592</x:v>
      </x:c>
      <x:c r="B602" s="4" t="str">
        <x:v>rajuntay donde queda</x:v>
      </x:c>
      <x:c r="C602" s="11" t="n">
        <x:v>2</x:v>
      </x:c>
      <x:c r="D602" s="11" t="n">
        <x:v>631</x:v>
      </x:c>
      <x:c r="E602" s="14" t="n">
        <x:v>0.003169572107765452</x:v>
      </x:c>
      <x:c r="F602" s="12" t="n">
        <x:v>9.340729001584785</x:v>
      </x:c>
      <x:c r="G602" s="4" t="str">
        <x:v>Sin marca literal</x:v>
      </x:c>
      <x:c r="H602" s="11"/>
      <x:c r="I602" s="11" t="str">
        <x:f>IF(H602="","",C602-H602)</x:f>
      </x:c>
      <x:c r="J602" s="4"/>
      <x:c r="K602" s="4" t="str">
        <x:v>URLs de detalle page/query/country por clics. No asignan las impresiones de esta consulta a cada página.</x:v>
      </x:c>
    </x:row>
    <x:row r="603" ht="28" customHeight="1">
      <x:c r="A603" s="4" t="n">
        <x:v>593</x:v>
      </x:c>
      <x:c r="B603" s="4" t="str">
        <x:v>couchsurfing</x:v>
      </x:c>
      <x:c r="C603" s="11" t="n">
        <x:v>2</x:v>
      </x:c>
      <x:c r="D603" s="11" t="n">
        <x:v>626</x:v>
      </x:c>
      <x:c r="E603" s="14" t="n">
        <x:v>0.003194888178913738</x:v>
      </x:c>
      <x:c r="F603" s="12" t="n">
        <x:v>6.89297124600639</x:v>
      </x:c>
      <x:c r="G603" s="4" t="str">
        <x:v>Sin marca literal</x:v>
      </x:c>
      <x:c r="H603" s="11"/>
      <x:c r="I603" s="11" t="str">
        <x:f>IF(H603="","",C603-H603)</x:f>
      </x:c>
      <x:c r="J603" s="4"/>
      <x:c r="K603" s="4" t="str">
        <x:v>URLs de detalle page/query/country por clics. No asignan las impresiones de esta consulta a cada página.</x:v>
      </x:c>
    </x:row>
    <x:row r="604" ht="28" customHeight="1">
      <x:c r="A604" s="4" t="n">
        <x:v>594</x:v>
      </x:c>
      <x:c r="B604" s="4" t="str">
        <x:v>distancia de punta cana a santo domingo</x:v>
      </x:c>
      <x:c r="C604" s="11" t="n">
        <x:v>2</x:v>
      </x:c>
      <x:c r="D604" s="11" t="n">
        <x:v>603</x:v>
      </x:c>
      <x:c r="E604" s="14" t="n">
        <x:v>0.003316749585406302</x:v>
      </x:c>
      <x:c r="F604" s="12" t="n">
        <x:v>6.734660033167496</x:v>
      </x:c>
      <x:c r="G604" s="4" t="str">
        <x:v>Sin marca literal</x:v>
      </x:c>
      <x:c r="H604" s="11"/>
      <x:c r="I604" s="11" t="str">
        <x:f>IF(H604="","",C604-H604)</x:f>
      </x:c>
      <x:c r="J604" s="4"/>
      <x:c r="K604" s="4" t="str">
        <x:v>URLs de detalle page/query/country por clics. No asignan las impresiones de esta consulta a cada página.</x:v>
      </x:c>
    </x:row>
    <x:row r="605" ht="28" customHeight="1">
      <x:c r="A605" s="4" t="n">
        <x:v>595</x:v>
      </x:c>
      <x:c r="B605" s="4" t="str">
        <x:v>donde esta punta cana</x:v>
      </x:c>
      <x:c r="C605" s="11" t="n">
        <x:v>2</x:v>
      </x:c>
      <x:c r="D605" s="11" t="n">
        <x:v>594</x:v>
      </x:c>
      <x:c r="E605" s="14" t="n">
        <x:v>0.003367003367003367</x:v>
      </x:c>
      <x:c r="F605" s="12" t="n">
        <x:v>8.861952861952862</x:v>
      </x:c>
      <x:c r="G605" s="4" t="str">
        <x:v>Sin marca literal</x:v>
      </x:c>
      <x:c r="H605" s="11"/>
      <x:c r="I605" s="11" t="str">
        <x:f>IF(H605="","",C605-H605)</x:f>
      </x:c>
      <x:c r="J605" s="4"/>
      <x:c r="K605" s="4" t="str">
        <x:v>URLs de detalle page/query/country por clics. No asignan las impresiones de esta consulta a cada página.</x:v>
      </x:c>
    </x:row>
    <x:row r="606" ht="28" customHeight="1">
      <x:c r="A606" s="4" t="n">
        <x:v>596</x:v>
      </x:c>
      <x:c r="B606" s="4" t="str">
        <x:v>equipaje de mano</x:v>
      </x:c>
      <x:c r="C606" s="11" t="n">
        <x:v>2</x:v>
      </x:c>
      <x:c r="D606" s="11" t="n">
        <x:v>583</x:v>
      </x:c>
      <x:c r="E606" s="14" t="n">
        <x:v>0.003430531732418525</x:v>
      </x:c>
      <x:c r="F606" s="12" t="n">
        <x:v>13.919382504288164</x:v>
      </x:c>
      <x:c r="G606" s="4" t="str">
        <x:v>Sin marca literal</x:v>
      </x:c>
      <x:c r="H606" s="11"/>
      <x:c r="I606" s="11" t="str">
        <x:f>IF(H606="","",C606-H606)</x:f>
      </x:c>
      <x:c r="J606" s="4"/>
      <x:c r="K606" s="4" t="str">
        <x:v>URLs de detalle page/query/country por clics. No asignan las impresiones de esta consulta a cada página.</x:v>
      </x:c>
    </x:row>
    <x:row r="607" ht="28" customHeight="1">
      <x:c r="A607" s="4" t="n">
        <x:v>597</x:v>
      </x:c>
      <x:c r="B607" s="4" t="str">
        <x:v>enchufe peru</x:v>
      </x:c>
      <x:c r="C607" s="11" t="n">
        <x:v>2</x:v>
      </x:c>
      <x:c r="D607" s="11" t="n">
        <x:v>582</x:v>
      </x:c>
      <x:c r="E607" s="14" t="n">
        <x:v>0.003436426116838488</x:v>
      </x:c>
      <x:c r="F607" s="12" t="n">
        <x:v>7.353951890034364</x:v>
      </x:c>
      <x:c r="G607" s="4" t="str">
        <x:v>Sin marca literal</x:v>
      </x:c>
      <x:c r="H607" s="11"/>
      <x:c r="I607" s="11" t="str">
        <x:f>IF(H607="","",C607-H607)</x:f>
      </x:c>
      <x:c r="J607" s="4"/>
      <x:c r="K607" s="4" t="str">
        <x:v>URLs de detalle page/query/country por clics. No asignan las impresiones de esta consulta a cada página.</x:v>
      </x:c>
    </x:row>
    <x:row r="608" ht="28" customHeight="1">
      <x:c r="A608" s="4" t="n">
        <x:v>598</x:v>
      </x:c>
      <x:c r="B608" s="4" t="str">
        <x:v>punta cana a santo domingo</x:v>
      </x:c>
      <x:c r="C608" s="11" t="n">
        <x:v>2</x:v>
      </x:c>
      <x:c r="D608" s="11" t="n">
        <x:v>582</x:v>
      </x:c>
      <x:c r="E608" s="14" t="n">
        <x:v>0.003436426116838488</x:v>
      </x:c>
      <x:c r="F608" s="12" t="n">
        <x:v>8.243986254295532</x:v>
      </x:c>
      <x:c r="G608" s="4" t="str">
        <x:v>Sin marca literal</x:v>
      </x:c>
      <x:c r="H608" s="11"/>
      <x:c r="I608" s="11" t="str">
        <x:f>IF(H608="","",C608-H608)</x:f>
      </x:c>
      <x:c r="J608" s="4"/>
      <x:c r="K608" s="4" t="str">
        <x:v>URLs de detalle page/query/country por clics. No asignan las impresiones de esta consulta a cada página.</x:v>
      </x:c>
    </x:row>
    <x:row r="609" ht="28" customHeight="1">
      <x:c r="A609" s="4" t="n">
        <x:v>599</x:v>
      </x:c>
      <x:c r="B609" s="4" t="str">
        <x:v>en que estación estamos en chile</x:v>
      </x:c>
      <x:c r="C609" s="11" t="n">
        <x:v>2</x:v>
      </x:c>
      <x:c r="D609" s="11" t="n">
        <x:v>565</x:v>
      </x:c>
      <x:c r="E609" s="14" t="n">
        <x:v>0.0035398230088495575</x:v>
      </x:c>
      <x:c r="F609" s="12" t="n">
        <x:v>3.2725663716814157</x:v>
      </x:c>
      <x:c r="G609" s="4" t="str">
        <x:v>Sin marca literal</x:v>
      </x:c>
      <x:c r="H609" s="11"/>
      <x:c r="I609" s="11" t="str">
        <x:f>IF(H609="","",C609-H609)</x:f>
      </x:c>
      <x:c r="J609" s="4"/>
      <x:c r="K609" s="4" t="str">
        <x:v>URLs de detalle page/query/country por clics. No asignan las impresiones de esta consulta a cada página.</x:v>
      </x:c>
    </x:row>
    <x:row r="610" ht="28" customHeight="1">
      <x:c r="A610" s="4" t="n">
        <x:v>600</x:v>
      </x:c>
      <x:c r="B610" s="4" t="str">
        <x:v>montevideo punta del este</x:v>
      </x:c>
      <x:c r="C610" s="11" t="n">
        <x:v>2</x:v>
      </x:c>
      <x:c r="D610" s="11" t="n">
        <x:v>496</x:v>
      </x:c>
      <x:c r="E610" s="14" t="n">
        <x:v>0.004032258064516129</x:v>
      </x:c>
      <x:c r="F610" s="12" t="n">
        <x:v>7.147177419354839</x:v>
      </x:c>
      <x:c r="G610" s="4" t="str">
        <x:v>Sin marca literal</x:v>
      </x:c>
      <x:c r="H610" s="11"/>
      <x:c r="I610" s="11" t="str">
        <x:f>IF(H610="","",C610-H610)</x:f>
      </x:c>
      <x:c r="J610" s="4"/>
      <x:c r="K610" s="4" t="str">
        <x:v>URLs de detalle page/query/country por clics. No asignan las impresiones de esta consulta a cada página.</x:v>
      </x:c>
    </x:row>
    <x:row r="611" ht="28" customHeight="1">
      <x:c r="A611" s="4" t="n">
        <x:v>601</x:v>
      </x:c>
      <x:c r="B611" s="4" t="str">
        <x:v>paises del caribe</x:v>
      </x:c>
      <x:c r="C611" s="11" t="n">
        <x:v>2</x:v>
      </x:c>
      <x:c r="D611" s="11" t="n">
        <x:v>493</x:v>
      </x:c>
      <x:c r="E611" s="14" t="n">
        <x:v>0.004056795131845842</x:v>
      </x:c>
      <x:c r="F611" s="12" t="n">
        <x:v>11.087221095334685</x:v>
      </x:c>
      <x:c r="G611" s="4" t="str">
        <x:v>Sin marca literal</x:v>
      </x:c>
      <x:c r="H611" s="11"/>
      <x:c r="I611" s="11" t="str">
        <x:f>IF(H611="","",C611-H611)</x:f>
      </x:c>
      <x:c r="J611" s="4"/>
      <x:c r="K611" s="4" t="str">
        <x:v>URLs de detalle page/query/country por clics. No asignan las impresiones de esta consulta a cada página.</x:v>
      </x:c>
    </x:row>
    <x:row r="612" ht="28" customHeight="1">
      <x:c r="A612" s="4" t="n">
        <x:v>602</x:v>
      </x:c>
      <x:c r="B612" s="4" t="str">
        <x:v>baile tipico de peru</x:v>
      </x:c>
      <x:c r="C612" s="11" t="n">
        <x:v>2</x:v>
      </x:c>
      <x:c r="D612" s="11" t="n">
        <x:v>482</x:v>
      </x:c>
      <x:c r="E612" s="14" t="n">
        <x:v>0.004149377593360996</x:v>
      </x:c>
      <x:c r="F612" s="12" t="n">
        <x:v>5.039419087136929</x:v>
      </x:c>
      <x:c r="G612" s="4" t="str">
        <x:v>Sin marca literal</x:v>
      </x:c>
      <x:c r="H612" s="11"/>
      <x:c r="I612" s="11" t="str">
        <x:f>IF(H612="","",C612-H612)</x:f>
      </x:c>
      <x:c r="J612" s="4"/>
      <x:c r="K612" s="4" t="str">
        <x:v>URLs de detalle page/query/country por clics. No asignan las impresiones de esta consulta a cada página.</x:v>
      </x:c>
    </x:row>
    <x:row r="613" ht="28" customHeight="1">
      <x:c r="A613" s="4" t="n">
        <x:v>603</x:v>
      </x:c>
      <x:c r="B613" s="4" t="str">
        <x:v>enchufes argentina</x:v>
      </x:c>
      <x:c r="C613" s="11" t="n">
        <x:v>2</x:v>
      </x:c>
      <x:c r="D613" s="11" t="n">
        <x:v>442</x:v>
      </x:c>
      <x:c r="E613" s="14" t="n">
        <x:v>0.004524886877828055</x:v>
      </x:c>
      <x:c r="F613" s="12" t="n">
        <x:v>7.728506787330317</x:v>
      </x:c>
      <x:c r="G613" s="4" t="str">
        <x:v>Sin marca literal</x:v>
      </x:c>
      <x:c r="H613" s="11"/>
      <x:c r="I613" s="11" t="str">
        <x:f>IF(H613="","",C613-H613)</x:f>
      </x:c>
      <x:c r="J613" s="4"/>
      <x:c r="K613" s="4" t="str">
        <x:v>URLs de detalle page/query/country por clics. No asignan las impresiones de esta consulta a cada página.</x:v>
      </x:c>
    </x:row>
    <x:row r="614" ht="28" customHeight="1">
      <x:c r="A614" s="4" t="n">
        <x:v>604</x:v>
      </x:c>
      <x:c r="B614" s="4" t="str">
        <x:v>que es el check in</x:v>
      </x:c>
      <x:c r="C614" s="11" t="n">
        <x:v>2</x:v>
      </x:c>
      <x:c r="D614" s="11" t="n">
        <x:v>436</x:v>
      </x:c>
      <x:c r="E614" s="14" t="n">
        <x:v>0.0045871559633027525</x:v>
      </x:c>
      <x:c r="F614" s="12" t="n">
        <x:v>8.36467889908257</x:v>
      </x:c>
      <x:c r="G614" s="4" t="str">
        <x:v>Sin marca literal</x:v>
      </x:c>
      <x:c r="H614" s="11"/>
      <x:c r="I614" s="11" t="str">
        <x:f>IF(H614="","",C614-H614)</x:f>
      </x:c>
      <x:c r="J614" s="4"/>
      <x:c r="K614" s="4" t="str">
        <x:v>URLs de detalle page/query/country por clics. No asignan las impresiones de esta consulta a cada página.</x:v>
      </x:c>
    </x:row>
    <x:row r="615" ht="28" customHeight="1">
      <x:c r="A615" s="4" t="n">
        <x:v>605</x:v>
      </x:c>
      <x:c r="B615" s="4" t="str">
        <x:v>temporada baja en punta cana</x:v>
      </x:c>
      <x:c r="C615" s="11" t="n">
        <x:v>2</x:v>
      </x:c>
      <x:c r="D615" s="11" t="n">
        <x:v>423</x:v>
      </x:c>
      <x:c r="E615" s="14" t="n">
        <x:v>0.004728132387706856</x:v>
      </x:c>
      <x:c r="F615" s="12" t="n">
        <x:v>6.23404255319149</x:v>
      </x:c>
      <x:c r="G615" s="4" t="str">
        <x:v>Sin marca literal</x:v>
      </x:c>
      <x:c r="H615" s="11"/>
      <x:c r="I615" s="11" t="str">
        <x:f>IF(H615="","",C615-H615)</x:f>
      </x:c>
      <x:c r="J615" s="4"/>
      <x:c r="K615" s="4" t="str">
        <x:v>URLs de detalle page/query/country por clics. No asignan las impresiones de esta consulta a cada página.</x:v>
      </x:c>
    </x:row>
    <x:row r="616" ht="28" customHeight="1">
      <x:c r="A616" s="4" t="n">
        <x:v>606</x:v>
      </x:c>
      <x:c r="B616" s="4" t="str">
        <x:v>asientos de avion</x:v>
      </x:c>
      <x:c r="C616" s="11" t="n">
        <x:v>2</x:v>
      </x:c>
      <x:c r="D616" s="11" t="n">
        <x:v>418</x:v>
      </x:c>
      <x:c r="E616" s="14" t="n">
        <x:v>0.004784688995215311</x:v>
      </x:c>
      <x:c r="F616" s="12" t="n">
        <x:v>8.177033492822966</x:v>
      </x:c>
      <x:c r="G616" s="4" t="str">
        <x:v>Sin marca literal</x:v>
      </x:c>
      <x:c r="H616" s="11"/>
      <x:c r="I616" s="11" t="str">
        <x:f>IF(H616="","",C616-H616)</x:f>
      </x:c>
      <x:c r="J616" s="4"/>
      <x:c r="K616" s="4" t="str">
        <x:v>URLs de detalle page/query/country por clics. No asignan las impresiones de esta consulta a cada página.</x:v>
      </x:c>
    </x:row>
    <x:row r="617" ht="28" customHeight="1">
      <x:c r="A617" s="4" t="n">
        <x:v>607</x:v>
      </x:c>
      <x:c r="B617" s="4" t="str">
        <x:v>punta sal peru</x:v>
      </x:c>
      <x:c r="C617" s="11" t="n">
        <x:v>2</x:v>
      </x:c>
      <x:c r="D617" s="11" t="n">
        <x:v>395</x:v>
      </x:c>
      <x:c r="E617" s="14" t="n">
        <x:v>0.005063291139240506</x:v>
      </x:c>
      <x:c r="F617" s="12" t="n">
        <x:v>10.8</x:v>
      </x:c>
      <x:c r="G617" s="4" t="str">
        <x:v>Sin marca literal</x:v>
      </x:c>
      <x:c r="H617" s="11"/>
      <x:c r="I617" s="11" t="str">
        <x:f>IF(H617="","",C617-H617)</x:f>
      </x:c>
      <x:c r="J617" s="4"/>
      <x:c r="K617" s="4" t="str">
        <x:v>URLs de detalle page/query/country por clics. No asignan las impresiones de esta consulta a cada página.</x:v>
      </x:c>
    </x:row>
    <x:row r="618" ht="28" customHeight="1">
      <x:c r="A618" s="4" t="n">
        <x:v>608</x:v>
      </x:c>
      <x:c r="B618" s="4" t="str">
        <x:v>cuantos aeropuertos hay en buenos aires</x:v>
      </x:c>
      <x:c r="C618" s="11" t="n">
        <x:v>2</x:v>
      </x:c>
      <x:c r="D618" s="11" t="n">
        <x:v>393</x:v>
      </x:c>
      <x:c r="E618" s="14" t="n">
        <x:v>0.005089058524173028</x:v>
      </x:c>
      <x:c r="F618" s="12" t="n">
        <x:v>2.5012722646310435</x:v>
      </x:c>
      <x:c r="G618" s="4" t="str">
        <x:v>Sin marca literal</x:v>
      </x:c>
      <x:c r="H618" s="11"/>
      <x:c r="I618" s="11" t="str">
        <x:f>IF(H618="","",C618-H618)</x:f>
      </x:c>
      <x:c r="J618" s="4"/>
      <x:c r="K618" s="4" t="str">
        <x:v>URLs de detalle page/query/country por clics. No asignan las impresiones de esta consulta a cada página.</x:v>
      </x:c>
    </x:row>
    <x:row r="619" ht="28" customHeight="1">
      <x:c r="A619" s="4" t="n">
        <x:v>609</x:v>
      </x:c>
      <x:c r="B619" s="4" t="str">
        <x:v>sky pasajes</x:v>
      </x:c>
      <x:c r="C619" s="11" t="n">
        <x:v>2</x:v>
      </x:c>
      <x:c r="D619" s="11" t="n">
        <x:v>390</x:v>
      </x:c>
      <x:c r="E619" s="14" t="n">
        <x:v>0.005128205128205128</x:v>
      </x:c>
      <x:c r="F619" s="12" t="n">
        <x:v>6.412820512820513</x:v>
      </x:c>
      <x:c r="G619" s="4" t="str">
        <x:v>Sin marca literal</x:v>
      </x:c>
      <x:c r="H619" s="11"/>
      <x:c r="I619" s="11" t="str">
        <x:f>IF(H619="","",C619-H619)</x:f>
      </x:c>
      <x:c r="J619" s="4"/>
      <x:c r="K619" s="4" t="str">
        <x:v>URLs de detalle page/query/country por clics. No asignan las impresiones de esta consulta a cada página.</x:v>
      </x:c>
    </x:row>
    <x:row r="620" ht="28" customHeight="1">
      <x:c r="A620" s="4" t="n">
        <x:v>610</x:v>
      </x:c>
      <x:c r="B620" s="4" t="str">
        <x:v>bungee jumping</x:v>
      </x:c>
      <x:c r="C620" s="11" t="n">
        <x:v>2</x:v>
      </x:c>
      <x:c r="D620" s="11" t="n">
        <x:v>383</x:v>
      </x:c>
      <x:c r="E620" s="14" t="n">
        <x:v>0.005221932114882507</x:v>
      </x:c>
      <x:c r="F620" s="12" t="n">
        <x:v>10.109660574412533</x:v>
      </x:c>
      <x:c r="G620" s="4" t="str">
        <x:v>Sin marca literal</x:v>
      </x:c>
      <x:c r="H620" s="11"/>
      <x:c r="I620" s="11" t="str">
        <x:f>IF(H620="","",C620-H620)</x:f>
      </x:c>
      <x:c r="J620" s="4"/>
      <x:c r="K620" s="4" t="str">
        <x:v>URLs de detalle page/query/country por clics. No asignan las impresiones de esta consulta a cada página.</x:v>
      </x:c>
    </x:row>
    <x:row r="621" ht="28" customHeight="1">
      <x:c r="A621" s="4" t="n">
        <x:v>611</x:v>
      </x:c>
      <x:c r="B621" s="4" t="str">
        <x:v>aeropuerto de buenos aires</x:v>
      </x:c>
      <x:c r="C621" s="11" t="n">
        <x:v>2</x:v>
      </x:c>
      <x:c r="D621" s="11" t="n">
        <x:v>378</x:v>
      </x:c>
      <x:c r="E621" s="14" t="n">
        <x:v>0.005291005291005291</x:v>
      </x:c>
      <x:c r="F621" s="12" t="n">
        <x:v>6.330687830687831</x:v>
      </x:c>
      <x:c r="G621" s="4" t="str">
        <x:v>Sin marca literal</x:v>
      </x:c>
      <x:c r="H621" s="11"/>
      <x:c r="I621" s="11" t="str">
        <x:f>IF(H621="","",C621-H621)</x:f>
      </x:c>
      <x:c r="J621" s="4"/>
      <x:c r="K621" s="4" t="str">
        <x:v>URLs de detalle page/query/country por clics. No asignan las impresiones de esta consulta a cada página.</x:v>
      </x:c>
    </x:row>
    <x:row r="622" ht="28" customHeight="1">
      <x:c r="A622" s="4" t="n">
        <x:v>612</x:v>
      </x:c>
      <x:c r="B622" s="4" t="str">
        <x:v>distancia montevideo punta del este</x:v>
      </x:c>
      <x:c r="C622" s="11" t="n">
        <x:v>2</x:v>
      </x:c>
      <x:c r="D622" s="11" t="n">
        <x:v>372</x:v>
      </x:c>
      <x:c r="E622" s="14" t="n">
        <x:v>0.005376344086021506</x:v>
      </x:c>
      <x:c r="F622" s="12" t="n">
        <x:v>4.75</x:v>
      </x:c>
      <x:c r="G622" s="4" t="str">
        <x:v>Sin marca literal</x:v>
      </x:c>
      <x:c r="H622" s="11"/>
      <x:c r="I622" s="11" t="str">
        <x:f>IF(H622="","",C622-H622)</x:f>
      </x:c>
      <x:c r="J622" s="4"/>
      <x:c r="K622" s="4" t="str">
        <x:v>URLs de detalle page/query/country por clics. No asignan las impresiones de esta consulta a cada página.</x:v>
      </x:c>
    </x:row>
    <x:row r="623" ht="28" customHeight="1">
      <x:c r="A623" s="4" t="n">
        <x:v>613</x:v>
      </x:c>
      <x:c r="B623" s="4" t="str">
        <x:v>bailes típicos de chile</x:v>
      </x:c>
      <x:c r="C623" s="11" t="n">
        <x:v>2</x:v>
      </x:c>
      <x:c r="D623" s="11" t="n">
        <x:v>368</x:v>
      </x:c>
      <x:c r="E623" s="14" t="n">
        <x:v>0.005434782608695652</x:v>
      </x:c>
      <x:c r="F623" s="12" t="n">
        <x:v>7.320652173913044</x:v>
      </x:c>
      <x:c r="G623" s="4" t="str">
        <x:v>Sin marca literal</x:v>
      </x:c>
      <x:c r="H623" s="11"/>
      <x:c r="I623" s="11" t="str">
        <x:f>IF(H623="","",C623-H623)</x:f>
      </x:c>
      <x:c r="J623" s="4"/>
      <x:c r="K623" s="4" t="str">
        <x:v>URLs de detalle page/query/country por clics. No asignan las impresiones de esta consulta a cada página.</x:v>
      </x:c>
    </x:row>
    <x:row r="624" ht="28" customHeight="1">
      <x:c r="A624" s="4" t="n">
        <x:v>614</x:v>
      </x:c>
      <x:c r="B624" s="4" t="str">
        <x:v>sky atención al cliente</x:v>
      </x:c>
      <x:c r="C624" s="11" t="n">
        <x:v>2</x:v>
      </x:c>
      <x:c r="D624" s="11" t="n">
        <x:v>365</x:v>
      </x:c>
      <x:c r="E624" s="14" t="n">
        <x:v>0.005479452054794521</x:v>
      </x:c>
      <x:c r="F624" s="12" t="n">
        <x:v>8.383561643835616</x:v>
      </x:c>
      <x:c r="G624" s="4" t="str">
        <x:v>Sin marca literal</x:v>
      </x:c>
      <x:c r="H624" s="11"/>
      <x:c r="I624" s="11" t="str">
        <x:f>IF(H624="","",C624-H624)</x:f>
      </x:c>
      <x:c r="J624" s="4"/>
      <x:c r="K624" s="4" t="str">
        <x:v>URLs de detalle page/query/country por clics. No asignan las impresiones de esta consulta a cada página.</x:v>
      </x:c>
    </x:row>
    <x:row r="625" ht="28" customHeight="1">
      <x:c r="A625" s="4" t="n">
        <x:v>615</x:v>
      </x:c>
      <x:c r="B625" s="4" t="str">
        <x:v>salvador de bahia</x:v>
      </x:c>
      <x:c r="C625" s="11" t="n">
        <x:v>2</x:v>
      </x:c>
      <x:c r="D625" s="11" t="n">
        <x:v>364</x:v>
      </x:c>
      <x:c r="E625" s="14" t="n">
        <x:v>0.005494505494505495</x:v>
      </x:c>
      <x:c r="F625" s="12" t="n">
        <x:v>11.164835164835164</x:v>
      </x:c>
      <x:c r="G625" s="4" t="str">
        <x:v>Sin marca literal</x:v>
      </x:c>
      <x:c r="H625" s="11"/>
      <x:c r="I625" s="11" t="str">
        <x:f>IF(H625="","",C625-H625)</x:f>
      </x:c>
      <x:c r="J625" s="4"/>
      <x:c r="K625" s="4" t="str">
        <x:v>URLs de detalle page/query/country por clics. No asignan las impresiones de esta consulta a cada página.</x:v>
      </x:c>
    </x:row>
    <x:row r="626" ht="28" customHeight="1">
      <x:c r="A626" s="4" t="n">
        <x:v>616</x:v>
      </x:c>
      <x:c r="B626" s="4" t="str">
        <x:v>folclor chileno</x:v>
      </x:c>
      <x:c r="C626" s="11" t="n">
        <x:v>2</x:v>
      </x:c>
      <x:c r="D626" s="11" t="n">
        <x:v>355</x:v>
      </x:c>
      <x:c r="E626" s="14" t="n">
        <x:v>0.005633802816901409</x:v>
      </x:c>
      <x:c r="F626" s="12" t="n">
        <x:v>8.91549295774648</x:v>
      </x:c>
      <x:c r="G626" s="4" t="str">
        <x:v>Sin marca literal</x:v>
      </x:c>
      <x:c r="H626" s="11"/>
      <x:c r="I626" s="11" t="str">
        <x:f>IF(H626="","",C626-H626)</x:f>
      </x:c>
      <x:c r="J626" s="4"/>
      <x:c r="K626" s="4" t="str">
        <x:v>URLs de detalle page/query/country por clics. No asignan las impresiones de esta consulta a cada página.</x:v>
      </x:c>
    </x:row>
    <x:row r="627" ht="28" customHeight="1">
      <x:c r="A627" s="4" t="n">
        <x:v>617</x:v>
      </x:c>
      <x:c r="B627" s="4" t="str">
        <x:v>distancia entre santo domingo y punta cana</x:v>
      </x:c>
      <x:c r="C627" s="11" t="n">
        <x:v>2</x:v>
      </x:c>
      <x:c r="D627" s="11" t="n">
        <x:v>347</x:v>
      </x:c>
      <x:c r="E627" s="14" t="n">
        <x:v>0.005763688760806916</x:v>
      </x:c>
      <x:c r="F627" s="12" t="n">
        <x:v>8.239193083573486</x:v>
      </x:c>
      <x:c r="G627" s="4" t="str">
        <x:v>Sin marca literal</x:v>
      </x:c>
      <x:c r="H627" s="11"/>
      <x:c r="I627" s="11" t="str">
        <x:f>IF(H627="","",C627-H627)</x:f>
      </x:c>
      <x:c r="J627" s="4"/>
      <x:c r="K627" s="4" t="str">
        <x:v>URLs de detalle page/query/country por clics. No asignan las impresiones de esta consulta a cada página.</x:v>
      </x:c>
    </x:row>
    <x:row r="628" ht="28" customHeight="1">
      <x:c r="A628" s="4" t="n">
        <x:v>618</x:v>
      </x:c>
      <x:c r="B628" s="4" t="str">
        <x:v>puedo llevar desodorante en aerosol en el avion</x:v>
      </x:c>
      <x:c r="C628" s="11" t="n">
        <x:v>2</x:v>
      </x:c>
      <x:c r="D628" s="11" t="n">
        <x:v>340</x:v>
      </x:c>
      <x:c r="E628" s="14" t="n">
        <x:v>0.0058823529411764705</x:v>
      </x:c>
      <x:c r="F628" s="12" t="n">
        <x:v>6.794117647058823</x:v>
      </x:c>
      <x:c r="G628" s="4" t="str">
        <x:v>Sin marca literal</x:v>
      </x:c>
      <x:c r="H628" s="11"/>
      <x:c r="I628" s="11" t="str">
        <x:f>IF(H628="","",C628-H628)</x:f>
      </x:c>
      <x:c r="J628" s="4"/>
      <x:c r="K628" s="4" t="str">
        <x:v>URLs de detalle page/query/country por clics. No asignan las impresiones de esta consulta a cada página.</x:v>
      </x:c>
    </x:row>
    <x:row r="629" ht="28" customHeight="1">
      <x:c r="A629" s="4" t="n">
        <x:v>619</x:v>
      </x:c>
      <x:c r="B629" s="4" t="str">
        <x:v>distancia entre puerto montt y puerto varas</x:v>
      </x:c>
      <x:c r="C629" s="11" t="n">
        <x:v>2</x:v>
      </x:c>
      <x:c r="D629" s="11" t="n">
        <x:v>324</x:v>
      </x:c>
      <x:c r="E629" s="14" t="n">
        <x:v>0.006172839506172839</x:v>
      </x:c>
      <x:c r="F629" s="12" t="n">
        <x:v>4.873456790123457</x:v>
      </x:c>
      <x:c r="G629" s="4" t="str">
        <x:v>Sin marca literal</x:v>
      </x:c>
      <x:c r="H629" s="11"/>
      <x:c r="I629" s="11" t="str">
        <x:f>IF(H629="","",C629-H629)</x:f>
      </x:c>
      <x:c r="J629" s="4"/>
      <x:c r="K629" s="4" t="str">
        <x:v>URLs de detalle page/query/country por clics. No asignan las impresiones de esta consulta a cada página.</x:v>
      </x:c>
    </x:row>
    <x:row r="630" ht="28" customHeight="1">
      <x:c r="A630" s="4" t="n">
        <x:v>620</x:v>
      </x:c>
      <x:c r="B630" s="4" t="str">
        <x:v>bailes típicos de chile por zona</x:v>
      </x:c>
      <x:c r="C630" s="11" t="n">
        <x:v>2</x:v>
      </x:c>
      <x:c r="D630" s="11" t="n">
        <x:v>311</x:v>
      </x:c>
      <x:c r="E630" s="14" t="n">
        <x:v>0.006430868167202572</x:v>
      </x:c>
      <x:c r="F630" s="12" t="n">
        <x:v>8.292604501607716</x:v>
      </x:c>
      <x:c r="G630" s="4" t="str">
        <x:v>Sin marca literal</x:v>
      </x:c>
      <x:c r="H630" s="11"/>
      <x:c r="I630" s="11" t="str">
        <x:f>IF(H630="","",C630-H630)</x:f>
      </x:c>
      <x:c r="J630" s="4"/>
      <x:c r="K630" s="4" t="str">
        <x:v>URLs de detalle page/query/country por clics. No asignan las impresiones de esta consulta a cada página.</x:v>
      </x:c>
    </x:row>
    <x:row r="631" ht="28" customHeight="1">
      <x:c r="A631" s="4" t="n">
        <x:v>621</x:v>
      </x:c>
      <x:c r="B631" s="4" t="str">
        <x:v>el caminito buenos aires</x:v>
      </x:c>
      <x:c r="C631" s="11" t="n">
        <x:v>2</x:v>
      </x:c>
      <x:c r="D631" s="11" t="n">
        <x:v>310</x:v>
      </x:c>
      <x:c r="E631" s="14" t="n">
        <x:v>0.0064516129032258064</x:v>
      </x:c>
      <x:c r="F631" s="12" t="n">
        <x:v>8.819354838709678</x:v>
      </x:c>
      <x:c r="G631" s="4" t="str">
        <x:v>Sin marca literal</x:v>
      </x:c>
      <x:c r="H631" s="11"/>
      <x:c r="I631" s="11" t="str">
        <x:f>IF(H631="","",C631-H631)</x:f>
      </x:c>
      <x:c r="J631" s="4"/>
      <x:c r="K631" s="4" t="str">
        <x:v>URLs de detalle page/query/country por clics. No asignan las impresiones de esta consulta a cada página.</x:v>
      </x:c>
    </x:row>
    <x:row r="632" ht="28" customHeight="1">
      <x:c r="A632" s="4" t="n">
        <x:v>622</x:v>
      </x:c>
      <x:c r="B632" s="4" t="str">
        <x:v>bailes tipicos</x:v>
      </x:c>
      <x:c r="C632" s="11" t="n">
        <x:v>2</x:v>
      </x:c>
      <x:c r="D632" s="11" t="n">
        <x:v>305</x:v>
      </x:c>
      <x:c r="E632" s="14" t="n">
        <x:v>0.006557377049180328</x:v>
      </x:c>
      <x:c r="F632" s="12" t="n">
        <x:v>6.00655737704918</x:v>
      </x:c>
      <x:c r="G632" s="4" t="str">
        <x:v>Sin marca literal</x:v>
      </x:c>
      <x:c r="H632" s="11"/>
      <x:c r="I632" s="11" t="str">
        <x:f>IF(H632="","",C632-H632)</x:f>
      </x:c>
      <x:c r="J632" s="4"/>
      <x:c r="K632" s="4" t="str">
        <x:v>URLs de detalle page/query/country por clics. No asignan las impresiones de esta consulta a cada página.</x:v>
      </x:c>
    </x:row>
    <x:row r="633" ht="28" customHeight="1">
      <x:c r="A633" s="4" t="n">
        <x:v>623</x:v>
      </x:c>
      <x:c r="B633" s="4" t="str">
        <x:v>en que estacion estamos chile</x:v>
      </x:c>
      <x:c r="C633" s="11" t="n">
        <x:v>2</x:v>
      </x:c>
      <x:c r="D633" s="11" t="n">
        <x:v>290</x:v>
      </x:c>
      <x:c r="E633" s="14" t="n">
        <x:v>0.006896551724137931</x:v>
      </x:c>
      <x:c r="F633" s="12" t="n">
        <x:v>3.5</x:v>
      </x:c>
      <x:c r="G633" s="4" t="str">
        <x:v>Sin marca literal</x:v>
      </x:c>
      <x:c r="H633" s="11"/>
      <x:c r="I633" s="11" t="str">
        <x:f>IF(H633="","",C633-H633)</x:f>
      </x:c>
      <x:c r="J633" s="4"/>
      <x:c r="K633" s="4" t="str">
        <x:v>URLs de detalle page/query/country por clics. No asignan las impresiones de esta consulta a cada página.</x:v>
      </x:c>
    </x:row>
    <x:row r="634" ht="28" customHeight="1">
      <x:c r="A634" s="4" t="n">
        <x:v>624</x:v>
      </x:c>
      <x:c r="B634" s="4" t="str">
        <x:v>selva peruana</x:v>
      </x:c>
      <x:c r="C634" s="11" t="n">
        <x:v>2</x:v>
      </x:c>
      <x:c r="D634" s="11" t="n">
        <x:v>286</x:v>
      </x:c>
      <x:c r="E634" s="14" t="n">
        <x:v>0.006993006993006993</x:v>
      </x:c>
      <x:c r="F634" s="12" t="n">
        <x:v>8.72027972027972</x:v>
      </x:c>
      <x:c r="G634" s="4" t="str">
        <x:v>Sin marca literal</x:v>
      </x:c>
      <x:c r="H634" s="11"/>
      <x:c r="I634" s="11" t="str">
        <x:f>IF(H634="","",C634-H634)</x:f>
      </x:c>
      <x:c r="J634" s="4"/>
      <x:c r="K634" s="4" t="str">
        <x:v>URLs de detalle page/query/country por clics. No asignan las impresiones de esta consulta a cada página.</x:v>
      </x:c>
    </x:row>
    <x:row r="635" ht="28" customHeight="1">
      <x:c r="A635" s="4" t="n">
        <x:v>625</x:v>
      </x:c>
      <x:c r="B635" s="4" t="str">
        <x:v>que es equipaje documentado</x:v>
      </x:c>
      <x:c r="C635" s="11" t="n">
        <x:v>2</x:v>
      </x:c>
      <x:c r="D635" s="11" t="n">
        <x:v>278</x:v>
      </x:c>
      <x:c r="E635" s="14" t="n">
        <x:v>0.007194244604316547</x:v>
      </x:c>
      <x:c r="F635" s="12" t="n">
        <x:v>4.76978417266187</x:v>
      </x:c>
      <x:c r="G635" s="4" t="str">
        <x:v>Sin marca literal</x:v>
      </x:c>
      <x:c r="H635" s="11"/>
      <x:c r="I635" s="11" t="str">
        <x:f>IF(H635="","",C635-H635)</x:f>
      </x:c>
      <x:c r="J635" s="4"/>
      <x:c r="K635" s="4" t="str">
        <x:v>URLs de detalle page/query/country por clics. No asignan las impresiones de esta consulta a cada página.</x:v>
      </x:c>
    </x:row>
    <x:row r="636" ht="28" customHeight="1">
      <x:c r="A636" s="4" t="n">
        <x:v>626</x:v>
      </x:c>
      <x:c r="B636" s="4" t="str">
        <x:v>musica tipica de brasil</x:v>
      </x:c>
      <x:c r="C636" s="11" t="n">
        <x:v>2</x:v>
      </x:c>
      <x:c r="D636" s="11" t="n">
        <x:v>268</x:v>
      </x:c>
      <x:c r="E636" s="14" t="n">
        <x:v>0.007462686567164179</x:v>
      </x:c>
      <x:c r="F636" s="12" t="n">
        <x:v>3.1940298507462686</x:v>
      </x:c>
      <x:c r="G636" s="4" t="str">
        <x:v>Sin marca literal</x:v>
      </x:c>
      <x:c r="H636" s="11"/>
      <x:c r="I636" s="11" t="str">
        <x:f>IF(H636="","",C636-H636)</x:f>
      </x:c>
      <x:c r="J636" s="4"/>
      <x:c r="K636" s="4" t="str">
        <x:v>URLs de detalle page/query/country por clics. No asignan las impresiones de esta consulta a cada página.</x:v>
      </x:c>
    </x:row>
    <x:row r="637" ht="28" customHeight="1">
      <x:c r="A637" s="4" t="n">
        <x:v>627</x:v>
      </x:c>
      <x:c r="B637" s="4" t="str">
        <x:v>auroras boreales</x:v>
      </x:c>
      <x:c r="C637" s="11" t="n">
        <x:v>2</x:v>
      </x:c>
      <x:c r="D637" s="11" t="n">
        <x:v>257</x:v>
      </x:c>
      <x:c r="E637" s="14" t="n">
        <x:v>0.007782101167315175</x:v>
      </x:c>
      <x:c r="F637" s="12" t="n">
        <x:v>7.914396887159533</x:v>
      </x:c>
      <x:c r="G637" s="4" t="str">
        <x:v>Sin marca literal</x:v>
      </x:c>
      <x:c r="H637" s="11"/>
      <x:c r="I637" s="11" t="str">
        <x:f>IF(H637="","",C637-H637)</x:f>
      </x:c>
      <x:c r="J637" s="4"/>
      <x:c r="K637" s="4" t="str">
        <x:v>URLs de detalle page/query/country por clics. No asignan las impresiones de esta consulta a cada página.</x:v>
      </x:c>
    </x:row>
    <x:row r="638" ht="28" customHeight="1">
      <x:c r="A638" s="4" t="n">
        <x:v>628</x:v>
      </x:c>
      <x:c r="B638" s="4" t="str">
        <x:v>temporada baja punta cana</x:v>
      </x:c>
      <x:c r="C638" s="11" t="n">
        <x:v>2</x:v>
      </x:c>
      <x:c r="D638" s="11" t="n">
        <x:v>253</x:v>
      </x:c>
      <x:c r="E638" s="14" t="n">
        <x:v>0.007905138339920948</x:v>
      </x:c>
      <x:c r="F638" s="12" t="n">
        <x:v>5.620553359683795</x:v>
      </x:c>
      <x:c r="G638" s="4" t="str">
        <x:v>Sin marca literal</x:v>
      </x:c>
      <x:c r="H638" s="11"/>
      <x:c r="I638" s="11" t="str">
        <x:f>IF(H638="","",C638-H638)</x:f>
      </x:c>
      <x:c r="J638" s="4"/>
      <x:c r="K638" s="4" t="str">
        <x:v>URLs de detalle page/query/country por clics. No asignan las impresiones de esta consulta a cada página.</x:v>
      </x:c>
    </x:row>
    <x:row r="639" ht="28" customHeight="1">
      <x:c r="A639" s="4" t="n">
        <x:v>629</x:v>
      </x:c>
      <x:c r="B639" s="4" t="str">
        <x:v>sky administra tu vuelo</x:v>
      </x:c>
      <x:c r="C639" s="11" t="n">
        <x:v>2</x:v>
      </x:c>
      <x:c r="D639" s="11" t="n">
        <x:v>249</x:v>
      </x:c>
      <x:c r="E639" s="14" t="n">
        <x:v>0.008032128514056224</x:v>
      </x:c>
      <x:c r="F639" s="12" t="n">
        <x:v>7.755020080321285</x:v>
      </x:c>
      <x:c r="G639" s="4" t="str">
        <x:v>Sin marca literal</x:v>
      </x:c>
      <x:c r="H639" s="11"/>
      <x:c r="I639" s="11" t="str">
        <x:f>IF(H639="","",C639-H639)</x:f>
      </x:c>
      <x:c r="J639" s="4"/>
      <x:c r="K639" s="4" t="str">
        <x:v>URLs de detalle page/query/country por clics. No asignan las impresiones de esta consulta a cada página.</x:v>
      </x:c>
    </x:row>
    <x:row r="640" ht="28" customHeight="1">
      <x:c r="A640" s="4" t="n">
        <x:v>630</x:v>
      </x:c>
      <x:c r="B640" s="4" t="str">
        <x:v>frutas chilenas</x:v>
      </x:c>
      <x:c r="C640" s="11" t="n">
        <x:v>2</x:v>
      </x:c>
      <x:c r="D640" s="11" t="n">
        <x:v>246</x:v>
      </x:c>
      <x:c r="E640" s="14" t="n">
        <x:v>0.008130081300813009</x:v>
      </x:c>
      <x:c r="F640" s="12" t="n">
        <x:v>8.991869918699187</x:v>
      </x:c>
      <x:c r="G640" s="4" t="str">
        <x:v>Sin marca literal</x:v>
      </x:c>
      <x:c r="H640" s="11"/>
      <x:c r="I640" s="11" t="str">
        <x:f>IF(H640="","",C640-H640)</x:f>
      </x:c>
      <x:c r="J640" s="4"/>
      <x:c r="K640" s="4" t="str">
        <x:v>URLs de detalle page/query/country por clics. No asignan las impresiones de esta consulta a cada página.</x:v>
      </x:c>
    </x:row>
    <x:row r="641" ht="28" customHeight="1">
      <x:c r="A641" s="4" t="n">
        <x:v>631</x:v>
      </x:c>
      <x:c r="B641" s="4" t="str">
        <x:v>distancia de florianopolis a rio de janeiro</x:v>
      </x:c>
      <x:c r="C641" s="11" t="n">
        <x:v>2</x:v>
      </x:c>
      <x:c r="D641" s="11" t="n">
        <x:v>245</x:v>
      </x:c>
      <x:c r="E641" s="14" t="n">
        <x:v>0.00816326530612245</x:v>
      </x:c>
      <x:c r="F641" s="12" t="n">
        <x:v>3.746938775510204</x:v>
      </x:c>
      <x:c r="G641" s="4" t="str">
        <x:v>Sin marca literal</x:v>
      </x:c>
      <x:c r="H641" s="11"/>
      <x:c r="I641" s="11" t="str">
        <x:f>IF(H641="","",C641-H641)</x:f>
      </x:c>
      <x:c r="J641" s="4"/>
      <x:c r="K641" s="4" t="str">
        <x:v>URLs de detalle page/query/country por clics. No asignan las impresiones de esta consulta a cada página.</x:v>
      </x:c>
    </x:row>
    <x:row r="642" ht="28" customHeight="1">
      <x:c r="A642" s="4" t="n">
        <x:v>632</x:v>
      </x:c>
      <x:c r="B642" s="4" t="str">
        <x:v>angra brasil</x:v>
      </x:c>
      <x:c r="C642" s="11" t="n">
        <x:v>2</x:v>
      </x:c>
      <x:c r="D642" s="11" t="n">
        <x:v>244</x:v>
      </x:c>
      <x:c r="E642" s="14" t="n">
        <x:v>0.00819672131147541</x:v>
      </x:c>
      <x:c r="F642" s="12" t="n">
        <x:v>11.331967213114755</x:v>
      </x:c>
      <x:c r="G642" s="4" t="str">
        <x:v>Sin marca literal</x:v>
      </x:c>
      <x:c r="H642" s="11"/>
      <x:c r="I642" s="11" t="str">
        <x:f>IF(H642="","",C642-H642)</x:f>
      </x:c>
      <x:c r="J642" s="4"/>
      <x:c r="K642" s="4" t="str">
        <x:v>URLs de detalle page/query/country por clics. No asignan las impresiones de esta consulta a cada página.</x:v>
      </x:c>
    </x:row>
    <x:row r="643" ht="28" customHeight="1">
      <x:c r="A643" s="4" t="n">
        <x:v>633</x:v>
      </x:c>
      <x:c r="B643" s="4" t="str">
        <x:v>parking aeropuerto santiago</x:v>
      </x:c>
      <x:c r="C643" s="11" t="n">
        <x:v>2</x:v>
      </x:c>
      <x:c r="D643" s="11" t="n">
        <x:v>230</x:v>
      </x:c>
      <x:c r="E643" s="14" t="n">
        <x:v>0.008695652173913044</x:v>
      </x:c>
      <x:c r="F643" s="12" t="n">
        <x:v>11.013043478260869</x:v>
      </x:c>
      <x:c r="G643" s="4" t="str">
        <x:v>Sin marca literal</x:v>
      </x:c>
      <x:c r="H643" s="11"/>
      <x:c r="I643" s="11" t="str">
        <x:f>IF(H643="","",C643-H643)</x:f>
      </x:c>
      <x:c r="J643" s="4"/>
      <x:c r="K643" s="4" t="str">
        <x:v>URLs de detalle page/query/country por clics. No asignan las impresiones de esta consulta a cada página.</x:v>
      </x:c>
    </x:row>
    <x:row r="644" ht="28" customHeight="1">
      <x:c r="A644" s="4" t="n">
        <x:v>634</x:v>
      </x:c>
      <x:c r="B644" s="4" t="str">
        <x:v>sky corporate</x:v>
      </x:c>
      <x:c r="C644" s="11" t="n">
        <x:v>2</x:v>
      </x:c>
      <x:c r="D644" s="11" t="n">
        <x:v>230</x:v>
      </x:c>
      <x:c r="E644" s="14" t="n">
        <x:v>0.008695652173913044</x:v>
      </x:c>
      <x:c r="F644" s="12" t="n">
        <x:v>6.334782608695652</x:v>
      </x:c>
      <x:c r="G644" s="4" t="str">
        <x:v>Sin marca literal</x:v>
      </x:c>
      <x:c r="H644" s="11"/>
      <x:c r="I644" s="11" t="str">
        <x:f>IF(H644="","",C644-H644)</x:f>
      </x:c>
      <x:c r="J644" s="4"/>
      <x:c r="K644" s="4" t="str">
        <x:v>URLs de detalle page/query/country por clics. No asignan las impresiones de esta consulta a cada página.</x:v>
      </x:c>
    </x:row>
    <x:row r="645" ht="28" customHeight="1">
      <x:c r="A645" s="4" t="n">
        <x:v>635</x:v>
      </x:c>
      <x:c r="B645" s="4" t="str">
        <x:v>distancia bogota villa de leyva</x:v>
      </x:c>
      <x:c r="C645" s="11" t="n">
        <x:v>2</x:v>
      </x:c>
      <x:c r="D645" s="11" t="n">
        <x:v>222</x:v>
      </x:c>
      <x:c r="E645" s="14" t="n">
        <x:v>0.009009009009009009</x:v>
      </x:c>
      <x:c r="F645" s="12" t="n">
        <x:v>7.887387387387387</x:v>
      </x:c>
      <x:c r="G645" s="4" t="str">
        <x:v>Sin marca literal</x:v>
      </x:c>
      <x:c r="H645" s="11"/>
      <x:c r="I645" s="11" t="str">
        <x:f>IF(H645="","",C645-H645)</x:f>
      </x:c>
      <x:c r="J645" s="4"/>
      <x:c r="K645" s="4" t="str">
        <x:v>URLs de detalle page/query/country por clics. No asignan las impresiones de esta consulta a cada página.</x:v>
      </x:c>
    </x:row>
    <x:row r="646" ht="28" customHeight="1">
      <x:c r="A646" s="4" t="n">
        <x:v>636</x:v>
      </x:c>
      <x:c r="B646" s="4" t="str">
        <x:v>estaciones del año fechas chile</x:v>
      </x:c>
      <x:c r="C646" s="11" t="n">
        <x:v>2</x:v>
      </x:c>
      <x:c r="D646" s="11" t="n">
        <x:v>195</x:v>
      </x:c>
      <x:c r="E646" s="14" t="n">
        <x:v>0.010256410256410256</x:v>
      </x:c>
      <x:c r="F646" s="12" t="n">
        <x:v>2.4923076923076923</x:v>
      </x:c>
      <x:c r="G646" s="4" t="str">
        <x:v>Sin marca literal</x:v>
      </x:c>
      <x:c r="H646" s="11"/>
      <x:c r="I646" s="11" t="str">
        <x:f>IF(H646="","",C646-H646)</x:f>
      </x:c>
      <x:c r="J646" s="4"/>
      <x:c r="K646" s="4" t="str">
        <x:v>URLs de detalle page/query/country por clics. No asignan las impresiones de esta consulta a cada página.</x:v>
      </x:c>
    </x:row>
    <x:row r="647" ht="28" customHeight="1">
      <x:c r="A647" s="4" t="n">
        <x:v>637</x:v>
      </x:c>
      <x:c r="B647" s="4" t="str">
        <x:v>bailes de chile</x:v>
      </x:c>
      <x:c r="C647" s="11" t="n">
        <x:v>2</x:v>
      </x:c>
      <x:c r="D647" s="11" t="n">
        <x:v>194</x:v>
      </x:c>
      <x:c r="E647" s="14" t="n">
        <x:v>0.010309278350515464</x:v>
      </x:c>
      <x:c r="F647" s="12" t="n">
        <x:v>3.5</x:v>
      </x:c>
      <x:c r="G647" s="4" t="str">
        <x:v>Sin marca literal</x:v>
      </x:c>
      <x:c r="H647" s="11"/>
      <x:c r="I647" s="11" t="str">
        <x:f>IF(H647="","",C647-H647)</x:f>
      </x:c>
      <x:c r="J647" s="4"/>
      <x:c r="K647" s="4" t="str">
        <x:v>URLs de detalle page/query/country por clics. No asignan las impresiones de esta consulta a cada página.</x:v>
      </x:c>
    </x:row>
    <x:row r="648" ht="28" customHeight="1">
      <x:c r="A648" s="4" t="n">
        <x:v>638</x:v>
      </x:c>
      <x:c r="B648" s="4" t="str">
        <x:v>aeropuerto castro</x:v>
      </x:c>
      <x:c r="C648" s="11" t="n">
        <x:v>2</x:v>
      </x:c>
      <x:c r="D648" s="11" t="n">
        <x:v>192</x:v>
      </x:c>
      <x:c r="E648" s="14" t="n">
        <x:v>0.010416666666666666</x:v>
      </x:c>
      <x:c r="F648" s="12" t="n">
        <x:v>5.953125</x:v>
      </x:c>
      <x:c r="G648" s="4" t="str">
        <x:v>Sin marca literal</x:v>
      </x:c>
      <x:c r="H648" s="11"/>
      <x:c r="I648" s="11" t="str">
        <x:f>IF(H648="","",C648-H648)</x:f>
      </x:c>
      <x:c r="J648" s="4"/>
      <x:c r="K648" s="4" t="str">
        <x:v>URLs de detalle page/query/country por clics. No asignan las impresiones de esta consulta a cada página.</x:v>
      </x:c>
    </x:row>
    <x:row r="649" ht="28" customHeight="1">
      <x:c r="A649" s="4" t="n">
        <x:v>639</x:v>
      </x:c>
      <x:c r="B649" s="4" t="str">
        <x:v>paises baratos para viajar</x:v>
      </x:c>
      <x:c r="C649" s="11" t="n">
        <x:v>2</x:v>
      </x:c>
      <x:c r="D649" s="11" t="n">
        <x:v>191</x:v>
      </x:c>
      <x:c r="E649" s="14" t="n">
        <x:v>0.010471204188481676</x:v>
      </x:c>
      <x:c r="F649" s="12" t="n">
        <x:v>4.37696335078534</x:v>
      </x:c>
      <x:c r="G649" s="4" t="str">
        <x:v>Sin marca literal</x:v>
      </x:c>
      <x:c r="H649" s="11"/>
      <x:c r="I649" s="11" t="str">
        <x:f>IF(H649="","",C649-H649)</x:f>
      </x:c>
      <x:c r="J649" s="4"/>
      <x:c r="K649" s="4" t="str">
        <x:v>URLs de detalle page/query/country por clics. No asignan las impresiones de esta consulta a cada página.</x:v>
      </x:c>
    </x:row>
    <x:row r="650" ht="28" customHeight="1">
      <x:c r="A650" s="4" t="n">
        <x:v>640</x:v>
      </x:c>
      <x:c r="B650" s="4" t="str">
        <x:v>bailes peruanos</x:v>
      </x:c>
      <x:c r="C650" s="11" t="n">
        <x:v>2</x:v>
      </x:c>
      <x:c r="D650" s="11" t="n">
        <x:v>185</x:v>
      </x:c>
      <x:c r="E650" s="14" t="n">
        <x:v>0.010810810810810811</x:v>
      </x:c>
      <x:c r="F650" s="12" t="n">
        <x:v>5.875675675675676</x:v>
      </x:c>
      <x:c r="G650" s="4" t="str">
        <x:v>Sin marca literal</x:v>
      </x:c>
      <x:c r="H650" s="11"/>
      <x:c r="I650" s="11" t="str">
        <x:f>IF(H650="","",C650-H650)</x:f>
      </x:c>
      <x:c r="J650" s="4"/>
      <x:c r="K650" s="4" t="str">
        <x:v>URLs de detalle page/query/country por clics. No asignan las impresiones de esta consulta a cada página.</x:v>
      </x:c>
    </x:row>
    <x:row r="651" ht="28" customHeight="1">
      <x:c r="A651" s="4" t="n">
        <x:v>641</x:v>
      </x:c>
      <x:c r="B651" s="4" t="str">
        <x:v>tipo de enchufe en peru</x:v>
      </x:c>
      <x:c r="C651" s="11" t="n">
        <x:v>2</x:v>
      </x:c>
      <x:c r="D651" s="11" t="n">
        <x:v>181</x:v>
      </x:c>
      <x:c r="E651" s="14" t="n">
        <x:v>0.011049723756906077</x:v>
      </x:c>
      <x:c r="F651" s="12" t="n">
        <x:v>6.138121546961326</x:v>
      </x:c>
      <x:c r="G651" s="4" t="str">
        <x:v>Sin marca literal</x:v>
      </x:c>
      <x:c r="H651" s="11"/>
      <x:c r="I651" s="11" t="str">
        <x:f>IF(H651="","",C651-H651)</x:f>
      </x:c>
      <x:c r="J651" s="4"/>
      <x:c r="K651" s="4" t="str">
        <x:v>URLs de detalle page/query/country por clics. No asignan las impresiones de esta consulta a cada página.</x:v>
      </x:c>
    </x:row>
    <x:row r="652" ht="28" customHeight="1">
      <x:c r="A652" s="4" t="n">
        <x:v>642</x:v>
      </x:c>
      <x:c r="B652" s="4" t="str">
        <x:v>parque osorno</x:v>
      </x:c>
      <x:c r="C652" s="11" t="n">
        <x:v>2</x:v>
      </x:c>
      <x:c r="D652" s="11" t="n">
        <x:v>168</x:v>
      </x:c>
      <x:c r="E652" s="14" t="n">
        <x:v>0.011904761904761904</x:v>
      </x:c>
      <x:c r="F652" s="12" t="n">
        <x:v>5.7976190476190474</x:v>
      </x:c>
      <x:c r="G652" s="4" t="str">
        <x:v>Sin marca literal</x:v>
      </x:c>
      <x:c r="H652" s="11"/>
      <x:c r="I652" s="11" t="str">
        <x:f>IF(H652="","",C652-H652)</x:f>
      </x:c>
      <x:c r="J652" s="4"/>
      <x:c r="K652" s="4" t="str">
        <x:v>URLs de detalle page/query/country por clics. No asignan las impresiones de esta consulta a cada página.</x:v>
      </x:c>
    </x:row>
    <x:row r="653" ht="28" customHeight="1">
      <x:c r="A653" s="4" t="n">
        <x:v>643</x:v>
      </x:c>
      <x:c r="B653" s="4" t="str">
        <x:v>fechas de las estaciones del año en chile</x:v>
      </x:c>
      <x:c r="C653" s="11" t="n">
        <x:v>2</x:v>
      </x:c>
      <x:c r="D653" s="11" t="n">
        <x:v>167</x:v>
      </x:c>
      <x:c r="E653" s="14" t="n">
        <x:v>0.011976047904191617</x:v>
      </x:c>
      <x:c r="F653" s="12" t="n">
        <x:v>2.4550898203592815</x:v>
      </x:c>
      <x:c r="G653" s="4" t="str">
        <x:v>Sin marca literal</x:v>
      </x:c>
      <x:c r="H653" s="11"/>
      <x:c r="I653" s="11" t="str">
        <x:f>IF(H653="","",C653-H653)</x:f>
      </x:c>
      <x:c r="J653" s="4"/>
      <x:c r="K653" s="4" t="str">
        <x:v>URLs de detalle page/query/country por clics. No asignan las impresiones de esta consulta a cada página.</x:v>
      </x:c>
    </x:row>
    <x:row r="654" ht="28" customHeight="1">
      <x:c r="A654" s="4" t="n">
        <x:v>644</x:v>
      </x:c>
      <x:c r="B654" s="4" t="str">
        <x:v>estacionamientos aeropuerto</x:v>
      </x:c>
      <x:c r="C654" s="11" t="n">
        <x:v>2</x:v>
      </x:c>
      <x:c r="D654" s="11" t="n">
        <x:v>164</x:v>
      </x:c>
      <x:c r="E654" s="14" t="n">
        <x:v>0.012195121951219513</x:v>
      </x:c>
      <x:c r="F654" s="12" t="n">
        <x:v>11.804878048780488</x:v>
      </x:c>
      <x:c r="G654" s="4" t="str">
        <x:v>Sin marca literal</x:v>
      </x:c>
      <x:c r="H654" s="11"/>
      <x:c r="I654" s="11" t="str">
        <x:f>IF(H654="","",C654-H654)</x:f>
      </x:c>
      <x:c r="J654" s="4"/>
      <x:c r="K654" s="4" t="str">
        <x:v>URLs de detalle page/query/country por clics. No asignan las impresiones de esta consulta a cada página.</x:v>
      </x:c>
    </x:row>
    <x:row r="655" ht="28" customHeight="1">
      <x:c r="A655" s="4" t="n">
        <x:v>645</x:v>
      </x:c>
      <x:c r="B655" s="4" t="str">
        <x:v>playas de chile cerca de santiago</x:v>
      </x:c>
      <x:c r="C655" s="11" t="n">
        <x:v>2</x:v>
      </x:c>
      <x:c r="D655" s="11" t="n">
        <x:v>156</x:v>
      </x:c>
      <x:c r="E655" s="14" t="n">
        <x:v>0.01282051282051282</x:v>
      </x:c>
      <x:c r="F655" s="12" t="n">
        <x:v>9.66025641025641</x:v>
      </x:c>
      <x:c r="G655" s="4" t="str">
        <x:v>Sin marca literal</x:v>
      </x:c>
      <x:c r="H655" s="11"/>
      <x:c r="I655" s="11" t="str">
        <x:f>IF(H655="","",C655-H655)</x:f>
      </x:c>
      <x:c r="J655" s="4"/>
      <x:c r="K655" s="4" t="str">
        <x:v>URLs de detalle page/query/country por clics. No asignan las impresiones de esta consulta a cada página.</x:v>
      </x:c>
    </x:row>
    <x:row r="656" ht="28" customHeight="1">
      <x:c r="A656" s="4" t="n">
        <x:v>646</x:v>
      </x:c>
      <x:c r="B656" s="4" t="str">
        <x:v>aeropuertos en el sur de chile</x:v>
      </x:c>
      <x:c r="C656" s="11" t="n">
        <x:v>2</x:v>
      </x:c>
      <x:c r="D656" s="11" t="n">
        <x:v>153</x:v>
      </x:c>
      <x:c r="E656" s="14" t="n">
        <x:v>0.013071895424836602</x:v>
      </x:c>
      <x:c r="F656" s="12" t="n">
        <x:v>3.6143790849673203</x:v>
      </x:c>
      <x:c r="G656" s="4" t="str">
        <x:v>Sin marca literal</x:v>
      </x:c>
      <x:c r="H656" s="11"/>
      <x:c r="I656" s="11" t="str">
        <x:f>IF(H656="","",C656-H656)</x:f>
      </x:c>
      <x:c r="J656" s="4"/>
      <x:c r="K656" s="4" t="str">
        <x:v>URLs de detalle page/query/country por clics. No asignan las impresiones de esta consulta a cada página.</x:v>
      </x:c>
    </x:row>
    <x:row r="657" ht="28" customHeight="1">
      <x:c r="A657" s="4" t="n">
        <x:v>647</x:v>
      </x:c>
      <x:c r="B657" s="4" t="str">
        <x:v>búzios es peligroso</x:v>
      </x:c>
      <x:c r="C657" s="11" t="n">
        <x:v>2</x:v>
      </x:c>
      <x:c r="D657" s="11" t="n">
        <x:v>153</x:v>
      </x:c>
      <x:c r="E657" s="14" t="n">
        <x:v>0.013071895424836602</x:v>
      </x:c>
      <x:c r="F657" s="12" t="n">
        <x:v>5.9411764705882355</x:v>
      </x:c>
      <x:c r="G657" s="4" t="str">
        <x:v>Sin marca literal</x:v>
      </x:c>
      <x:c r="H657" s="11"/>
      <x:c r="I657" s="11" t="str">
        <x:f>IF(H657="","",C657-H657)</x:f>
      </x:c>
      <x:c r="J657" s="4"/>
      <x:c r="K657" s="4" t="str">
        <x:v>URLs de detalle page/query/country por clics. No asignan las impresiones de esta consulta a cada página.</x:v>
      </x:c>
    </x:row>
    <x:row r="658" ht="28" customHeight="1">
      <x:c r="A658" s="4" t="n">
        <x:v>648</x:v>
      </x:c>
      <x:c r="B658" s="4" t="str">
        <x:v>donde queda beto carrero</x:v>
      </x:c>
      <x:c r="C658" s="11" t="n">
        <x:v>2</x:v>
      </x:c>
      <x:c r="D658" s="11" t="n">
        <x:v>153</x:v>
      </x:c>
      <x:c r="E658" s="14" t="n">
        <x:v>0.013071895424836602</x:v>
      </x:c>
      <x:c r="F658" s="12" t="n">
        <x:v>6.738562091503268</x:v>
      </x:c>
      <x:c r="G658" s="4" t="str">
        <x:v>Sin marca literal</x:v>
      </x:c>
      <x:c r="H658" s="11"/>
      <x:c r="I658" s="11" t="str">
        <x:f>IF(H658="","",C658-H658)</x:f>
      </x:c>
      <x:c r="J658" s="4"/>
      <x:c r="K658" s="4" t="str">
        <x:v>URLs de detalle page/query/country por clics. No asignan las impresiones de esta consulta a cada página.</x:v>
      </x:c>
    </x:row>
    <x:row r="659" ht="28" customHeight="1">
      <x:c r="A659" s="4" t="n">
        <x:v>649</x:v>
      </x:c>
      <x:c r="B659" s="4" t="str">
        <x:v>dónde es punta cana</x:v>
      </x:c>
      <x:c r="C659" s="11" t="n">
        <x:v>2</x:v>
      </x:c>
      <x:c r="D659" s="11" t="n">
        <x:v>153</x:v>
      </x:c>
      <x:c r="E659" s="14" t="n">
        <x:v>0.013071895424836602</x:v>
      </x:c>
      <x:c r="F659" s="12" t="n">
        <x:v>10.875816993464053</x:v>
      </x:c>
      <x:c r="G659" s="4" t="str">
        <x:v>Sin marca literal</x:v>
      </x:c>
      <x:c r="H659" s="11"/>
      <x:c r="I659" s="11" t="str">
        <x:f>IF(H659="","",C659-H659)</x:f>
      </x:c>
      <x:c r="J659" s="4"/>
      <x:c r="K659" s="4" t="str">
        <x:v>URLs de detalle page/query/country por clics. No asignan las impresiones de esta consulta a cada página.</x:v>
      </x:c>
    </x:row>
    <x:row r="660" ht="28" customHeight="1">
      <x:c r="A660" s="4" t="n">
        <x:v>650</x:v>
      </x:c>
      <x:c r="B660" s="4" t="str">
        <x:v>que enchufe se usa en peru</x:v>
      </x:c>
      <x:c r="C660" s="11" t="n">
        <x:v>2</x:v>
      </x:c>
      <x:c r="D660" s="11" t="n">
        <x:v>153</x:v>
      </x:c>
      <x:c r="E660" s="14" t="n">
        <x:v>0.013071895424836602</x:v>
      </x:c>
      <x:c r="F660" s="12" t="n">
        <x:v>5.6797385620915035</x:v>
      </x:c>
      <x:c r="G660" s="4" t="str">
        <x:v>Sin marca literal</x:v>
      </x:c>
      <x:c r="H660" s="11"/>
      <x:c r="I660" s="11" t="str">
        <x:f>IF(H660="","",C660-H660)</x:f>
      </x:c>
      <x:c r="J660" s="4"/>
      <x:c r="K660" s="4" t="str">
        <x:v>URLs de detalle page/query/country por clics. No asignan las impresiones de esta consulta a cada página.</x:v>
      </x:c>
    </x:row>
    <x:row r="661" ht="28" customHeight="1">
      <x:c r="A661" s="4" t="n">
        <x:v>651</x:v>
      </x:c>
      <x:c r="B661" s="4" t="str">
        <x:v>que es bolso de mano en sky</x:v>
      </x:c>
      <x:c r="C661" s="11" t="n">
        <x:v>2</x:v>
      </x:c>
      <x:c r="D661" s="11" t="n">
        <x:v>145</x:v>
      </x:c>
      <x:c r="E661" s="14" t="n">
        <x:v>0.013793103448275862</x:v>
      </x:c>
      <x:c r="F661" s="12" t="n">
        <x:v>5.406896551724138</x:v>
      </x:c>
      <x:c r="G661" s="4" t="str">
        <x:v>Sin marca literal</x:v>
      </x:c>
      <x:c r="H661" s="11"/>
      <x:c r="I661" s="11" t="str">
        <x:f>IF(H661="","",C661-H661)</x:f>
      </x:c>
      <x:c r="J661" s="4"/>
      <x:c r="K661" s="4" t="str">
        <x:v>URLs de detalle page/query/country por clics. No asignan las impresiones de esta consulta a cada página.</x:v>
      </x:c>
    </x:row>
    <x:row r="662" ht="28" customHeight="1">
      <x:c r="A662" s="4" t="n">
        <x:v>652</x:v>
      </x:c>
      <x:c r="B662" s="4" t="str">
        <x:v>como hacer check in sky</x:v>
      </x:c>
      <x:c r="C662" s="11" t="n">
        <x:v>2</x:v>
      </x:c>
      <x:c r="D662" s="11" t="n">
        <x:v>143</x:v>
      </x:c>
      <x:c r="E662" s="14" t="n">
        <x:v>0.013986013986013986</x:v>
      </x:c>
      <x:c r="F662" s="12" t="n">
        <x:v>6.580419580419581</x:v>
      </x:c>
      <x:c r="G662" s="4" t="str">
        <x:v>Sin marca literal</x:v>
      </x:c>
      <x:c r="H662" s="11"/>
      <x:c r="I662" s="11" t="str">
        <x:f>IF(H662="","",C662-H662)</x:f>
      </x:c>
      <x:c r="J662" s="4"/>
      <x:c r="K662" s="4" t="str">
        <x:v>URLs de detalle page/query/country por clics. No asignan las impresiones de esta consulta a cada página.</x:v>
      </x:c>
    </x:row>
    <x:row r="663" ht="28" customHeight="1">
      <x:c r="A663" s="4" t="n">
        <x:v>653</x:v>
      </x:c>
      <x:c r="B663" s="4" t="str">
        <x:v>que cosas no se pueden llevar en un avion</x:v>
      </x:c>
      <x:c r="C663" s="11" t="n">
        <x:v>2</x:v>
      </x:c>
      <x:c r="D663" s="11" t="n">
        <x:v>140</x:v>
      </x:c>
      <x:c r="E663" s="14" t="n">
        <x:v>0.014285714285714285</x:v>
      </x:c>
      <x:c r="F663" s="12" t="n">
        <x:v>6.192857142857143</x:v>
      </x:c>
      <x:c r="G663" s="4" t="str">
        <x:v>Sin marca literal</x:v>
      </x:c>
      <x:c r="H663" s="11"/>
      <x:c r="I663" s="11" t="str">
        <x:f>IF(H663="","",C663-H663)</x:f>
      </x:c>
      <x:c r="J663" s="4"/>
      <x:c r="K663" s="4" t="str">
        <x:v>URLs de detalle page/query/country por clics. No asignan las impresiones de esta consulta a cada página.</x:v>
      </x:c>
    </x:row>
    <x:row r="664" ht="28" customHeight="1">
      <x:c r="A664" s="4" t="n">
        <x:v>654</x:v>
      </x:c>
      <x:c r="B664" s="4" t="str">
        <x:v>punta cana clima</x:v>
      </x:c>
      <x:c r="C664" s="11" t="n">
        <x:v>2</x:v>
      </x:c>
      <x:c r="D664" s="11" t="n">
        <x:v>136</x:v>
      </x:c>
      <x:c r="E664" s="14" t="n">
        <x:v>0.014705882352941176</x:v>
      </x:c>
      <x:c r="F664" s="12" t="n">
        <x:v>7.279411764705882</x:v>
      </x:c>
      <x:c r="G664" s="4" t="str">
        <x:v>Sin marca literal</x:v>
      </x:c>
      <x:c r="H664" s="11"/>
      <x:c r="I664" s="11" t="str">
        <x:f>IF(H664="","",C664-H664)</x:f>
      </x:c>
      <x:c r="J664" s="4"/>
      <x:c r="K664" s="4" t="str">
        <x:v>URLs de detalle page/query/country por clics. No asignan las impresiones de esta consulta a cada página.</x:v>
      </x:c>
    </x:row>
    <x:row r="665" ht="28" customHeight="1">
      <x:c r="A665" s="4" t="n">
        <x:v>655</x:v>
      </x:c>
      <x:c r="B665" s="4" t="str">
        <x:v>centro comercial mendoza</x:v>
      </x:c>
      <x:c r="C665" s="11" t="n">
        <x:v>2</x:v>
      </x:c>
      <x:c r="D665" s="11" t="n">
        <x:v>135</x:v>
      </x:c>
      <x:c r="E665" s="14" t="n">
        <x:v>0.014814814814814815</x:v>
      </x:c>
      <x:c r="F665" s="12" t="n">
        <x:v>5.770370370370371</x:v>
      </x:c>
      <x:c r="G665" s="4" t="str">
        <x:v>Sin marca literal</x:v>
      </x:c>
      <x:c r="H665" s="11"/>
      <x:c r="I665" s="11" t="str">
        <x:f>IF(H665="","",C665-H665)</x:f>
      </x:c>
      <x:c r="J665" s="4"/>
      <x:c r="K665" s="4" t="str">
        <x:v>URLs de detalle page/query/country por clics. No asignan las impresiones de esta consulta a cada página.</x:v>
      </x:c>
    </x:row>
    <x:row r="666" ht="28" customHeight="1">
      <x:c r="A666" s="4" t="n">
        <x:v>656</x:v>
      </x:c>
      <x:c r="B666" s="4" t="str">
        <x:v>aurora austral</x:v>
      </x:c>
      <x:c r="C666" s="11" t="n">
        <x:v>2</x:v>
      </x:c>
      <x:c r="D666" s="11" t="n">
        <x:v>133</x:v>
      </x:c>
      <x:c r="E666" s="14" t="n">
        <x:v>0.015037593984962405</x:v>
      </x:c>
      <x:c r="F666" s="12" t="n">
        <x:v>8.285714285714285</x:v>
      </x:c>
      <x:c r="G666" s="4" t="str">
        <x:v>Sin marca literal</x:v>
      </x:c>
      <x:c r="H666" s="11"/>
      <x:c r="I666" s="11" t="str">
        <x:f>IF(H666="","",C666-H666)</x:f>
      </x:c>
      <x:c r="J666" s="4"/>
      <x:c r="K666" s="4" t="str">
        <x:v>URLs de detalle page/query/country por clics. No asignan las impresiones de esta consulta a cada página.</x:v>
      </x:c>
    </x:row>
    <x:row r="667" ht="28" customHeight="1">
      <x:c r="A667" s="4" t="n">
        <x:v>657</x:v>
      </x:c>
      <x:c r="B667" s="4" t="str">
        <x:v>distancia de punta arenas a puerto natales</x:v>
      </x:c>
      <x:c r="C667" s="11" t="n">
        <x:v>2</x:v>
      </x:c>
      <x:c r="D667" s="11" t="n">
        <x:v>132</x:v>
      </x:c>
      <x:c r="E667" s="14" t="n">
        <x:v>0.015151515151515152</x:v>
      </x:c>
      <x:c r="F667" s="12" t="n">
        <x:v>6.378787878787879</x:v>
      </x:c>
      <x:c r="G667" s="4" t="str">
        <x:v>Sin marca literal</x:v>
      </x:c>
      <x:c r="H667" s="11"/>
      <x:c r="I667" s="11" t="str">
        <x:f>IF(H667="","",C667-H667)</x:f>
      </x:c>
      <x:c r="J667" s="4"/>
      <x:c r="K667" s="4" t="str">
        <x:v>URLs de detalle page/query/country por clics. No asignan las impresiones de esta consulta a cada página.</x:v>
      </x:c>
    </x:row>
    <x:row r="668" ht="28" customHeight="1">
      <x:c r="A668" s="4" t="n">
        <x:v>658</x:v>
      </x:c>
      <x:c r="B668" s="4" t="str">
        <x:v>jardin botanico florianopolis</x:v>
      </x:c>
      <x:c r="C668" s="11" t="n">
        <x:v>2</x:v>
      </x:c>
      <x:c r="D668" s="11" t="n">
        <x:v>131</x:v>
      </x:c>
      <x:c r="E668" s="14" t="n">
        <x:v>0.015267175572519083</x:v>
      </x:c>
      <x:c r="F668" s="12" t="n">
        <x:v>6.229007633587786</x:v>
      </x:c>
      <x:c r="G668" s="4" t="str">
        <x:v>Sin marca literal</x:v>
      </x:c>
      <x:c r="H668" s="11"/>
      <x:c r="I668" s="11" t="str">
        <x:f>IF(H668="","",C668-H668)</x:f>
      </x:c>
      <x:c r="J668" s="4"/>
      <x:c r="K668" s="4" t="str">
        <x:v>URLs de detalle page/query/country por clics. No asignan las impresiones de esta consulta a cada página.</x:v>
      </x:c>
    </x:row>
    <x:row r="669" ht="28" customHeight="1">
      <x:c r="A669" s="4" t="n">
        <x:v>659</x:v>
      </x:c>
      <x:c r="B669" s="4" t="str">
        <x:v>musica tradicional de brasil</x:v>
      </x:c>
      <x:c r="C669" s="11" t="n">
        <x:v>2</x:v>
      </x:c>
      <x:c r="D669" s="11" t="n">
        <x:v>129</x:v>
      </x:c>
      <x:c r="E669" s="14" t="n">
        <x:v>0.015503875968992248</x:v>
      </x:c>
      <x:c r="F669" s="12" t="n">
        <x:v>2.674418604651163</x:v>
      </x:c>
      <x:c r="G669" s="4" t="str">
        <x:v>Sin marca literal</x:v>
      </x:c>
      <x:c r="H669" s="11"/>
      <x:c r="I669" s="11" t="str">
        <x:f>IF(H669="","",C669-H669)</x:f>
      </x:c>
      <x:c r="J669" s="4"/>
      <x:c r="K669" s="4" t="str">
        <x:v>URLs de detalle page/query/country por clics. No asignan las impresiones de esta consulta a cada página.</x:v>
      </x:c>
    </x:row>
    <x:row r="670" ht="28" customHeight="1">
      <x:c r="A670" s="4" t="n">
        <x:v>660</x:v>
      </x:c>
      <x:c r="B670" s="4" t="str">
        <x:v>auroras boreales chile</x:v>
      </x:c>
      <x:c r="C670" s="11" t="n">
        <x:v>2</x:v>
      </x:c>
      <x:c r="D670" s="11" t="n">
        <x:v>124</x:v>
      </x:c>
      <x:c r="E670" s="14" t="n">
        <x:v>0.016129032258064516</x:v>
      </x:c>
      <x:c r="F670" s="12" t="n">
        <x:v>3.564516129032258</x:v>
      </x:c>
      <x:c r="G670" s="4" t="str">
        <x:v>Sin marca literal</x:v>
      </x:c>
      <x:c r="H670" s="11"/>
      <x:c r="I670" s="11" t="str">
        <x:f>IF(H670="","",C670-H670)</x:f>
      </x:c>
      <x:c r="J670" s="4"/>
      <x:c r="K670" s="4" t="str">
        <x:v>URLs de detalle page/query/country por clics. No asignan las impresiones de esta consulta a cada página.</x:v>
      </x:c>
    </x:row>
    <x:row r="671" ht="28" customHeight="1">
      <x:c r="A671" s="4" t="n">
        <x:v>661</x:v>
      </x:c>
      <x:c r="B671" s="4" t="str">
        <x:v>buenos aires aeropuerto</x:v>
      </x:c>
      <x:c r="C671" s="11" t="n">
        <x:v>2</x:v>
      </x:c>
      <x:c r="D671" s="11" t="n">
        <x:v>124</x:v>
      </x:c>
      <x:c r="E671" s="14" t="n">
        <x:v>0.016129032258064516</x:v>
      </x:c>
      <x:c r="F671" s="12" t="n">
        <x:v>5.298387096774194</x:v>
      </x:c>
      <x:c r="G671" s="4" t="str">
        <x:v>Sin marca literal</x:v>
      </x:c>
      <x:c r="H671" s="11"/>
      <x:c r="I671" s="11" t="str">
        <x:f>IF(H671="","",C671-H671)</x:f>
      </x:c>
      <x:c r="J671" s="4"/>
      <x:c r="K671" s="4" t="str">
        <x:v>URLs de detalle page/query/country por clics. No asignan las impresiones de esta consulta a cada página.</x:v>
      </x:c>
    </x:row>
    <x:row r="672" ht="28" customHeight="1">
      <x:c r="A672" s="4" t="n">
        <x:v>662</x:v>
      </x:c>
      <x:c r="B672" s="4" t="str">
        <x:v>beneficios sky plus platino</x:v>
      </x:c>
      <x:c r="C672" s="11" t="n">
        <x:v>2</x:v>
      </x:c>
      <x:c r="D672" s="11" t="n">
        <x:v>123</x:v>
      </x:c>
      <x:c r="E672" s="14" t="n">
        <x:v>0.016260162601626018</x:v>
      </x:c>
      <x:c r="F672" s="12" t="n">
        <x:v>7.008130081300813</x:v>
      </x:c>
      <x:c r="G672" s="4" t="str">
        <x:v>Sin marca literal</x:v>
      </x:c>
      <x:c r="H672" s="11"/>
      <x:c r="I672" s="11" t="str">
        <x:f>IF(H672="","",C672-H672)</x:f>
      </x:c>
      <x:c r="J672" s="4"/>
      <x:c r="K672" s="4" t="str">
        <x:v>URLs de detalle page/query/country por clics. No asignan las impresiones de esta consulta a cada página.</x:v>
      </x:c>
    </x:row>
    <x:row r="673" ht="28" customHeight="1">
      <x:c r="A673" s="4" t="n">
        <x:v>663</x:v>
      </x:c>
      <x:c r="B673" s="4" t="str">
        <x:v>que es el folklore chileno</x:v>
      </x:c>
      <x:c r="C673" s="11" t="n">
        <x:v>2</x:v>
      </x:c>
      <x:c r="D673" s="11" t="n">
        <x:v>123</x:v>
      </x:c>
      <x:c r="E673" s="14" t="n">
        <x:v>0.016260162601626018</x:v>
      </x:c>
      <x:c r="F673" s="12" t="n">
        <x:v>4.83739837398374</x:v>
      </x:c>
      <x:c r="G673" s="4" t="str">
        <x:v>Sin marca literal</x:v>
      </x:c>
      <x:c r="H673" s="11"/>
      <x:c r="I673" s="11" t="str">
        <x:f>IF(H673="","",C673-H673)</x:f>
      </x:c>
      <x:c r="J673" s="4"/>
      <x:c r="K673" s="4" t="str">
        <x:v>URLs de detalle page/query/country por clics. No asignan las impresiones de esta consulta a cada página.</x:v>
      </x:c>
    </x:row>
    <x:row r="674" ht="28" customHeight="1">
      <x:c r="A674" s="4" t="n">
        <x:v>664</x:v>
      </x:c>
      <x:c r="B674" s="4" t="str">
        <x:v>airbus a320neo</x:v>
      </x:c>
      <x:c r="C674" s="11" t="n">
        <x:v>2</x:v>
      </x:c>
      <x:c r="D674" s="11" t="n">
        <x:v>121</x:v>
      </x:c>
      <x:c r="E674" s="14" t="n">
        <x:v>0.01652892561983471</x:v>
      </x:c>
      <x:c r="F674" s="12" t="n">
        <x:v>15.099173553719009</x:v>
      </x:c>
      <x:c r="G674" s="4" t="str">
        <x:v>Sin marca literal</x:v>
      </x:c>
      <x:c r="H674" s="11"/>
      <x:c r="I674" s="11" t="str">
        <x:f>IF(H674="","",C674-H674)</x:f>
      </x:c>
      <x:c r="J674" s="4"/>
      <x:c r="K674" s="4" t="str">
        <x:v>URLs de detalle page/query/country por clics. No asignan las impresiones de esta consulta a cada página.</x:v>
      </x:c>
    </x:row>
    <x:row r="675" ht="28" customHeight="1">
      <x:c r="A675" s="4" t="n">
        <x:v>665</x:v>
      </x:c>
      <x:c r="B675" s="4" t="str">
        <x:v>que tipo de enchufe se usa en argentina</x:v>
      </x:c>
      <x:c r="C675" s="11" t="n">
        <x:v>2</x:v>
      </x:c>
      <x:c r="D675" s="11" t="n">
        <x:v>121</x:v>
      </x:c>
      <x:c r="E675" s="14" t="n">
        <x:v>0.01652892561983471</x:v>
      </x:c>
      <x:c r="F675" s="12" t="n">
        <x:v>6.5041322314049586</x:v>
      </x:c>
      <x:c r="G675" s="4" t="str">
        <x:v>Sin marca literal</x:v>
      </x:c>
      <x:c r="H675" s="11"/>
      <x:c r="I675" s="11" t="str">
        <x:f>IF(H675="","",C675-H675)</x:f>
      </x:c>
      <x:c r="J675" s="4"/>
      <x:c r="K675" s="4" t="str">
        <x:v>URLs de detalle page/query/country por clics. No asignan las impresiones de esta consulta a cada página.</x:v>
      </x:c>
    </x:row>
    <x:row r="676" ht="28" customHeight="1">
      <x:c r="A676" s="4" t="n">
        <x:v>666</x:v>
      </x:c>
      <x:c r="B676" s="4" t="str">
        <x:v>que hacer en barra de tijuca</x:v>
      </x:c>
      <x:c r="C676" s="11" t="n">
        <x:v>2</x:v>
      </x:c>
      <x:c r="D676" s="11" t="n">
        <x:v>119</x:v>
      </x:c>
      <x:c r="E676" s="14" t="n">
        <x:v>0.01680672268907563</x:v>
      </x:c>
      <x:c r="F676" s="12" t="n">
        <x:v>8.495798319327731</x:v>
      </x:c>
      <x:c r="G676" s="4" t="str">
        <x:v>Sin marca literal</x:v>
      </x:c>
      <x:c r="H676" s="11"/>
      <x:c r="I676" s="11" t="str">
        <x:f>IF(H676="","",C676-H676)</x:f>
      </x:c>
      <x:c r="J676" s="4"/>
      <x:c r="K676" s="4" t="str">
        <x:v>URLs de detalle page/query/country por clics. No asignan las impresiones de esta consulta a cada página.</x:v>
      </x:c>
    </x:row>
    <x:row r="677" ht="28" customHeight="1">
      <x:c r="A677" s="4" t="n">
        <x:v>667</x:v>
      </x:c>
      <x:c r="B677" s="4" t="str">
        <x:v>enchufe brasil es igual a chile</x:v>
      </x:c>
      <x:c r="C677" s="11" t="n">
        <x:v>2</x:v>
      </x:c>
      <x:c r="D677" s="11" t="n">
        <x:v>118</x:v>
      </x:c>
      <x:c r="E677" s="14" t="n">
        <x:v>0.01694915254237288</x:v>
      </x:c>
      <x:c r="F677" s="12" t="n">
        <x:v>2.2288135593220337</x:v>
      </x:c>
      <x:c r="G677" s="4" t="str">
        <x:v>Sin marca literal</x:v>
      </x:c>
      <x:c r="H677" s="11"/>
      <x:c r="I677" s="11" t="str">
        <x:f>IF(H677="","",C677-H677)</x:f>
      </x:c>
      <x:c r="J677" s="4"/>
      <x:c r="K677" s="4" t="str">
        <x:v>URLs de detalle page/query/country por clics. No asignan las impresiones de esta consulta a cada página.</x:v>
      </x:c>
    </x:row>
    <x:row r="678" ht="28" customHeight="1">
      <x:c r="A678" s="4" t="n">
        <x:v>668</x:v>
      </x:c>
      <x:c r="B678" s="4" t="str">
        <x:v>mochila sky</x:v>
      </x:c>
      <x:c r="C678" s="11" t="n">
        <x:v>2</x:v>
      </x:c>
      <x:c r="D678" s="11" t="n">
        <x:v>116</x:v>
      </x:c>
      <x:c r="E678" s="14" t="n">
        <x:v>0.017241379310344827</x:v>
      </x:c>
      <x:c r="F678" s="12" t="n">
        <x:v>7.793103448275862</x:v>
      </x:c>
      <x:c r="G678" s="4" t="str">
        <x:v>Contiene marca</x:v>
      </x:c>
      <x:c r="H678" s="11" t="n">
        <x:v>13</x:v>
      </x:c>
      <x:c r="I678" s="11" t="n">
        <x:f>IF(H678="","",C678-H678)</x:f>
        <x:v>-11</x:v>
      </x:c>
      <x:c r="J678" s="4" t="str">
        <x:v>https://blog.skyairline.com/equipaje-de-cabina/ (2 clics)</x:v>
      </x:c>
      <x:c r="K678" s="4" t="str">
        <x:v>URLs de detalle page/query/country por clics. No asignan las impresiones de esta consulta a cada página.</x:v>
      </x:c>
    </x:row>
    <x:row r="679" ht="28" customHeight="1">
      <x:c r="A679" s="4" t="n">
        <x:v>669</x:v>
      </x:c>
      <x:c r="B679" s="4" t="str">
        <x:v>que tipo de enchufe se usa en brasil</x:v>
      </x:c>
      <x:c r="C679" s="11" t="n">
        <x:v>2</x:v>
      </x:c>
      <x:c r="D679" s="11" t="n">
        <x:v>112</x:v>
      </x:c>
      <x:c r="E679" s="14" t="n">
        <x:v>0.017857142857142856</x:v>
      </x:c>
      <x:c r="F679" s="12" t="n">
        <x:v>8.910714285714285</x:v>
      </x:c>
      <x:c r="G679" s="4" t="str">
        <x:v>Sin marca literal</x:v>
      </x:c>
      <x:c r="H679" s="11"/>
      <x:c r="I679" s="11" t="str">
        <x:f>IF(H679="","",C679-H679)</x:f>
      </x:c>
      <x:c r="J679" s="4"/>
      <x:c r="K679" s="4" t="str">
        <x:v>URLs de detalle page/query/country por clics. No asignan las impresiones de esta consulta a cada página.</x:v>
      </x:c>
    </x:row>
    <x:row r="680" ht="28" customHeight="1">
      <x:c r="A680" s="4" t="n">
        <x:v>670</x:v>
      </x:c>
      <x:c r="B680" s="4" t="str">
        <x:v>vacuna para ir a brasil</x:v>
      </x:c>
      <x:c r="C680" s="11" t="n">
        <x:v>2</x:v>
      </x:c>
      <x:c r="D680" s="11" t="n">
        <x:v>106</x:v>
      </x:c>
      <x:c r="E680" s="14" t="n">
        <x:v>0.018867924528301886</x:v>
      </x:c>
      <x:c r="F680" s="12" t="n">
        <x:v>8.169811320754718</x:v>
      </x:c>
      <x:c r="G680" s="4" t="str">
        <x:v>Sin marca literal</x:v>
      </x:c>
      <x:c r="H680" s="11"/>
      <x:c r="I680" s="11" t="str">
        <x:f>IF(H680="","",C680-H680)</x:f>
      </x:c>
      <x:c r="J680" s="4"/>
      <x:c r="K680" s="4" t="str">
        <x:v>URLs de detalle page/query/country por clics. No asignan las impresiones de esta consulta a cada página.</x:v>
      </x:c>
    </x:row>
    <x:row r="681" ht="28" customHeight="1">
      <x:c r="A681" s="4" t="n">
        <x:v>671</x:v>
      </x:c>
      <x:c r="B681" s="4" t="str">
        <x:v>enchufe tipo n</x:v>
      </x:c>
      <x:c r="C681" s="11" t="n">
        <x:v>2</x:v>
      </x:c>
      <x:c r="D681" s="11" t="n">
        <x:v>105</x:v>
      </x:c>
      <x:c r="E681" s="14" t="n">
        <x:v>0.01904761904761905</x:v>
      </x:c>
      <x:c r="F681" s="12" t="n">
        <x:v>9.457142857142857</x:v>
      </x:c>
      <x:c r="G681" s="4" t="str">
        <x:v>Sin marca literal</x:v>
      </x:c>
      <x:c r="H681" s="11"/>
      <x:c r="I681" s="11" t="str">
        <x:f>IF(H681="","",C681-H681)</x:f>
      </x:c>
      <x:c r="J681" s="4"/>
      <x:c r="K681" s="4" t="str">
        <x:v>URLs de detalle page/query/country por clics. No asignan las impresiones de esta consulta a cada página.</x:v>
      </x:c>
    </x:row>
    <x:row r="682" ht="28" customHeight="1">
      <x:c r="A682" s="4" t="n">
        <x:v>672</x:v>
      </x:c>
      <x:c r="B682" s="4" t="str">
        <x:v>música típica de brasil</x:v>
      </x:c>
      <x:c r="C682" s="11" t="n">
        <x:v>2</x:v>
      </x:c>
      <x:c r="D682" s="11" t="n">
        <x:v>105</x:v>
      </x:c>
      <x:c r="E682" s="14" t="n">
        <x:v>0.01904761904761905</x:v>
      </x:c>
      <x:c r="F682" s="12" t="n">
        <x:v>3.0095238095238095</x:v>
      </x:c>
      <x:c r="G682" s="4" t="str">
        <x:v>Sin marca literal</x:v>
      </x:c>
      <x:c r="H682" s="11"/>
      <x:c r="I682" s="11" t="str">
        <x:f>IF(H682="","",C682-H682)</x:f>
      </x:c>
      <x:c r="J682" s="4"/>
      <x:c r="K682" s="4" t="str">
        <x:v>URLs de detalle page/query/country por clics. No asignan las impresiones de esta consulta a cada página.</x:v>
      </x:c>
    </x:row>
    <x:row r="683" ht="28" customHeight="1">
      <x:c r="A683" s="4" t="n">
        <x:v>673</x:v>
      </x:c>
      <x:c r="B683" s="4" t="str">
        <x:v>aviones de sky</x:v>
      </x:c>
      <x:c r="C683" s="11" t="n">
        <x:v>2</x:v>
      </x:c>
      <x:c r="D683" s="11" t="n">
        <x:v>104</x:v>
      </x:c>
      <x:c r="E683" s="14" t="n">
        <x:v>0.019230769230769232</x:v>
      </x:c>
      <x:c r="F683" s="12" t="n">
        <x:v>4.288461538461538</x:v>
      </x:c>
      <x:c r="G683" s="4" t="str">
        <x:v>Sin marca literal</x:v>
      </x:c>
      <x:c r="H683" s="11"/>
      <x:c r="I683" s="11" t="str">
        <x:f>IF(H683="","",C683-H683)</x:f>
      </x:c>
      <x:c r="J683" s="4"/>
      <x:c r="K683" s="4" t="str">
        <x:v>URLs de detalle page/query/country por clics. No asignan las impresiones de esta consulta a cada página.</x:v>
      </x:c>
    </x:row>
    <x:row r="684" ht="28" customHeight="1">
      <x:c r="A684" s="4" t="n">
        <x:v>674</x:v>
      </x:c>
      <x:c r="B684" s="4" t="str">
        <x:v>beto carrero brasil donde queda</x:v>
      </x:c>
      <x:c r="C684" s="11" t="n">
        <x:v>2</x:v>
      </x:c>
      <x:c r="D684" s="11" t="n">
        <x:v>100</x:v>
      </x:c>
      <x:c r="E684" s="14" t="n">
        <x:v>0.02</x:v>
      </x:c>
      <x:c r="F684" s="12" t="n">
        <x:v>6.9</x:v>
      </x:c>
      <x:c r="G684" s="4" t="str">
        <x:v>Sin marca literal</x:v>
      </x:c>
      <x:c r="H684" s="11"/>
      <x:c r="I684" s="11" t="str">
        <x:f>IF(H684="","",C684-H684)</x:f>
      </x:c>
      <x:c r="J684" s="4"/>
      <x:c r="K684" s="4" t="str">
        <x:v>URLs de detalle page/query/country por clics. No asignan las impresiones de esta consulta a cada página.</x:v>
      </x:c>
    </x:row>
    <x:row r="685" ht="28" customHeight="1">
      <x:c r="A685" s="4" t="n">
        <x:v>675</x:v>
      </x:c>
      <x:c r="B685" s="4" t="str">
        <x:v>musica de brasil</x:v>
      </x:c>
      <x:c r="C685" s="11" t="n">
        <x:v>2</x:v>
      </x:c>
      <x:c r="D685" s="11" t="n">
        <x:v>99</x:v>
      </x:c>
      <x:c r="E685" s="14" t="n">
        <x:v>0.020202020202020204</x:v>
      </x:c>
      <x:c r="F685" s="12" t="n">
        <x:v>5.232323232323233</x:v>
      </x:c>
      <x:c r="G685" s="4" t="str">
        <x:v>Sin marca literal</x:v>
      </x:c>
      <x:c r="H685" s="11"/>
      <x:c r="I685" s="11" t="str">
        <x:f>IF(H685="","",C685-H685)</x:f>
      </x:c>
      <x:c r="J685" s="4"/>
      <x:c r="K685" s="4" t="str">
        <x:v>URLs de detalle page/query/country por clics. No asignan las impresiones de esta consulta a cada página.</x:v>
      </x:c>
    </x:row>
    <x:row r="686" ht="28" customHeight="1">
      <x:c r="A686" s="4" t="n">
        <x:v>676</x:v>
      </x:c>
      <x:c r="B686" s="4" t="str">
        <x:v>cuantos aeropuertos tiene buenos aires</x:v>
      </x:c>
      <x:c r="C686" s="11" t="n">
        <x:v>2</x:v>
      </x:c>
      <x:c r="D686" s="11" t="n">
        <x:v>98</x:v>
      </x:c>
      <x:c r="E686" s="14" t="n">
        <x:v>0.02040816326530612</x:v>
      </x:c>
      <x:c r="F686" s="12" t="n">
        <x:v>1.8775510204081631</x:v>
      </x:c>
      <x:c r="G686" s="4" t="str">
        <x:v>Sin marca literal</x:v>
      </x:c>
      <x:c r="H686" s="11"/>
      <x:c r="I686" s="11" t="str">
        <x:f>IF(H686="","",C686-H686)</x:f>
      </x:c>
      <x:c r="J686" s="4"/>
      <x:c r="K686" s="4" t="str">
        <x:v>URLs de detalle page/query/country por clics. No asignan las impresiones de esta consulta a cada página.</x:v>
      </x:c>
    </x:row>
    <x:row r="687" ht="28" customHeight="1">
      <x:c r="A687" s="4" t="n">
        <x:v>677</x:v>
      </x:c>
      <x:c r="B687" s="4" t="str">
        <x:v>sky airline baggage policy</x:v>
      </x:c>
      <x:c r="C687" s="11" t="n">
        <x:v>2</x:v>
      </x:c>
      <x:c r="D687" s="11" t="n">
        <x:v>97</x:v>
      </x:c>
      <x:c r="E687" s="14" t="n">
        <x:v>0.020618556701030927</x:v>
      </x:c>
      <x:c r="F687" s="12" t="n">
        <x:v>8.690721649484537</x:v>
      </x:c>
      <x:c r="G687" s="4" t="str">
        <x:v>Sin marca literal</x:v>
      </x:c>
      <x:c r="H687" s="11"/>
      <x:c r="I687" s="11" t="str">
        <x:f>IF(H687="","",C687-H687)</x:f>
      </x:c>
      <x:c r="J687" s="4"/>
      <x:c r="K687" s="4" t="str">
        <x:v>URLs de detalle page/query/country por clics. No asignan las impresiones de esta consulta a cada página.</x:v>
      </x:c>
    </x:row>
    <x:row r="688" ht="28" customHeight="1">
      <x:c r="A688" s="4" t="n">
        <x:v>678</x:v>
      </x:c>
      <x:c r="B688" s="4" t="str">
        <x:v>que se necesita para viajar a brasil</x:v>
      </x:c>
      <x:c r="C688" s="11" t="n">
        <x:v>2</x:v>
      </x:c>
      <x:c r="D688" s="11" t="n">
        <x:v>96</x:v>
      </x:c>
      <x:c r="E688" s="14" t="n">
        <x:v>0.020833333333333332</x:v>
      </x:c>
      <x:c r="F688" s="12" t="n">
        <x:v>7.895833333333333</x:v>
      </x:c>
      <x:c r="G688" s="4" t="str">
        <x:v>Sin marca literal</x:v>
      </x:c>
      <x:c r="H688" s="11"/>
      <x:c r="I688" s="11" t="str">
        <x:f>IF(H688="","",C688-H688)</x:f>
      </x:c>
      <x:c r="J688" s="4"/>
      <x:c r="K688" s="4" t="str">
        <x:v>URLs de detalle page/query/country por clics. No asignan las impresiones de esta consulta a cada página.</x:v>
      </x:c>
    </x:row>
    <x:row r="689" ht="28" customHeight="1">
      <x:c r="A689" s="4" t="n">
        <x:v>679</x:v>
      </x:c>
      <x:c r="B689" s="4" t="str">
        <x:v>agregar equipaje sky</x:v>
      </x:c>
      <x:c r="C689" s="11" t="n">
        <x:v>2</x:v>
      </x:c>
      <x:c r="D689" s="11" t="n">
        <x:v>95</x:v>
      </x:c>
      <x:c r="E689" s="14" t="n">
        <x:v>0.021052631578947368</x:v>
      </x:c>
      <x:c r="F689" s="12" t="n">
        <x:v>5.757894736842105</x:v>
      </x:c>
      <x:c r="G689" s="4" t="str">
        <x:v>Sin marca literal</x:v>
      </x:c>
      <x:c r="H689" s="11"/>
      <x:c r="I689" s="11" t="str">
        <x:f>IF(H689="","",C689-H689)</x:f>
      </x:c>
      <x:c r="J689" s="4"/>
      <x:c r="K689" s="4" t="str">
        <x:v>URLs de detalle page/query/country por clics. No asignan las impresiones de esta consulta a cada página.</x:v>
      </x:c>
    </x:row>
    <x:row r="690" ht="28" customHeight="1">
      <x:c r="A690" s="4" t="n">
        <x:v>680</x:v>
      </x:c>
      <x:c r="B690" s="4" t="str">
        <x:v>que se necesita para viajar a brasil desde chile</x:v>
      </x:c>
      <x:c r="C690" s="11" t="n">
        <x:v>2</x:v>
      </x:c>
      <x:c r="D690" s="11" t="n">
        <x:v>93</x:v>
      </x:c>
      <x:c r="E690" s="14" t="n">
        <x:v>0.021505376344086023</x:v>
      </x:c>
      <x:c r="F690" s="12" t="n">
        <x:v>4.483870967741936</x:v>
      </x:c>
      <x:c r="G690" s="4" t="str">
        <x:v>Sin marca literal</x:v>
      </x:c>
      <x:c r="H690" s="11"/>
      <x:c r="I690" s="11" t="str">
        <x:f>IF(H690="","",C690-H690)</x:f>
      </x:c>
      <x:c r="J690" s="4"/>
      <x:c r="K690" s="4" t="str">
        <x:v>URLs de detalle page/query/country por clics. No asignan las impresiones de esta consulta a cada página.</x:v>
      </x:c>
    </x:row>
    <x:row r="691" ht="28" customHeight="1">
      <x:c r="A691" s="4" t="n">
        <x:v>681</x:v>
      </x:c>
      <x:c r="B691" s="4" t="str">
        <x:v>tipos de equipaje en avion</x:v>
      </x:c>
      <x:c r="C691" s="11" t="n">
        <x:v>2</x:v>
      </x:c>
      <x:c r="D691" s="11" t="n">
        <x:v>93</x:v>
      </x:c>
      <x:c r="E691" s="14" t="n">
        <x:v>0.021505376344086023</x:v>
      </x:c>
      <x:c r="F691" s="12" t="n">
        <x:v>5.924731182795699</x:v>
      </x:c>
      <x:c r="G691" s="4" t="str">
        <x:v>Sin marca literal</x:v>
      </x:c>
      <x:c r="H691" s="11"/>
      <x:c r="I691" s="11" t="str">
        <x:f>IF(H691="","",C691-H691)</x:f>
      </x:c>
      <x:c r="J691" s="4"/>
      <x:c r="K691" s="4" t="str">
        <x:v>URLs de detalle page/query/country por clics. No asignan las impresiones de esta consulta a cada página.</x:v>
      </x:c>
    </x:row>
    <x:row r="692" ht="28" customHeight="1">
      <x:c r="A692" s="4" t="n">
        <x:v>682</x:v>
      </x:c>
      <x:c r="B692" s="4" t="str">
        <x:v>dimensiones equipaje de mano</x:v>
      </x:c>
      <x:c r="C692" s="11" t="n">
        <x:v>2</x:v>
      </x:c>
      <x:c r="D692" s="11" t="n">
        <x:v>91</x:v>
      </x:c>
      <x:c r="E692" s="14" t="n">
        <x:v>0.02197802197802198</x:v>
      </x:c>
      <x:c r="F692" s="12" t="n">
        <x:v>7.945054945054945</x:v>
      </x:c>
      <x:c r="G692" s="4" t="str">
        <x:v>Sin marca literal</x:v>
      </x:c>
      <x:c r="H692" s="11"/>
      <x:c r="I692" s="11" t="str">
        <x:f>IF(H692="","",C692-H692)</x:f>
      </x:c>
      <x:c r="J692" s="4"/>
      <x:c r="K692" s="4" t="str">
        <x:v>URLs de detalle page/query/country por clics. No asignan las impresiones de esta consulta a cada página.</x:v>
      </x:c>
    </x:row>
    <x:row r="693" ht="28" customHeight="1">
      <x:c r="A693" s="4" t="n">
        <x:v>683</x:v>
      </x:c>
      <x:c r="B693" s="4" t="str">
        <x:v>ciudades del sur de argentina</x:v>
      </x:c>
      <x:c r="C693" s="11" t="n">
        <x:v>2</x:v>
      </x:c>
      <x:c r="D693" s="11" t="n">
        <x:v>89</x:v>
      </x:c>
      <x:c r="E693" s="14" t="n">
        <x:v>0.02247191011235955</x:v>
      </x:c>
      <x:c r="F693" s="12" t="n">
        <x:v>3.8764044943820224</x:v>
      </x:c>
      <x:c r="G693" s="4" t="str">
        <x:v>Sin marca literal</x:v>
      </x:c>
      <x:c r="H693" s="11"/>
      <x:c r="I693" s="11" t="str">
        <x:f>IF(H693="","",C693-H693)</x:f>
      </x:c>
      <x:c r="J693" s="4"/>
      <x:c r="K693" s="4" t="str">
        <x:v>URLs de detalle page/query/country por clics. No asignan las impresiones de esta consulta a cada página.</x:v>
      </x:c>
    </x:row>
    <x:row r="694" ht="28" customHeight="1">
      <x:c r="A694" s="4" t="n">
        <x:v>684</x:v>
      </x:c>
      <x:c r="B694" s="4" t="str">
        <x:v>de chile a brasil cuantas horas son</x:v>
      </x:c>
      <x:c r="C694" s="11" t="n">
        <x:v>2</x:v>
      </x:c>
      <x:c r="D694" s="11" t="n">
        <x:v>89</x:v>
      </x:c>
      <x:c r="E694" s="14" t="n">
        <x:v>0.02247191011235955</x:v>
      </x:c>
      <x:c r="F694" s="12" t="n">
        <x:v>2.696629213483146</x:v>
      </x:c>
      <x:c r="G694" s="4" t="str">
        <x:v>Sin marca literal</x:v>
      </x:c>
      <x:c r="H694" s="11"/>
      <x:c r="I694" s="11" t="str">
        <x:f>IF(H694="","",C694-H694)</x:f>
      </x:c>
      <x:c r="J694" s="4"/>
      <x:c r="K694" s="4" t="str">
        <x:v>URLs de detalle page/query/country por clics. No asignan las impresiones de esta consulta a cada página.</x:v>
      </x:c>
    </x:row>
    <x:row r="695" ht="28" customHeight="1">
      <x:c r="A695" s="4" t="n">
        <x:v>685</x:v>
      </x:c>
      <x:c r="B695" s="4" t="str">
        <x:v>medidas maleta cabina</x:v>
      </x:c>
      <x:c r="C695" s="11" t="n">
        <x:v>2</x:v>
      </x:c>
      <x:c r="D695" s="11" t="n">
        <x:v>89</x:v>
      </x:c>
      <x:c r="E695" s="14" t="n">
        <x:v>0.02247191011235955</x:v>
      </x:c>
      <x:c r="F695" s="12" t="n">
        <x:v>9.865168539325843</x:v>
      </x:c>
      <x:c r="G695" s="4" t="str">
        <x:v>Sin marca literal</x:v>
      </x:c>
      <x:c r="H695" s="11"/>
      <x:c r="I695" s="11" t="str">
        <x:f>IF(H695="","",C695-H695)</x:f>
      </x:c>
      <x:c r="J695" s="4"/>
      <x:c r="K695" s="4" t="str">
        <x:v>URLs de detalle page/query/country por clics. No asignan las impresiones de esta consulta a cada página.</x:v>
      </x:c>
    </x:row>
    <x:row r="696" ht="28" customHeight="1">
      <x:c r="A696" s="4" t="n">
        <x:v>686</x:v>
      </x:c>
      <x:c r="B696" s="4" t="str">
        <x:v>que comer para el 18 de septiembre</x:v>
      </x:c>
      <x:c r="C696" s="11" t="n">
        <x:v>2</x:v>
      </x:c>
      <x:c r="D696" s="11" t="n">
        <x:v>88</x:v>
      </x:c>
      <x:c r="E696" s="14" t="n">
        <x:v>0.022727272727272728</x:v>
      </x:c>
      <x:c r="F696" s="12" t="n">
        <x:v>2.784090909090909</x:v>
      </x:c>
      <x:c r="G696" s="4" t="str">
        <x:v>Sin marca literal</x:v>
      </x:c>
      <x:c r="H696" s="11"/>
      <x:c r="I696" s="11" t="str">
        <x:f>IF(H696="","",C696-H696)</x:f>
      </x:c>
      <x:c r="J696" s="4"/>
      <x:c r="K696" s="4" t="str">
        <x:v>URLs de detalle page/query/country por clics. No asignan las impresiones de esta consulta a cada página.</x:v>
      </x:c>
    </x:row>
    <x:row r="697" ht="28" customHeight="1">
      <x:c r="A697" s="4" t="n">
        <x:v>687</x:v>
      </x:c>
      <x:c r="B697" s="4" t="str">
        <x:v>lima tiene playa</x:v>
      </x:c>
      <x:c r="C697" s="11" t="n">
        <x:v>2</x:v>
      </x:c>
      <x:c r="D697" s="11" t="n">
        <x:v>87</x:v>
      </x:c>
      <x:c r="E697" s="14" t="n">
        <x:v>0.022988505747126436</x:v>
      </x:c>
      <x:c r="F697" s="12" t="n">
        <x:v>12.195402298850574</x:v>
      </x:c>
      <x:c r="G697" s="4" t="str">
        <x:v>Sin marca literal</x:v>
      </x:c>
      <x:c r="H697" s="11"/>
      <x:c r="I697" s="11" t="str">
        <x:f>IF(H697="","",C697-H697)</x:f>
      </x:c>
      <x:c r="J697" s="4"/>
      <x:c r="K697" s="4" t="str">
        <x:v>URLs de detalle page/query/country por clics. No asignan las impresiones de esta consulta a cada página.</x:v>
      </x:c>
    </x:row>
    <x:row r="698" ht="28" customHeight="1">
      <x:c r="A698" s="4" t="n">
        <x:v>688</x:v>
      </x:c>
      <x:c r="B698" s="4" t="str">
        <x:v>que esta prohibido llevar en el avion</x:v>
      </x:c>
      <x:c r="C698" s="11" t="n">
        <x:v>2</x:v>
      </x:c>
      <x:c r="D698" s="11" t="n">
        <x:v>87</x:v>
      </x:c>
      <x:c r="E698" s="14" t="n">
        <x:v>0.022988505747126436</x:v>
      </x:c>
      <x:c r="F698" s="12" t="n">
        <x:v>8.068965517241379</x:v>
      </x:c>
      <x:c r="G698" s="4" t="str">
        <x:v>Sin marca literal</x:v>
      </x:c>
      <x:c r="H698" s="11"/>
      <x:c r="I698" s="11" t="str">
        <x:f>IF(H698="","",C698-H698)</x:f>
      </x:c>
      <x:c r="J698" s="4"/>
      <x:c r="K698" s="4" t="str">
        <x:v>URLs de detalle page/query/country por clics. No asignan las impresiones de esta consulta a cada página.</x:v>
      </x:c>
    </x:row>
    <x:row r="699" ht="28" customHeight="1">
      <x:c r="A699" s="4" t="n">
        <x:v>689</x:v>
      </x:c>
      <x:c r="B699" s="4" t="str">
        <x:v>que se necesita para ser azafata</x:v>
      </x:c>
      <x:c r="C699" s="11" t="n">
        <x:v>2</x:v>
      </x:c>
      <x:c r="D699" s="11" t="n">
        <x:v>87</x:v>
      </x:c>
      <x:c r="E699" s="14" t="n">
        <x:v>0.022988505747126436</x:v>
      </x:c>
      <x:c r="F699" s="12" t="n">
        <x:v>5.471264367816092</x:v>
      </x:c>
      <x:c r="G699" s="4" t="str">
        <x:v>Sin marca literal</x:v>
      </x:c>
      <x:c r="H699" s="11"/>
      <x:c r="I699" s="11" t="str">
        <x:f>IF(H699="","",C699-H699)</x:f>
      </x:c>
      <x:c r="J699" s="4"/>
      <x:c r="K699" s="4" t="str">
        <x:v>URLs de detalle page/query/country por clics. No asignan las impresiones de esta consulta a cada página.</x:v>
      </x:c>
    </x:row>
    <x:row r="700" ht="28" customHeight="1">
      <x:c r="A700" s="4" t="n">
        <x:v>690</x:v>
      </x:c>
      <x:c r="B700" s="4" t="str">
        <x:v>clima de la zona norte de chile</x:v>
      </x:c>
      <x:c r="C700" s="11" t="n">
        <x:v>2</x:v>
      </x:c>
      <x:c r="D700" s="11" t="n">
        <x:v>85</x:v>
      </x:c>
      <x:c r="E700" s="14" t="n">
        <x:v>0.023529411764705882</x:v>
      </x:c>
      <x:c r="F700" s="12" t="n">
        <x:v>2.9294117647058826</x:v>
      </x:c>
      <x:c r="G700" s="4" t="str">
        <x:v>Sin marca literal</x:v>
      </x:c>
      <x:c r="H700" s="11"/>
      <x:c r="I700" s="11" t="str">
        <x:f>IF(H700="","",C700-H700)</x:f>
      </x:c>
      <x:c r="J700" s="4"/>
      <x:c r="K700" s="4" t="str">
        <x:v>URLs de detalle page/query/country por clics. No asignan las impresiones de esta consulta a cada página.</x:v>
      </x:c>
    </x:row>
    <x:row r="701" ht="28" customHeight="1">
      <x:c r="A701" s="4" t="n">
        <x:v>691</x:v>
      </x:c>
      <x:c r="B701" s="4" t="str">
        <x:v>lugares para visitar en valdivia gratis</x:v>
      </x:c>
      <x:c r="C701" s="11" t="n">
        <x:v>2</x:v>
      </x:c>
      <x:c r="D701" s="11" t="n">
        <x:v>84</x:v>
      </x:c>
      <x:c r="E701" s="14" t="n">
        <x:v>0.023809523809523808</x:v>
      </x:c>
      <x:c r="F701" s="12" t="n">
        <x:v>3.6904761904761907</x:v>
      </x:c>
      <x:c r="G701" s="4" t="str">
        <x:v>Sin marca literal</x:v>
      </x:c>
      <x:c r="H701" s="11"/>
      <x:c r="I701" s="11" t="str">
        <x:f>IF(H701="","",C701-H701)</x:f>
      </x:c>
      <x:c r="J701" s="4"/>
      <x:c r="K701" s="4" t="str">
        <x:v>URLs de detalle page/query/country por clics. No asignan las impresiones de esta consulta a cada página.</x:v>
      </x:c>
    </x:row>
    <x:row r="702" ht="28" customHeight="1">
      <x:c r="A702" s="4" t="n">
        <x:v>692</x:v>
      </x:c>
      <x:c r="B702" s="4" t="str">
        <x:v>skyplus chile</x:v>
      </x:c>
      <x:c r="C702" s="11" t="n">
        <x:v>2</x:v>
      </x:c>
      <x:c r="D702" s="11" t="n">
        <x:v>83</x:v>
      </x:c>
      <x:c r="E702" s="14" t="n">
        <x:v>0.024096385542168676</x:v>
      </x:c>
      <x:c r="F702" s="12" t="n">
        <x:v>6.421686746987952</x:v>
      </x:c>
      <x:c r="G702" s="4" t="str">
        <x:v>Sin marca literal</x:v>
      </x:c>
      <x:c r="H702" s="11"/>
      <x:c r="I702" s="11" t="str">
        <x:f>IF(H702="","",C702-H702)</x:f>
      </x:c>
      <x:c r="J702" s="4"/>
      <x:c r="K702" s="4" t="str">
        <x:v>URLs de detalle page/query/country por clics. No asignan las impresiones de esta consulta a cada página.</x:v>
      </x:c>
    </x:row>
    <x:row r="703" ht="28" customHeight="1">
      <x:c r="A703" s="4" t="n">
        <x:v>693</x:v>
      </x:c>
      <x:c r="B703" s="4" t="str">
        <x:v>lugares cerca de rio de janeiro</x:v>
      </x:c>
      <x:c r="C703" s="11" t="n">
        <x:v>2</x:v>
      </x:c>
      <x:c r="D703" s="11" t="n">
        <x:v>81</x:v>
      </x:c>
      <x:c r="E703" s="14" t="n">
        <x:v>0.024691358024691357</x:v>
      </x:c>
      <x:c r="F703" s="12" t="n">
        <x:v>4.777777777777778</x:v>
      </x:c>
      <x:c r="G703" s="4" t="str">
        <x:v>Sin marca literal</x:v>
      </x:c>
      <x:c r="H703" s="11"/>
      <x:c r="I703" s="11" t="str">
        <x:f>IF(H703="","",C703-H703)</x:f>
      </x:c>
      <x:c r="J703" s="4"/>
      <x:c r="K703" s="4" t="str">
        <x:v>URLs de detalle page/query/country por clics. No asignan las impresiones de esta consulta a cada página.</x:v>
      </x:c>
    </x:row>
    <x:row r="704" ht="28" customHeight="1">
      <x:c r="A704" s="4" t="n">
        <x:v>694</x:v>
      </x:c>
      <x:c r="B704" s="4" t="str">
        <x:v>que se estudia para ser azafata</x:v>
      </x:c>
      <x:c r="C704" s="11" t="n">
        <x:v>2</x:v>
      </x:c>
      <x:c r="D704" s="11" t="n">
        <x:v>81</x:v>
      </x:c>
      <x:c r="E704" s="14" t="n">
        <x:v>0.024691358024691357</x:v>
      </x:c>
      <x:c r="F704" s="12" t="n">
        <x:v>10.765432098765432</x:v>
      </x:c>
      <x:c r="G704" s="4" t="str">
        <x:v>Sin marca literal</x:v>
      </x:c>
      <x:c r="H704" s="11"/>
      <x:c r="I704" s="11" t="str">
        <x:f>IF(H704="","",C704-H704)</x:f>
      </x:c>
      <x:c r="J704" s="4"/>
      <x:c r="K704" s="4" t="str">
        <x:v>URLs de detalle page/query/country por clics. No asignan las impresiones de esta consulta a cada página.</x:v>
      </x:c>
    </x:row>
    <x:row r="705" ht="28" customHeight="1">
      <x:c r="A705" s="4" t="n">
        <x:v>695</x:v>
      </x:c>
      <x:c r="B705" s="4" t="str">
        <x:v>donde viajar con niños fuera de chile</x:v>
      </x:c>
      <x:c r="C705" s="11" t="n">
        <x:v>2</x:v>
      </x:c>
      <x:c r="D705" s="11" t="n">
        <x:v>80</x:v>
      </x:c>
      <x:c r="E705" s="14" t="n">
        <x:v>0.025</x:v>
      </x:c>
      <x:c r="F705" s="12" t="n">
        <x:v>2.2625</x:v>
      </x:c>
      <x:c r="G705" s="4" t="str">
        <x:v>Sin marca literal</x:v>
      </x:c>
      <x:c r="H705" s="11"/>
      <x:c r="I705" s="11" t="str">
        <x:f>IF(H705="","",C705-H705)</x:f>
      </x:c>
      <x:c r="J705" s="4"/>
      <x:c r="K705" s="4" t="str">
        <x:v>URLs de detalle page/query/country por clics. No asignan las impresiones de esta consulta a cada página.</x:v>
      </x:c>
    </x:row>
    <x:row r="706" ht="28" customHeight="1">
      <x:c r="A706" s="4" t="n">
        <x:v>696</x:v>
      </x:c>
      <x:c r="B706" s="4" t="str">
        <x:v>que comprar en chile</x:v>
      </x:c>
      <x:c r="C706" s="11" t="n">
        <x:v>2</x:v>
      </x:c>
      <x:c r="D706" s="11" t="n">
        <x:v>79</x:v>
      </x:c>
      <x:c r="E706" s="14" t="n">
        <x:v>0.02531645569620253</x:v>
      </x:c>
      <x:c r="F706" s="12" t="n">
        <x:v>4.8354430379746836</x:v>
      </x:c>
      <x:c r="G706" s="4" t="str">
        <x:v>Sin marca literal</x:v>
      </x:c>
      <x:c r="H706" s="11"/>
      <x:c r="I706" s="11" t="str">
        <x:f>IF(H706="","",C706-H706)</x:f>
      </x:c>
      <x:c r="J706" s="4"/>
      <x:c r="K706" s="4" t="str">
        <x:v>URLs de detalle page/query/country por clics. No asignan las impresiones de esta consulta a cada página.</x:v>
      </x:c>
    </x:row>
    <x:row r="707" ht="28" customHeight="1">
      <x:c r="A707" s="4" t="n">
        <x:v>697</x:v>
      </x:c>
      <x:c r="B707" s="4" t="str">
        <x:v>5 costumbres de argentina</x:v>
      </x:c>
      <x:c r="C707" s="11" t="n">
        <x:v>2</x:v>
      </x:c>
      <x:c r="D707" s="11" t="n">
        <x:v>78</x:v>
      </x:c>
      <x:c r="E707" s="14" t="n">
        <x:v>0.02564102564102564</x:v>
      </x:c>
      <x:c r="F707" s="12" t="n">
        <x:v>4.115384615384615</x:v>
      </x:c>
      <x:c r="G707" s="4" t="str">
        <x:v>Sin marca literal</x:v>
      </x:c>
      <x:c r="H707" s="11"/>
      <x:c r="I707" s="11" t="str">
        <x:f>IF(H707="","",C707-H707)</x:f>
      </x:c>
      <x:c r="J707" s="4"/>
      <x:c r="K707" s="4" t="str">
        <x:v>URLs de detalle page/query/country por clics. No asignan las impresiones de esta consulta a cada página.</x:v>
      </x:c>
    </x:row>
    <x:row r="708" ht="28" customHeight="1">
      <x:c r="A708" s="4" t="n">
        <x:v>698</x:v>
      </x:c>
      <x:c r="B708" s="4" t="str">
        <x:v>distancia de puerto natales a torres del paine</x:v>
      </x:c>
      <x:c r="C708" s="11" t="n">
        <x:v>2</x:v>
      </x:c>
      <x:c r="D708" s="11" t="n">
        <x:v>78</x:v>
      </x:c>
      <x:c r="E708" s="14" t="n">
        <x:v>0.02564102564102564</x:v>
      </x:c>
      <x:c r="F708" s="12" t="n">
        <x:v>4.333333333333334</x:v>
      </x:c>
      <x:c r="G708" s="4" t="str">
        <x:v>Sin marca literal</x:v>
      </x:c>
      <x:c r="H708" s="11"/>
      <x:c r="I708" s="11" t="str">
        <x:f>IF(H708="","",C708-H708)</x:f>
      </x:c>
      <x:c r="J708" s="4"/>
      <x:c r="K708" s="4" t="str">
        <x:v>URLs de detalle page/query/country por clics. No asignan las impresiones de esta consulta a cada página.</x:v>
      </x:c>
    </x:row>
    <x:row r="709" ht="28" customHeight="1">
      <x:c r="A709" s="4" t="n">
        <x:v>699</x:v>
      </x:c>
      <x:c r="B709" s="4" t="str">
        <x:v>a partir de que edad los niños pagan pasaje en avión</x:v>
      </x:c>
      <x:c r="C709" s="11" t="n">
        <x:v>2</x:v>
      </x:c>
      <x:c r="D709" s="11" t="n">
        <x:v>77</x:v>
      </x:c>
      <x:c r="E709" s="14" t="n">
        <x:v>0.025974025974025976</x:v>
      </x:c>
      <x:c r="F709" s="12" t="n">
        <x:v>4.233766233766234</x:v>
      </x:c>
      <x:c r="G709" s="4" t="str">
        <x:v>Sin marca literal</x:v>
      </x:c>
      <x:c r="H709" s="11"/>
      <x:c r="I709" s="11" t="str">
        <x:f>IF(H709="","",C709-H709)</x:f>
      </x:c>
      <x:c r="J709" s="4"/>
      <x:c r="K709" s="4" t="str">
        <x:v>URLs de detalle page/query/country por clics. No asignan las impresiones de esta consulta a cada página.</x:v>
      </x:c>
    </x:row>
    <x:row r="710" ht="28" customHeight="1">
      <x:c r="A710" s="4" t="n">
        <x:v>700</x:v>
      </x:c>
      <x:c r="B710" s="4" t="str">
        <x:v>medidas maleta de mano sky</x:v>
      </x:c>
      <x:c r="C710" s="11" t="n">
        <x:v>2</x:v>
      </x:c>
      <x:c r="D710" s="11" t="n">
        <x:v>77</x:v>
      </x:c>
      <x:c r="E710" s="14" t="n">
        <x:v>0.025974025974025976</x:v>
      </x:c>
      <x:c r="F710" s="12" t="n">
        <x:v>3.8051948051948052</x:v>
      </x:c>
      <x:c r="G710" s="4" t="str">
        <x:v>Sin marca literal</x:v>
      </x:c>
      <x:c r="H710" s="11"/>
      <x:c r="I710" s="11" t="str">
        <x:f>IF(H710="","",C710-H710)</x:f>
      </x:c>
      <x:c r="J710" s="4"/>
      <x:c r="K710" s="4" t="str">
        <x:v>URLs de detalle page/query/country por clics. No asignan las impresiones de esta consulta a cada página.</x:v>
      </x:c>
    </x:row>
    <x:row r="711" ht="28" customHeight="1">
      <x:c r="A711" s="4" t="n">
        <x:v>701</x:v>
      </x:c>
      <x:c r="B711" s="4" t="str">
        <x:v>cuando comprar pasajes baratos</x:v>
      </x:c>
      <x:c r="C711" s="11" t="n">
        <x:v>2</x:v>
      </x:c>
      <x:c r="D711" s="11" t="n">
        <x:v>75</x:v>
      </x:c>
      <x:c r="E711" s="14" t="n">
        <x:v>0.02666666666666667</x:v>
      </x:c>
      <x:c r="F711" s="12" t="n">
        <x:v>6.1066666666666665</x:v>
      </x:c>
      <x:c r="G711" s="4" t="str">
        <x:v>Sin marca literal</x:v>
      </x:c>
      <x:c r="H711" s="11"/>
      <x:c r="I711" s="11" t="str">
        <x:f>IF(H711="","",C711-H711)</x:f>
      </x:c>
      <x:c r="J711" s="4"/>
      <x:c r="K711" s="4" t="str">
        <x:v>URLs de detalle page/query/country por clics. No asignan las impresiones de esta consulta a cada página.</x:v>
      </x:c>
    </x:row>
    <x:row r="712" ht="28" customHeight="1">
      <x:c r="A712" s="4" t="n">
        <x:v>702</x:v>
      </x:c>
      <x:c r="B712" s="4" t="str">
        <x:v>escapada fin de semana romántico barato</x:v>
      </x:c>
      <x:c r="C712" s="11" t="n">
        <x:v>2</x:v>
      </x:c>
      <x:c r="D712" s="11" t="n">
        <x:v>75</x:v>
      </x:c>
      <x:c r="E712" s="14" t="n">
        <x:v>0.02666666666666667</x:v>
      </x:c>
      <x:c r="F712" s="12" t="n">
        <x:v>9.333333333333334</x:v>
      </x:c>
      <x:c r="G712" s="4" t="str">
        <x:v>Sin marca literal</x:v>
      </x:c>
      <x:c r="H712" s="11"/>
      <x:c r="I712" s="11" t="str">
        <x:f>IF(H712="","",C712-H712)</x:f>
      </x:c>
      <x:c r="J712" s="4"/>
      <x:c r="K712" s="4" t="str">
        <x:v>URLs de detalle page/query/country por clics. No asignan las impresiones de esta consulta a cada página.</x:v>
      </x:c>
    </x:row>
    <x:row r="713" ht="28" customHeight="1">
      <x:c r="A713" s="4" t="n">
        <x:v>703</x:v>
      </x:c>
      <x:c r="B713" s="4" t="str">
        <x:v>historia del folklore chileno</x:v>
      </x:c>
      <x:c r="C713" s="11" t="n">
        <x:v>2</x:v>
      </x:c>
      <x:c r="D713" s="11" t="n">
        <x:v>72</x:v>
      </x:c>
      <x:c r="E713" s="14" t="n">
        <x:v>0.027777777777777776</x:v>
      </x:c>
      <x:c r="F713" s="12" t="n">
        <x:v>7.75</x:v>
      </x:c>
      <x:c r="G713" s="4" t="str">
        <x:v>Sin marca literal</x:v>
      </x:c>
      <x:c r="H713" s="11"/>
      <x:c r="I713" s="11" t="str">
        <x:f>IF(H713="","",C713-H713)</x:f>
      </x:c>
      <x:c r="J713" s="4"/>
      <x:c r="K713" s="4" t="str">
        <x:v>URLs de detalle page/query/country por clics. No asignan las impresiones de esta consulta a cada página.</x:v>
      </x:c>
    </x:row>
    <x:row r="714" ht="28" customHeight="1">
      <x:c r="A714" s="4" t="n">
        <x:v>704</x:v>
      </x:c>
      <x:c r="B714" s="4" t="str">
        <x:v>medidas sky bolso de mano</x:v>
      </x:c>
      <x:c r="C714" s="11" t="n">
        <x:v>2</x:v>
      </x:c>
      <x:c r="D714" s="11" t="n">
        <x:v>72</x:v>
      </x:c>
      <x:c r="E714" s="14" t="n">
        <x:v>0.027777777777777776</x:v>
      </x:c>
      <x:c r="F714" s="12" t="n">
        <x:v>2.8472222222222223</x:v>
      </x:c>
      <x:c r="G714" s="4" t="str">
        <x:v>Sin marca literal</x:v>
      </x:c>
      <x:c r="H714" s="11"/>
      <x:c r="I714" s="11" t="str">
        <x:f>IF(H714="","",C714-H714)</x:f>
      </x:c>
      <x:c r="J714" s="4"/>
      <x:c r="K714" s="4" t="str">
        <x:v>URLs de detalle page/query/country por clics. No asignan las impresiones de esta consulta a cada página.</x:v>
      </x:c>
    </x:row>
    <x:row r="715" ht="28" customHeight="1">
      <x:c r="A715" s="4" t="n">
        <x:v>705</x:v>
      </x:c>
      <x:c r="B715" s="4" t="str">
        <x:v>de santiago a brasil cuantas horas son</x:v>
      </x:c>
      <x:c r="C715" s="11" t="n">
        <x:v>2</x:v>
      </x:c>
      <x:c r="D715" s="11" t="n">
        <x:v>71</x:v>
      </x:c>
      <x:c r="E715" s="14" t="n">
        <x:v>0.028169014084507043</x:v>
      </x:c>
      <x:c r="F715" s="12" t="n">
        <x:v>2.732394366197183</x:v>
      </x:c>
      <x:c r="G715" s="4" t="str">
        <x:v>Sin marca literal</x:v>
      </x:c>
      <x:c r="H715" s="11"/>
      <x:c r="I715" s="11" t="str">
        <x:f>IF(H715="","",C715-H715)</x:f>
      </x:c>
      <x:c r="J715" s="4"/>
      <x:c r="K715" s="4" t="str">
        <x:v>URLs de detalle page/query/country por clics. No asignan las impresiones de esta consulta a cada página.</x:v>
      </x:c>
    </x:row>
    <x:row r="716" ht="28" customHeight="1">
      <x:c r="A716" s="4" t="n">
        <x:v>706</x:v>
      </x:c>
      <x:c r="B716" s="4" t="str">
        <x:v>airbus a320 sky</x:v>
      </x:c>
      <x:c r="C716" s="11" t="n">
        <x:v>2</x:v>
      </x:c>
      <x:c r="D716" s="11" t="n">
        <x:v>70</x:v>
      </x:c>
      <x:c r="E716" s="14" t="n">
        <x:v>0.02857142857142857</x:v>
      </x:c>
      <x:c r="F716" s="12" t="n">
        <x:v>2.9857142857142858</x:v>
      </x:c>
      <x:c r="G716" s="4" t="str">
        <x:v>Sin marca literal</x:v>
      </x:c>
      <x:c r="H716" s="11"/>
      <x:c r="I716" s="11" t="str">
        <x:f>IF(H716="","",C716-H716)</x:f>
      </x:c>
      <x:c r="J716" s="4"/>
      <x:c r="K716" s="4" t="str">
        <x:v>URLs de detalle page/query/country por clics. No asignan las impresiones de esta consulta a cada página.</x:v>
      </x:c>
    </x:row>
    <x:row r="717" ht="28" customHeight="1">
      <x:c r="A717" s="4" t="n">
        <x:v>707</x:v>
      </x:c>
      <x:c r="B717" s="4" t="str">
        <x:v>tarifa light sky</x:v>
      </x:c>
      <x:c r="C717" s="11" t="n">
        <x:v>2</x:v>
      </x:c>
      <x:c r="D717" s="11" t="n">
        <x:v>70</x:v>
      </x:c>
      <x:c r="E717" s="14" t="n">
        <x:v>0.02857142857142857</x:v>
      </x:c>
      <x:c r="F717" s="12" t="n">
        <x:v>5.257142857142857</x:v>
      </x:c>
      <x:c r="G717" s="4" t="str">
        <x:v>Sin marca literal</x:v>
      </x:c>
      <x:c r="H717" s="11"/>
      <x:c r="I717" s="11" t="str">
        <x:f>IF(H717="","",C717-H717)</x:f>
      </x:c>
      <x:c r="J717" s="4"/>
      <x:c r="K717" s="4" t="str">
        <x:v>URLs de detalle page/query/country por clics. No asignan las impresiones de esta consulta a cada página.</x:v>
      </x:c>
    </x:row>
    <x:row r="718" ht="28" customHeight="1">
      <x:c r="A718" s="4" t="n">
        <x:v>708</x:v>
      </x:c>
      <x:c r="B718" s="4" t="str">
        <x:v>ciudades del sur argentino</x:v>
      </x:c>
      <x:c r="C718" s="11" t="n">
        <x:v>2</x:v>
      </x:c>
      <x:c r="D718" s="11" t="n">
        <x:v>69</x:v>
      </x:c>
      <x:c r="E718" s="14" t="n">
        <x:v>0.028985507246376812</x:v>
      </x:c>
      <x:c r="F718" s="12" t="n">
        <x:v>2.579710144927536</x:v>
      </x:c>
      <x:c r="G718" s="4" t="str">
        <x:v>Sin marca literal</x:v>
      </x:c>
      <x:c r="H718" s="11"/>
      <x:c r="I718" s="11" t="str">
        <x:f>IF(H718="","",C718-H718)</x:f>
      </x:c>
      <x:c r="J718" s="4"/>
      <x:c r="K718" s="4" t="str">
        <x:v>URLs de detalle page/query/country por clics. No asignan las impresiones de esta consulta a cada página.</x:v>
      </x:c>
    </x:row>
    <x:row r="719" ht="28" customHeight="1">
      <x:c r="A719" s="4" t="n">
        <x:v>709</x:v>
      </x:c>
      <x:c r="B719" s="4" t="str">
        <x:v>como llegar a pucon desde santiago</x:v>
      </x:c>
      <x:c r="C719" s="11" t="n">
        <x:v>2</x:v>
      </x:c>
      <x:c r="D719" s="11" t="n">
        <x:v>68</x:v>
      </x:c>
      <x:c r="E719" s="14" t="n">
        <x:v>0.029411764705882353</x:v>
      </x:c>
      <x:c r="F719" s="12" t="n">
        <x:v>3.5294117647058822</x:v>
      </x:c>
      <x:c r="G719" s="4" t="str">
        <x:v>Sin marca literal</x:v>
      </x:c>
      <x:c r="H719" s="11"/>
      <x:c r="I719" s="11" t="str">
        <x:f>IF(H719="","",C719-H719)</x:f>
      </x:c>
      <x:c r="J719" s="4"/>
      <x:c r="K719" s="4" t="str">
        <x:v>URLs de detalle page/query/country por clics. No asignan las impresiones de esta consulta a cada página.</x:v>
      </x:c>
    </x:row>
    <x:row r="720" ht="28" customHeight="1">
      <x:c r="A720" s="4" t="n">
        <x:v>710</x:v>
      </x:c>
      <x:c r="B720" s="4" t="str">
        <x:v>desde que edad se paga pasaje en avion</x:v>
      </x:c>
      <x:c r="C720" s="11" t="n">
        <x:v>2</x:v>
      </x:c>
      <x:c r="D720" s="11" t="n">
        <x:v>68</x:v>
      </x:c>
      <x:c r="E720" s="14" t="n">
        <x:v>0.029411764705882353</x:v>
      </x:c>
      <x:c r="F720" s="12" t="n">
        <x:v>3.6176470588235294</x:v>
      </x:c>
      <x:c r="G720" s="4" t="str">
        <x:v>Sin marca literal</x:v>
      </x:c>
      <x:c r="H720" s="11"/>
      <x:c r="I720" s="11" t="str">
        <x:f>IF(H720="","",C720-H720)</x:f>
      </x:c>
      <x:c r="J720" s="4"/>
      <x:c r="K720" s="4" t="str">
        <x:v>URLs de detalle page/query/country por clics. No asignan las impresiones de esta consulta a cada página.</x:v>
      </x:c>
    </x:row>
    <x:row r="721" ht="28" customHeight="1">
      <x:c r="A721" s="4" t="n">
        <x:v>711</x:v>
      </x:c>
      <x:c r="B721" s="4" t="str">
        <x:v>aeropuerto aep buenos aires</x:v>
      </x:c>
      <x:c r="C721" s="11" t="n">
        <x:v>2</x:v>
      </x:c>
      <x:c r="D721" s="11" t="n">
        <x:v>67</x:v>
      </x:c>
      <x:c r="E721" s="14" t="n">
        <x:v>0.029850746268656716</x:v>
      </x:c>
      <x:c r="F721" s="12" t="n">
        <x:v>9.119402985074627</x:v>
      </x:c>
      <x:c r="G721" s="4" t="str">
        <x:v>Sin marca literal</x:v>
      </x:c>
      <x:c r="H721" s="11"/>
      <x:c r="I721" s="11" t="str">
        <x:f>IF(H721="","",C721-H721)</x:f>
      </x:c>
      <x:c r="J721" s="4"/>
      <x:c r="K721" s="4" t="str">
        <x:v>URLs de detalle page/query/country por clics. No asignan las impresiones de esta consulta a cada página.</x:v>
      </x:c>
    </x:row>
    <x:row r="722" ht="28" customHeight="1">
      <x:c r="A722" s="4" t="n">
        <x:v>712</x:v>
      </x:c>
      <x:c r="B722" s="4" t="str">
        <x:v>pucon chile</x:v>
      </x:c>
      <x:c r="C722" s="11" t="n">
        <x:v>2</x:v>
      </x:c>
      <x:c r="D722" s="11" t="n">
        <x:v>67</x:v>
      </x:c>
      <x:c r="E722" s="14" t="n">
        <x:v>0.029850746268656716</x:v>
      </x:c>
      <x:c r="F722" s="12" t="n">
        <x:v>10.35820895522388</x:v>
      </x:c>
      <x:c r="G722" s="4" t="str">
        <x:v>Sin marca literal</x:v>
      </x:c>
      <x:c r="H722" s="11"/>
      <x:c r="I722" s="11" t="str">
        <x:f>IF(H722="","",C722-H722)</x:f>
      </x:c>
      <x:c r="J722" s="4"/>
      <x:c r="K722" s="4" t="str">
        <x:v>URLs de detalle page/query/country por clics. No asignan las impresiones de esta consulta a cada página.</x:v>
      </x:c>
    </x:row>
    <x:row r="723" ht="28" customHeight="1">
      <x:c r="A723" s="4" t="n">
        <x:v>713</x:v>
      </x:c>
      <x:c r="B723" s="4" t="str">
        <x:v>sky millas</x:v>
      </x:c>
      <x:c r="C723" s="11" t="n">
        <x:v>2</x:v>
      </x:c>
      <x:c r="D723" s="11" t="n">
        <x:v>66</x:v>
      </x:c>
      <x:c r="E723" s="14" t="n">
        <x:v>0.030303030303030304</x:v>
      </x:c>
      <x:c r="F723" s="12" t="n">
        <x:v>3.8333333333333335</x:v>
      </x:c>
      <x:c r="G723" s="4" t="str">
        <x:v>Sin marca literal</x:v>
      </x:c>
      <x:c r="H723" s="11"/>
      <x:c r="I723" s="11" t="str">
        <x:f>IF(H723="","",C723-H723)</x:f>
      </x:c>
      <x:c r="J723" s="4"/>
      <x:c r="K723" s="4" t="str">
        <x:v>URLs de detalle page/query/country por clics. No asignan las impresiones de esta consulta a cada página.</x:v>
      </x:c>
    </x:row>
    <x:row r="724" ht="28" customHeight="1">
      <x:c r="A724" s="4" t="n">
        <x:v>714</x:v>
      </x:c>
      <x:c r="B724" s="4" t="str">
        <x:v>sky se puede viajar con dni vencido</x:v>
      </x:c>
      <x:c r="C724" s="11" t="n">
        <x:v>2</x:v>
      </x:c>
      <x:c r="D724" s="11" t="n">
        <x:v>66</x:v>
      </x:c>
      <x:c r="E724" s="14" t="n">
        <x:v>0.030303030303030304</x:v>
      </x:c>
      <x:c r="F724" s="12" t="n">
        <x:v>5.045454545454546</x:v>
      </x:c>
      <x:c r="G724" s="4" t="str">
        <x:v>Sin marca literal</x:v>
      </x:c>
      <x:c r="H724" s="11"/>
      <x:c r="I724" s="11" t="str">
        <x:f>IF(H724="","",C724-H724)</x:f>
      </x:c>
      <x:c r="J724" s="4"/>
      <x:c r="K724" s="4" t="str">
        <x:v>URLs de detalle page/query/country por clics. No asignan las impresiones de esta consulta a cada página.</x:v>
      </x:c>
    </x:row>
    <x:row r="725" ht="28" customHeight="1">
      <x:c r="A725" s="4" t="n">
        <x:v>715</x:v>
      </x:c>
      <x:c r="B725" s="4" t="str">
        <x:v>platino sky plus</x:v>
      </x:c>
      <x:c r="C725" s="11" t="n">
        <x:v>2</x:v>
      </x:c>
      <x:c r="D725" s="11" t="n">
        <x:v>65</x:v>
      </x:c>
      <x:c r="E725" s="14" t="n">
        <x:v>0.03076923076923077</x:v>
      </x:c>
      <x:c r="F725" s="12" t="n">
        <x:v>5.6461538461538465</x:v>
      </x:c>
      <x:c r="G725" s="4" t="str">
        <x:v>Sin marca literal</x:v>
      </x:c>
      <x:c r="H725" s="11"/>
      <x:c r="I725" s="11" t="str">
        <x:f>IF(H725="","",C725-H725)</x:f>
      </x:c>
      <x:c r="J725" s="4"/>
      <x:c r="K725" s="4" t="str">
        <x:v>URLs de detalle page/query/country por clics. No asignan las impresiones de esta consulta a cada página.</x:v>
      </x:c>
    </x:row>
    <x:row r="726" ht="28" customHeight="1">
      <x:c r="A726" s="4" t="n">
        <x:v>716</x:v>
      </x:c>
      <x:c r="B726" s="4" t="str">
        <x:v>viajo en sky</x:v>
      </x:c>
      <x:c r="C726" s="11" t="n">
        <x:v>2</x:v>
      </x:c>
      <x:c r="D726" s="11" t="n">
        <x:v>65</x:v>
      </x:c>
      <x:c r="E726" s="14" t="n">
        <x:v>0.03076923076923077</x:v>
      </x:c>
      <x:c r="F726" s="12" t="n">
        <x:v>2.6923076923076925</x:v>
      </x:c>
      <x:c r="G726" s="4" t="str">
        <x:v>Sin marca literal</x:v>
      </x:c>
      <x:c r="H726" s="11"/>
      <x:c r="I726" s="11" t="str">
        <x:f>IF(H726="","",C726-H726)</x:f>
      </x:c>
      <x:c r="J726" s="4"/>
      <x:c r="K726" s="4" t="str">
        <x:v>URLs de detalle page/query/country por clics. No asignan las impresiones de esta consulta a cada página.</x:v>
      </x:c>
    </x:row>
    <x:row r="727" ht="28" customHeight="1">
      <x:c r="A727" s="4" t="n">
        <x:v>717</x:v>
      </x:c>
      <x:c r="B727" s="4" t="str">
        <x:v>cuando comprar pasajes de avion baratos</x:v>
      </x:c>
      <x:c r="C727" s="11" t="n">
        <x:v>2</x:v>
      </x:c>
      <x:c r="D727" s="11" t="n">
        <x:v>64</x:v>
      </x:c>
      <x:c r="E727" s="14" t="n">
        <x:v>0.03125</x:v>
      </x:c>
      <x:c r="F727" s="12" t="n">
        <x:v>4.984375</x:v>
      </x:c>
      <x:c r="G727" s="4" t="str">
        <x:v>Sin marca literal</x:v>
      </x:c>
      <x:c r="H727" s="11"/>
      <x:c r="I727" s="11" t="str">
        <x:f>IF(H727="","",C727-H727)</x:f>
      </x:c>
      <x:c r="J727" s="4"/>
      <x:c r="K727" s="4" t="str">
        <x:v>URLs de detalle page/query/country por clics. No asignan las impresiones de esta consulta a cada página.</x:v>
      </x:c>
    </x:row>
    <x:row r="728" ht="28" customHeight="1">
      <x:c r="A728" s="4" t="n">
        <x:v>718</x:v>
      </x:c>
      <x:c r="B728" s="4" t="str">
        <x:v>requisitos para ser tripulante de cabina</x:v>
      </x:c>
      <x:c r="C728" s="11" t="n">
        <x:v>2</x:v>
      </x:c>
      <x:c r="D728" s="11" t="n">
        <x:v>62</x:v>
      </x:c>
      <x:c r="E728" s="14" t="n">
        <x:v>0.03225806451612903</x:v>
      </x:c>
      <x:c r="F728" s="12" t="n">
        <x:v>3.9516129032258065</x:v>
      </x:c>
      <x:c r="G728" s="4" t="str">
        <x:v>Sin marca literal</x:v>
      </x:c>
      <x:c r="H728" s="11"/>
      <x:c r="I728" s="11" t="str">
        <x:f>IF(H728="","",C728-H728)</x:f>
      </x:c>
      <x:c r="J728" s="4"/>
      <x:c r="K728" s="4" t="str">
        <x:v>URLs de detalle page/query/country por clics. No asignan las impresiones de esta consulta a cada página.</x:v>
      </x:c>
    </x:row>
    <x:row r="729" ht="28" customHeight="1">
      <x:c r="A729" s="4" t="n">
        <x:v>719</x:v>
      </x:c>
      <x:c r="B729" s="4" t="str">
        <x:v>tamaño de bolso de mano sky</x:v>
      </x:c>
      <x:c r="C729" s="11" t="n">
        <x:v>2</x:v>
      </x:c>
      <x:c r="D729" s="11" t="n">
        <x:v>62</x:v>
      </x:c>
      <x:c r="E729" s="14" t="n">
        <x:v>0.03225806451612903</x:v>
      </x:c>
      <x:c r="F729" s="12" t="n">
        <x:v>3.3548387096774195</x:v>
      </x:c>
      <x:c r="G729" s="4" t="str">
        <x:v>Sin marca literal</x:v>
      </x:c>
      <x:c r="H729" s="11"/>
      <x:c r="I729" s="11" t="str">
        <x:f>IF(H729="","",C729-H729)</x:f>
      </x:c>
      <x:c r="J729" s="4"/>
      <x:c r="K729" s="4" t="str">
        <x:v>URLs de detalle page/query/country por clics. No asignan las impresiones de esta consulta a cada página.</x:v>
      </x:c>
    </x:row>
    <x:row r="730" ht="28" customHeight="1">
      <x:c r="A730" s="4" t="n">
        <x:v>720</x:v>
      </x:c>
      <x:c r="B730" s="4" t="str">
        <x:v>requisitos para viajar a méxico desde chile</x:v>
      </x:c>
      <x:c r="C730" s="11" t="n">
        <x:v>2</x:v>
      </x:c>
      <x:c r="D730" s="11" t="n">
        <x:v>60</x:v>
      </x:c>
      <x:c r="E730" s="14" t="n">
        <x:v>0.03333333333333333</x:v>
      </x:c>
      <x:c r="F730" s="12" t="n">
        <x:v>6.266666666666667</x:v>
      </x:c>
      <x:c r="G730" s="4" t="str">
        <x:v>Sin marca literal</x:v>
      </x:c>
      <x:c r="H730" s="11"/>
      <x:c r="I730" s="11" t="str">
        <x:f>IF(H730="","",C730-H730)</x:f>
      </x:c>
      <x:c r="J730" s="4"/>
      <x:c r="K730" s="4" t="str">
        <x:v>URLs de detalle page/query/country por clics. No asignan las impresiones de esta consulta a cada página.</x:v>
      </x:c>
    </x:row>
    <x:row r="731" ht="28" customHeight="1">
      <x:c r="A731" s="4" t="n">
        <x:v>721</x:v>
      </x:c>
      <x:c r="B731" s="4" t="str">
        <x:v>se puede cambiar la fecha de un vuelo</x:v>
      </x:c>
      <x:c r="C731" s="11" t="n">
        <x:v>2</x:v>
      </x:c>
      <x:c r="D731" s="11" t="n">
        <x:v>60</x:v>
      </x:c>
      <x:c r="E731" s="14" t="n">
        <x:v>0.03333333333333333</x:v>
      </x:c>
      <x:c r="F731" s="12" t="n">
        <x:v>8.5</x:v>
      </x:c>
      <x:c r="G731" s="4" t="str">
        <x:v>Sin marca literal</x:v>
      </x:c>
      <x:c r="H731" s="11"/>
      <x:c r="I731" s="11" t="str">
        <x:f>IF(H731="","",C731-H731)</x:f>
      </x:c>
      <x:c r="J731" s="4"/>
      <x:c r="K731" s="4" t="str">
        <x:v>URLs de detalle page/query/country por clics. No asignan las impresiones de esta consulta a cada página.</x:v>
      </x:c>
    </x:row>
    <x:row r="732" ht="28" customHeight="1">
      <x:c r="A732" s="4" t="n">
        <x:v>722</x:v>
      </x:c>
      <x:c r="B732" s="4" t="str">
        <x:v>lugares del sur argentino para visitar</x:v>
      </x:c>
      <x:c r="C732" s="11" t="n">
        <x:v>2</x:v>
      </x:c>
      <x:c r="D732" s="11" t="n">
        <x:v>59</x:v>
      </x:c>
      <x:c r="E732" s="14" t="n">
        <x:v>0.03389830508474576</x:v>
      </x:c>
      <x:c r="F732" s="12" t="n">
        <x:v>2.7796610169491522</x:v>
      </x:c>
      <x:c r="G732" s="4" t="str">
        <x:v>Sin marca literal</x:v>
      </x:c>
      <x:c r="H732" s="11"/>
      <x:c r="I732" s="11" t="str">
        <x:f>IF(H732="","",C732-H732)</x:f>
      </x:c>
      <x:c r="J732" s="4"/>
      <x:c r="K732" s="4" t="str">
        <x:v>URLs de detalle page/query/country por clics. No asignan las impresiones de esta consulta a cada página.</x:v>
      </x:c>
    </x:row>
    <x:row r="733" ht="28" customHeight="1">
      <x:c r="A733" s="4" t="n">
        <x:v>723</x:v>
      </x:c>
      <x:c r="B733" s="4" t="str">
        <x:v>se puede llevar perfume en equipaje de mano</x:v>
      </x:c>
      <x:c r="C733" s="11" t="n">
        <x:v>2</x:v>
      </x:c>
      <x:c r="D733" s="11" t="n">
        <x:v>59</x:v>
      </x:c>
      <x:c r="E733" s="14" t="n">
        <x:v>0.03389830508474576</x:v>
      </x:c>
      <x:c r="F733" s="12" t="n">
        <x:v>5.3559322033898304</x:v>
      </x:c>
      <x:c r="G733" s="4" t="str">
        <x:v>Sin marca literal</x:v>
      </x:c>
      <x:c r="H733" s="11"/>
      <x:c r="I733" s="11" t="str">
        <x:f>IF(H733="","",C733-H733)</x:f>
      </x:c>
      <x:c r="J733" s="4"/>
      <x:c r="K733" s="4" t="str">
        <x:v>URLs de detalle page/query/country por clics. No asignan las impresiones de esta consulta a cada página.</x:v>
      </x:c>
    </x:row>
    <x:row r="734" ht="28" customHeight="1">
      <x:c r="A734" s="4" t="n">
        <x:v>724</x:v>
      </x:c>
      <x:c r="B734" s="4" t="str">
        <x:v>tipo de enchufe peru</x:v>
      </x:c>
      <x:c r="C734" s="11" t="n">
        <x:v>2</x:v>
      </x:c>
      <x:c r="D734" s="11" t="n">
        <x:v>58</x:v>
      </x:c>
      <x:c r="E734" s="14" t="n">
        <x:v>0.034482758620689655</x:v>
      </x:c>
      <x:c r="F734" s="12" t="n">
        <x:v>6.293103448275862</x:v>
      </x:c>
      <x:c r="G734" s="4" t="str">
        <x:v>Sin marca literal</x:v>
      </x:c>
      <x:c r="H734" s="11"/>
      <x:c r="I734" s="11" t="str">
        <x:f>IF(H734="","",C734-H734)</x:f>
      </x:c>
      <x:c r="J734" s="4"/>
      <x:c r="K734" s="4" t="str">
        <x:v>URLs de detalle page/query/country por clics. No asignan las impresiones de esta consulta a cada página.</x:v>
      </x:c>
    </x:row>
    <x:row r="735" ht="28" customHeight="1">
      <x:c r="A735" s="4" t="n">
        <x:v>725</x:v>
      </x:c>
      <x:c r="B735" s="4" t="str">
        <x:v>medidas de bolso de mano en sky</x:v>
      </x:c>
      <x:c r="C735" s="11" t="n">
        <x:v>2</x:v>
      </x:c>
      <x:c r="D735" s="11" t="n">
        <x:v>57</x:v>
      </x:c>
      <x:c r="E735" s="14" t="n">
        <x:v>0.03508771929824561</x:v>
      </x:c>
      <x:c r="F735" s="12" t="n">
        <x:v>3.8421052631578947</x:v>
      </x:c>
      <x:c r="G735" s="4" t="str">
        <x:v>Sin marca literal</x:v>
      </x:c>
      <x:c r="H735" s="11"/>
      <x:c r="I735" s="11" t="str">
        <x:f>IF(H735="","",C735-H735)</x:f>
      </x:c>
      <x:c r="J735" s="4"/>
      <x:c r="K735" s="4" t="str">
        <x:v>URLs de detalle page/query/country por clics. No asignan las impresiones de esta consulta a cada página.</x:v>
      </x:c>
    </x:row>
    <x:row r="736" ht="28" customHeight="1">
      <x:c r="A736" s="4" t="n">
        <x:v>726</x:v>
      </x:c>
      <x:c r="B736" s="4" t="str">
        <x:v>cambiar mi vuelo sky</x:v>
      </x:c>
      <x:c r="C736" s="11" t="n">
        <x:v>2</x:v>
      </x:c>
      <x:c r="D736" s="11" t="n">
        <x:v>56</x:v>
      </x:c>
      <x:c r="E736" s="14" t="n">
        <x:v>0.03571428571428571</x:v>
      </x:c>
      <x:c r="F736" s="12" t="n">
        <x:v>5.553571428571429</x:v>
      </x:c>
      <x:c r="G736" s="4" t="str">
        <x:v>Sin marca literal</x:v>
      </x:c>
      <x:c r="H736" s="11"/>
      <x:c r="I736" s="11" t="str">
        <x:f>IF(H736="","",C736-H736)</x:f>
      </x:c>
      <x:c r="J736" s="4"/>
      <x:c r="K736" s="4" t="str">
        <x:v>URLs de detalle page/query/country por clics. No asignan las impresiones de esta consulta a cada página.</x:v>
      </x:c>
    </x:row>
    <x:row r="737" ht="28" customHeight="1">
      <x:c r="A737" s="4" t="n">
        <x:v>727</x:v>
      </x:c>
      <x:c r="B737" s="4" t="str">
        <x:v>cañon de shucto donde queda</x:v>
      </x:c>
      <x:c r="C737" s="11" t="n">
        <x:v>2</x:v>
      </x:c>
      <x:c r="D737" s="11" t="n">
        <x:v>56</x:v>
      </x:c>
      <x:c r="E737" s="14" t="n">
        <x:v>0.03571428571428571</x:v>
      </x:c>
      <x:c r="F737" s="12" t="n">
        <x:v>1.7678571428571428</x:v>
      </x:c>
      <x:c r="G737" s="4" t="str">
        <x:v>Sin marca literal</x:v>
      </x:c>
      <x:c r="H737" s="11"/>
      <x:c r="I737" s="11" t="str">
        <x:f>IF(H737="","",C737-H737)</x:f>
      </x:c>
      <x:c r="J737" s="4"/>
      <x:c r="K737" s="4" t="str">
        <x:v>URLs de detalle page/query/country por clics. No asignan las impresiones de esta consulta a cada página.</x:v>
      </x:c>
    </x:row>
    <x:row r="738" ht="28" customHeight="1">
      <x:c r="A738" s="4" t="n">
        <x:v>728</x:v>
      </x:c>
      <x:c r="B738" s="4" t="str">
        <x:v>como cambiar un vuelo en sky</x:v>
      </x:c>
      <x:c r="C738" s="11" t="n">
        <x:v>2</x:v>
      </x:c>
      <x:c r="D738" s="11" t="n">
        <x:v>56</x:v>
      </x:c>
      <x:c r="E738" s="14" t="n">
        <x:v>0.03571428571428571</x:v>
      </x:c>
      <x:c r="F738" s="12" t="n">
        <x:v>4.517857142857142</x:v>
      </x:c>
      <x:c r="G738" s="4" t="str">
        <x:v>Sin marca literal</x:v>
      </x:c>
      <x:c r="H738" s="11"/>
      <x:c r="I738" s="11" t="str">
        <x:f>IF(H738="","",C738-H738)</x:f>
      </x:c>
      <x:c r="J738" s="4"/>
      <x:c r="K738" s="4" t="str">
        <x:v>URLs de detalle page/query/country por clics. No asignan las impresiones de esta consulta a cada página.</x:v>
      </x:c>
    </x:row>
    <x:row r="739" ht="28" customHeight="1">
      <x:c r="A739" s="4" t="n">
        <x:v>729</x:v>
      </x:c>
      <x:c r="B739" s="4" t="str">
        <x:v>volcan puerto montt</x:v>
      </x:c>
      <x:c r="C739" s="11" t="n">
        <x:v>2</x:v>
      </x:c>
      <x:c r="D739" s="11" t="n">
        <x:v>55</x:v>
      </x:c>
      <x:c r="E739" s="14" t="n">
        <x:v>0.03636363636363636</x:v>
      </x:c>
      <x:c r="F739" s="12" t="n">
        <x:v>6.509090909090909</x:v>
      </x:c>
      <x:c r="G739" s="4" t="str">
        <x:v>Sin marca literal</x:v>
      </x:c>
      <x:c r="H739" s="11"/>
      <x:c r="I739" s="11" t="str">
        <x:f>IF(H739="","",C739-H739)</x:f>
      </x:c>
      <x:c r="J739" s="4"/>
      <x:c r="K739" s="4" t="str">
        <x:v>URLs de detalle page/query/country por clics. No asignan las impresiones de esta consulta a cada página.</x:v>
      </x:c>
    </x:row>
    <x:row r="740" ht="28" customHeight="1">
      <x:c r="A740" s="4" t="n">
        <x:v>730</x:v>
      </x:c>
      <x:c r="B740" s="4" t="str">
        <x:v>comida tipica de lima peru</x:v>
      </x:c>
      <x:c r="C740" s="11" t="n">
        <x:v>2</x:v>
      </x:c>
      <x:c r="D740" s="11" t="n">
        <x:v>54</x:v>
      </x:c>
      <x:c r="E740" s="14" t="n">
        <x:v>0.037037037037037035</x:v>
      </x:c>
      <x:c r="F740" s="12" t="n">
        <x:v>3.5555555555555554</x:v>
      </x:c>
      <x:c r="G740" s="4" t="str">
        <x:v>Sin marca literal</x:v>
      </x:c>
      <x:c r="H740" s="11"/>
      <x:c r="I740" s="11" t="str">
        <x:f>IF(H740="","",C740-H740)</x:f>
      </x:c>
      <x:c r="J740" s="4"/>
      <x:c r="K740" s="4" t="str">
        <x:v>URLs de detalle page/query/country por clics. No asignan las impresiones de esta consulta a cada página.</x:v>
      </x:c>
    </x:row>
    <x:row r="741" ht="28" customHeight="1">
      <x:c r="A741" s="4" t="n">
        <x:v>731</x:v>
      </x:c>
      <x:c r="B741" s="4" t="str">
        <x:v>como llegar a punta sal desde chile</x:v>
      </x:c>
      <x:c r="C741" s="11" t="n">
        <x:v>2</x:v>
      </x:c>
      <x:c r="D741" s="11" t="n">
        <x:v>53</x:v>
      </x:c>
      <x:c r="E741" s="14" t="n">
        <x:v>0.03773584905660377</x:v>
      </x:c>
      <x:c r="F741" s="12" t="n">
        <x:v>4.849056603773585</x:v>
      </x:c>
      <x:c r="G741" s="4" t="str">
        <x:v>Sin marca literal</x:v>
      </x:c>
      <x:c r="H741" s="11"/>
      <x:c r="I741" s="11" t="str">
        <x:f>IF(H741="","",C741-H741)</x:f>
      </x:c>
      <x:c r="J741" s="4"/>
      <x:c r="K741" s="4" t="str">
        <x:v>URLs de detalle page/query/country por clics. No asignan las impresiones de esta consulta a cada página.</x:v>
      </x:c>
    </x:row>
    <x:row r="742" ht="28" customHeight="1">
      <x:c r="A742" s="4" t="n">
        <x:v>732</x:v>
      </x:c>
      <x:c r="B742" s="4" t="str">
        <x:v>pucon aeropuerto</x:v>
      </x:c>
      <x:c r="C742" s="11" t="n">
        <x:v>2</x:v>
      </x:c>
      <x:c r="D742" s="11" t="n">
        <x:v>53</x:v>
      </x:c>
      <x:c r="E742" s="14" t="n">
        <x:v>0.03773584905660377</x:v>
      </x:c>
      <x:c r="F742" s="12" t="n">
        <x:v>3.6037735849056602</x:v>
      </x:c>
      <x:c r="G742" s="4" t="str">
        <x:v>Sin marca literal</x:v>
      </x:c>
      <x:c r="H742" s="11"/>
      <x:c r="I742" s="11" t="str">
        <x:f>IF(H742="","",C742-H742)</x:f>
      </x:c>
      <x:c r="J742" s="4"/>
      <x:c r="K742" s="4" t="str">
        <x:v>URLs de detalle page/query/country por clics. No asignan las impresiones de esta consulta a cada página.</x:v>
      </x:c>
    </x:row>
    <x:row r="743" ht="28" customHeight="1">
      <x:c r="A743" s="4" t="n">
        <x:v>733</x:v>
      </x:c>
      <x:c r="B743" s="4" t="str">
        <x:v>donde comprar recuerdos en cancún baratos</x:v>
      </x:c>
      <x:c r="C743" s="11" t="n">
        <x:v>2</x:v>
      </x:c>
      <x:c r="D743" s="11" t="n">
        <x:v>52</x:v>
      </x:c>
      <x:c r="E743" s="14" t="n">
        <x:v>0.038461538461538464</x:v>
      </x:c>
      <x:c r="F743" s="12" t="n">
        <x:v>6.673076923076923</x:v>
      </x:c>
      <x:c r="G743" s="4" t="str">
        <x:v>Sin marca literal</x:v>
      </x:c>
      <x:c r="H743" s="11"/>
      <x:c r="I743" s="11" t="str">
        <x:f>IF(H743="","",C743-H743)</x:f>
      </x:c>
      <x:c r="J743" s="4"/>
      <x:c r="K743" s="4" t="str">
        <x:v>URLs de detalle page/query/country por clics. No asignan las impresiones de esta consulta a cada página.</x:v>
      </x:c>
    </x:row>
    <x:row r="744" ht="28" customHeight="1">
      <x:c r="A744" s="4" t="n">
        <x:v>734</x:v>
      </x:c>
      <x:c r="B744" s="4" t="str">
        <x:v>mejores playas de angra dos reis</x:v>
      </x:c>
      <x:c r="C744" s="11" t="n">
        <x:v>2</x:v>
      </x:c>
      <x:c r="D744" s="11" t="n">
        <x:v>51</x:v>
      </x:c>
      <x:c r="E744" s="14" t="n">
        <x:v>0.0392156862745098</x:v>
      </x:c>
      <x:c r="F744" s="12" t="n">
        <x:v>6.490196078431373</x:v>
      </x:c>
      <x:c r="G744" s="4" t="str">
        <x:v>Sin marca literal</x:v>
      </x:c>
      <x:c r="H744" s="11"/>
      <x:c r="I744" s="11" t="str">
        <x:f>IF(H744="","",C744-H744)</x:f>
      </x:c>
      <x:c r="J744" s="4"/>
      <x:c r="K744" s="4" t="str">
        <x:v>URLs de detalle page/query/country por clics. No asignan las impresiones de esta consulta a cada página.</x:v>
      </x:c>
    </x:row>
    <x:row r="745" ht="28" customHeight="1">
      <x:c r="A745" s="4" t="n">
        <x:v>735</x:v>
      </x:c>
      <x:c r="B745" s="4" t="str">
        <x:v>copiapo</x:v>
      </x:c>
      <x:c r="C745" s="11" t="n">
        <x:v>2</x:v>
      </x:c>
      <x:c r="D745" s="11" t="n">
        <x:v>50</x:v>
      </x:c>
      <x:c r="E745" s="14" t="n">
        <x:v>0.04</x:v>
      </x:c>
      <x:c r="F745" s="12" t="n">
        <x:v>10.82</x:v>
      </x:c>
      <x:c r="G745" s="4" t="str">
        <x:v>Sin marca literal</x:v>
      </x:c>
      <x:c r="H745" s="11"/>
      <x:c r="I745" s="11" t="str">
        <x:f>IF(H745="","",C745-H745)</x:f>
      </x:c>
      <x:c r="J745" s="4"/>
      <x:c r="K745" s="4" t="str">
        <x:v>URLs de detalle page/query/country por clics. No asignan las impresiones de esta consulta a cada página.</x:v>
      </x:c>
    </x:row>
    <x:row r="746" ht="28" customHeight="1">
      <x:c r="A746" s="4" t="n">
        <x:v>736</x:v>
      </x:c>
      <x:c r="B746" s="4" t="str">
        <x:v>paquetes de viajes sky</x:v>
      </x:c>
      <x:c r="C746" s="11" t="n">
        <x:v>2</x:v>
      </x:c>
      <x:c r="D746" s="11" t="n">
        <x:v>50</x:v>
      </x:c>
      <x:c r="E746" s="14" t="n">
        <x:v>0.04</x:v>
      </x:c>
      <x:c r="F746" s="12" t="n">
        <x:v>6.48</x:v>
      </x:c>
      <x:c r="G746" s="4" t="str">
        <x:v>Sin marca literal</x:v>
      </x:c>
      <x:c r="H746" s="11"/>
      <x:c r="I746" s="11" t="str">
        <x:f>IF(H746="","",C746-H746)</x:f>
      </x:c>
      <x:c r="J746" s="4"/>
      <x:c r="K746" s="4" t="str">
        <x:v>URLs de detalle page/query/country por clics. No asignan las impresiones de esta consulta a cada página.</x:v>
      </x:c>
    </x:row>
    <x:row r="747" ht="28" customHeight="1">
      <x:c r="A747" s="4" t="n">
        <x:v>737</x:v>
      </x:c>
      <x:c r="B747" s="4" t="str">
        <x:v>medidas de sky</x:v>
      </x:c>
      <x:c r="C747" s="11" t="n">
        <x:v>2</x:v>
      </x:c>
      <x:c r="D747" s="11" t="n">
        <x:v>49</x:v>
      </x:c>
      <x:c r="E747" s="14" t="n">
        <x:v>0.04081632653061224</x:v>
      </x:c>
      <x:c r="F747" s="12" t="n">
        <x:v>4.551020408163265</x:v>
      </x:c>
      <x:c r="G747" s="4" t="str">
        <x:v>Sin marca literal</x:v>
      </x:c>
      <x:c r="H747" s="11"/>
      <x:c r="I747" s="11" t="str">
        <x:f>IF(H747="","",C747-H747)</x:f>
      </x:c>
      <x:c r="J747" s="4"/>
      <x:c r="K747" s="4" t="str">
        <x:v>URLs de detalle page/query/country por clics. No asignan las impresiones de esta consulta a cada página.</x:v>
      </x:c>
    </x:row>
    <x:row r="748" ht="28" customHeight="1">
      <x:c r="A748" s="4" t="n">
        <x:v>738</x:v>
      </x:c>
      <x:c r="B748" s="4" t="str">
        <x:v>necesito pasaporte para ir a brasil</x:v>
      </x:c>
      <x:c r="C748" s="11" t="n">
        <x:v>2</x:v>
      </x:c>
      <x:c r="D748" s="11" t="n">
        <x:v>49</x:v>
      </x:c>
      <x:c r="E748" s="14" t="n">
        <x:v>0.04081632653061224</x:v>
      </x:c>
      <x:c r="F748" s="12" t="n">
        <x:v>5.673469387755102</x:v>
      </x:c>
      <x:c r="G748" s="4" t="str">
        <x:v>Sin marca literal</x:v>
      </x:c>
      <x:c r="H748" s="11"/>
      <x:c r="I748" s="11" t="str">
        <x:f>IF(H748="","",C748-H748)</x:f>
      </x:c>
      <x:c r="J748" s="4"/>
      <x:c r="K748" s="4" t="str">
        <x:v>URLs de detalle page/query/country por clics. No asignan las impresiones de esta consulta a cada página.</x:v>
      </x:c>
    </x:row>
    <x:row r="749" ht="28" customHeight="1">
      <x:c r="A749" s="4" t="n">
        <x:v>739</x:v>
      </x:c>
      <x:c r="B749" s="4" t="str">
        <x:v>panorama niños santiago</x:v>
      </x:c>
      <x:c r="C749" s="11" t="n">
        <x:v>2</x:v>
      </x:c>
      <x:c r="D749" s="11" t="n">
        <x:v>49</x:v>
      </x:c>
      <x:c r="E749" s="14" t="n">
        <x:v>0.04081632653061224</x:v>
      </x:c>
      <x:c r="F749" s="12" t="n">
        <x:v>8.53061224489796</x:v>
      </x:c>
      <x:c r="G749" s="4" t="str">
        <x:v>Sin marca literal</x:v>
      </x:c>
      <x:c r="H749" s="11"/>
      <x:c r="I749" s="11" t="str">
        <x:f>IF(H749="","",C749-H749)</x:f>
      </x:c>
      <x:c r="J749" s="4"/>
      <x:c r="K749" s="4" t="str">
        <x:v>URLs de detalle page/query/country por clics. No asignan las impresiones de esta consulta a cada página.</x:v>
      </x:c>
    </x:row>
    <x:row r="750" ht="28" customHeight="1">
      <x:c r="A750" s="4" t="n">
        <x:v>740</x:v>
      </x:c>
      <x:c r="B750" s="4" t="str">
        <x:v>para viajar a brasil se necesita vacuna</x:v>
      </x:c>
      <x:c r="C750" s="11" t="n">
        <x:v>2</x:v>
      </x:c>
      <x:c r="D750" s="11" t="n">
        <x:v>49</x:v>
      </x:c>
      <x:c r="E750" s="14" t="n">
        <x:v>0.04081632653061224</x:v>
      </x:c>
      <x:c r="F750" s="12" t="n">
        <x:v>6.714285714285714</x:v>
      </x:c>
      <x:c r="G750" s="4" t="str">
        <x:v>Sin marca literal</x:v>
      </x:c>
      <x:c r="H750" s="11"/>
      <x:c r="I750" s="11" t="str">
        <x:f>IF(H750="","",C750-H750)</x:f>
      </x:c>
      <x:c r="J750" s="4"/>
      <x:c r="K750" s="4" t="str">
        <x:v>URLs de detalle page/query/country por clics. No asignan las impresiones de esta consulta a cada página.</x:v>
      </x:c>
    </x:row>
    <x:row r="751" ht="28" customHeight="1">
      <x:c r="A751" s="4" t="n">
        <x:v>741</x:v>
      </x:c>
      <x:c r="B751" s="4" t="str">
        <x:v>sky airline cambio de vuelo</x:v>
      </x:c>
      <x:c r="C751" s="11" t="n">
        <x:v>2</x:v>
      </x:c>
      <x:c r="D751" s="11" t="n">
        <x:v>49</x:v>
      </x:c>
      <x:c r="E751" s="14" t="n">
        <x:v>0.04081632653061224</x:v>
      </x:c>
      <x:c r="F751" s="12" t="n">
        <x:v>5.775510204081633</x:v>
      </x:c>
      <x:c r="G751" s="4" t="str">
        <x:v>Sin marca literal</x:v>
      </x:c>
      <x:c r="H751" s="11"/>
      <x:c r="I751" s="11" t="str">
        <x:f>IF(H751="","",C751-H751)</x:f>
      </x:c>
      <x:c r="J751" s="4"/>
      <x:c r="K751" s="4" t="str">
        <x:v>URLs de detalle page/query/country por clics. No asignan las impresiones de esta consulta a cada página.</x:v>
      </x:c>
    </x:row>
    <x:row r="752" ht="28" customHeight="1">
      <x:c r="A752" s="4" t="n">
        <x:v>742</x:v>
      </x:c>
      <x:c r="B752" s="4" t="str">
        <x:v>lugares cerca de río de janeiro para vacacionar</x:v>
      </x:c>
      <x:c r="C752" s="11" t="n">
        <x:v>2</x:v>
      </x:c>
      <x:c r="D752" s="11" t="n">
        <x:v>48</x:v>
      </x:c>
      <x:c r="E752" s="14" t="n">
        <x:v>0.041666666666666664</x:v>
      </x:c>
      <x:c r="F752" s="12" t="n">
        <x:v>3.6666666666666665</x:v>
      </x:c>
      <x:c r="G752" s="4" t="str">
        <x:v>Sin marca literal</x:v>
      </x:c>
      <x:c r="H752" s="11"/>
      <x:c r="I752" s="11" t="str">
        <x:f>IF(H752="","",C752-H752)</x:f>
      </x:c>
      <x:c r="J752" s="4"/>
      <x:c r="K752" s="4" t="str">
        <x:v>URLs de detalle page/query/country por clics. No asignan las impresiones de esta consulta a cada página.</x:v>
      </x:c>
    </x:row>
    <x:row r="753" ht="28" customHeight="1">
      <x:c r="A753" s="4" t="n">
        <x:v>743</x:v>
      </x:c>
      <x:c r="B753" s="4" t="str">
        <x:v>sky airline cambiar fecha de vuelo</x:v>
      </x:c>
      <x:c r="C753" s="11" t="n">
        <x:v>2</x:v>
      </x:c>
      <x:c r="D753" s="11" t="n">
        <x:v>48</x:v>
      </x:c>
      <x:c r="E753" s="14" t="n">
        <x:v>0.041666666666666664</x:v>
      </x:c>
      <x:c r="F753" s="12" t="n">
        <x:v>5.1875</x:v>
      </x:c>
      <x:c r="G753" s="4" t="str">
        <x:v>Sin marca literal</x:v>
      </x:c>
      <x:c r="H753" s="11"/>
      <x:c r="I753" s="11" t="str">
        <x:f>IF(H753="","",C753-H753)</x:f>
      </x:c>
      <x:c r="J753" s="4"/>
      <x:c r="K753" s="4" t="str">
        <x:v>URLs de detalle page/query/country por clics. No asignan las impresiones de esta consulta a cada página.</x:v>
      </x:c>
    </x:row>
    <x:row r="754" ht="28" customHeight="1">
      <x:c r="A754" s="4" t="n">
        <x:v>744</x:v>
      </x:c>
      <x:c r="B754" s="4" t="str">
        <x:v>vacunas obligatorias para viajar a brasil</x:v>
      </x:c>
      <x:c r="C754" s="11" t="n">
        <x:v>2</x:v>
      </x:c>
      <x:c r="D754" s="11" t="n">
        <x:v>48</x:v>
      </x:c>
      <x:c r="E754" s="14" t="n">
        <x:v>0.041666666666666664</x:v>
      </x:c>
      <x:c r="F754" s="12" t="n">
        <x:v>10.895833333333334</x:v>
      </x:c>
      <x:c r="G754" s="4" t="str">
        <x:v>Sin marca literal</x:v>
      </x:c>
      <x:c r="H754" s="11"/>
      <x:c r="I754" s="11" t="str">
        <x:f>IF(H754="","",C754-H754)</x:f>
      </x:c>
      <x:c r="J754" s="4"/>
      <x:c r="K754" s="4" t="str">
        <x:v>URLs de detalle page/query/country por clics. No asignan las impresiones de esta consulta a cada página.</x:v>
      </x:c>
    </x:row>
    <x:row r="755" ht="28" customHeight="1">
      <x:c r="A755" s="4" t="n">
        <x:v>745</x:v>
      </x:c>
      <x:c r="B755" s="4" t="str">
        <x:v>vuelos a talara sky</x:v>
      </x:c>
      <x:c r="C755" s="11" t="n">
        <x:v>2</x:v>
      </x:c>
      <x:c r="D755" s="11" t="n">
        <x:v>48</x:v>
      </x:c>
      <x:c r="E755" s="14" t="n">
        <x:v>0.041666666666666664</x:v>
      </x:c>
      <x:c r="F755" s="12" t="n">
        <x:v>7.979166666666667</x:v>
      </x:c>
      <x:c r="G755" s="4" t="str">
        <x:v>Sin marca literal</x:v>
      </x:c>
      <x:c r="H755" s="11"/>
      <x:c r="I755" s="11" t="str">
        <x:f>IF(H755="","",C755-H755)</x:f>
      </x:c>
      <x:c r="J755" s="4"/>
      <x:c r="K755" s="4" t="str">
        <x:v>URLs de detalle page/query/country por clics. No asignan las impresiones de esta consulta a cada página.</x:v>
      </x:c>
    </x:row>
    <x:row r="756" ht="28" customHeight="1">
      <x:c r="A756" s="4" t="n">
        <x:v>746</x:v>
      </x:c>
      <x:c r="B756" s="4" t="str">
        <x:v>como llegar a ushuaia</x:v>
      </x:c>
      <x:c r="C756" s="11" t="n">
        <x:v>2</x:v>
      </x:c>
      <x:c r="D756" s="11" t="n">
        <x:v>47</x:v>
      </x:c>
      <x:c r="E756" s="14" t="n">
        <x:v>0.0425531914893617</x:v>
      </x:c>
      <x:c r="F756" s="12" t="n">
        <x:v>5.51063829787234</x:v>
      </x:c>
      <x:c r="G756" s="4" t="str">
        <x:v>Sin marca literal</x:v>
      </x:c>
      <x:c r="H756" s="11"/>
      <x:c r="I756" s="11" t="str">
        <x:f>IF(H756="","",C756-H756)</x:f>
      </x:c>
      <x:c r="J756" s="4"/>
      <x:c r="K756" s="4" t="str">
        <x:v>URLs de detalle page/query/country por clics. No asignan las impresiones de esta consulta a cada página.</x:v>
      </x:c>
    </x:row>
    <x:row r="757" ht="28" customHeight="1">
      <x:c r="A757" s="4" t="n">
        <x:v>747</x:v>
      </x:c>
      <x:c r="B757" s="4" t="str">
        <x:v>bolso de mano en sky peru</x:v>
      </x:c>
      <x:c r="C757" s="11" t="n">
        <x:v>2</x:v>
      </x:c>
      <x:c r="D757" s="11" t="n">
        <x:v>46</x:v>
      </x:c>
      <x:c r="E757" s="14" t="n">
        <x:v>0.043478260869565216</x:v>
      </x:c>
      <x:c r="F757" s="12" t="n">
        <x:v>4.456521739130435</x:v>
      </x:c>
      <x:c r="G757" s="4" t="str">
        <x:v>Sin marca literal</x:v>
      </x:c>
      <x:c r="H757" s="11"/>
      <x:c r="I757" s="11" t="str">
        <x:f>IF(H757="","",C757-H757)</x:f>
      </x:c>
      <x:c r="J757" s="4"/>
      <x:c r="K757" s="4" t="str">
        <x:v>URLs de detalle page/query/country por clics. No asignan las impresiones de esta consulta a cada página.</x:v>
      </x:c>
    </x:row>
    <x:row r="758" ht="28" customHeight="1">
      <x:c r="A758" s="4" t="n">
        <x:v>748</x:v>
      </x:c>
      <x:c r="B758" s="4" t="str">
        <x:v>comida tipica lima</x:v>
      </x:c>
      <x:c r="C758" s="11" t="n">
        <x:v>2</x:v>
      </x:c>
      <x:c r="D758" s="11" t="n">
        <x:v>46</x:v>
      </x:c>
      <x:c r="E758" s="14" t="n">
        <x:v>0.043478260869565216</x:v>
      </x:c>
      <x:c r="F758" s="12" t="n">
        <x:v>2.108695652173913</x:v>
      </x:c>
      <x:c r="G758" s="4" t="str">
        <x:v>Sin marca literal</x:v>
      </x:c>
      <x:c r="H758" s="11"/>
      <x:c r="I758" s="11" t="str">
        <x:f>IF(H758="","",C758-H758)</x:f>
      </x:c>
      <x:c r="J758" s="4"/>
      <x:c r="K758" s="4" t="str">
        <x:v>URLs de detalle page/query/country por clics. No asignan las impresiones de esta consulta a cada página.</x:v>
      </x:c>
    </x:row>
    <x:row r="759" ht="28" customHeight="1">
      <x:c r="A759" s="4" t="n">
        <x:v>749</x:v>
      </x:c>
      <x:c r="B759" s="4" t="str">
        <x:v>tripulante de cabina sky airline perú</x:v>
      </x:c>
      <x:c r="C759" s="11" t="n">
        <x:v>2</x:v>
      </x:c>
      <x:c r="D759" s="11" t="n">
        <x:v>46</x:v>
      </x:c>
      <x:c r="E759" s="14" t="n">
        <x:v>0.043478260869565216</x:v>
      </x:c>
      <x:c r="F759" s="12" t="n">
        <x:v>6.108695652173913</x:v>
      </x:c>
      <x:c r="G759" s="4" t="str">
        <x:v>Sin marca literal</x:v>
      </x:c>
      <x:c r="H759" s="11"/>
      <x:c r="I759" s="11" t="str">
        <x:f>IF(H759="","",C759-H759)</x:f>
      </x:c>
      <x:c r="J759" s="4"/>
      <x:c r="K759" s="4" t="str">
        <x:v>URLs de detalle page/query/country por clics. No asignan las impresiones de esta consulta a cada página.</x:v>
      </x:c>
    </x:row>
    <x:row r="760" ht="28" customHeight="1">
      <x:c r="A760" s="4" t="n">
        <x:v>750</x:v>
      </x:c>
      <x:c r="B760" s="4" t="str">
        <x:v>jurerê internacional</x:v>
      </x:c>
      <x:c r="C760" s="11" t="n">
        <x:v>2</x:v>
      </x:c>
      <x:c r="D760" s="11" t="n">
        <x:v>45</x:v>
      </x:c>
      <x:c r="E760" s="14" t="n">
        <x:v>0.044444444444444446</x:v>
      </x:c>
      <x:c r="F760" s="12" t="n">
        <x:v>10.044444444444444</x:v>
      </x:c>
      <x:c r="G760" s="4" t="str">
        <x:v>Sin marca literal</x:v>
      </x:c>
      <x:c r="H760" s="11"/>
      <x:c r="I760" s="11" t="str">
        <x:f>IF(H760="","",C760-H760)</x:f>
      </x:c>
      <x:c r="J760" s="4"/>
      <x:c r="K760" s="4" t="str">
        <x:v>URLs de detalle page/query/country por clics. No asignan las impresiones de esta consulta a cada página.</x:v>
      </x:c>
    </x:row>
    <x:row r="761" ht="28" customHeight="1">
      <x:c r="A761" s="4" t="n">
        <x:v>751</x:v>
      </x:c>
      <x:c r="B761" s="4" t="str">
        <x:v>que enchufes se usan en argentina</x:v>
      </x:c>
      <x:c r="C761" s="11" t="n">
        <x:v>2</x:v>
      </x:c>
      <x:c r="D761" s="11" t="n">
        <x:v>45</x:v>
      </x:c>
      <x:c r="E761" s="14" t="n">
        <x:v>0.044444444444444446</x:v>
      </x:c>
      <x:c r="F761" s="12" t="n">
        <x:v>5.733333333333333</x:v>
      </x:c>
      <x:c r="G761" s="4" t="str">
        <x:v>Sin marca literal</x:v>
      </x:c>
      <x:c r="H761" s="11"/>
      <x:c r="I761" s="11" t="str">
        <x:f>IF(H761="","",C761-H761)</x:f>
      </x:c>
      <x:c r="J761" s="4"/>
      <x:c r="K761" s="4" t="str">
        <x:v>URLs de detalle page/query/country por clics. No asignan las impresiones de esta consulta a cada página.</x:v>
      </x:c>
    </x:row>
    <x:row r="762" ht="28" customHeight="1">
      <x:c r="A762" s="4" t="n">
        <x:v>752</x:v>
      </x:c>
      <x:c r="B762" s="4" t="str">
        <x:v>reprogramacion de vuelo sky</x:v>
      </x:c>
      <x:c r="C762" s="11" t="n">
        <x:v>2</x:v>
      </x:c>
      <x:c r="D762" s="11" t="n">
        <x:v>45</x:v>
      </x:c>
      <x:c r="E762" s="14" t="n">
        <x:v>0.044444444444444446</x:v>
      </x:c>
      <x:c r="F762" s="12" t="n">
        <x:v>5.311111111111111</x:v>
      </x:c>
      <x:c r="G762" s="4" t="str">
        <x:v>Sin marca literal</x:v>
      </x:c>
      <x:c r="H762" s="11"/>
      <x:c r="I762" s="11" t="str">
        <x:f>IF(H762="","",C762-H762)</x:f>
      </x:c>
      <x:c r="J762" s="4"/>
      <x:c r="K762" s="4" t="str">
        <x:v>URLs de detalle page/query/country por clics. No asignan las impresiones de esta consulta a cada página.</x:v>
      </x:c>
    </x:row>
    <x:row r="763" ht="28" customHeight="1">
      <x:c r="A763" s="4" t="n">
        <x:v>753</x:v>
      </x:c>
      <x:c r="B763" s="4" t="str">
        <x:v>sobrecargo de avion</x:v>
      </x:c>
      <x:c r="C763" s="11" t="n">
        <x:v>2</x:v>
      </x:c>
      <x:c r="D763" s="11" t="n">
        <x:v>45</x:v>
      </x:c>
      <x:c r="E763" s="14" t="n">
        <x:v>0.044444444444444446</x:v>
      </x:c>
      <x:c r="F763" s="12" t="n">
        <x:v>8.044444444444444</x:v>
      </x:c>
      <x:c r="G763" s="4" t="str">
        <x:v>Sin marca literal</x:v>
      </x:c>
      <x:c r="H763" s="11"/>
      <x:c r="I763" s="11" t="str">
        <x:f>IF(H763="","",C763-H763)</x:f>
      </x:c>
      <x:c r="J763" s="4"/>
      <x:c r="K763" s="4" t="str">
        <x:v>URLs de detalle page/query/country por clics. No asignan las impresiones de esta consulta a cada página.</x:v>
      </x:c>
    </x:row>
    <x:row r="764" ht="28" customHeight="1">
      <x:c r="A764" s="4" t="n">
        <x:v>754</x:v>
      </x:c>
      <x:c r="B764" s="4" t="str">
        <x:v>cuanto dura la carrera de azafata</x:v>
      </x:c>
      <x:c r="C764" s="11" t="n">
        <x:v>2</x:v>
      </x:c>
      <x:c r="D764" s="11" t="n">
        <x:v>43</x:v>
      </x:c>
      <x:c r="E764" s="14" t="n">
        <x:v>0.046511627906976744</x:v>
      </x:c>
      <x:c r="F764" s="12" t="n">
        <x:v>7.395348837209302</x:v>
      </x:c>
      <x:c r="G764" s="4" t="str">
        <x:v>Sin marca literal</x:v>
      </x:c>
      <x:c r="H764" s="11"/>
      <x:c r="I764" s="11" t="str">
        <x:f>IF(H764="","",C764-H764)</x:f>
      </x:c>
      <x:c r="J764" s="4"/>
      <x:c r="K764" s="4" t="str">
        <x:v>URLs de detalle page/query/country por clics. No asignan las impresiones de esta consulta a cada página.</x:v>
      </x:c>
    </x:row>
    <x:row r="765" ht="28" customHeight="1">
      <x:c r="A765" s="4" t="n">
        <x:v>755</x:v>
      </x:c>
      <x:c r="B765" s="4" t="str">
        <x:v>platos típicos de lima perú</x:v>
      </x:c>
      <x:c r="C765" s="11" t="n">
        <x:v>2</x:v>
      </x:c>
      <x:c r="D765" s="11" t="n">
        <x:v>43</x:v>
      </x:c>
      <x:c r="E765" s="14" t="n">
        <x:v>0.046511627906976744</x:v>
      </x:c>
      <x:c r="F765" s="12" t="n">
        <x:v>2.046511627906977</x:v>
      </x:c>
      <x:c r="G765" s="4" t="str">
        <x:v>Sin marca literal</x:v>
      </x:c>
      <x:c r="H765" s="11"/>
      <x:c r="I765" s="11" t="str">
        <x:f>IF(H765="","",C765-H765)</x:f>
      </x:c>
      <x:c r="J765" s="4"/>
      <x:c r="K765" s="4" t="str">
        <x:v>URLs de detalle page/query/country por clics. No asignan las impresiones de esta consulta a cada página.</x:v>
      </x:c>
    </x:row>
    <x:row r="766" ht="28" customHeight="1">
      <x:c r="A766" s="4" t="n">
        <x:v>756</x:v>
      </x:c>
      <x:c r="B766" s="4" t="str">
        <x:v>el check in en sky es automatico</x:v>
      </x:c>
      <x:c r="C766" s="11" t="n">
        <x:v>2</x:v>
      </x:c>
      <x:c r="D766" s="11" t="n">
        <x:v>41</x:v>
      </x:c>
      <x:c r="E766" s="14" t="n">
        <x:v>0.04878048780487805</x:v>
      </x:c>
      <x:c r="F766" s="12" t="n">
        <x:v>5.195121951219512</x:v>
      </x:c>
      <x:c r="G766" s="4" t="str">
        <x:v>Sin marca literal</x:v>
      </x:c>
      <x:c r="H766" s="11"/>
      <x:c r="I766" s="11" t="str">
        <x:f>IF(H766="","",C766-H766)</x:f>
      </x:c>
      <x:c r="J766" s="4"/>
      <x:c r="K766" s="4" t="str">
        <x:v>URLs de detalle page/query/country por clics. No asignan las impresiones de esta consulta a cada página.</x:v>
      </x:c>
    </x:row>
    <x:row r="767" ht="28" customHeight="1">
      <x:c r="A767" s="4" t="n">
        <x:v>757</x:v>
      </x:c>
      <x:c r="B767" s="4" t="str">
        <x:v>que visitar en uruguay en 3 días</x:v>
      </x:c>
      <x:c r="C767" s="11" t="n">
        <x:v>2</x:v>
      </x:c>
      <x:c r="D767" s="11" t="n">
        <x:v>41</x:v>
      </x:c>
      <x:c r="E767" s="14" t="n">
        <x:v>0.04878048780487805</x:v>
      </x:c>
      <x:c r="F767" s="12" t="n">
        <x:v>6.975609756097561</x:v>
      </x:c>
      <x:c r="G767" s="4" t="str">
        <x:v>Sin marca literal</x:v>
      </x:c>
      <x:c r="H767" s="11"/>
      <x:c r="I767" s="11" t="str">
        <x:f>IF(H767="","",C767-H767)</x:f>
      </x:c>
      <x:c r="J767" s="4"/>
      <x:c r="K767" s="4" t="str">
        <x:v>URLs de detalle page/query/country por clics. No asignan las impresiones de esta consulta a cada página.</x:v>
      </x:c>
    </x:row>
    <x:row r="768" ht="28" customHeight="1">
      <x:c r="A768" s="4" t="n">
        <x:v>758</x:v>
      </x:c>
      <x:c r="B768" s="4" t="str">
        <x:v>cenotes en cancún gratis</x:v>
      </x:c>
      <x:c r="C768" s="11" t="n">
        <x:v>2</x:v>
      </x:c>
      <x:c r="D768" s="11" t="n">
        <x:v>40</x:v>
      </x:c>
      <x:c r="E768" s="14" t="n">
        <x:v>0.05</x:v>
      </x:c>
      <x:c r="F768" s="12" t="n">
        <x:v>10.85</x:v>
      </x:c>
      <x:c r="G768" s="4" t="str">
        <x:v>Sin marca literal</x:v>
      </x:c>
      <x:c r="H768" s="11"/>
      <x:c r="I768" s="11" t="str">
        <x:f>IF(H768="","",C768-H768)</x:f>
      </x:c>
      <x:c r="J768" s="4"/>
      <x:c r="K768" s="4" t="str">
        <x:v>URLs de detalle page/query/country por clics. No asignan las impresiones de esta consulta a cada página.</x:v>
      </x:c>
    </x:row>
    <x:row r="769" ht="28" customHeight="1">
      <x:c r="A769" s="4" t="n">
        <x:v>759</x:v>
      </x:c>
      <x:c r="B769" s="4" t="str">
        <x:v>sky flight google</x:v>
      </x:c>
      <x:c r="C769" s="11" t="n">
        <x:v>2</x:v>
      </x:c>
      <x:c r="D769" s="11" t="n">
        <x:v>40</x:v>
      </x:c>
      <x:c r="E769" s="14" t="n">
        <x:v>0.05</x:v>
      </x:c>
      <x:c r="F769" s="12" t="n">
        <x:v>4.95</x:v>
      </x:c>
      <x:c r="G769" s="4" t="str">
        <x:v>Sin marca literal</x:v>
      </x:c>
      <x:c r="H769" s="11"/>
      <x:c r="I769" s="11" t="str">
        <x:f>IF(H769="","",C769-H769)</x:f>
      </x:c>
      <x:c r="J769" s="4"/>
      <x:c r="K769" s="4" t="str">
        <x:v>URLs de detalle page/query/country por clics. No asignan las impresiones de esta consulta a cada página.</x:v>
      </x:c>
    </x:row>
    <x:row r="770" ht="28" customHeight="1">
      <x:c r="A770" s="4" t="n">
        <x:v>760</x:v>
      </x:c>
      <x:c r="B770" s="4" t="str">
        <x:v>aeropuerto temuco como se llama</x:v>
      </x:c>
      <x:c r="C770" s="11" t="n">
        <x:v>2</x:v>
      </x:c>
      <x:c r="D770" s="11" t="n">
        <x:v>39</x:v>
      </x:c>
      <x:c r="E770" s="14" t="n">
        <x:v>0.05128205128205128</x:v>
      </x:c>
      <x:c r="F770" s="12" t="n">
        <x:v>6.9743589743589745</x:v>
      </x:c>
      <x:c r="G770" s="4" t="str">
        <x:v>Sin marca literal</x:v>
      </x:c>
      <x:c r="H770" s="11"/>
      <x:c r="I770" s="11" t="str">
        <x:f>IF(H770="","",C770-H770)</x:f>
      </x:c>
      <x:c r="J770" s="4"/>
      <x:c r="K770" s="4" t="str">
        <x:v>URLs de detalle page/query/country por clics. No asignan las impresiones de esta consulta a cada página.</x:v>
      </x:c>
    </x:row>
    <x:row r="771" ht="28" customHeight="1">
      <x:c r="A771" s="4" t="n">
        <x:v>761</x:v>
      </x:c>
      <x:c r="B771" s="4" t="str">
        <x:v>en qué estación está chile</x:v>
      </x:c>
      <x:c r="C771" s="11" t="n">
        <x:v>2</x:v>
      </x:c>
      <x:c r="D771" s="11" t="n">
        <x:v>39</x:v>
      </x:c>
      <x:c r="E771" s="14" t="n">
        <x:v>0.05128205128205128</x:v>
      </x:c>
      <x:c r="F771" s="12" t="n">
        <x:v>4.076923076923077</x:v>
      </x:c>
      <x:c r="G771" s="4" t="str">
        <x:v>Sin marca literal</x:v>
      </x:c>
      <x:c r="H771" s="11"/>
      <x:c r="I771" s="11" t="str">
        <x:f>IF(H771="","",C771-H771)</x:f>
      </x:c>
      <x:c r="J771" s="4"/>
      <x:c r="K771" s="4" t="str">
        <x:v>URLs de detalle page/query/country por clics. No asignan las impresiones de esta consulta a cada página.</x:v>
      </x:c>
    </x:row>
    <x:row r="772" ht="28" customHeight="1">
      <x:c r="A772" s="4" t="n">
        <x:v>762</x:v>
      </x:c>
      <x:c r="B772" s="4" t="str">
        <x:v>leyenda chilena</x:v>
      </x:c>
      <x:c r="C772" s="11" t="n">
        <x:v>2</x:v>
      </x:c>
      <x:c r="D772" s="11" t="n">
        <x:v>39</x:v>
      </x:c>
      <x:c r="E772" s="14" t="n">
        <x:v>0.05128205128205128</x:v>
      </x:c>
      <x:c r="F772" s="12" t="n">
        <x:v>9.923076923076923</x:v>
      </x:c>
      <x:c r="G772" s="4" t="str">
        <x:v>Sin marca literal</x:v>
      </x:c>
      <x:c r="H772" s="11"/>
      <x:c r="I772" s="11" t="str">
        <x:f>IF(H772="","",C772-H772)</x:f>
      </x:c>
      <x:c r="J772" s="4"/>
      <x:c r="K772" s="4" t="str">
        <x:v>URLs de detalle page/query/country por clics. No asignan las impresiones de esta consulta a cada página.</x:v>
      </x:c>
    </x:row>
    <x:row r="773" ht="28" customHeight="1">
      <x:c r="A773" s="4" t="n">
        <x:v>763</x:v>
      </x:c>
      <x:c r="B773" s="4" t="str">
        <x:v>skyplus beneficios</x:v>
      </x:c>
      <x:c r="C773" s="11" t="n">
        <x:v>2</x:v>
      </x:c>
      <x:c r="D773" s="11" t="n">
        <x:v>39</x:v>
      </x:c>
      <x:c r="E773" s="14" t="n">
        <x:v>0.05128205128205128</x:v>
      </x:c>
      <x:c r="F773" s="12" t="n">
        <x:v>4.897435897435898</x:v>
      </x:c>
      <x:c r="G773" s="4" t="str">
        <x:v>Sin marca literal</x:v>
      </x:c>
      <x:c r="H773" s="11"/>
      <x:c r="I773" s="11" t="str">
        <x:f>IF(H773="","",C773-H773)</x:f>
      </x:c>
      <x:c r="J773" s="4"/>
      <x:c r="K773" s="4" t="str">
        <x:v>URLs de detalle page/query/country por clics. No asignan las impresiones de esta consulta a cada página.</x:v>
      </x:c>
    </x:row>
    <x:row r="774" ht="28" customHeight="1">
      <x:c r="A774" s="4" t="n">
        <x:v>764</x:v>
      </x:c>
      <x:c r="B774" s="4" t="str">
        <x:v>medida de mochila sky</x:v>
      </x:c>
      <x:c r="C774" s="11" t="n">
        <x:v>2</x:v>
      </x:c>
      <x:c r="D774" s="11" t="n">
        <x:v>38</x:v>
      </x:c>
      <x:c r="E774" s="14" t="n">
        <x:v>0.05263157894736842</x:v>
      </x:c>
      <x:c r="F774" s="12" t="n">
        <x:v>3.3947368421052633</x:v>
      </x:c>
      <x:c r="G774" s="4" t="str">
        <x:v>Sin marca literal</x:v>
      </x:c>
      <x:c r="H774" s="11"/>
      <x:c r="I774" s="11" t="str">
        <x:f>IF(H774="","",C774-H774)</x:f>
      </x:c>
      <x:c r="J774" s="4"/>
      <x:c r="K774" s="4" t="str">
        <x:v>URLs de detalle page/query/country por clics. No asignan las impresiones de esta consulta a cada página.</x:v>
      </x:c>
    </x:row>
    <x:row r="775" ht="28" customHeight="1">
      <x:c r="A775" s="4" t="n">
        <x:v>765</x:v>
      </x:c>
      <x:c r="B775" s="4" t="str">
        <x:v>platos tipicos de peru lima</x:v>
      </x:c>
      <x:c r="C775" s="11" t="n">
        <x:v>2</x:v>
      </x:c>
      <x:c r="D775" s="11" t="n">
        <x:v>38</x:v>
      </x:c>
      <x:c r="E775" s="14" t="n">
        <x:v>0.05263157894736842</x:v>
      </x:c>
      <x:c r="F775" s="12" t="n">
        <x:v>2.5789473684210527</x:v>
      </x:c>
      <x:c r="G775" s="4" t="str">
        <x:v>Sin marca literal</x:v>
      </x:c>
      <x:c r="H775" s="11"/>
      <x:c r="I775" s="11" t="str">
        <x:f>IF(H775="","",C775-H775)</x:f>
      </x:c>
      <x:c r="J775" s="4"/>
      <x:c r="K775" s="4" t="str">
        <x:v>URLs de detalle page/query/country por clics. No asignan las impresiones de esta consulta a cada página.</x:v>
      </x:c>
    </x:row>
    <x:row r="776" ht="28" customHeight="1">
      <x:c r="A776" s="4" t="n">
        <x:v>766</x:v>
      </x:c>
      <x:c r="B776" s="4" t="str">
        <x:v>que aeropuerto queda cerca de pucon</x:v>
      </x:c>
      <x:c r="C776" s="11" t="n">
        <x:v>2</x:v>
      </x:c>
      <x:c r="D776" s="11" t="n">
        <x:v>38</x:v>
      </x:c>
      <x:c r="E776" s="14" t="n">
        <x:v>0.05263157894736842</x:v>
      </x:c>
      <x:c r="F776" s="12" t="n">
        <x:v>2.526315789473684</x:v>
      </x:c>
      <x:c r="G776" s="4" t="str">
        <x:v>Sin marca literal</x:v>
      </x:c>
      <x:c r="H776" s="11"/>
      <x:c r="I776" s="11" t="str">
        <x:f>IF(H776="","",C776-H776)</x:f>
      </x:c>
      <x:c r="J776" s="4"/>
      <x:c r="K776" s="4" t="str">
        <x:v>URLs de detalle page/query/country por clics. No asignan las impresiones de esta consulta a cada página.</x:v>
      </x:c>
    </x:row>
    <x:row r="777" ht="28" customHeight="1">
      <x:c r="A777" s="4" t="n">
        <x:v>767</x:v>
      </x:c>
      <x:c r="B777" s="4" t="str">
        <x:v>que no llevar en el equipaje de mano</x:v>
      </x:c>
      <x:c r="C777" s="11" t="n">
        <x:v>2</x:v>
      </x:c>
      <x:c r="D777" s="11" t="n">
        <x:v>38</x:v>
      </x:c>
      <x:c r="E777" s="14" t="n">
        <x:v>0.05263157894736842</x:v>
      </x:c>
      <x:c r="F777" s="12" t="n">
        <x:v>5.947368421052632</x:v>
      </x:c>
      <x:c r="G777" s="4" t="str">
        <x:v>Sin marca literal</x:v>
      </x:c>
      <x:c r="H777" s="11"/>
      <x:c r="I777" s="11" t="str">
        <x:f>IF(H777="","",C777-H777)</x:f>
      </x:c>
      <x:c r="J777" s="4"/>
      <x:c r="K777" s="4" t="str">
        <x:v>URLs de detalle page/query/country por clics. No asignan las impresiones de esta consulta a cada página.</x:v>
      </x:c>
    </x:row>
    <x:row r="778" ht="28" customHeight="1">
      <x:c r="A778" s="4" t="n">
        <x:v>768</x:v>
      </x:c>
      <x:c r="B778" s="4" t="str">
        <x:v>equipaje cabina</x:v>
      </x:c>
      <x:c r="C778" s="11" t="n">
        <x:v>2</x:v>
      </x:c>
      <x:c r="D778" s="11" t="n">
        <x:v>37</x:v>
      </x:c>
      <x:c r="E778" s="14" t="n">
        <x:v>0.05405405405405406</x:v>
      </x:c>
      <x:c r="F778" s="12" t="n">
        <x:v>8.486486486486488</x:v>
      </x:c>
      <x:c r="G778" s="4" t="str">
        <x:v>Sin marca literal</x:v>
      </x:c>
      <x:c r="H778" s="11"/>
      <x:c r="I778" s="11" t="str">
        <x:f>IF(H778="","",C778-H778)</x:f>
      </x:c>
      <x:c r="J778" s="4"/>
      <x:c r="K778" s="4" t="str">
        <x:v>URLs de detalle page/query/country por clics. No asignan las impresiones de esta consulta a cada página.</x:v>
      </x:c>
    </x:row>
    <x:row r="779" ht="28" customHeight="1">
      <x:c r="A779" s="4" t="n">
        <x:v>769</x:v>
      </x:c>
      <x:c r="B779" s="4" t="str">
        <x:v>niños de 2 años pagan pasaje en avion</x:v>
      </x:c>
      <x:c r="C779" s="11" t="n">
        <x:v>2</x:v>
      </x:c>
      <x:c r="D779" s="11" t="n">
        <x:v>37</x:v>
      </x:c>
      <x:c r="E779" s="14" t="n">
        <x:v>0.05405405405405406</x:v>
      </x:c>
      <x:c r="F779" s="12" t="n">
        <x:v>2.8378378378378377</x:v>
      </x:c>
      <x:c r="G779" s="4" t="str">
        <x:v>Sin marca literal</x:v>
      </x:c>
      <x:c r="H779" s="11"/>
      <x:c r="I779" s="11" t="str">
        <x:f>IF(H779="","",C779-H779)</x:f>
      </x:c>
      <x:c r="J779" s="4"/>
      <x:c r="K779" s="4" t="str">
        <x:v>URLs de detalle page/query/country por clics. No asignan las impresiones de esta consulta a cada página.</x:v>
      </x:c>
    </x:row>
    <x:row r="780" ht="28" customHeight="1">
      <x:c r="A780" s="4" t="n">
        <x:v>770</x:v>
      </x:c>
      <x:c r="B780" s="4" t="str">
        <x:v>que se puede llevar en la maleta de cabina</x:v>
      </x:c>
      <x:c r="C780" s="11" t="n">
        <x:v>2</x:v>
      </x:c>
      <x:c r="D780" s="11" t="n">
        <x:v>37</x:v>
      </x:c>
      <x:c r="E780" s="14" t="n">
        <x:v>0.05405405405405406</x:v>
      </x:c>
      <x:c r="F780" s="12" t="n">
        <x:v>7.243243243243243</x:v>
      </x:c>
      <x:c r="G780" s="4" t="str">
        <x:v>Sin marca literal</x:v>
      </x:c>
      <x:c r="H780" s="11"/>
      <x:c r="I780" s="11" t="str">
        <x:f>IF(H780="","",C780-H780)</x:f>
      </x:c>
      <x:c r="J780" s="4"/>
      <x:c r="K780" s="4" t="str">
        <x:v>URLs de detalle page/query/country por clics. No asignan las impresiones de esta consulta a cada página.</x:v>
      </x:c>
    </x:row>
    <x:row r="781" ht="28" customHeight="1">
      <x:c r="A781" s="4" t="n">
        <x:v>771</x:v>
      </x:c>
      <x:c r="B781" s="4" t="str">
        <x:v>tipo de enchufes en argentina</x:v>
      </x:c>
      <x:c r="C781" s="11" t="n">
        <x:v>2</x:v>
      </x:c>
      <x:c r="D781" s="11" t="n">
        <x:v>37</x:v>
      </x:c>
      <x:c r="E781" s="14" t="n">
        <x:v>0.05405405405405406</x:v>
      </x:c>
      <x:c r="F781" s="12" t="n">
        <x:v>7.486486486486487</x:v>
      </x:c>
      <x:c r="G781" s="4" t="str">
        <x:v>Sin marca literal</x:v>
      </x:c>
      <x:c r="H781" s="11"/>
      <x:c r="I781" s="11" t="str">
        <x:f>IF(H781="","",C781-H781)</x:f>
      </x:c>
      <x:c r="J781" s="4"/>
      <x:c r="K781" s="4" t="str">
        <x:v>URLs de detalle page/query/country por clics. No asignan las impresiones de esta consulta a cada página.</x:v>
      </x:c>
    </x:row>
    <x:row r="782" ht="28" customHeight="1">
      <x:c r="A782" s="4" t="n">
        <x:v>772</x:v>
      </x:c>
      <x:c r="B782" s="4" t="str">
        <x:v>cambiar vuelo en sky</x:v>
      </x:c>
      <x:c r="C782" s="11" t="n">
        <x:v>2</x:v>
      </x:c>
      <x:c r="D782" s="11" t="n">
        <x:v>36</x:v>
      </x:c>
      <x:c r="E782" s="14" t="n">
        <x:v>0.05555555555555555</x:v>
      </x:c>
      <x:c r="F782" s="12" t="n">
        <x:v>4.611111111111111</x:v>
      </x:c>
      <x:c r="G782" s="4" t="str">
        <x:v>Sin marca literal</x:v>
      </x:c>
      <x:c r="H782" s="11"/>
      <x:c r="I782" s="11" t="str">
        <x:f>IF(H782="","",C782-H782)</x:f>
      </x:c>
      <x:c r="J782" s="4"/>
      <x:c r="K782" s="4" t="str">
        <x:v>URLs de detalle page/query/country por clics. No asignan las impresiones de esta consulta a cada página.</x:v>
      </x:c>
    </x:row>
    <x:row r="783" ht="28" customHeight="1">
      <x:c r="A783" s="4" t="n">
        <x:v>773</x:v>
      </x:c>
      <x:c r="B783" s="4" t="str">
        <x:v>cuantas horas son de santiago a brasil en avión</x:v>
      </x:c>
      <x:c r="C783" s="11" t="n">
        <x:v>2</x:v>
      </x:c>
      <x:c r="D783" s="11" t="n">
        <x:v>36</x:v>
      </x:c>
      <x:c r="E783" s="14" t="n">
        <x:v>0.05555555555555555</x:v>
      </x:c>
      <x:c r="F783" s="12" t="n">
        <x:v>2</x:v>
      </x:c>
      <x:c r="G783" s="4" t="str">
        <x:v>Sin marca literal</x:v>
      </x:c>
      <x:c r="H783" s="11"/>
      <x:c r="I783" s="11" t="str">
        <x:f>IF(H783="","",C783-H783)</x:f>
      </x:c>
      <x:c r="J783" s="4"/>
      <x:c r="K783" s="4" t="str">
        <x:v>URLs de detalle page/query/country por clics. No asignan las impresiones de esta consulta a cada página.</x:v>
      </x:c>
    </x:row>
    <x:row r="784" ht="28" customHeight="1">
      <x:c r="A784" s="4" t="n">
        <x:v>774</x:v>
      </x:c>
      <x:c r="B784" s="4" t="str">
        <x:v>medidas bolso mano sky</x:v>
      </x:c>
      <x:c r="C784" s="11" t="n">
        <x:v>2</x:v>
      </x:c>
      <x:c r="D784" s="11" t="n">
        <x:v>36</x:v>
      </x:c>
      <x:c r="E784" s="14" t="n">
        <x:v>0.05555555555555555</x:v>
      </x:c>
      <x:c r="F784" s="12" t="n">
        <x:v>2.5277777777777777</x:v>
      </x:c>
      <x:c r="G784" s="4" t="str">
        <x:v>Sin marca literal</x:v>
      </x:c>
      <x:c r="H784" s="11"/>
      <x:c r="I784" s="11" t="str">
        <x:f>IF(H784="","",C784-H784)</x:f>
      </x:c>
      <x:c r="J784" s="4"/>
      <x:c r="K784" s="4" t="str">
        <x:v>URLs de detalle page/query/country por clics. No asignan las impresiones de esta consulta a cada página.</x:v>
      </x:c>
    </x:row>
    <x:row r="785" ht="28" customHeight="1">
      <x:c r="A785" s="4" t="n">
        <x:v>775</x:v>
      </x:c>
      <x:c r="B785" s="4" t="str">
        <x:v>paises para viajar sin pasaporte desde chile</x:v>
      </x:c>
      <x:c r="C785" s="11" t="n">
        <x:v>2</x:v>
      </x:c>
      <x:c r="D785" s="11" t="n">
        <x:v>36</x:v>
      </x:c>
      <x:c r="E785" s="14" t="n">
        <x:v>0.05555555555555555</x:v>
      </x:c>
      <x:c r="F785" s="12" t="n">
        <x:v>4.694444444444445</x:v>
      </x:c>
      <x:c r="G785" s="4" t="str">
        <x:v>Sin marca literal</x:v>
      </x:c>
      <x:c r="H785" s="11"/>
      <x:c r="I785" s="11" t="str">
        <x:f>IF(H785="","",C785-H785)</x:f>
      </x:c>
      <x:c r="J785" s="4"/>
      <x:c r="K785" s="4" t="str">
        <x:v>URLs de detalle page/query/country por clics. No asignan las impresiones de esta consulta a cada página.</x:v>
      </x:c>
    </x:row>
    <x:row r="786" ht="28" customHeight="1">
      <x:c r="A786" s="4" t="n">
        <x:v>776</x:v>
      </x:c>
      <x:c r="B786" s="4" t="str">
        <x:v>peso bolso de mano sky</x:v>
      </x:c>
      <x:c r="C786" s="11" t="n">
        <x:v>2</x:v>
      </x:c>
      <x:c r="D786" s="11" t="n">
        <x:v>36</x:v>
      </x:c>
      <x:c r="E786" s="14" t="n">
        <x:v>0.05555555555555555</x:v>
      </x:c>
      <x:c r="F786" s="12" t="n">
        <x:v>3.5555555555555554</x:v>
      </x:c>
      <x:c r="G786" s="4" t="str">
        <x:v>Sin marca literal</x:v>
      </x:c>
      <x:c r="H786" s="11"/>
      <x:c r="I786" s="11" t="str">
        <x:f>IF(H786="","",C786-H786)</x:f>
      </x:c>
      <x:c r="J786" s="4"/>
      <x:c r="K786" s="4" t="str">
        <x:v>URLs de detalle page/query/country por clics. No asignan las impresiones de esta consulta a cada página.</x:v>
      </x:c>
    </x:row>
    <x:row r="787" ht="28" customHeight="1">
      <x:c r="A787" s="4" t="n">
        <x:v>777</x:v>
      </x:c>
      <x:c r="B787" s="4" t="str">
        <x:v>programa sky plus</x:v>
      </x:c>
      <x:c r="C787" s="11" t="n">
        <x:v>2</x:v>
      </x:c>
      <x:c r="D787" s="11" t="n">
        <x:v>36</x:v>
      </x:c>
      <x:c r="E787" s="14" t="n">
        <x:v>0.05555555555555555</x:v>
      </x:c>
      <x:c r="F787" s="12" t="n">
        <x:v>3.9166666666666665</x:v>
      </x:c>
      <x:c r="G787" s="4" t="str">
        <x:v>Sin marca literal</x:v>
      </x:c>
      <x:c r="H787" s="11"/>
      <x:c r="I787" s="11" t="str">
        <x:f>IF(H787="","",C787-H787)</x:f>
      </x:c>
      <x:c r="J787" s="4"/>
      <x:c r="K787" s="4" t="str">
        <x:v>URLs de detalle page/query/country por clics. No asignan las impresiones de esta consulta a cada página.</x:v>
      </x:c>
    </x:row>
    <x:row r="788" ht="28" customHeight="1">
      <x:c r="A788" s="4" t="n">
        <x:v>778</x:v>
      </x:c>
      <x:c r="B788" s="4" t="str">
        <x:v>sky peru medidas de equipaje</x:v>
      </x:c>
      <x:c r="C788" s="11" t="n">
        <x:v>2</x:v>
      </x:c>
      <x:c r="D788" s="11" t="n">
        <x:v>36</x:v>
      </x:c>
      <x:c r="E788" s="14" t="n">
        <x:v>0.05555555555555555</x:v>
      </x:c>
      <x:c r="F788" s="12" t="n">
        <x:v>3.1944444444444446</x:v>
      </x:c>
      <x:c r="G788" s="4" t="str">
        <x:v>Contiene marca</x:v>
      </x:c>
      <x:c r="H788" s="11" t="n">
        <x:v>16</x:v>
      </x:c>
      <x:c r="I788" s="11" t="n">
        <x:f>IF(H788="","",C788-H788)</x:f>
        <x:v>-14</x:v>
      </x:c>
      <x:c r="J788" s="4" t="str">
        <x:v>https://blog.skyairline.com/equipaje-de-bodega/ (1 clics)
https://blog.skyairline.com/equipaje-de-cabina/ (1 clics)</x:v>
      </x:c>
      <x:c r="K788" s="4" t="str">
        <x:v>URLs de detalle page/query/country por clics. No asignan las impresiones de esta consulta a cada página.</x:v>
      </x:c>
    </x:row>
    <x:row r="789" ht="28" customHeight="1">
      <x:c r="A789" s="4" t="n">
        <x:v>779</x:v>
      </x:c>
      <x:c r="B789" s="4" t="str">
        <x:v>voltaje en argentina</x:v>
      </x:c>
      <x:c r="C789" s="11" t="n">
        <x:v>2</x:v>
      </x:c>
      <x:c r="D789" s="11" t="n">
        <x:v>36</x:v>
      </x:c>
      <x:c r="E789" s="14" t="n">
        <x:v>0.05555555555555555</x:v>
      </x:c>
      <x:c r="F789" s="12" t="n">
        <x:v>4.611111111111111</x:v>
      </x:c>
      <x:c r="G789" s="4" t="str">
        <x:v>Sin marca literal</x:v>
      </x:c>
      <x:c r="H789" s="11"/>
      <x:c r="I789" s="11" t="str">
        <x:f>IF(H789="","",C789-H789)</x:f>
      </x:c>
      <x:c r="J789" s="4"/>
      <x:c r="K789" s="4" t="str">
        <x:v>URLs de detalle page/query/country por clics. No asignan las impresiones de esta consulta a cada página.</x:v>
      </x:c>
    </x:row>
    <x:row r="790" ht="28" customHeight="1">
      <x:c r="A790" s="4" t="n">
        <x:v>780</x:v>
      </x:c>
      <x:c r="B790" s="4" t="str">
        <x:v>tripulante de cabina trabajo</x:v>
      </x:c>
      <x:c r="C790" s="11" t="n">
        <x:v>2</x:v>
      </x:c>
      <x:c r="D790" s="11" t="n">
        <x:v>35</x:v>
      </x:c>
      <x:c r="E790" s="14" t="n">
        <x:v>0.05714285714285714</x:v>
      </x:c>
      <x:c r="F790" s="12" t="n">
        <x:v>11.2</x:v>
      </x:c>
      <x:c r="G790" s="4" t="str">
        <x:v>Sin marca literal</x:v>
      </x:c>
      <x:c r="H790" s="11"/>
      <x:c r="I790" s="11" t="str">
        <x:f>IF(H790="","",C790-H790)</x:f>
      </x:c>
      <x:c r="J790" s="4"/>
      <x:c r="K790" s="4" t="str">
        <x:v>URLs de detalle page/query/country por clics. No asignan las impresiones de esta consulta a cada página.</x:v>
      </x:c>
    </x:row>
    <x:row r="791" ht="28" customHeight="1">
      <x:c r="A791" s="4" t="n">
        <x:v>781</x:v>
      </x:c>
      <x:c r="B791" s="4" t="str">
        <x:v>rio de janeiro ciudades</x:v>
      </x:c>
      <x:c r="C791" s="11" t="n">
        <x:v>2</x:v>
      </x:c>
      <x:c r="D791" s="11" t="n">
        <x:v>32</x:v>
      </x:c>
      <x:c r="E791" s="14" t="n">
        <x:v>0.0625</x:v>
      </x:c>
      <x:c r="F791" s="12" t="n">
        <x:v>5.78125</x:v>
      </x:c>
      <x:c r="G791" s="4" t="str">
        <x:v>Sin marca literal</x:v>
      </x:c>
      <x:c r="H791" s="11"/>
      <x:c r="I791" s="11" t="str">
        <x:f>IF(H791="","",C791-H791)</x:f>
      </x:c>
      <x:c r="J791" s="4"/>
      <x:c r="K791" s="4" t="str">
        <x:v>URLs de detalle page/query/country por clics. No asignan las impresiones de esta consulta a cada página.</x:v>
      </x:c>
    </x:row>
    <x:row r="792" ht="28" customHeight="1">
      <x:c r="A792" s="4" t="n">
        <x:v>782</x:v>
      </x:c>
      <x:c r="B792" s="4" t="str">
        <x:v>cuanto es de santiago a pucon</x:v>
      </x:c>
      <x:c r="C792" s="11" t="n">
        <x:v>2</x:v>
      </x:c>
      <x:c r="D792" s="11" t="n">
        <x:v>31</x:v>
      </x:c>
      <x:c r="E792" s="14" t="n">
        <x:v>0.06451612903225806</x:v>
      </x:c>
      <x:c r="F792" s="12" t="n">
        <x:v>4.258064516129032</x:v>
      </x:c>
      <x:c r="G792" s="4" t="str">
        <x:v>Sin marca literal</x:v>
      </x:c>
      <x:c r="H792" s="11"/>
      <x:c r="I792" s="11" t="str">
        <x:f>IF(H792="","",C792-H792)</x:f>
      </x:c>
      <x:c r="J792" s="4"/>
      <x:c r="K792" s="4" t="str">
        <x:v>URLs de detalle page/query/country por clics. No asignan las impresiones de esta consulta a cada página.</x:v>
      </x:c>
    </x:row>
    <x:row r="793" ht="28" customHeight="1">
      <x:c r="A793" s="4" t="n">
        <x:v>783</x:v>
      </x:c>
      <x:c r="B793" s="4" t="str">
        <x:v>curso tripulante de cabina chile</x:v>
      </x:c>
      <x:c r="C793" s="11" t="n">
        <x:v>2</x:v>
      </x:c>
      <x:c r="D793" s="11" t="n">
        <x:v>31</x:v>
      </x:c>
      <x:c r="E793" s="14" t="n">
        <x:v>0.06451612903225806</x:v>
      </x:c>
      <x:c r="F793" s="12" t="n">
        <x:v>7.290322580645161</x:v>
      </x:c>
      <x:c r="G793" s="4" t="str">
        <x:v>Sin marca literal</x:v>
      </x:c>
      <x:c r="H793" s="11"/>
      <x:c r="I793" s="11" t="str">
        <x:f>IF(H793="","",C793-H793)</x:f>
      </x:c>
      <x:c r="J793" s="4"/>
      <x:c r="K793" s="4" t="str">
        <x:v>URLs de detalle page/query/country por clics. No asignan las impresiones de esta consulta a cada página.</x:v>
      </x:c>
    </x:row>
    <x:row r="794" ht="28" customHeight="1">
      <x:c r="A794" s="4" t="n">
        <x:v>784</x:v>
      </x:c>
      <x:c r="B794" s="4" t="str">
        <x:v>comida de lima peru</x:v>
      </x:c>
      <x:c r="C794" s="11" t="n">
        <x:v>2</x:v>
      </x:c>
      <x:c r="D794" s="11" t="n">
        <x:v>30</x:v>
      </x:c>
      <x:c r="E794" s="14" t="n">
        <x:v>0.06666666666666667</x:v>
      </x:c>
      <x:c r="F794" s="12" t="n">
        <x:v>3</x:v>
      </x:c>
      <x:c r="G794" s="4" t="str">
        <x:v>Sin marca literal</x:v>
      </x:c>
      <x:c r="H794" s="11"/>
      <x:c r="I794" s="11" t="str">
        <x:f>IF(H794="","",C794-H794)</x:f>
      </x:c>
      <x:c r="J794" s="4"/>
      <x:c r="K794" s="4" t="str">
        <x:v>URLs de detalle page/query/country por clics. No asignan las impresiones de esta consulta a cada página.</x:v>
      </x:c>
    </x:row>
    <x:row r="795" ht="28" customHeight="1">
      <x:c r="A795" s="4" t="n">
        <x:v>785</x:v>
      </x:c>
      <x:c r="B795" s="4" t="str">
        <x:v>equipaje de mano sky precio</x:v>
      </x:c>
      <x:c r="C795" s="11" t="n">
        <x:v>2</x:v>
      </x:c>
      <x:c r="D795" s="11" t="n">
        <x:v>30</x:v>
      </x:c>
      <x:c r="E795" s="14" t="n">
        <x:v>0.06666666666666667</x:v>
      </x:c>
      <x:c r="F795" s="12" t="n">
        <x:v>4.033333333333333</x:v>
      </x:c>
      <x:c r="G795" s="4" t="str">
        <x:v>Sin marca literal</x:v>
      </x:c>
      <x:c r="H795" s="11"/>
      <x:c r="I795" s="11" t="str">
        <x:f>IF(H795="","",C795-H795)</x:f>
      </x:c>
      <x:c r="J795" s="4"/>
      <x:c r="K795" s="4" t="str">
        <x:v>URLs de detalle page/query/country por clics. No asignan las impresiones de esta consulta a cada página.</x:v>
      </x:c>
    </x:row>
    <x:row r="796" ht="28" customHeight="1">
      <x:c r="A796" s="4" t="n">
        <x:v>786</x:v>
      </x:c>
      <x:c r="B796" s="4" t="str">
        <x:v>sky a320neo</x:v>
      </x:c>
      <x:c r="C796" s="11" t="n">
        <x:v>2</x:v>
      </x:c>
      <x:c r="D796" s="11" t="n">
        <x:v>30</x:v>
      </x:c>
      <x:c r="E796" s="14" t="n">
        <x:v>0.06666666666666667</x:v>
      </x:c>
      <x:c r="F796" s="12" t="n">
        <x:v>4.633333333333333</x:v>
      </x:c>
      <x:c r="G796" s="4" t="str">
        <x:v>Sin marca literal</x:v>
      </x:c>
      <x:c r="H796" s="11"/>
      <x:c r="I796" s="11" t="str">
        <x:f>IF(H796="","",C796-H796)</x:f>
      </x:c>
      <x:c r="J796" s="4"/>
      <x:c r="K796" s="4" t="str">
        <x:v>URLs de detalle page/query/country por clics. No asignan las impresiones de esta consulta a cada página.</x:v>
      </x:c>
    </x:row>
    <x:row r="797" ht="28" customHeight="1">
      <x:c r="A797" s="4" t="n">
        <x:v>787</x:v>
      </x:c>
      <x:c r="B797" s="4" t="str">
        <x:v>sky airlines baggage policy</x:v>
      </x:c>
      <x:c r="C797" s="11" t="n">
        <x:v>2</x:v>
      </x:c>
      <x:c r="D797" s="11" t="n">
        <x:v>30</x:v>
      </x:c>
      <x:c r="E797" s="14" t="n">
        <x:v>0.06666666666666667</x:v>
      </x:c>
      <x:c r="F797" s="12" t="n">
        <x:v>12.633333333333333</x:v>
      </x:c>
      <x:c r="G797" s="4" t="str">
        <x:v>Sin marca literal</x:v>
      </x:c>
      <x:c r="H797" s="11"/>
      <x:c r="I797" s="11" t="str">
        <x:f>IF(H797="","",C797-H797)</x:f>
      </x:c>
      <x:c r="J797" s="4"/>
      <x:c r="K797" s="4" t="str">
        <x:v>URLs de detalle page/query/country por clics. No asignan las impresiones de esta consulta a cada página.</x:v>
      </x:c>
    </x:row>
    <x:row r="798" ht="28" customHeight="1">
      <x:c r="A798" s="4" t="n">
        <x:v>788</x:v>
      </x:c>
      <x:c r="B798" s="4" t="str">
        <x:v>sky plus numero de pasajero frecuente</x:v>
      </x:c>
      <x:c r="C798" s="11" t="n">
        <x:v>2</x:v>
      </x:c>
      <x:c r="D798" s="11" t="n">
        <x:v>30</x:v>
      </x:c>
      <x:c r="E798" s="14" t="n">
        <x:v>0.06666666666666667</x:v>
      </x:c>
      <x:c r="F798" s="12" t="n">
        <x:v>2.7333333333333334</x:v>
      </x:c>
      <x:c r="G798" s="4" t="str">
        <x:v>Sin marca literal</x:v>
      </x:c>
      <x:c r="H798" s="11"/>
      <x:c r="I798" s="11" t="str">
        <x:f>IF(H798="","",C798-H798)</x:f>
      </x:c>
      <x:c r="J798" s="4"/>
      <x:c r="K798" s="4" t="str">
        <x:v>URLs de detalle page/query/country por clics. No asignan las impresiones de esta consulta a cada página.</x:v>
      </x:c>
    </x:row>
    <x:row r="799" ht="28" customHeight="1">
      <x:c r="A799" s="4" t="n">
        <x:v>789</x:v>
      </x:c>
      <x:c r="B799" s="4" t="str">
        <x:v>cuanto dura un viaje de chile a brasil</x:v>
      </x:c>
      <x:c r="C799" s="11" t="n">
        <x:v>2</x:v>
      </x:c>
      <x:c r="D799" s="11" t="n">
        <x:v>29</x:v>
      </x:c>
      <x:c r="E799" s="14" t="n">
        <x:v>0.06896551724137931</x:v>
      </x:c>
      <x:c r="F799" s="12" t="n">
        <x:v>1.9655172413793105</x:v>
      </x:c>
      <x:c r="G799" s="4" t="str">
        <x:v>Sin marca literal</x:v>
      </x:c>
      <x:c r="H799" s="11"/>
      <x:c r="I799" s="11" t="str">
        <x:f>IF(H799="","",C799-H799)</x:f>
      </x:c>
      <x:c r="J799" s="4"/>
      <x:c r="K799" s="4" t="str">
        <x:v>URLs de detalle page/query/country por clics. No asignan las impresiones de esta consulta a cada página.</x:v>
      </x:c>
    </x:row>
    <x:row r="800" ht="28" customHeight="1">
      <x:c r="A800" s="4" t="n">
        <x:v>790</x:v>
      </x:c>
      <x:c r="B800" s="4" t="str">
        <x:v>cursos de azafata</x:v>
      </x:c>
      <x:c r="C800" s="11" t="n">
        <x:v>2</x:v>
      </x:c>
      <x:c r="D800" s="11" t="n">
        <x:v>29</x:v>
      </x:c>
      <x:c r="E800" s="14" t="n">
        <x:v>0.06896551724137931</x:v>
      </x:c>
      <x:c r="F800" s="12" t="n">
        <x:v>9.827586206896552</x:v>
      </x:c>
      <x:c r="G800" s="4" t="str">
        <x:v>Sin marca literal</x:v>
      </x:c>
      <x:c r="H800" s="11"/>
      <x:c r="I800" s="11" t="str">
        <x:f>IF(H800="","",C800-H800)</x:f>
      </x:c>
      <x:c r="J800" s="4"/>
      <x:c r="K800" s="4" t="str">
        <x:v>URLs de detalle page/query/country por clics. No asignan las impresiones de esta consulta a cada página.</x:v>
      </x:c>
    </x:row>
    <x:row r="801" ht="28" customHeight="1">
      <x:c r="A801" s="4" t="n">
        <x:v>791</x:v>
      </x:c>
      <x:c r="B801" s="4" t="str">
        <x:v>paquetes de viajes</x:v>
      </x:c>
      <x:c r="C801" s="11" t="n">
        <x:v>2</x:v>
      </x:c>
      <x:c r="D801" s="11" t="n">
        <x:v>29</x:v>
      </x:c>
      <x:c r="E801" s="14" t="n">
        <x:v>0.06896551724137931</x:v>
      </x:c>
      <x:c r="F801" s="12" t="n">
        <x:v>14.10344827586207</x:v>
      </x:c>
      <x:c r="G801" s="4" t="str">
        <x:v>Sin marca literal</x:v>
      </x:c>
      <x:c r="H801" s="11" t="n">
        <x:v>20</x:v>
      </x:c>
      <x:c r="I801" s="11" t="n">
        <x:f>IF(H801="","",C801-H801)</x:f>
        <x:v>-18</x:v>
      </x:c>
      <x:c r="J801" s="4" t="str">
        <x:v>https://blog.skyairline.com/paquetes-de-viaje/ (2 clics)</x:v>
      </x:c>
      <x:c r="K801" s="4" t="str">
        <x:v>URLs de detalle page/query/country por clics. No asignan las impresiones de esta consulta a cada página.</x:v>
      </x:c>
    </x:row>
    <x:row r="802" ht="28" customHeight="1">
      <x:c r="A802" s="4" t="n">
        <x:v>792</x:v>
      </x:c>
      <x:c r="B802" s="4" t="str">
        <x:v>airbus a320 neo sky</x:v>
      </x:c>
      <x:c r="C802" s="11" t="n">
        <x:v>2</x:v>
      </x:c>
      <x:c r="D802" s="11" t="n">
        <x:v>28</x:v>
      </x:c>
      <x:c r="E802" s="14" t="n">
        <x:v>0.07142857142857142</x:v>
      </x:c>
      <x:c r="F802" s="12" t="n">
        <x:v>5.714285714285714</x:v>
      </x:c>
      <x:c r="G802" s="4" t="str">
        <x:v>Sin marca literal</x:v>
      </x:c>
      <x:c r="H802" s="11"/>
      <x:c r="I802" s="11" t="str">
        <x:f>IF(H802="","",C802-H802)</x:f>
      </x:c>
      <x:c r="J802" s="4"/>
      <x:c r="K802" s="4" t="str">
        <x:v>URLs de detalle page/query/country por clics. No asignan las impresiones de esta consulta a cada página.</x:v>
      </x:c>
    </x:row>
    <x:row r="803" ht="28" customHeight="1">
      <x:c r="A803" s="4" t="n">
        <x:v>793</x:v>
      </x:c>
      <x:c r="B803" s="4" t="str">
        <x:v>platos tipicos limeños</x:v>
      </x:c>
      <x:c r="C803" s="11" t="n">
        <x:v>2</x:v>
      </x:c>
      <x:c r="D803" s="11" t="n">
        <x:v>28</x:v>
      </x:c>
      <x:c r="E803" s="14" t="n">
        <x:v>0.07142857142857142</x:v>
      </x:c>
      <x:c r="F803" s="12" t="n">
        <x:v>1.9285714285714286</x:v>
      </x:c>
      <x:c r="G803" s="4" t="str">
        <x:v>Sin marca literal</x:v>
      </x:c>
      <x:c r="H803" s="11"/>
      <x:c r="I803" s="11" t="str">
        <x:f>IF(H803="","",C803-H803)</x:f>
      </x:c>
      <x:c r="J803" s="4"/>
      <x:c r="K803" s="4" t="str">
        <x:v>URLs de detalle page/query/country por clics. No asignan las impresiones de esta consulta a cada página.</x:v>
      </x:c>
    </x:row>
    <x:row r="804" ht="28" customHeight="1">
      <x:c r="A804" s="4" t="n">
        <x:v>794</x:v>
      </x:c>
      <x:c r="B804" s="4" t="str">
        <x:v>que hay en caminito buenos aires</x:v>
      </x:c>
      <x:c r="C804" s="11" t="n">
        <x:v>2</x:v>
      </x:c>
      <x:c r="D804" s="11" t="n">
        <x:v>28</x:v>
      </x:c>
      <x:c r="E804" s="14" t="n">
        <x:v>0.07142857142857142</x:v>
      </x:c>
      <x:c r="F804" s="12" t="n">
        <x:v>2.857142857142857</x:v>
      </x:c>
      <x:c r="G804" s="4" t="str">
        <x:v>Sin marca literal</x:v>
      </x:c>
      <x:c r="H804" s="11"/>
      <x:c r="I804" s="11" t="str">
        <x:f>IF(H804="","",C804-H804)</x:f>
      </x:c>
      <x:c r="J804" s="4"/>
      <x:c r="K804" s="4" t="str">
        <x:v>URLs de detalle page/query/country por clics. No asignan las impresiones de esta consulta a cada página.</x:v>
      </x:c>
    </x:row>
    <x:row r="805" ht="28" customHeight="1">
      <x:c r="A805" s="4" t="n">
        <x:v>795</x:v>
      </x:c>
      <x:c r="B805" s="4" t="str">
        <x:v>que se necesita para ser tripulante de cabina</x:v>
      </x:c>
      <x:c r="C805" s="11" t="n">
        <x:v>2</x:v>
      </x:c>
      <x:c r="D805" s="11" t="n">
        <x:v>28</x:v>
      </x:c>
      <x:c r="E805" s="14" t="n">
        <x:v>0.07142857142857142</x:v>
      </x:c>
      <x:c r="F805" s="12" t="n">
        <x:v>4.392857142857142</x:v>
      </x:c>
      <x:c r="G805" s="4" t="str">
        <x:v>Sin marca literal</x:v>
      </x:c>
      <x:c r="H805" s="11"/>
      <x:c r="I805" s="11" t="str">
        <x:f>IF(H805="","",C805-H805)</x:f>
      </x:c>
      <x:c r="J805" s="4"/>
      <x:c r="K805" s="4" t="str">
        <x:v>URLs de detalle page/query/country por clics. No asignan las impresiones de esta consulta a cada página.</x:v>
      </x:c>
    </x:row>
    <x:row r="806" ht="28" customHeight="1">
      <x:c r="A806" s="4" t="n">
        <x:v>796</x:v>
      </x:c>
      <x:c r="B806" s="4" t="str">
        <x:v>volcanes de puerto montt</x:v>
      </x:c>
      <x:c r="C806" s="11" t="n">
        <x:v>2</x:v>
      </x:c>
      <x:c r="D806" s="11" t="n">
        <x:v>28</x:v>
      </x:c>
      <x:c r="E806" s="14" t="n">
        <x:v>0.07142857142857142</x:v>
      </x:c>
      <x:c r="F806" s="12" t="n">
        <x:v>1.7142857142857144</x:v>
      </x:c>
      <x:c r="G806" s="4" t="str">
        <x:v>Sin marca literal</x:v>
      </x:c>
      <x:c r="H806" s="11"/>
      <x:c r="I806" s="11" t="str">
        <x:f>IF(H806="","",C806-H806)</x:f>
      </x:c>
      <x:c r="J806" s="4"/>
      <x:c r="K806" s="4" t="str">
        <x:v>URLs de detalle page/query/country por clics. No asignan las impresiones de esta consulta a cada página.</x:v>
      </x:c>
    </x:row>
    <x:row r="807" ht="28" customHeight="1">
      <x:c r="A807" s="4" t="n">
        <x:v>797</x:v>
      </x:c>
      <x:c r="B807" s="4" t="str">
        <x:v>como vestir para viajar en avion</x:v>
      </x:c>
      <x:c r="C807" s="11" t="n">
        <x:v>2</x:v>
      </x:c>
      <x:c r="D807" s="11" t="n">
        <x:v>27</x:v>
      </x:c>
      <x:c r="E807" s="14" t="n">
        <x:v>0.07407407407407407</x:v>
      </x:c>
      <x:c r="F807" s="12" t="n">
        <x:v>10.296296296296296</x:v>
      </x:c>
      <x:c r="G807" s="4" t="str">
        <x:v>Sin marca literal</x:v>
      </x:c>
      <x:c r="H807" s="11"/>
      <x:c r="I807" s="11" t="str">
        <x:f>IF(H807="","",C807-H807)</x:f>
      </x:c>
      <x:c r="J807" s="4"/>
      <x:c r="K807" s="4" t="str">
        <x:v>URLs de detalle page/query/country por clics. No asignan las impresiones de esta consulta a cada página.</x:v>
      </x:c>
    </x:row>
    <x:row r="808" ht="28" customHeight="1">
      <x:c r="A808" s="4" t="n">
        <x:v>798</x:v>
      </x:c>
      <x:c r="B808" s="4" t="str">
        <x:v>cual es el aeropuerto mas cercano a pucon</x:v>
      </x:c>
      <x:c r="C808" s="11" t="n">
        <x:v>2</x:v>
      </x:c>
      <x:c r="D808" s="11" t="n">
        <x:v>27</x:v>
      </x:c>
      <x:c r="E808" s="14" t="n">
        <x:v>0.07407407407407407</x:v>
      </x:c>
      <x:c r="F808" s="12" t="n">
        <x:v>1.5925925925925926</x:v>
      </x:c>
      <x:c r="G808" s="4" t="str">
        <x:v>Sin marca literal</x:v>
      </x:c>
      <x:c r="H808" s="11"/>
      <x:c r="I808" s="11" t="str">
        <x:f>IF(H808="","",C808-H808)</x:f>
      </x:c>
      <x:c r="J808" s="4"/>
      <x:c r="K808" s="4" t="str">
        <x:v>URLs de detalle page/query/country por clics. No asignan las impresiones de esta consulta a cada página.</x:v>
      </x:c>
    </x:row>
    <x:row r="809" ht="28" customHeight="1">
      <x:c r="A809" s="4" t="n">
        <x:v>799</x:v>
      </x:c>
      <x:c r="B809" s="4" t="str">
        <x:v>documentos para viajar a brasil</x:v>
      </x:c>
      <x:c r="C809" s="11" t="n">
        <x:v>2</x:v>
      </x:c>
      <x:c r="D809" s="11" t="n">
        <x:v>27</x:v>
      </x:c>
      <x:c r="E809" s="14" t="n">
        <x:v>0.07407407407407407</x:v>
      </x:c>
      <x:c r="F809" s="12" t="n">
        <x:v>4.37037037037037</x:v>
      </x:c>
      <x:c r="G809" s="4" t="str">
        <x:v>Sin marca literal</x:v>
      </x:c>
      <x:c r="H809" s="11"/>
      <x:c r="I809" s="11" t="str">
        <x:f>IF(H809="","",C809-H809)</x:f>
      </x:c>
      <x:c r="J809" s="4"/>
      <x:c r="K809" s="4" t="str">
        <x:v>URLs de detalle page/query/country por clics. No asignan las impresiones de esta consulta a cada página.</x:v>
      </x:c>
    </x:row>
    <x:row r="810" ht="28" customHeight="1">
      <x:c r="A810" s="4" t="n">
        <x:v>800</x:v>
      </x:c>
      <x:c r="B810" s="4" t="str">
        <x:v>medidas del equipaje de mano sky</x:v>
      </x:c>
      <x:c r="C810" s="11" t="n">
        <x:v>2</x:v>
      </x:c>
      <x:c r="D810" s="11" t="n">
        <x:v>27</x:v>
      </x:c>
      <x:c r="E810" s="14" t="n">
        <x:v>0.07407407407407407</x:v>
      </x:c>
      <x:c r="F810" s="12" t="n">
        <x:v>3.3703703703703702</x:v>
      </x:c>
      <x:c r="G810" s="4" t="str">
        <x:v>Sin marca literal</x:v>
      </x:c>
      <x:c r="H810" s="11"/>
      <x:c r="I810" s="11" t="str">
        <x:f>IF(H810="","",C810-H810)</x:f>
      </x:c>
      <x:c r="J810" s="4"/>
      <x:c r="K810" s="4" t="str">
        <x:v>URLs de detalle page/query/country por clics. No asignan las impresiones de esta consulta a cada página.</x:v>
      </x:c>
    </x:row>
    <x:row r="811" ht="28" customHeight="1">
      <x:c r="A811" s="4" t="n">
        <x:v>801</x:v>
      </x:c>
      <x:c r="B811" s="4" t="str">
        <x:v>pasaje multidestino</x:v>
      </x:c>
      <x:c r="C811" s="11" t="n">
        <x:v>2</x:v>
      </x:c>
      <x:c r="D811" s="11" t="n">
        <x:v>27</x:v>
      </x:c>
      <x:c r="E811" s="14" t="n">
        <x:v>0.07407407407407407</x:v>
      </x:c>
      <x:c r="F811" s="12" t="n">
        <x:v>9.814814814814815</x:v>
      </x:c>
      <x:c r="G811" s="4" t="str">
        <x:v>Sin marca literal</x:v>
      </x:c>
      <x:c r="H811" s="11"/>
      <x:c r="I811" s="11" t="str">
        <x:f>IF(H811="","",C811-H811)</x:f>
      </x:c>
      <x:c r="J811" s="4"/>
      <x:c r="K811" s="4" t="str">
        <x:v>URLs de detalle page/query/country por clics. No asignan las impresiones de esta consulta a cada página.</x:v>
      </x:c>
    </x:row>
    <x:row r="812" ht="28" customHeight="1">
      <x:c r="A812" s="4" t="n">
        <x:v>802</x:v>
      </x:c>
      <x:c r="B812" s="4" t="str">
        <x:v>que es equipaje de mano en sky</x:v>
      </x:c>
      <x:c r="C812" s="11" t="n">
        <x:v>2</x:v>
      </x:c>
      <x:c r="D812" s="11" t="n">
        <x:v>27</x:v>
      </x:c>
      <x:c r="E812" s="14" t="n">
        <x:v>0.07407407407407407</x:v>
      </x:c>
      <x:c r="F812" s="12" t="n">
        <x:v>4.592592592592593</x:v>
      </x:c>
      <x:c r="G812" s="4" t="str">
        <x:v>Sin marca literal</x:v>
      </x:c>
      <x:c r="H812" s="11"/>
      <x:c r="I812" s="11" t="str">
        <x:f>IF(H812="","",C812-H812)</x:f>
      </x:c>
      <x:c r="J812" s="4"/>
      <x:c r="K812" s="4" t="str">
        <x:v>URLs de detalle page/query/country por clics. No asignan las impresiones de esta consulta a cada página.</x:v>
      </x:c>
    </x:row>
    <x:row r="813" ht="28" customHeight="1">
      <x:c r="A813" s="4" t="n">
        <x:v>803</x:v>
      </x:c>
      <x:c r="B813" s="4" t="str">
        <x:v>bolso de mano en sky medidas</x:v>
      </x:c>
      <x:c r="C813" s="11" t="n">
        <x:v>2</x:v>
      </x:c>
      <x:c r="D813" s="11" t="n">
        <x:v>26</x:v>
      </x:c>
      <x:c r="E813" s="14" t="n">
        <x:v>0.07692307692307693</x:v>
      </x:c>
      <x:c r="F813" s="12" t="n">
        <x:v>3.1923076923076925</x:v>
      </x:c>
      <x:c r="G813" s="4" t="str">
        <x:v>Sin marca literal</x:v>
      </x:c>
      <x:c r="H813" s="11"/>
      <x:c r="I813" s="11" t="str">
        <x:f>IF(H813="","",C813-H813)</x:f>
      </x:c>
      <x:c r="J813" s="4"/>
      <x:c r="K813" s="4" t="str">
        <x:v>URLs de detalle page/query/country por clics. No asignan las impresiones de esta consulta a cada página.</x:v>
      </x:c>
    </x:row>
    <x:row r="814" ht="28" customHeight="1">
      <x:c r="A814" s="4" t="n">
        <x:v>804</x:v>
      </x:c>
      <x:c r="B814" s="4" t="str">
        <x:v>bolso sky</x:v>
      </x:c>
      <x:c r="C814" s="11" t="n">
        <x:v>2</x:v>
      </x:c>
      <x:c r="D814" s="11" t="n">
        <x:v>26</x:v>
      </x:c>
      <x:c r="E814" s="14" t="n">
        <x:v>0.07692307692307693</x:v>
      </x:c>
      <x:c r="F814" s="12" t="n">
        <x:v>4.576923076923077</x:v>
      </x:c>
      <x:c r="G814" s="4" t="str">
        <x:v>Sin marca literal</x:v>
      </x:c>
      <x:c r="H814" s="11"/>
      <x:c r="I814" s="11" t="str">
        <x:f>IF(H814="","",C814-H814)</x:f>
      </x:c>
      <x:c r="J814" s="4"/>
      <x:c r="K814" s="4" t="str">
        <x:v>URLs de detalle page/query/country por clics. No asignan las impresiones de esta consulta a cada página.</x:v>
      </x:c>
    </x:row>
    <x:row r="815" ht="28" customHeight="1">
      <x:c r="A815" s="4" t="n">
        <x:v>805</x:v>
      </x:c>
      <x:c r="B815" s="4" t="str">
        <x:v>comida típica de lima perú</x:v>
      </x:c>
      <x:c r="C815" s="11" t="n">
        <x:v>2</x:v>
      </x:c>
      <x:c r="D815" s="11" t="n">
        <x:v>26</x:v>
      </x:c>
      <x:c r="E815" s="14" t="n">
        <x:v>0.07692307692307693</x:v>
      </x:c>
      <x:c r="F815" s="12" t="n">
        <x:v>2.9615384615384617</x:v>
      </x:c>
      <x:c r="G815" s="4" t="str">
        <x:v>Sin marca literal</x:v>
      </x:c>
      <x:c r="H815" s="11"/>
      <x:c r="I815" s="11" t="str">
        <x:f>IF(H815="","",C815-H815)</x:f>
      </x:c>
      <x:c r="J815" s="4"/>
      <x:c r="K815" s="4" t="str">
        <x:v>URLs de detalle page/query/country por clics. No asignan las impresiones de esta consulta a cada página.</x:v>
      </x:c>
    </x:row>
    <x:row r="816" ht="28" customHeight="1">
      <x:c r="A816" s="4" t="n">
        <x:v>806</x:v>
      </x:c>
      <x:c r="B816" s="4" t="str">
        <x:v>curso auxiliar de vuelo</x:v>
      </x:c>
      <x:c r="C816" s="11" t="n">
        <x:v>2</x:v>
      </x:c>
      <x:c r="D816" s="11" t="n">
        <x:v>26</x:v>
      </x:c>
      <x:c r="E816" s="14" t="n">
        <x:v>0.07692307692307693</x:v>
      </x:c>
      <x:c r="F816" s="12" t="n">
        <x:v>6.769230769230769</x:v>
      </x:c>
      <x:c r="G816" s="4" t="str">
        <x:v>Sin marca literal</x:v>
      </x:c>
      <x:c r="H816" s="11"/>
      <x:c r="I816" s="11" t="str">
        <x:f>IF(H816="","",C816-H816)</x:f>
      </x:c>
      <x:c r="J816" s="4"/>
      <x:c r="K816" s="4" t="str">
        <x:v>URLs de detalle page/query/country por clics. No asignan las impresiones de esta consulta a cada página.</x:v>
      </x:c>
    </x:row>
    <x:row r="817" ht="28" customHeight="1">
      <x:c r="A817" s="4" t="n">
        <x:v>807</x:v>
      </x:c>
      <x:c r="B817" s="4" t="str">
        <x:v>aeropuerto en pucon</x:v>
      </x:c>
      <x:c r="C817" s="11" t="n">
        <x:v>2</x:v>
      </x:c>
      <x:c r="D817" s="11" t="n">
        <x:v>25</x:v>
      </x:c>
      <x:c r="E817" s="14" t="n">
        <x:v>0.08</x:v>
      </x:c>
      <x:c r="F817" s="12" t="n">
        <x:v>1.6</x:v>
      </x:c>
      <x:c r="G817" s="4" t="str">
        <x:v>Sin marca literal</x:v>
      </x:c>
      <x:c r="H817" s="11"/>
      <x:c r="I817" s="11" t="str">
        <x:f>IF(H817="","",C817-H817)</x:f>
      </x:c>
      <x:c r="J817" s="4"/>
      <x:c r="K817" s="4" t="str">
        <x:v>URLs de detalle page/query/country por clics. No asignan las impresiones de esta consulta a cada página.</x:v>
      </x:c>
    </x:row>
    <x:row r="818" ht="28" customHeight="1">
      <x:c r="A818" s="4" t="n">
        <x:v>808</x:v>
      </x:c>
      <x:c r="B818" s="4" t="str">
        <x:v>como canjear puntos sky plus</x:v>
      </x:c>
      <x:c r="C818" s="11" t="n">
        <x:v>2</x:v>
      </x:c>
      <x:c r="D818" s="11" t="n">
        <x:v>25</x:v>
      </x:c>
      <x:c r="E818" s="14" t="n">
        <x:v>0.08</x:v>
      </x:c>
      <x:c r="F818" s="12" t="n">
        <x:v>3.44</x:v>
      </x:c>
      <x:c r="G818" s="4" t="str">
        <x:v>Sin marca literal</x:v>
      </x:c>
      <x:c r="H818" s="11"/>
      <x:c r="I818" s="11" t="str">
        <x:f>IF(H818="","",C818-H818)</x:f>
      </x:c>
      <x:c r="J818" s="4"/>
      <x:c r="K818" s="4" t="str">
        <x:v>URLs de detalle page/query/country por clics. No asignan las impresiones de esta consulta a cada página.</x:v>
      </x:c>
    </x:row>
    <x:row r="819" ht="28" customHeight="1">
      <x:c r="A819" s="4" t="n">
        <x:v>809</x:v>
      </x:c>
      <x:c r="B819" s="4" t="str">
        <x:v>curso asistente de vuelo</x:v>
      </x:c>
      <x:c r="C819" s="11" t="n">
        <x:v>2</x:v>
      </x:c>
      <x:c r="D819" s="11" t="n">
        <x:v>25</x:v>
      </x:c>
      <x:c r="E819" s="14" t="n">
        <x:v>0.08</x:v>
      </x:c>
      <x:c r="F819" s="12" t="n">
        <x:v>6.72</x:v>
      </x:c>
      <x:c r="G819" s="4" t="str">
        <x:v>Sin marca literal</x:v>
      </x:c>
      <x:c r="H819" s="11"/>
      <x:c r="I819" s="11" t="str">
        <x:f>IF(H819="","",C819-H819)</x:f>
      </x:c>
      <x:c r="J819" s="4"/>
      <x:c r="K819" s="4" t="str">
        <x:v>URLs de detalle page/query/country por clics. No asignan las impresiones de esta consulta a cada página.</x:v>
      </x:c>
    </x:row>
    <x:row r="820" ht="28" customHeight="1">
      <x:c r="A820" s="4" t="n">
        <x:v>810</x:v>
      </x:c>
      <x:c r="B820" s="4" t="str">
        <x:v>programa sky</x:v>
      </x:c>
      <x:c r="C820" s="11" t="n">
        <x:v>2</x:v>
      </x:c>
      <x:c r="D820" s="11" t="n">
        <x:v>25</x:v>
      </x:c>
      <x:c r="E820" s="14" t="n">
        <x:v>0.08</x:v>
      </x:c>
      <x:c r="F820" s="12" t="n">
        <x:v>5.32</x:v>
      </x:c>
      <x:c r="G820" s="4" t="str">
        <x:v>Sin marca literal</x:v>
      </x:c>
      <x:c r="H820" s="11"/>
      <x:c r="I820" s="11" t="str">
        <x:f>IF(H820="","",C820-H820)</x:f>
      </x:c>
      <x:c r="J820" s="4"/>
      <x:c r="K820" s="4" t="str">
        <x:v>URLs de detalle page/query/country por clics. No asignan las impresiones de esta consulta a cada página.</x:v>
      </x:c>
    </x:row>
    <x:row r="821" ht="28" customHeight="1">
      <x:c r="A821" s="4" t="n">
        <x:v>811</x:v>
      </x:c>
      <x:c r="B821" s="4" t="str">
        <x:v>que pais es mas barato para viajar</x:v>
      </x:c>
      <x:c r="C821" s="11" t="n">
        <x:v>2</x:v>
      </x:c>
      <x:c r="D821" s="11" t="n">
        <x:v>25</x:v>
      </x:c>
      <x:c r="E821" s="14" t="n">
        <x:v>0.08</x:v>
      </x:c>
      <x:c r="F821" s="12" t="n">
        <x:v>5.44</x:v>
      </x:c>
      <x:c r="G821" s="4" t="str">
        <x:v>Sin marca literal</x:v>
      </x:c>
      <x:c r="H821" s="11"/>
      <x:c r="I821" s="11" t="str">
        <x:f>IF(H821="","",C821-H821)</x:f>
      </x:c>
      <x:c r="J821" s="4"/>
      <x:c r="K821" s="4" t="str">
        <x:v>URLs de detalle page/query/country por clics. No asignan las impresiones de esta consulta a cada página.</x:v>
      </x:c>
    </x:row>
    <x:row r="822" ht="28" customHeight="1">
      <x:c r="A822" s="4" t="n">
        <x:v>812</x:v>
      </x:c>
      <x:c r="B822" s="4" t="str">
        <x:v>toma corriente en argentina</x:v>
      </x:c>
      <x:c r="C822" s="11" t="n">
        <x:v>2</x:v>
      </x:c>
      <x:c r="D822" s="11" t="n">
        <x:v>25</x:v>
      </x:c>
      <x:c r="E822" s="14" t="n">
        <x:v>0.08</x:v>
      </x:c>
      <x:c r="F822" s="12" t="n">
        <x:v>4.5600000000000005</x:v>
      </x:c>
      <x:c r="G822" s="4" t="str">
        <x:v>Sin marca literal</x:v>
      </x:c>
      <x:c r="H822" s="11"/>
      <x:c r="I822" s="11" t="str">
        <x:f>IF(H822="","",C822-H822)</x:f>
      </x:c>
      <x:c r="J822" s="4"/>
      <x:c r="K822" s="4" t="str">
        <x:v>URLs de detalle page/query/country por clics. No asignan las impresiones de esta consulta a cada página.</x:v>
      </x:c>
    </x:row>
    <x:row r="823" ht="28" customHeight="1">
      <x:c r="A823" s="4" t="n">
        <x:v>813</x:v>
      </x:c>
      <x:c r="B823" s="4" t="str">
        <x:v>camboriú donde es</x:v>
      </x:c>
      <x:c r="C823" s="11" t="n">
        <x:v>2</x:v>
      </x:c>
      <x:c r="D823" s="11" t="n">
        <x:v>24</x:v>
      </x:c>
      <x:c r="E823" s="14" t="n">
        <x:v>0.08333333333333333</x:v>
      </x:c>
      <x:c r="F823" s="12" t="n">
        <x:v>6.875</x:v>
      </x:c>
      <x:c r="G823" s="4" t="str">
        <x:v>Sin marca literal</x:v>
      </x:c>
      <x:c r="H823" s="11"/>
      <x:c r="I823" s="11" t="str">
        <x:f>IF(H823="","",C823-H823)</x:f>
      </x:c>
      <x:c r="J823" s="4"/>
      <x:c r="K823" s="4" t="str">
        <x:v>URLs de detalle page/query/country por clics. No asignan las impresiones de esta consulta a cada página.</x:v>
      </x:c>
    </x:row>
    <x:row r="824" ht="28" customHeight="1">
      <x:c r="A824" s="4" t="n">
        <x:v>814</x:v>
      </x:c>
      <x:c r="B824" s="4" t="str">
        <x:v>comidas tipicas de lima peru</x:v>
      </x:c>
      <x:c r="C824" s="11" t="n">
        <x:v>2</x:v>
      </x:c>
      <x:c r="D824" s="11" t="n">
        <x:v>24</x:v>
      </x:c>
      <x:c r="E824" s="14" t="n">
        <x:v>0.08333333333333333</x:v>
      </x:c>
      <x:c r="F824" s="12" t="n">
        <x:v>2.416666666666667</x:v>
      </x:c>
      <x:c r="G824" s="4" t="str">
        <x:v>Sin marca literal</x:v>
      </x:c>
      <x:c r="H824" s="11"/>
      <x:c r="I824" s="11" t="str">
        <x:f>IF(H824="","",C824-H824)</x:f>
      </x:c>
      <x:c r="J824" s="4"/>
      <x:c r="K824" s="4" t="str">
        <x:v>URLs de detalle page/query/country por clics. No asignan las impresiones de esta consulta a cada página.</x:v>
      </x:c>
    </x:row>
    <x:row r="825" ht="28" customHeight="1">
      <x:c r="A825" s="4" t="n">
        <x:v>815</x:v>
      </x:c>
      <x:c r="B825" s="4" t="str">
        <x:v>como ir de puerto natales a el calafate</x:v>
      </x:c>
      <x:c r="C825" s="11" t="n">
        <x:v>2</x:v>
      </x:c>
      <x:c r="D825" s="11" t="n">
        <x:v>24</x:v>
      </x:c>
      <x:c r="E825" s="14" t="n">
        <x:v>0.08333333333333333</x:v>
      </x:c>
      <x:c r="F825" s="12" t="n">
        <x:v>5.75</x:v>
      </x:c>
      <x:c r="G825" s="4" t="str">
        <x:v>Sin marca literal</x:v>
      </x:c>
      <x:c r="H825" s="11"/>
      <x:c r="I825" s="11" t="str">
        <x:f>IF(H825="","",C825-H825)</x:f>
      </x:c>
      <x:c r="J825" s="4"/>
      <x:c r="K825" s="4" t="str">
        <x:v>URLs de detalle page/query/country por clics. No asignan las impresiones de esta consulta a cada página.</x:v>
      </x:c>
    </x:row>
    <x:row r="826" ht="28" customHeight="1">
      <x:c r="A826" s="4" t="n">
        <x:v>816</x:v>
      </x:c>
      <x:c r="B826" s="4" t="str">
        <x:v>destinos economicos para viajar</x:v>
      </x:c>
      <x:c r="C826" s="11" t="n">
        <x:v>2</x:v>
      </x:c>
      <x:c r="D826" s="11" t="n">
        <x:v>24</x:v>
      </x:c>
      <x:c r="E826" s="14" t="n">
        <x:v>0.08333333333333333</x:v>
      </x:c>
      <x:c r="F826" s="12" t="n">
        <x:v>2.875</x:v>
      </x:c>
      <x:c r="G826" s="4" t="str">
        <x:v>Sin marca literal</x:v>
      </x:c>
      <x:c r="H826" s="11"/>
      <x:c r="I826" s="11" t="str">
        <x:f>IF(H826="","",C826-H826)</x:f>
      </x:c>
      <x:c r="J826" s="4"/>
      <x:c r="K826" s="4" t="str">
        <x:v>URLs de detalle page/query/country por clics. No asignan las impresiones de esta consulta a cada página.</x:v>
      </x:c>
    </x:row>
    <x:row r="827" ht="28" customHeight="1">
      <x:c r="A827" s="4" t="n">
        <x:v>817</x:v>
      </x:c>
      <x:c r="B827" s="4" t="str">
        <x:v>lugares para viajar con niños en el extranjero</x:v>
      </x:c>
      <x:c r="C827" s="11" t="n">
        <x:v>2</x:v>
      </x:c>
      <x:c r="D827" s="11" t="n">
        <x:v>24</x:v>
      </x:c>
      <x:c r="E827" s="14" t="n">
        <x:v>0.08333333333333333</x:v>
      </x:c>
      <x:c r="F827" s="12" t="n">
        <x:v>7.291666666666667</x:v>
      </x:c>
      <x:c r="G827" s="4" t="str">
        <x:v>Sin marca literal</x:v>
      </x:c>
      <x:c r="H827" s="11"/>
      <x:c r="I827" s="11" t="str">
        <x:f>IF(H827="","",C827-H827)</x:f>
      </x:c>
      <x:c r="J827" s="4"/>
      <x:c r="K827" s="4" t="str">
        <x:v>URLs de detalle page/query/country por clics. No asignan las impresiones de esta consulta a cada página.</x:v>
      </x:c>
    </x:row>
    <x:row r="828" ht="28" customHeight="1">
      <x:c r="A828" s="4" t="n">
        <x:v>818</x:v>
      </x:c>
      <x:c r="B828" s="4" t="str">
        <x:v>se puede llevar coche de bebé en el avión sky</x:v>
      </x:c>
      <x:c r="C828" s="11" t="n">
        <x:v>2</x:v>
      </x:c>
      <x:c r="D828" s="11" t="n">
        <x:v>24</x:v>
      </x:c>
      <x:c r="E828" s="14" t="n">
        <x:v>0.08333333333333333</x:v>
      </x:c>
      <x:c r="F828" s="12" t="n">
        <x:v>5.416666666666667</x:v>
      </x:c>
      <x:c r="G828" s="4" t="str">
        <x:v>Sin marca literal</x:v>
      </x:c>
      <x:c r="H828" s="11"/>
      <x:c r="I828" s="11" t="str">
        <x:f>IF(H828="","",C828-H828)</x:f>
      </x:c>
      <x:c r="J828" s="4"/>
      <x:c r="K828" s="4" t="str">
        <x:v>URLs de detalle page/query/country por clics. No asignan las impresiones de esta consulta a cada página.</x:v>
      </x:c>
    </x:row>
    <x:row r="829" ht="28" customHeight="1">
      <x:c r="A829" s="4" t="n">
        <x:v>819</x:v>
      </x:c>
      <x:c r="B829" s="4" t="str">
        <x:v>sky airline personal item size</x:v>
      </x:c>
      <x:c r="C829" s="11" t="n">
        <x:v>2</x:v>
      </x:c>
      <x:c r="D829" s="11" t="n">
        <x:v>24</x:v>
      </x:c>
      <x:c r="E829" s="14" t="n">
        <x:v>0.08333333333333333</x:v>
      </x:c>
      <x:c r="F829" s="12" t="n">
        <x:v>4.458333333333334</x:v>
      </x:c>
      <x:c r="G829" s="4" t="str">
        <x:v>Sin marca literal</x:v>
      </x:c>
      <x:c r="H829" s="11"/>
      <x:c r="I829" s="11" t="str">
        <x:f>IF(H829="","",C829-H829)</x:f>
      </x:c>
      <x:c r="J829" s="4"/>
      <x:c r="K829" s="4" t="str">
        <x:v>URLs de detalle page/query/country por clics. No asignan las impresiones de esta consulta a cada página.</x:v>
      </x:c>
    </x:row>
    <x:row r="830" ht="28" customHeight="1">
      <x:c r="A830" s="4" t="n">
        <x:v>820</x:v>
      </x:c>
      <x:c r="B830" s="4" t="str">
        <x:v>airbus a320 sky asientos</x:v>
      </x:c>
      <x:c r="C830" s="11" t="n">
        <x:v>2</x:v>
      </x:c>
      <x:c r="D830" s="11" t="n">
        <x:v>23</x:v>
      </x:c>
      <x:c r="E830" s="14" t="n">
        <x:v>0.08695652173913043</x:v>
      </x:c>
      <x:c r="F830" s="12" t="n">
        <x:v>5.913043478260869</x:v>
      </x:c>
      <x:c r="G830" s="4" t="str">
        <x:v>Sin marca literal</x:v>
      </x:c>
      <x:c r="H830" s="11"/>
      <x:c r="I830" s="11" t="str">
        <x:f>IF(H830="","",C830-H830)</x:f>
      </x:c>
      <x:c r="J830" s="4"/>
      <x:c r="K830" s="4" t="str">
        <x:v>URLs de detalle page/query/country por clics. No asignan las impresiones de esta consulta a cada página.</x:v>
      </x:c>
    </x:row>
    <x:row r="831" ht="28" customHeight="1">
      <x:c r="A831" s="4" t="n">
        <x:v>821</x:v>
      </x:c>
      <x:c r="B831" s="4" t="str">
        <x:v>clima en el sur de chile</x:v>
      </x:c>
      <x:c r="C831" s="11" t="n">
        <x:v>2</x:v>
      </x:c>
      <x:c r="D831" s="11" t="n">
        <x:v>23</x:v>
      </x:c>
      <x:c r="E831" s="14" t="n">
        <x:v>0.08695652173913043</x:v>
      </x:c>
      <x:c r="F831" s="12" t="n">
        <x:v>7</x:v>
      </x:c>
      <x:c r="G831" s="4" t="str">
        <x:v>Sin marca literal</x:v>
      </x:c>
      <x:c r="H831" s="11"/>
      <x:c r="I831" s="11" t="str">
        <x:f>IF(H831="","",C831-H831)</x:f>
      </x:c>
      <x:c r="J831" s="4"/>
      <x:c r="K831" s="4" t="str">
        <x:v>URLs de detalle page/query/country por clics. No asignan las impresiones de esta consulta a cada página.</x:v>
      </x:c>
    </x:row>
    <x:row r="832" ht="28" customHeight="1">
      <x:c r="A832" s="4" t="n">
        <x:v>822</x:v>
      </x:c>
      <x:c r="B832" s="4" t="str">
        <x:v>cuanto sale cambiar un pasaje de avion</x:v>
      </x:c>
      <x:c r="C832" s="11" t="n">
        <x:v>2</x:v>
      </x:c>
      <x:c r="D832" s="11" t="n">
        <x:v>23</x:v>
      </x:c>
      <x:c r="E832" s="14" t="n">
        <x:v>0.08695652173913043</x:v>
      </x:c>
      <x:c r="F832" s="12" t="n">
        <x:v>5.260869565217392</x:v>
      </x:c>
      <x:c r="G832" s="4" t="str">
        <x:v>Sin marca literal</x:v>
      </x:c>
      <x:c r="H832" s="11"/>
      <x:c r="I832" s="11" t="str">
        <x:f>IF(H832="","",C832-H832)</x:f>
      </x:c>
      <x:c r="J832" s="4"/>
      <x:c r="K832" s="4" t="str">
        <x:v>URLs de detalle page/query/country por clics. No asignan las impresiones de esta consulta a cada página.</x:v>
      </x:c>
    </x:row>
    <x:row r="833" ht="28" customHeight="1">
      <x:c r="A833" s="4" t="n">
        <x:v>823</x:v>
      </x:c>
      <x:c r="B833" s="4" t="str">
        <x:v>medidas de mochila en sky</x:v>
      </x:c>
      <x:c r="C833" s="11" t="n">
        <x:v>2</x:v>
      </x:c>
      <x:c r="D833" s="11" t="n">
        <x:v>23</x:v>
      </x:c>
      <x:c r="E833" s="14" t="n">
        <x:v>0.08695652173913043</x:v>
      </x:c>
      <x:c r="F833" s="12" t="n">
        <x:v>4.608695652173913</x:v>
      </x:c>
      <x:c r="G833" s="4" t="str">
        <x:v>Sin marca literal</x:v>
      </x:c>
      <x:c r="H833" s="11"/>
      <x:c r="I833" s="11" t="str">
        <x:f>IF(H833="","",C833-H833)</x:f>
      </x:c>
      <x:c r="J833" s="4"/>
      <x:c r="K833" s="4" t="str">
        <x:v>URLs de detalle page/query/country por clics. No asignan las impresiones de esta consulta a cada página.</x:v>
      </x:c>
    </x:row>
    <x:row r="834" ht="28" customHeight="1">
      <x:c r="A834" s="4" t="n">
        <x:v>824</x:v>
      </x:c>
      <x:c r="B834" s="4" t="str">
        <x:v>curso de asistente de vuelo</x:v>
      </x:c>
      <x:c r="C834" s="11" t="n">
        <x:v>2</x:v>
      </x:c>
      <x:c r="D834" s="11" t="n">
        <x:v>22</x:v>
      </x:c>
      <x:c r="E834" s="14" t="n">
        <x:v>0.09090909090909091</x:v>
      </x:c>
      <x:c r="F834" s="12" t="n">
        <x:v>6.409090909090909</x:v>
      </x:c>
      <x:c r="G834" s="4" t="str">
        <x:v>Sin marca literal</x:v>
      </x:c>
      <x:c r="H834" s="11"/>
      <x:c r="I834" s="11" t="str">
        <x:f>IF(H834="","",C834-H834)</x:f>
      </x:c>
      <x:c r="J834" s="4"/>
      <x:c r="K834" s="4" t="str">
        <x:v>URLs de detalle page/query/country por clics. No asignan las impresiones de esta consulta a cada página.</x:v>
      </x:c>
    </x:row>
    <x:row r="835" ht="28" customHeight="1">
      <x:c r="A835" s="4" t="n">
        <x:v>825</x:v>
      </x:c>
      <x:c r="B835" s="4" t="str">
        <x:v>sky tripulante de cabina trabajo</x:v>
      </x:c>
      <x:c r="C835" s="11" t="n">
        <x:v>2</x:v>
      </x:c>
      <x:c r="D835" s="11" t="n">
        <x:v>22</x:v>
      </x:c>
      <x:c r="E835" s="14" t="n">
        <x:v>0.09090909090909091</x:v>
      </x:c>
      <x:c r="F835" s="12" t="n">
        <x:v>4.409090909090909</x:v>
      </x:c>
      <x:c r="G835" s="4" t="str">
        <x:v>Sin marca literal</x:v>
      </x:c>
      <x:c r="H835" s="11"/>
      <x:c r="I835" s="11" t="str">
        <x:f>IF(H835="","",C835-H835)</x:f>
      </x:c>
      <x:c r="J835" s="4"/>
      <x:c r="K835" s="4" t="str">
        <x:v>URLs de detalle page/query/country por clics. No asignan las impresiones de esta consulta a cada página.</x:v>
      </x:c>
    </x:row>
    <x:row r="836" ht="28" customHeight="1">
      <x:c r="A836" s="4" t="n">
        <x:v>826</x:v>
      </x:c>
      <x:c r="B836" s="4" t="str">
        <x:v>zona norte de chile clima</x:v>
      </x:c>
      <x:c r="C836" s="11" t="n">
        <x:v>2</x:v>
      </x:c>
      <x:c r="D836" s="11" t="n">
        <x:v>22</x:v>
      </x:c>
      <x:c r="E836" s="14" t="n">
        <x:v>0.09090909090909091</x:v>
      </x:c>
      <x:c r="F836" s="12" t="n">
        <x:v>3.272727272727273</x:v>
      </x:c>
      <x:c r="G836" s="4" t="str">
        <x:v>Sin marca literal</x:v>
      </x:c>
      <x:c r="H836" s="11"/>
      <x:c r="I836" s="11" t="str">
        <x:f>IF(H836="","",C836-H836)</x:f>
      </x:c>
      <x:c r="J836" s="4"/>
      <x:c r="K836" s="4" t="str">
        <x:v>URLs de detalle page/query/country por clics. No asignan las impresiones de esta consulta a cada página.</x:v>
      </x:c>
    </x:row>
    <x:row r="837" ht="28" customHeight="1">
      <x:c r="A837" s="4" t="n">
        <x:v>827</x:v>
      </x:c>
      <x:c r="B837" s="4" t="str">
        <x:v>como llegar a humberstone desde iquique</x:v>
      </x:c>
      <x:c r="C837" s="11" t="n">
        <x:v>2</x:v>
      </x:c>
      <x:c r="D837" s="11" t="n">
        <x:v>21</x:v>
      </x:c>
      <x:c r="E837" s="14" t="n">
        <x:v>0.09523809523809523</x:v>
      </x:c>
      <x:c r="F837" s="12" t="n">
        <x:v>6.619047619047619</x:v>
      </x:c>
      <x:c r="G837" s="4" t="str">
        <x:v>Sin marca literal</x:v>
      </x:c>
      <x:c r="H837" s="11"/>
      <x:c r="I837" s="11" t="str">
        <x:f>IF(H837="","",C837-H837)</x:f>
      </x:c>
      <x:c r="J837" s="4"/>
      <x:c r="K837" s="4" t="str">
        <x:v>URLs de detalle page/query/country por clics. No asignan las impresiones de esta consulta a cada página.</x:v>
      </x:c>
    </x:row>
    <x:row r="838" ht="28" customHeight="1">
      <x:c r="A838" s="4" t="n">
        <x:v>828</x:v>
      </x:c>
      <x:c r="B838" s="4" t="str">
        <x:v>cuanto dura el curso de tripulante de cabina</x:v>
      </x:c>
      <x:c r="C838" s="11" t="n">
        <x:v>2</x:v>
      </x:c>
      <x:c r="D838" s="11" t="n">
        <x:v>21</x:v>
      </x:c>
      <x:c r="E838" s="14" t="n">
        <x:v>0.09523809523809523</x:v>
      </x:c>
      <x:c r="F838" s="12" t="n">
        <x:v>5.666666666666667</x:v>
      </x:c>
      <x:c r="G838" s="4" t="str">
        <x:v>Sin marca literal</x:v>
      </x:c>
      <x:c r="H838" s="11"/>
      <x:c r="I838" s="11" t="str">
        <x:f>IF(H838="","",C838-H838)</x:f>
      </x:c>
      <x:c r="J838" s="4"/>
      <x:c r="K838" s="4" t="str">
        <x:v>URLs de detalle page/query/country por clics. No asignan las impresiones de esta consulta a cada página.</x:v>
      </x:c>
    </x:row>
    <x:row r="839" ht="28" customHeight="1">
      <x:c r="A839" s="4" t="n">
        <x:v>829</x:v>
      </x:c>
      <x:c r="B839" s="4" t="str">
        <x:v>destinos del sur argentino</x:v>
      </x:c>
      <x:c r="C839" s="11" t="n">
        <x:v>2</x:v>
      </x:c>
      <x:c r="D839" s="11" t="n">
        <x:v>21</x:v>
      </x:c>
      <x:c r="E839" s="14" t="n">
        <x:v>0.09523809523809523</x:v>
      </x:c>
      <x:c r="F839" s="12" t="n">
        <x:v>2.571428571428571</x:v>
      </x:c>
      <x:c r="G839" s="4" t="str">
        <x:v>Sin marca literal</x:v>
      </x:c>
      <x:c r="H839" s="11"/>
      <x:c r="I839" s="11" t="str">
        <x:f>IF(H839="","",C839-H839)</x:f>
      </x:c>
      <x:c r="J839" s="4"/>
      <x:c r="K839" s="4" t="str">
        <x:v>URLs de detalle page/query/country por clics. No asignan las impresiones de esta consulta a cada página.</x:v>
      </x:c>
    </x:row>
    <x:row r="840" ht="28" customHeight="1">
      <x:c r="A840" s="4" t="n">
        <x:v>830</x:v>
      </x:c>
      <x:c r="B840" s="4" t="str">
        <x:v>el folklore chileno</x:v>
      </x:c>
      <x:c r="C840" s="11" t="n">
        <x:v>2</x:v>
      </x:c>
      <x:c r="D840" s="11" t="n">
        <x:v>21</x:v>
      </x:c>
      <x:c r="E840" s="14" t="n">
        <x:v>0.09523809523809523</x:v>
      </x:c>
      <x:c r="F840" s="12" t="n">
        <x:v>6.904761904761905</x:v>
      </x:c>
      <x:c r="G840" s="4" t="str">
        <x:v>Sin marca literal</x:v>
      </x:c>
      <x:c r="H840" s="11"/>
      <x:c r="I840" s="11" t="str">
        <x:f>IF(H840="","",C840-H840)</x:f>
      </x:c>
      <x:c r="J840" s="4"/>
      <x:c r="K840" s="4" t="str">
        <x:v>URLs de detalle page/query/country por clics. No asignan las impresiones de esta consulta a cada página.</x:v>
      </x:c>
    </x:row>
    <x:row r="841" ht="28" customHeight="1">
      <x:c r="A841" s="4" t="n">
        <x:v>831</x:v>
      </x:c>
      <x:c r="B841" s="4" t="str">
        <x:v>entretenimiento para niños en santiago</x:v>
      </x:c>
      <x:c r="C841" s="11" t="n">
        <x:v>2</x:v>
      </x:c>
      <x:c r="D841" s="11" t="n">
        <x:v>21</x:v>
      </x:c>
      <x:c r="E841" s="14" t="n">
        <x:v>0.09523809523809523</x:v>
      </x:c>
      <x:c r="F841" s="12" t="n">
        <x:v>7.428571428571429</x:v>
      </x:c>
      <x:c r="G841" s="4" t="str">
        <x:v>Sin marca literal</x:v>
      </x:c>
      <x:c r="H841" s="11"/>
      <x:c r="I841" s="11" t="str">
        <x:f>IF(H841="","",C841-H841)</x:f>
      </x:c>
      <x:c r="J841" s="4"/>
      <x:c r="K841" s="4" t="str">
        <x:v>URLs de detalle page/query/country por clics. No asignan las impresiones de esta consulta a cada página.</x:v>
      </x:c>
    </x:row>
    <x:row r="842" ht="28" customHeight="1">
      <x:c r="A842" s="4" t="n">
        <x:v>832</x:v>
      </x:c>
      <x:c r="B842" s="4" t="str">
        <x:v>mejores destinos para viajar con niños</x:v>
      </x:c>
      <x:c r="C842" s="11" t="n">
        <x:v>2</x:v>
      </x:c>
      <x:c r="D842" s="11" t="n">
        <x:v>21</x:v>
      </x:c>
      <x:c r="E842" s="14" t="n">
        <x:v>0.09523809523809523</x:v>
      </x:c>
      <x:c r="F842" s="12" t="n">
        <x:v>15.142857142857142</x:v>
      </x:c>
      <x:c r="G842" s="4" t="str">
        <x:v>Sin marca literal</x:v>
      </x:c>
      <x:c r="H842" s="11"/>
      <x:c r="I842" s="11" t="str">
        <x:f>IF(H842="","",C842-H842)</x:f>
      </x:c>
      <x:c r="J842" s="4"/>
      <x:c r="K842" s="4" t="str">
        <x:v>URLs de detalle page/query/country por clics. No asignan las impresiones de esta consulta a cada página.</x:v>
      </x:c>
    </x:row>
    <x:row r="843" ht="28" customHeight="1">
      <x:c r="A843" s="4" t="n">
        <x:v>833</x:v>
      </x:c>
      <x:c r="B843" s="4" t="str">
        <x:v>que hacer hoy en santiago con niños</x:v>
      </x:c>
      <x:c r="C843" s="11" t="n">
        <x:v>2</x:v>
      </x:c>
      <x:c r="D843" s="11" t="n">
        <x:v>21</x:v>
      </x:c>
      <x:c r="E843" s="14" t="n">
        <x:v>0.09523809523809523</x:v>
      </x:c>
      <x:c r="F843" s="12" t="n">
        <x:v>10.095238095238095</x:v>
      </x:c>
      <x:c r="G843" s="4" t="str">
        <x:v>Sin marca literal</x:v>
      </x:c>
      <x:c r="H843" s="11"/>
      <x:c r="I843" s="11" t="str">
        <x:f>IF(H843="","",C843-H843)</x:f>
      </x:c>
      <x:c r="J843" s="4"/>
      <x:c r="K843" s="4" t="str">
        <x:v>URLs de detalle page/query/country por clics. No asignan las impresiones de esta consulta a cada página.</x:v>
      </x:c>
    </x:row>
    <x:row r="844" ht="28" customHeight="1">
      <x:c r="A844" s="4" t="n">
        <x:v>834</x:v>
      </x:c>
      <x:c r="B844" s="4" t="str">
        <x:v>requisitos para viajar a chile en avión</x:v>
      </x:c>
      <x:c r="C844" s="11" t="n">
        <x:v>2</x:v>
      </x:c>
      <x:c r="D844" s="11" t="n">
        <x:v>21</x:v>
      </x:c>
      <x:c r="E844" s="14" t="n">
        <x:v>0.09523809523809523</x:v>
      </x:c>
      <x:c r="F844" s="12" t="n">
        <x:v>6.476190476190476</x:v>
      </x:c>
      <x:c r="G844" s="4" t="str">
        <x:v>Sin marca literal</x:v>
      </x:c>
      <x:c r="H844" s="11"/>
      <x:c r="I844" s="11" t="str">
        <x:f>IF(H844="","",C844-H844)</x:f>
      </x:c>
      <x:c r="J844" s="4"/>
      <x:c r="K844" s="4" t="str">
        <x:v>URLs de detalle page/query/country por clics. No asignan las impresiones de esta consulta a cada página.</x:v>
      </x:c>
    </x:row>
    <x:row r="845" ht="28" customHeight="1">
      <x:c r="A845" s="4" t="n">
        <x:v>835</x:v>
      </x:c>
      <x:c r="B845" s="4" t="str">
        <x:v>sky plus maleta gratis</x:v>
      </x:c>
      <x:c r="C845" s="11" t="n">
        <x:v>2</x:v>
      </x:c>
      <x:c r="D845" s="11" t="n">
        <x:v>21</x:v>
      </x:c>
      <x:c r="E845" s="14" t="n">
        <x:v>0.09523809523809523</x:v>
      </x:c>
      <x:c r="F845" s="12" t="n">
        <x:v>6.619047619047619</x:v>
      </x:c>
      <x:c r="G845" s="4" t="str">
        <x:v>Sin marca literal</x:v>
      </x:c>
      <x:c r="H845" s="11"/>
      <x:c r="I845" s="11" t="str">
        <x:f>IF(H845="","",C845-H845)</x:f>
      </x:c>
      <x:c r="J845" s="4"/>
      <x:c r="K845" s="4" t="str">
        <x:v>URLs de detalle page/query/country por clics. No asignan las impresiones de esta consulta a cada página.</x:v>
      </x:c>
    </x:row>
    <x:row r="846" ht="28" customHeight="1">
      <x:c r="A846" s="4" t="n">
        <x:v>836</x:v>
      </x:c>
      <x:c r="B846" s="4" t="str">
        <x:v>sky airline carry on size</x:v>
      </x:c>
      <x:c r="C846" s="11" t="n">
        <x:v>2</x:v>
      </x:c>
      <x:c r="D846" s="11" t="n">
        <x:v>20</x:v>
      </x:c>
      <x:c r="E846" s="14" t="n">
        <x:v>0.1</x:v>
      </x:c>
      <x:c r="F846" s="12" t="n">
        <x:v>4.25</x:v>
      </x:c>
      <x:c r="G846" s="4" t="str">
        <x:v>Sin marca literal</x:v>
      </x:c>
      <x:c r="H846" s="11"/>
      <x:c r="I846" s="11" t="str">
        <x:f>IF(H846="","",C846-H846)</x:f>
      </x:c>
      <x:c r="J846" s="4"/>
      <x:c r="K846" s="4" t="str">
        <x:v>URLs de detalle page/query/country por clics. No asignan las impresiones de esta consulta a cada página.</x:v>
      </x:c>
    </x:row>
    <x:row r="847" ht="28" customHeight="1">
      <x:c r="A847" s="4" t="n">
        <x:v>837</x:v>
      </x:c>
      <x:c r="B847" s="4" t="str">
        <x:v>como es el clima en el sur de chile</x:v>
      </x:c>
      <x:c r="C847" s="11" t="n">
        <x:v>2</x:v>
      </x:c>
      <x:c r="D847" s="11" t="n">
        <x:v>19</x:v>
      </x:c>
      <x:c r="E847" s="14" t="n">
        <x:v>0.10526315789473684</x:v>
      </x:c>
      <x:c r="F847" s="12" t="n">
        <x:v>3.3684210526315788</x:v>
      </x:c>
      <x:c r="G847" s="4" t="str">
        <x:v>Sin marca literal</x:v>
      </x:c>
      <x:c r="H847" s="11"/>
      <x:c r="I847" s="11" t="str">
        <x:f>IF(H847="","",C847-H847)</x:f>
      </x:c>
      <x:c r="J847" s="4"/>
      <x:c r="K847" s="4" t="str">
        <x:v>URLs de detalle page/query/country por clics. No asignan las impresiones de esta consulta a cada página.</x:v>
      </x:c>
    </x:row>
    <x:row r="848" ht="28" customHeight="1">
      <x:c r="A848" s="4" t="n">
        <x:v>838</x:v>
      </x:c>
      <x:c r="B848" s="4" t="str">
        <x:v>que hay cerca de rio de janeiro</x:v>
      </x:c>
      <x:c r="C848" s="11" t="n">
        <x:v>2</x:v>
      </x:c>
      <x:c r="D848" s="11" t="n">
        <x:v>19</x:v>
      </x:c>
      <x:c r="E848" s="14" t="n">
        <x:v>0.10526315789473684</x:v>
      </x:c>
      <x:c r="F848" s="12" t="n">
        <x:v>4.473684210526316</x:v>
      </x:c>
      <x:c r="G848" s="4" t="str">
        <x:v>Sin marca literal</x:v>
      </x:c>
      <x:c r="H848" s="11"/>
      <x:c r="I848" s="11" t="str">
        <x:f>IF(H848="","",C848-H848)</x:f>
      </x:c>
      <x:c r="J848" s="4"/>
      <x:c r="K848" s="4" t="str">
        <x:v>URLs de detalle page/query/country por clics. No asignan las impresiones de esta consulta a cada página.</x:v>
      </x:c>
    </x:row>
    <x:row r="849" ht="28" customHeight="1">
      <x:c r="A849" s="4" t="n">
        <x:v>839</x:v>
      </x:c>
      <x:c r="B849" s="4" t="str">
        <x:v>que se puede comprar en chile</x:v>
      </x:c>
      <x:c r="C849" s="11" t="n">
        <x:v>2</x:v>
      </x:c>
      <x:c r="D849" s="11" t="n">
        <x:v>19</x:v>
      </x:c>
      <x:c r="E849" s="14" t="n">
        <x:v>0.10526315789473684</x:v>
      </x:c>
      <x:c r="F849" s="12" t="n">
        <x:v>3.736842105263158</x:v>
      </x:c>
      <x:c r="G849" s="4" t="str">
        <x:v>Sin marca literal</x:v>
      </x:c>
      <x:c r="H849" s="11"/>
      <x:c r="I849" s="11" t="str">
        <x:f>IF(H849="","",C849-H849)</x:f>
      </x:c>
      <x:c r="J849" s="4"/>
      <x:c r="K849" s="4" t="str">
        <x:v>URLs de detalle page/query/country por clics. No asignan las impresiones de esta consulta a cada página.</x:v>
      </x:c>
    </x:row>
    <x:row r="850" ht="28" customHeight="1">
      <x:c r="A850" s="4" t="n">
        <x:v>840</x:v>
      </x:c>
      <x:c r="B850" s="4" t="str">
        <x:v>sky airline empleos</x:v>
      </x:c>
      <x:c r="C850" s="11" t="n">
        <x:v>2</x:v>
      </x:c>
      <x:c r="D850" s="11" t="n">
        <x:v>19</x:v>
      </x:c>
      <x:c r="E850" s="14" t="n">
        <x:v>0.10526315789473684</x:v>
      </x:c>
      <x:c r="F850" s="12" t="n">
        <x:v>5.2105263157894735</x:v>
      </x:c>
      <x:c r="G850" s="4" t="str">
        <x:v>Sin marca literal</x:v>
      </x:c>
      <x:c r="H850" s="11"/>
      <x:c r="I850" s="11" t="str">
        <x:f>IF(H850="","",C850-H850)</x:f>
      </x:c>
      <x:c r="J850" s="4"/>
      <x:c r="K850" s="4" t="str">
        <x:v>URLs de detalle page/query/country por clics. No asignan las impresiones de esta consulta a cada página.</x:v>
      </x:c>
    </x:row>
    <x:row r="851" ht="28" customHeight="1">
      <x:c r="A851" s="4" t="n">
        <x:v>841</x:v>
      </x:c>
      <x:c r="B851" s="4" t="str">
        <x:v>tripulante de cabina trabajo sky</x:v>
      </x:c>
      <x:c r="C851" s="11" t="n">
        <x:v>2</x:v>
      </x:c>
      <x:c r="D851" s="11" t="n">
        <x:v>19</x:v>
      </x:c>
      <x:c r="E851" s="14" t="n">
        <x:v>0.10526315789473684</x:v>
      </x:c>
      <x:c r="F851" s="12" t="n">
        <x:v>4.578947368421053</x:v>
      </x:c>
      <x:c r="G851" s="4" t="str">
        <x:v>Sin marca literal</x:v>
      </x:c>
      <x:c r="H851" s="11"/>
      <x:c r="I851" s="11" t="str">
        <x:f>IF(H851="","",C851-H851)</x:f>
      </x:c>
      <x:c r="J851" s="4"/>
      <x:c r="K851" s="4" t="str">
        <x:v>URLs de detalle page/query/country por clics. No asignan las impresiones de esta consulta a cada página.</x:v>
      </x:c>
    </x:row>
    <x:row r="852" ht="28" customHeight="1">
      <x:c r="A852" s="4" t="n">
        <x:v>842</x:v>
      </x:c>
      <x:c r="B852" s="4" t="str">
        <x:v>400 puntos sky plus</x:v>
      </x:c>
      <x:c r="C852" s="11" t="n">
        <x:v>2</x:v>
      </x:c>
      <x:c r="D852" s="11" t="n">
        <x:v>18</x:v>
      </x:c>
      <x:c r="E852" s="14" t="n">
        <x:v>0.1111111111111111</x:v>
      </x:c>
      <x:c r="F852" s="12" t="n">
        <x:v>5.055555555555555</x:v>
      </x:c>
      <x:c r="G852" s="4" t="str">
        <x:v>Sin marca literal</x:v>
      </x:c>
      <x:c r="H852" s="11"/>
      <x:c r="I852" s="11" t="str">
        <x:f>IF(H852="","",C852-H852)</x:f>
      </x:c>
      <x:c r="J852" s="4"/>
      <x:c r="K852" s="4" t="str">
        <x:v>URLs de detalle page/query/country por clics. No asignan las impresiones de esta consulta a cada página.</x:v>
      </x:c>
    </x:row>
    <x:row r="853" ht="28" customHeight="1">
      <x:c r="A853" s="4" t="n">
        <x:v>843</x:v>
      </x:c>
      <x:c r="B853" s="4" t="str">
        <x:v>como canjear puntos sky plus por pasajes</x:v>
      </x:c>
      <x:c r="C853" s="11" t="n">
        <x:v>2</x:v>
      </x:c>
      <x:c r="D853" s="11" t="n">
        <x:v>18</x:v>
      </x:c>
      <x:c r="E853" s="14" t="n">
        <x:v>0.1111111111111111</x:v>
      </x:c>
      <x:c r="F853" s="12" t="n">
        <x:v>3.3333333333333335</x:v>
      </x:c>
      <x:c r="G853" s="4" t="str">
        <x:v>Sin marca literal</x:v>
      </x:c>
      <x:c r="H853" s="11"/>
      <x:c r="I853" s="11" t="str">
        <x:f>IF(H853="","",C853-H853)</x:f>
      </x:c>
      <x:c r="J853" s="4"/>
      <x:c r="K853" s="4" t="str">
        <x:v>URLs de detalle page/query/country por clics. No asignan las impresiones de esta consulta a cada página.</x:v>
      </x:c>
    </x:row>
    <x:row r="854" ht="28" customHeight="1">
      <x:c r="A854" s="4" t="n">
        <x:v>844</x:v>
      </x:c>
      <x:c r="B854" s="4" t="str">
        <x:v>escuela tripulante de cabina</x:v>
      </x:c>
      <x:c r="C854" s="11" t="n">
        <x:v>2</x:v>
      </x:c>
      <x:c r="D854" s="11" t="n">
        <x:v>18</x:v>
      </x:c>
      <x:c r="E854" s="14" t="n">
        <x:v>0.1111111111111111</x:v>
      </x:c>
      <x:c r="F854" s="12" t="n">
        <x:v>7.888888888888889</x:v>
      </x:c>
      <x:c r="G854" s="4" t="str">
        <x:v>Sin marca literal</x:v>
      </x:c>
      <x:c r="H854" s="11"/>
      <x:c r="I854" s="11" t="str">
        <x:f>IF(H854="","",C854-H854)</x:f>
      </x:c>
      <x:c r="J854" s="4"/>
      <x:c r="K854" s="4" t="str">
        <x:v>URLs de detalle page/query/country por clics. No asignan las impresiones de esta consulta a cada página.</x:v>
      </x:c>
    </x:row>
    <x:row r="855" ht="28" customHeight="1">
      <x:c r="A855" s="4" t="n">
        <x:v>845</x:v>
      </x:c>
      <x:c r="B855" s="4" t="str">
        <x:v>medidas para bolso de mano en avion</x:v>
      </x:c>
      <x:c r="C855" s="11" t="n">
        <x:v>2</x:v>
      </x:c>
      <x:c r="D855" s="11" t="n">
        <x:v>18</x:v>
      </x:c>
      <x:c r="E855" s="14" t="n">
        <x:v>0.1111111111111111</x:v>
      </x:c>
      <x:c r="F855" s="12" t="n">
        <x:v>7.833333333333333</x:v>
      </x:c>
      <x:c r="G855" s="4" t="str">
        <x:v>Sin marca literal</x:v>
      </x:c>
      <x:c r="H855" s="11"/>
      <x:c r="I855" s="11" t="str">
        <x:f>IF(H855="","",C855-H855)</x:f>
      </x:c>
      <x:c r="J855" s="4"/>
      <x:c r="K855" s="4" t="str">
        <x:v>URLs de detalle page/query/country por clics. No asignan las impresiones de esta consulta a cada página.</x:v>
      </x:c>
    </x:row>
    <x:row r="856" ht="28" customHeight="1">
      <x:c r="A856" s="4" t="n">
        <x:v>846</x:v>
      </x:c>
      <x:c r="B856" s="4" t="str">
        <x:v>niños pagan pasaje en avion</x:v>
      </x:c>
      <x:c r="C856" s="11" t="n">
        <x:v>2</x:v>
      </x:c>
      <x:c r="D856" s="11" t="n">
        <x:v>18</x:v>
      </x:c>
      <x:c r="E856" s="14" t="n">
        <x:v>0.1111111111111111</x:v>
      </x:c>
      <x:c r="F856" s="12" t="n">
        <x:v>3.388888888888889</x:v>
      </x:c>
      <x:c r="G856" s="4" t="str">
        <x:v>Sin marca literal</x:v>
      </x:c>
      <x:c r="H856" s="11"/>
      <x:c r="I856" s="11" t="str">
        <x:f>IF(H856="","",C856-H856)</x:f>
      </x:c>
      <x:c r="J856" s="4"/>
      <x:c r="K856" s="4" t="str">
        <x:v>URLs de detalle page/query/country por clics. No asignan las impresiones de esta consulta a cada página.</x:v>
      </x:c>
    </x:row>
    <x:row r="857" ht="28" customHeight="1">
      <x:c r="A857" s="4" t="n">
        <x:v>847</x:v>
      </x:c>
      <x:c r="B857" s="4" t="str">
        <x:v>portugues basico para viajar a brasil</x:v>
      </x:c>
      <x:c r="C857" s="11" t="n">
        <x:v>2</x:v>
      </x:c>
      <x:c r="D857" s="11" t="n">
        <x:v>18</x:v>
      </x:c>
      <x:c r="E857" s="14" t="n">
        <x:v>0.1111111111111111</x:v>
      </x:c>
      <x:c r="F857" s="12" t="n">
        <x:v>3.2222222222222223</x:v>
      </x:c>
      <x:c r="G857" s="4" t="str">
        <x:v>Sin marca literal</x:v>
      </x:c>
      <x:c r="H857" s="11"/>
      <x:c r="I857" s="11" t="str">
        <x:f>IF(H857="","",C857-H857)</x:f>
      </x:c>
      <x:c r="J857" s="4"/>
      <x:c r="K857" s="4" t="str">
        <x:v>URLs de detalle page/query/country por clics. No asignan las impresiones de esta consulta a cada página.</x:v>
      </x:c>
    </x:row>
    <x:row r="858" ht="28" customHeight="1">
      <x:c r="A858" s="4" t="n">
        <x:v>848</x:v>
      </x:c>
      <x:c r="B858" s="4" t="str">
        <x:v>sky airline aviones</x:v>
      </x:c>
      <x:c r="C858" s="11" t="n">
        <x:v>2</x:v>
      </x:c>
      <x:c r="D858" s="11" t="n">
        <x:v>18</x:v>
      </x:c>
      <x:c r="E858" s="14" t="n">
        <x:v>0.1111111111111111</x:v>
      </x:c>
      <x:c r="F858" s="12" t="n">
        <x:v>4.055555555555555</x:v>
      </x:c>
      <x:c r="G858" s="4" t="str">
        <x:v>Sin marca literal</x:v>
      </x:c>
      <x:c r="H858" s="11"/>
      <x:c r="I858" s="11" t="str">
        <x:f>IF(H858="","",C858-H858)</x:f>
      </x:c>
      <x:c r="J858" s="4"/>
      <x:c r="K858" s="4" t="str">
        <x:v>URLs de detalle page/query/country por clics. No asignan las impresiones de esta consulta a cada página.</x:v>
      </x:c>
    </x:row>
    <x:row r="859" ht="28" customHeight="1">
      <x:c r="A859" s="4" t="n">
        <x:v>849</x:v>
      </x:c>
      <x:c r="B859" s="4" t="str">
        <x:v>sur de argentina lugares para visitar</x:v>
      </x:c>
      <x:c r="C859" s="11" t="n">
        <x:v>2</x:v>
      </x:c>
      <x:c r="D859" s="11" t="n">
        <x:v>18</x:v>
      </x:c>
      <x:c r="E859" s="14" t="n">
        <x:v>0.1111111111111111</x:v>
      </x:c>
      <x:c r="F859" s="12" t="n">
        <x:v>4.166666666666666</x:v>
      </x:c>
      <x:c r="G859" s="4" t="str">
        <x:v>Sin marca literal</x:v>
      </x:c>
      <x:c r="H859" s="11"/>
      <x:c r="I859" s="11" t="str">
        <x:f>IF(H859="","",C859-H859)</x:f>
      </x:c>
      <x:c r="J859" s="4"/>
      <x:c r="K859" s="4" t="str">
        <x:v>URLs de detalle page/query/country por clics. No asignan las impresiones de esta consulta a cada página.</x:v>
      </x:c>
    </x:row>
    <x:row r="860" ht="28" customHeight="1">
      <x:c r="A860" s="4" t="n">
        <x:v>850</x:v>
      </x:c>
      <x:c r="B860" s="4" t="str">
        <x:v>ciudades cerca a rio de janeiro</x:v>
      </x:c>
      <x:c r="C860" s="11" t="n">
        <x:v>2</x:v>
      </x:c>
      <x:c r="D860" s="11" t="n">
        <x:v>17</x:v>
      </x:c>
      <x:c r="E860" s="14" t="n">
        <x:v>0.11764705882352941</x:v>
      </x:c>
      <x:c r="F860" s="12" t="n">
        <x:v>2.7058823529411766</x:v>
      </x:c>
      <x:c r="G860" s="4" t="str">
        <x:v>Sin marca literal</x:v>
      </x:c>
      <x:c r="H860" s="11"/>
      <x:c r="I860" s="11" t="str">
        <x:f>IF(H860="","",C860-H860)</x:f>
      </x:c>
      <x:c r="J860" s="4"/>
      <x:c r="K860" s="4" t="str">
        <x:v>URLs de detalle page/query/country por clics. No asignan las impresiones de esta consulta a cada página.</x:v>
      </x:c>
    </x:row>
    <x:row r="861" ht="28" customHeight="1">
      <x:c r="A861" s="4" t="n">
        <x:v>851</x:v>
      </x:c>
      <x:c r="B861" s="4" t="str">
        <x:v>cursos de tripulante de cabina</x:v>
      </x:c>
      <x:c r="C861" s="11" t="n">
        <x:v>2</x:v>
      </x:c>
      <x:c r="D861" s="11" t="n">
        <x:v>17</x:v>
      </x:c>
      <x:c r="E861" s="14" t="n">
        <x:v>0.11764705882352941</x:v>
      </x:c>
      <x:c r="F861" s="12" t="n">
        <x:v>5.411764705882353</x:v>
      </x:c>
      <x:c r="G861" s="4" t="str">
        <x:v>Sin marca literal</x:v>
      </x:c>
      <x:c r="H861" s="11"/>
      <x:c r="I861" s="11" t="str">
        <x:f>IF(H861="","",C861-H861)</x:f>
      </x:c>
      <x:c r="J861" s="4"/>
      <x:c r="K861" s="4" t="str">
        <x:v>URLs de detalle page/query/country por clics. No asignan las impresiones de esta consulta a cada página.</x:v>
      </x:c>
    </x:row>
    <x:row r="862" ht="28" customHeight="1">
      <x:c r="A862" s="4" t="n">
        <x:v>852</x:v>
      </x:c>
      <x:c r="B862" s="4" t="str">
        <x:v>equipaje de mano de sky airlines</x:v>
      </x:c>
      <x:c r="C862" s="11" t="n">
        <x:v>2</x:v>
      </x:c>
      <x:c r="D862" s="11" t="n">
        <x:v>17</x:v>
      </x:c>
      <x:c r="E862" s="14" t="n">
        <x:v>0.11764705882352941</x:v>
      </x:c>
      <x:c r="F862" s="12" t="n">
        <x:v>4.117647058823529</x:v>
      </x:c>
      <x:c r="G862" s="4" t="str">
        <x:v>Sin marca literal</x:v>
      </x:c>
      <x:c r="H862" s="11"/>
      <x:c r="I862" s="11" t="str">
        <x:f>IF(H862="","",C862-H862)</x:f>
      </x:c>
      <x:c r="J862" s="4"/>
      <x:c r="K862" s="4" t="str">
        <x:v>URLs de detalle page/query/country por clics. No asignan las impresiones de esta consulta a cada página.</x:v>
      </x:c>
    </x:row>
    <x:row r="863" ht="28" customHeight="1">
      <x:c r="A863" s="4" t="n">
        <x:v>853</x:v>
      </x:c>
      <x:c r="B863" s="4" t="str">
        <x:v>niño de 3 años paga pasaje en avion</x:v>
      </x:c>
      <x:c r="C863" s="11" t="n">
        <x:v>2</x:v>
      </x:c>
      <x:c r="D863" s="11" t="n">
        <x:v>17</x:v>
      </x:c>
      <x:c r="E863" s="14" t="n">
        <x:v>0.11764705882352941</x:v>
      </x:c>
      <x:c r="F863" s="12" t="n">
        <x:v>2.4705882352941178</x:v>
      </x:c>
      <x:c r="G863" s="4" t="str">
        <x:v>Sin marca literal</x:v>
      </x:c>
      <x:c r="H863" s="11"/>
      <x:c r="I863" s="11" t="str">
        <x:f>IF(H863="","",C863-H863)</x:f>
      </x:c>
      <x:c r="J863" s="4"/>
      <x:c r="K863" s="4" t="str">
        <x:v>URLs de detalle page/query/country por clics. No asignan las impresiones de esta consulta a cada página.</x:v>
      </x:c>
    </x:row>
    <x:row r="864" ht="28" customHeight="1">
      <x:c r="A864" s="4" t="n">
        <x:v>854</x:v>
      </x:c>
      <x:c r="B864" s="4" t="str">
        <x:v>rios mas importantes de chile</x:v>
      </x:c>
      <x:c r="C864" s="11" t="n">
        <x:v>2</x:v>
      </x:c>
      <x:c r="D864" s="11" t="n">
        <x:v>17</x:v>
      </x:c>
      <x:c r="E864" s="14" t="n">
        <x:v>0.11764705882352941</x:v>
      </x:c>
      <x:c r="F864" s="12" t="n">
        <x:v>5.588235294117647</x:v>
      </x:c>
      <x:c r="G864" s="4" t="str">
        <x:v>Sin marca literal</x:v>
      </x:c>
      <x:c r="H864" s="11"/>
      <x:c r="I864" s="11" t="str">
        <x:f>IF(H864="","",C864-H864)</x:f>
      </x:c>
      <x:c r="J864" s="4"/>
      <x:c r="K864" s="4" t="str">
        <x:v>URLs de detalle page/query/country por clics. No asignan las impresiones de esta consulta a cada página.</x:v>
      </x:c>
    </x:row>
    <x:row r="865" ht="28" customHeight="1">
      <x:c r="A865" s="4" t="n">
        <x:v>855</x:v>
      </x:c>
      <x:c r="B865" s="4" t="str">
        <x:v>sky suscripción</x:v>
      </x:c>
      <x:c r="C865" s="11" t="n">
        <x:v>2</x:v>
      </x:c>
      <x:c r="D865" s="11" t="n">
        <x:v>17</x:v>
      </x:c>
      <x:c r="E865" s="14" t="n">
        <x:v>0.11764705882352941</x:v>
      </x:c>
      <x:c r="F865" s="12" t="n">
        <x:v>7.235294117647059</x:v>
      </x:c>
      <x:c r="G865" s="4" t="str">
        <x:v>Sin marca literal</x:v>
      </x:c>
      <x:c r="H865" s="11"/>
      <x:c r="I865" s="11" t="str">
        <x:f>IF(H865="","",C865-H865)</x:f>
      </x:c>
      <x:c r="J865" s="4"/>
      <x:c r="K865" s="4" t="str">
        <x:v>URLs de detalle page/query/country por clics. No asignan las impresiones de esta consulta a cada página.</x:v>
      </x:c>
    </x:row>
    <x:row r="866" ht="28" customHeight="1">
      <x:c r="A866" s="4" t="n">
        <x:v>856</x:v>
      </x:c>
      <x:c r="B866" s="4" t="str">
        <x:v>blog sky</x:v>
      </x:c>
      <x:c r="C866" s="11" t="n">
        <x:v>2</x:v>
      </x:c>
      <x:c r="D866" s="11" t="n">
        <x:v>16</x:v>
      </x:c>
      <x:c r="E866" s="14" t="n">
        <x:v>0.125</x:v>
      </x:c>
      <x:c r="F866" s="12" t="n">
        <x:v>2.625</x:v>
      </x:c>
      <x:c r="G866" s="4" t="str">
        <x:v>Sin marca literal</x:v>
      </x:c>
      <x:c r="H866" s="11"/>
      <x:c r="I866" s="11" t="str">
        <x:f>IF(H866="","",C866-H866)</x:f>
      </x:c>
      <x:c r="J866" s="4"/>
      <x:c r="K866" s="4" t="str">
        <x:v>URLs de detalle page/query/country por clics. No asignan las impresiones de esta consulta a cada página.</x:v>
      </x:c>
    </x:row>
    <x:row r="867" ht="28" customHeight="1">
      <x:c r="A867" s="4" t="n">
        <x:v>857</x:v>
      </x:c>
      <x:c r="B867" s="4" t="str">
        <x:v>frascos permitidos en avion</x:v>
      </x:c>
      <x:c r="C867" s="11" t="n">
        <x:v>2</x:v>
      </x:c>
      <x:c r="D867" s="11" t="n">
        <x:v>16</x:v>
      </x:c>
      <x:c r="E867" s="14" t="n">
        <x:v>0.125</x:v>
      </x:c>
      <x:c r="F867" s="12" t="n">
        <x:v>9.1875</x:v>
      </x:c>
      <x:c r="G867" s="4" t="str">
        <x:v>Sin marca literal</x:v>
      </x:c>
      <x:c r="H867" s="11"/>
      <x:c r="I867" s="11" t="str">
        <x:f>IF(H867="","",C867-H867)</x:f>
      </x:c>
      <x:c r="J867" s="4"/>
      <x:c r="K867" s="4" t="str">
        <x:v>URLs de detalle page/query/country por clics. No asignan las impresiones de esta consulta a cada página.</x:v>
      </x:c>
    </x:row>
    <x:row r="868" ht="28" customHeight="1">
      <x:c r="A868" s="4" t="n">
        <x:v>858</x:v>
      </x:c>
      <x:c r="B868" s="4" t="str">
        <x:v>panoramas santiago niños</x:v>
      </x:c>
      <x:c r="C868" s="11" t="n">
        <x:v>2</x:v>
      </x:c>
      <x:c r="D868" s="11" t="n">
        <x:v>16</x:v>
      </x:c>
      <x:c r="E868" s="14" t="n">
        <x:v>0.125</x:v>
      </x:c>
      <x:c r="F868" s="12" t="n">
        <x:v>9.3125</x:v>
      </x:c>
      <x:c r="G868" s="4" t="str">
        <x:v>Sin marca literal</x:v>
      </x:c>
      <x:c r="H868" s="11"/>
      <x:c r="I868" s="11" t="str">
        <x:f>IF(H868="","",C868-H868)</x:f>
      </x:c>
      <x:c r="J868" s="4"/>
      <x:c r="K868" s="4" t="str">
        <x:v>URLs de detalle page/query/country por clics. No asignan las impresiones de esta consulta a cada página.</x:v>
      </x:c>
    </x:row>
    <x:row r="869" ht="28" customHeight="1">
      <x:c r="A869" s="4" t="n">
        <x:v>859</x:v>
      </x:c>
      <x:c r="B869" s="4" t="str">
        <x:v>platos de lima peru</x:v>
      </x:c>
      <x:c r="C869" s="11" t="n">
        <x:v>2</x:v>
      </x:c>
      <x:c r="D869" s="11" t="n">
        <x:v>16</x:v>
      </x:c>
      <x:c r="E869" s="14" t="n">
        <x:v>0.125</x:v>
      </x:c>
      <x:c r="F869" s="12" t="n">
        <x:v>2.75</x:v>
      </x:c>
      <x:c r="G869" s="4" t="str">
        <x:v>Sin marca literal</x:v>
      </x:c>
      <x:c r="H869" s="11"/>
      <x:c r="I869" s="11" t="str">
        <x:f>IF(H869="","",C869-H869)</x:f>
      </x:c>
      <x:c r="J869" s="4"/>
      <x:c r="K869" s="4" t="str">
        <x:v>URLs de detalle page/query/country por clics. No asignan las impresiones de esta consulta a cada página.</x:v>
      </x:c>
    </x:row>
    <x:row r="870" ht="28" customHeight="1">
      <x:c r="A870" s="4" t="n">
        <x:v>860</x:v>
      </x:c>
      <x:c r="B870" s="4" t="str">
        <x:v>requisitos azafata</x:v>
      </x:c>
      <x:c r="C870" s="11" t="n">
        <x:v>2</x:v>
      </x:c>
      <x:c r="D870" s="11" t="n">
        <x:v>16</x:v>
      </x:c>
      <x:c r="E870" s="14" t="n">
        <x:v>0.125</x:v>
      </x:c>
      <x:c r="F870" s="12" t="n">
        <x:v>4.6875</x:v>
      </x:c>
      <x:c r="G870" s="4" t="str">
        <x:v>Sin marca literal</x:v>
      </x:c>
      <x:c r="H870" s="11"/>
      <x:c r="I870" s="11" t="str">
        <x:f>IF(H870="","",C870-H870)</x:f>
      </x:c>
      <x:c r="J870" s="4"/>
      <x:c r="K870" s="4" t="str">
        <x:v>URLs de detalle page/query/country por clics. No asignan las impresiones de esta consulta a cada página.</x:v>
      </x:c>
    </x:row>
    <x:row r="871" ht="28" customHeight="1">
      <x:c r="A871" s="4" t="n">
        <x:v>861</x:v>
      </x:c>
      <x:c r="B871" s="4" t="str">
        <x:v>billetera sky como funciona</x:v>
      </x:c>
      <x:c r="C871" s="11" t="n">
        <x:v>2</x:v>
      </x:c>
      <x:c r="D871" s="11" t="n">
        <x:v>15</x:v>
      </x:c>
      <x:c r="E871" s="14" t="n">
        <x:v>0.13333333333333333</x:v>
      </x:c>
      <x:c r="F871" s="12" t="n">
        <x:v>1.2666666666666666</x:v>
      </x:c>
      <x:c r="G871" s="4" t="str">
        <x:v>Sin marca literal</x:v>
      </x:c>
      <x:c r="H871" s="11"/>
      <x:c r="I871" s="11" t="str">
        <x:f>IF(H871="","",C871-H871)</x:f>
      </x:c>
      <x:c r="J871" s="4"/>
      <x:c r="K871" s="4" t="str">
        <x:v>URLs de detalle page/query/country por clics. No asignan las impresiones de esta consulta a cada página.</x:v>
      </x:c>
    </x:row>
    <x:row r="872" ht="28" customHeight="1">
      <x:c r="A872" s="4" t="n">
        <x:v>862</x:v>
      </x:c>
      <x:c r="B872" s="4" t="str">
        <x:v>en cabina</x:v>
      </x:c>
      <x:c r="C872" s="11" t="n">
        <x:v>2</x:v>
      </x:c>
      <x:c r="D872" s="11" t="n">
        <x:v>15</x:v>
      </x:c>
      <x:c r="E872" s="14" t="n">
        <x:v>0.13333333333333333</x:v>
      </x:c>
      <x:c r="F872" s="12" t="n">
        <x:v>1.9333333333333333</x:v>
      </x:c>
      <x:c r="G872" s="4" t="str">
        <x:v>Sin marca literal</x:v>
      </x:c>
      <x:c r="H872" s="11"/>
      <x:c r="I872" s="11" t="str">
        <x:f>IF(H872="","",C872-H872)</x:f>
      </x:c>
      <x:c r="J872" s="4"/>
      <x:c r="K872" s="4" t="str">
        <x:v>URLs de detalle page/query/country por clics. No asignan las impresiones de esta consulta a cada página.</x:v>
      </x:c>
    </x:row>
    <x:row r="873" ht="28" customHeight="1">
      <x:c r="A873" s="4" t="n">
        <x:v>863</x:v>
      </x:c>
      <x:c r="B873" s="4" t="str">
        <x:v>iquique</x:v>
      </x:c>
      <x:c r="C873" s="11" t="n">
        <x:v>2</x:v>
      </x:c>
      <x:c r="D873" s="11" t="n">
        <x:v>15</x:v>
      </x:c>
      <x:c r="E873" s="14" t="n">
        <x:v>0.13333333333333333</x:v>
      </x:c>
      <x:c r="F873" s="12" t="n">
        <x:v>8.133333333333333</x:v>
      </x:c>
      <x:c r="G873" s="4" t="str">
        <x:v>Sin marca literal</x:v>
      </x:c>
      <x:c r="H873" s="11"/>
      <x:c r="I873" s="11" t="str">
        <x:f>IF(H873="","",C873-H873)</x:f>
      </x:c>
      <x:c r="J873" s="4"/>
      <x:c r="K873" s="4" t="str">
        <x:v>URLs de detalle page/query/country por clics. No asignan las impresiones de esta consulta a cada página.</x:v>
      </x:c>
    </x:row>
    <x:row r="874" ht="28" customHeight="1">
      <x:c r="A874" s="4" t="n">
        <x:v>864</x:v>
      </x:c>
      <x:c r="B874" s="4" t="str">
        <x:v>lugar cerca de rio de janeiro</x:v>
      </x:c>
      <x:c r="C874" s="11" t="n">
        <x:v>2</x:v>
      </x:c>
      <x:c r="D874" s="11" t="n">
        <x:v>15</x:v>
      </x:c>
      <x:c r="E874" s="14" t="n">
        <x:v>0.13333333333333333</x:v>
      </x:c>
      <x:c r="F874" s="12" t="n">
        <x:v>6.2</x:v>
      </x:c>
      <x:c r="G874" s="4" t="str">
        <x:v>Sin marca literal</x:v>
      </x:c>
      <x:c r="H874" s="11"/>
      <x:c r="I874" s="11" t="str">
        <x:f>IF(H874="","",C874-H874)</x:f>
      </x:c>
      <x:c r="J874" s="4"/>
      <x:c r="K874" s="4" t="str">
        <x:v>URLs de detalle page/query/country por clics. No asignan las impresiones de esta consulta a cada página.</x:v>
      </x:c>
    </x:row>
    <x:row r="875" ht="28" customHeight="1">
      <x:c r="A875" s="4" t="n">
        <x:v>865</x:v>
      </x:c>
      <x:c r="B875" s="4" t="str">
        <x:v>lugares del sur para conocer</x:v>
      </x:c>
      <x:c r="C875" s="11" t="n">
        <x:v>2</x:v>
      </x:c>
      <x:c r="D875" s="11" t="n">
        <x:v>15</x:v>
      </x:c>
      <x:c r="E875" s="14" t="n">
        <x:v>0.13333333333333333</x:v>
      </x:c>
      <x:c r="F875" s="12" t="n">
        <x:v>4.6</x:v>
      </x:c>
      <x:c r="G875" s="4" t="str">
        <x:v>Sin marca literal</x:v>
      </x:c>
      <x:c r="H875" s="11"/>
      <x:c r="I875" s="11" t="str">
        <x:f>IF(H875="","",C875-H875)</x:f>
      </x:c>
      <x:c r="J875" s="4"/>
      <x:c r="K875" s="4" t="str">
        <x:v>URLs de detalle page/query/country por clics. No asignan las impresiones de esta consulta a cada página.</x:v>
      </x:c>
    </x:row>
    <x:row r="876" ht="28" customHeight="1">
      <x:c r="A876" s="4" t="n">
        <x:v>866</x:v>
      </x:c>
      <x:c r="B876" s="4" t="str">
        <x:v>sky jobs</x:v>
      </x:c>
      <x:c r="C876" s="11" t="n">
        <x:v>2</x:v>
      </x:c>
      <x:c r="D876" s="11" t="n">
        <x:v>15</x:v>
      </x:c>
      <x:c r="E876" s="14" t="n">
        <x:v>0.13333333333333333</x:v>
      </x:c>
      <x:c r="F876" s="12" t="n">
        <x:v>17.933333333333334</x:v>
      </x:c>
      <x:c r="G876" s="4" t="str">
        <x:v>Sin marca literal</x:v>
      </x:c>
      <x:c r="H876" s="11"/>
      <x:c r="I876" s="11" t="str">
        <x:f>IF(H876="","",C876-H876)</x:f>
      </x:c>
      <x:c r="J876" s="4"/>
      <x:c r="K876" s="4" t="str">
        <x:v>URLs de detalle page/query/country por clics. No asignan las impresiones de esta consulta a cada página.</x:v>
      </x:c>
    </x:row>
    <x:row r="877" ht="28" customHeight="1">
      <x:c r="A877" s="4" t="n">
        <x:v>867</x:v>
      </x:c>
      <x:c r="B877" s="4" t="str">
        <x:v>sky peru trabaja con nosotros</x:v>
      </x:c>
      <x:c r="C877" s="11" t="n">
        <x:v>2</x:v>
      </x:c>
      <x:c r="D877" s="11" t="n">
        <x:v>15</x:v>
      </x:c>
      <x:c r="E877" s="14" t="n">
        <x:v>0.13333333333333333</x:v>
      </x:c>
      <x:c r="F877" s="12" t="n">
        <x:v>8.133333333333333</x:v>
      </x:c>
      <x:c r="G877" s="4" t="str">
        <x:v>Sin marca literal</x:v>
      </x:c>
      <x:c r="H877" s="11"/>
      <x:c r="I877" s="11" t="str">
        <x:f>IF(H877="","",C877-H877)</x:f>
      </x:c>
      <x:c r="J877" s="4"/>
      <x:c r="K877" s="4" t="str">
        <x:v>URLs de detalle page/query/country por clics. No asignan las impresiones de esta consulta a cada página.</x:v>
      </x:c>
    </x:row>
    <x:row r="878" ht="28" customHeight="1">
      <x:c r="A878" s="4" t="n">
        <x:v>868</x:v>
      </x:c>
      <x:c r="B878" s="4" t="str">
        <x:v>cursos para tripulante de cabina</x:v>
      </x:c>
      <x:c r="C878" s="11" t="n">
        <x:v>2</x:v>
      </x:c>
      <x:c r="D878" s="11" t="n">
        <x:v>14</x:v>
      </x:c>
      <x:c r="E878" s="14" t="n">
        <x:v>0.14285714285714285</x:v>
      </x:c>
      <x:c r="F878" s="12" t="n">
        <x:v>6</x:v>
      </x:c>
      <x:c r="G878" s="4" t="str">
        <x:v>Sin marca literal</x:v>
      </x:c>
      <x:c r="H878" s="11"/>
      <x:c r="I878" s="11" t="str">
        <x:f>IF(H878="","",C878-H878)</x:f>
      </x:c>
      <x:c r="J878" s="4"/>
      <x:c r="K878" s="4" t="str">
        <x:v>URLs de detalle page/query/country por clics. No asignan las impresiones de esta consulta a cada página.</x:v>
      </x:c>
    </x:row>
    <x:row r="879" ht="28" customHeight="1">
      <x:c r="A879" s="4" t="n">
        <x:v>869</x:v>
      </x:c>
      <x:c r="B879" s="4" t="str">
        <x:v>canje puntos sky</x:v>
      </x:c>
      <x:c r="C879" s="11" t="n">
        <x:v>2</x:v>
      </x:c>
      <x:c r="D879" s="11" t="n">
        <x:v>13</x:v>
      </x:c>
      <x:c r="E879" s="14" t="n">
        <x:v>0.15384615384615385</x:v>
      </x:c>
      <x:c r="F879" s="12" t="n">
        <x:v>4.846153846153847</x:v>
      </x:c>
      <x:c r="G879" s="4" t="str">
        <x:v>Sin marca literal</x:v>
      </x:c>
      <x:c r="H879" s="11"/>
      <x:c r="I879" s="11" t="str">
        <x:f>IF(H879="","",C879-H879)</x:f>
      </x:c>
      <x:c r="J879" s="4"/>
      <x:c r="K879" s="4" t="str">
        <x:v>URLs de detalle page/query/country por clics. No asignan las impresiones de esta consulta a cada página.</x:v>
      </x:c>
    </x:row>
    <x:row r="880" ht="28" customHeight="1">
      <x:c r="A880" s="4" t="n">
        <x:v>870</x:v>
      </x:c>
      <x:c r="B880" s="4" t="str">
        <x:v>curso de auxiliar de vuelo</x:v>
      </x:c>
      <x:c r="C880" s="11" t="n">
        <x:v>2</x:v>
      </x:c>
      <x:c r="D880" s="11" t="n">
        <x:v>13</x:v>
      </x:c>
      <x:c r="E880" s="14" t="n">
        <x:v>0.15384615384615385</x:v>
      </x:c>
      <x:c r="F880" s="12" t="n">
        <x:v>7.3076923076923075</x:v>
      </x:c>
      <x:c r="G880" s="4" t="str">
        <x:v>Sin marca literal</x:v>
      </x:c>
      <x:c r="H880" s="11"/>
      <x:c r="I880" s="11" t="str">
        <x:f>IF(H880="","",C880-H880)</x:f>
      </x:c>
      <x:c r="J880" s="4"/>
      <x:c r="K880" s="4" t="str">
        <x:v>URLs de detalle page/query/country por clics. No asignan las impresiones de esta consulta a cada página.</x:v>
      </x:c>
    </x:row>
    <x:row r="881" ht="28" customHeight="1">
      <x:c r="A881" s="4" t="n">
        <x:v>871</x:v>
      </x:c>
      <x:c r="B881" s="4" t="str">
        <x:v>curso de azafata chile precio</x:v>
      </x:c>
      <x:c r="C881" s="11" t="n">
        <x:v>2</x:v>
      </x:c>
      <x:c r="D881" s="11" t="n">
        <x:v>13</x:v>
      </x:c>
      <x:c r="E881" s="14" t="n">
        <x:v>0.15384615384615385</x:v>
      </x:c>
      <x:c r="F881" s="12" t="n">
        <x:v>7.769230769230769</x:v>
      </x:c>
      <x:c r="G881" s="4" t="str">
        <x:v>Sin marca literal</x:v>
      </x:c>
      <x:c r="H881" s="11"/>
      <x:c r="I881" s="11" t="str">
        <x:f>IF(H881="","",C881-H881)</x:f>
      </x:c>
      <x:c r="J881" s="4"/>
      <x:c r="K881" s="4" t="str">
        <x:v>URLs de detalle page/query/country por clics. No asignan las impresiones de esta consulta a cada página.</x:v>
      </x:c>
    </x:row>
    <x:row r="882" ht="28" customHeight="1">
      <x:c r="A882" s="4" t="n">
        <x:v>872</x:v>
      </x:c>
      <x:c r="B882" s="4" t="str">
        <x:v>folclore en chile</x:v>
      </x:c>
      <x:c r="C882" s="11" t="n">
        <x:v>2</x:v>
      </x:c>
      <x:c r="D882" s="11" t="n">
        <x:v>13</x:v>
      </x:c>
      <x:c r="E882" s="14" t="n">
        <x:v>0.15384615384615385</x:v>
      </x:c>
      <x:c r="F882" s="12" t="n">
        <x:v>7.6923076923076925</x:v>
      </x:c>
      <x:c r="G882" s="4" t="str">
        <x:v>Sin marca literal</x:v>
      </x:c>
      <x:c r="H882" s="11"/>
      <x:c r="I882" s="11" t="str">
        <x:f>IF(H882="","",C882-H882)</x:f>
      </x:c>
      <x:c r="J882" s="4"/>
      <x:c r="K882" s="4" t="str">
        <x:v>URLs de detalle page/query/country por clics. No asignan las impresiones de esta consulta a cada página.</x:v>
      </x:c>
    </x:row>
    <x:row r="883" ht="28" customHeight="1">
      <x:c r="A883" s="4" t="n">
        <x:v>873</x:v>
      </x:c>
      <x:c r="B883" s="4" t="str">
        <x:v>lugares en el sur de argentina para visitar</x:v>
      </x:c>
      <x:c r="C883" s="11" t="n">
        <x:v>2</x:v>
      </x:c>
      <x:c r="D883" s="11" t="n">
        <x:v>13</x:v>
      </x:c>
      <x:c r="E883" s="14" t="n">
        <x:v>0.15384615384615385</x:v>
      </x:c>
      <x:c r="F883" s="12" t="n">
        <x:v>3</x:v>
      </x:c>
      <x:c r="G883" s="4" t="str">
        <x:v>Sin marca literal</x:v>
      </x:c>
      <x:c r="H883" s="11"/>
      <x:c r="I883" s="11" t="str">
        <x:f>IF(H883="","",C883-H883)</x:f>
      </x:c>
      <x:c r="J883" s="4"/>
      <x:c r="K883" s="4" t="str">
        <x:v>URLs de detalle page/query/country por clics. No asignan las impresiones de esta consulta a cada página.</x:v>
      </x:c>
    </x:row>
    <x:row r="884" ht="28" customHeight="1">
      <x:c r="A884" s="4" t="n">
        <x:v>874</x:v>
      </x:c>
      <x:c r="B884" s="4" t="str">
        <x:v>requisitos para viajar a argentina desde chile en avión</x:v>
      </x:c>
      <x:c r="C884" s="11" t="n">
        <x:v>2</x:v>
      </x:c>
      <x:c r="D884" s="11" t="n">
        <x:v>13</x:v>
      </x:c>
      <x:c r="E884" s="14" t="n">
        <x:v>0.15384615384615385</x:v>
      </x:c>
      <x:c r="F884" s="12" t="n">
        <x:v>3.4615384615384617</x:v>
      </x:c>
      <x:c r="G884" s="4" t="str">
        <x:v>Sin marca literal</x:v>
      </x:c>
      <x:c r="H884" s="11"/>
      <x:c r="I884" s="11" t="str">
        <x:f>IF(H884="","",C884-H884)</x:f>
      </x:c>
      <x:c r="J884" s="4"/>
      <x:c r="K884" s="4" t="str">
        <x:v>URLs de detalle page/query/country por clics. No asignan las impresiones de esta consulta a cada página.</x:v>
      </x:c>
    </x:row>
    <x:row r="885" ht="28" customHeight="1">
      <x:c r="A885" s="4" t="n">
        <x:v>875</x:v>
      </x:c>
      <x:c r="B885" s="4" t="str">
        <x:v>cuanto dura el viaje a brasil en avion</x:v>
      </x:c>
      <x:c r="C885" s="11" t="n">
        <x:v>2</x:v>
      </x:c>
      <x:c r="D885" s="11" t="n">
        <x:v>12</x:v>
      </x:c>
      <x:c r="E885" s="14" t="n">
        <x:v>0.16666666666666666</x:v>
      </x:c>
      <x:c r="F885" s="12" t="n">
        <x:v>5.916666666666667</x:v>
      </x:c>
      <x:c r="G885" s="4" t="str">
        <x:v>Sin marca literal</x:v>
      </x:c>
      <x:c r="H885" s="11"/>
      <x:c r="I885" s="11" t="str">
        <x:f>IF(H885="","",C885-H885)</x:f>
      </x:c>
      <x:c r="J885" s="4"/>
      <x:c r="K885" s="4" t="str">
        <x:v>URLs de detalle page/query/country por clics. No asignan las impresiones de esta consulta a cada página.</x:v>
      </x:c>
    </x:row>
    <x:row r="886" ht="28" customHeight="1">
      <x:c r="A886" s="4" t="n">
        <x:v>876</x:v>
      </x:c>
      <x:c r="B886" s="4" t="str">
        <x:v>documentos para viajar a argentina desde chile</x:v>
      </x:c>
      <x:c r="C886" s="11" t="n">
        <x:v>2</x:v>
      </x:c>
      <x:c r="D886" s="11" t="n">
        <x:v>12</x:v>
      </x:c>
      <x:c r="E886" s="14" t="n">
        <x:v>0.16666666666666666</x:v>
      </x:c>
      <x:c r="F886" s="12" t="n">
        <x:v>5.583333333333333</x:v>
      </x:c>
      <x:c r="G886" s="4" t="str">
        <x:v>Sin marca literal</x:v>
      </x:c>
      <x:c r="H886" s="11"/>
      <x:c r="I886" s="11" t="str">
        <x:f>IF(H886="","",C886-H886)</x:f>
      </x:c>
      <x:c r="J886" s="4"/>
      <x:c r="K886" s="4" t="str">
        <x:v>URLs de detalle page/query/country por clics. No asignan las impresiones de esta consulta a cada página.</x:v>
      </x:c>
    </x:row>
    <x:row r="887" ht="28" customHeight="1">
      <x:c r="A887" s="4" t="n">
        <x:v>877</x:v>
      </x:c>
      <x:c r="B887" s="4" t="str">
        <x:v>aerolineas pet friendly</x:v>
      </x:c>
      <x:c r="C887" s="11" t="n">
        <x:v>2</x:v>
      </x:c>
      <x:c r="D887" s="11" t="n">
        <x:v>11</x:v>
      </x:c>
      <x:c r="E887" s="14" t="n">
        <x:v>0.18181818181818182</x:v>
      </x:c>
      <x:c r="F887" s="12" t="n">
        <x:v>2.8181818181818183</x:v>
      </x:c>
      <x:c r="G887" s="4" t="str">
        <x:v>Sin marca literal</x:v>
      </x:c>
      <x:c r="H887" s="11"/>
      <x:c r="I887" s="11" t="str">
        <x:f>IF(H887="","",C887-H887)</x:f>
      </x:c>
      <x:c r="J887" s="4"/>
      <x:c r="K887" s="4" t="str">
        <x:v>URLs de detalle page/query/country por clics. No asignan las impresiones de esta consulta a cada página.</x:v>
      </x:c>
    </x:row>
    <x:row r="888" ht="28" customHeight="1">
      <x:c r="A888" s="4" t="n">
        <x:v>878</x:v>
      </x:c>
      <x:c r="B888" s="4" t="str">
        <x:v>medidas de carry on sky</x:v>
      </x:c>
      <x:c r="C888" s="11" t="n">
        <x:v>2</x:v>
      </x:c>
      <x:c r="D888" s="11" t="n">
        <x:v>11</x:v>
      </x:c>
      <x:c r="E888" s="14" t="n">
        <x:v>0.18181818181818182</x:v>
      </x:c>
      <x:c r="F888" s="12" t="n">
        <x:v>4.909090909090909</x:v>
      </x:c>
      <x:c r="G888" s="4" t="str">
        <x:v>Sin marca literal</x:v>
      </x:c>
      <x:c r="H888" s="11"/>
      <x:c r="I888" s="11" t="str">
        <x:f>IF(H888="","",C888-H888)</x:f>
      </x:c>
      <x:c r="J888" s="4"/>
      <x:c r="K888" s="4" t="str">
        <x:v>URLs de detalle page/query/country por clics. No asignan las impresiones de esta consulta a cada página.</x:v>
      </x:c>
    </x:row>
    <x:row r="889" ht="28" customHeight="1">
      <x:c r="A889" s="4" t="n">
        <x:v>879</x:v>
      </x:c>
      <x:c r="B889" s="4" t="str">
        <x:v>panorama niños</x:v>
      </x:c>
      <x:c r="C889" s="11" t="n">
        <x:v>2</x:v>
      </x:c>
      <x:c r="D889" s="11" t="n">
        <x:v>11</x:v>
      </x:c>
      <x:c r="E889" s="14" t="n">
        <x:v>0.18181818181818182</x:v>
      </x:c>
      <x:c r="F889" s="12" t="n">
        <x:v>10</x:v>
      </x:c>
      <x:c r="G889" s="4" t="str">
        <x:v>Sin marca literal</x:v>
      </x:c>
      <x:c r="H889" s="11"/>
      <x:c r="I889" s="11" t="str">
        <x:f>IF(H889="","",C889-H889)</x:f>
      </x:c>
      <x:c r="J889" s="4"/>
      <x:c r="K889" s="4" t="str">
        <x:v>URLs de detalle page/query/country por clics. No asignan las impresiones de esta consulta a cada página.</x:v>
      </x:c>
    </x:row>
    <x:row r="890" ht="28" customHeight="1">
      <x:c r="A890" s="4" t="n">
        <x:v>880</x:v>
      </x:c>
      <x:c r="B890" s="4" t="str">
        <x:v>sky airline premium economy</x:v>
      </x:c>
      <x:c r="C890" s="11" t="n">
        <x:v>2</x:v>
      </x:c>
      <x:c r="D890" s="11" t="n">
        <x:v>11</x:v>
      </x:c>
      <x:c r="E890" s="14" t="n">
        <x:v>0.18181818181818182</x:v>
      </x:c>
      <x:c r="F890" s="12" t="n">
        <x:v>3.1818181818181817</x:v>
      </x:c>
      <x:c r="G890" s="4" t="str">
        <x:v>Sin marca literal</x:v>
      </x:c>
      <x:c r="H890" s="11"/>
      <x:c r="I890" s="11" t="str">
        <x:f>IF(H890="","",C890-H890)</x:f>
      </x:c>
      <x:c r="J890" s="4"/>
      <x:c r="K890" s="4" t="str">
        <x:v>URLs de detalle page/query/country por clics. No asignan las impresiones de esta consulta a cada página.</x:v>
      </x:c>
    </x:row>
    <x:row r="891" ht="28" customHeight="1">
      <x:c r="A891" s="4" t="n">
        <x:v>881</x:v>
      </x:c>
      <x:c r="B891" s="4" t="str">
        <x:v>convocatoria sky airline peru</x:v>
      </x:c>
      <x:c r="C891" s="11" t="n">
        <x:v>2</x:v>
      </x:c>
      <x:c r="D891" s="11" t="n">
        <x:v>10</x:v>
      </x:c>
      <x:c r="E891" s="14" t="n">
        <x:v>0.2</x:v>
      </x:c>
      <x:c r="F891" s="12" t="n">
        <x:v>8.5</x:v>
      </x:c>
      <x:c r="G891" s="4" t="str">
        <x:v>Sin marca literal</x:v>
      </x:c>
      <x:c r="H891" s="11"/>
      <x:c r="I891" s="11" t="str">
        <x:f>IF(H891="","",C891-H891)</x:f>
      </x:c>
      <x:c r="J891" s="4"/>
      <x:c r="K891" s="4" t="str">
        <x:v>URLs de detalle page/query/country por clics. No asignan las impresiones de esta consulta a cada página.</x:v>
      </x:c>
    </x:row>
    <x:row r="892" ht="28" customHeight="1">
      <x:c r="A892" s="4" t="n">
        <x:v>882</x:v>
      </x:c>
      <x:c r="B892" s="4" t="str">
        <x:v>objetos prohibidos en equipaje de mano sky</x:v>
      </x:c>
      <x:c r="C892" s="11" t="n">
        <x:v>2</x:v>
      </x:c>
      <x:c r="D892" s="11" t="n">
        <x:v>10</x:v>
      </x:c>
      <x:c r="E892" s="14" t="n">
        <x:v>0.2</x:v>
      </x:c>
      <x:c r="F892" s="12" t="n">
        <x:v>3.4</x:v>
      </x:c>
      <x:c r="G892" s="4" t="str">
        <x:v>Sin marca literal</x:v>
      </x:c>
      <x:c r="H892" s="11"/>
      <x:c r="I892" s="11" t="str">
        <x:f>IF(H892="","",C892-H892)</x:f>
      </x:c>
      <x:c r="J892" s="4"/>
      <x:c r="K892" s="4" t="str">
        <x:v>URLs de detalle page/query/country por clics. No asignan las impresiones de esta consulta a cada página.</x:v>
      </x:c>
    </x:row>
    <x:row r="893" ht="28" customHeight="1">
      <x:c r="A893" s="4" t="n">
        <x:v>883</x:v>
      </x:c>
      <x:c r="B893" s="4" t="str">
        <x:v>sky airlines jobs</x:v>
      </x:c>
      <x:c r="C893" s="11" t="n">
        <x:v>2</x:v>
      </x:c>
      <x:c r="D893" s="11" t="n">
        <x:v>10</x:v>
      </x:c>
      <x:c r="E893" s="14" t="n">
        <x:v>0.2</x:v>
      </x:c>
      <x:c r="F893" s="12" t="n">
        <x:v>4.8</x:v>
      </x:c>
      <x:c r="G893" s="4" t="str">
        <x:v>Sin marca literal</x:v>
      </x:c>
      <x:c r="H893" s="11"/>
      <x:c r="I893" s="11" t="str">
        <x:f>IF(H893="","",C893-H893)</x:f>
      </x:c>
      <x:c r="J893" s="4"/>
      <x:c r="K893" s="4" t="str">
        <x:v>URLs de detalle page/query/country por clics. No asignan las impresiones de esta consulta a cada página.</x:v>
      </x:c>
    </x:row>
    <x:row r="894" ht="28" customHeight="1">
      <x:c r="A894" s="4" t="n">
        <x:v>884</x:v>
      </x:c>
      <x:c r="B894" s="4" t="str">
        <x:v>sky airlines trabaja con nosotros chile</x:v>
      </x:c>
      <x:c r="C894" s="11" t="n">
        <x:v>2</x:v>
      </x:c>
      <x:c r="D894" s="11" t="n">
        <x:v>10</x:v>
      </x:c>
      <x:c r="E894" s="14" t="n">
        <x:v>0.2</x:v>
      </x:c>
      <x:c r="F894" s="12" t="n">
        <x:v>5.6</x:v>
      </x:c>
      <x:c r="G894" s="4" t="str">
        <x:v>Sin marca literal</x:v>
      </x:c>
      <x:c r="H894" s="11"/>
      <x:c r="I894" s="11" t="str">
        <x:f>IF(H894="","",C894-H894)</x:f>
      </x:c>
      <x:c r="J894" s="4"/>
      <x:c r="K894" s="4" t="str">
        <x:v>URLs de detalle page/query/country por clics. No asignan las impresiones de esta consulta a cada página.</x:v>
      </x:c>
    </x:row>
    <x:row r="895" ht="28" customHeight="1">
      <x:c r="A895" s="4" t="n">
        <x:v>885</x:v>
      </x:c>
      <x:c r="B895" s="4" t="str">
        <x:v>sky convocatoria</x:v>
      </x:c>
      <x:c r="C895" s="11" t="n">
        <x:v>2</x:v>
      </x:c>
      <x:c r="D895" s="11" t="n">
        <x:v>10</x:v>
      </x:c>
      <x:c r="E895" s="14" t="n">
        <x:v>0.2</x:v>
      </x:c>
      <x:c r="F895" s="12" t="n">
        <x:v>5.2</x:v>
      </x:c>
      <x:c r="G895" s="4" t="str">
        <x:v>Sin marca literal</x:v>
      </x:c>
      <x:c r="H895" s="11"/>
      <x:c r="I895" s="11" t="str">
        <x:f>IF(H895="","",C895-H895)</x:f>
      </x:c>
      <x:c r="J895" s="4"/>
      <x:c r="K895" s="4" t="str">
        <x:v>URLs de detalle page/query/country por clics. No asignan las impresiones de esta consulta a cada página.</x:v>
      </x:c>
    </x:row>
    <x:row r="896" ht="28" customHeight="1">
      <x:c r="A896" s="4" t="n">
        <x:v>886</x:v>
      </x:c>
      <x:c r="B896" s="4" t="str">
        <x:v>sky tamaño bolso de mano</x:v>
      </x:c>
      <x:c r="C896" s="11" t="n">
        <x:v>2</x:v>
      </x:c>
      <x:c r="D896" s="11" t="n">
        <x:v>10</x:v>
      </x:c>
      <x:c r="E896" s="14" t="n">
        <x:v>0.2</x:v>
      </x:c>
      <x:c r="F896" s="12" t="n">
        <x:v>3.1</x:v>
      </x:c>
      <x:c r="G896" s="4" t="str">
        <x:v>Sin marca literal</x:v>
      </x:c>
      <x:c r="H896" s="11"/>
      <x:c r="I896" s="11" t="str">
        <x:f>IF(H896="","",C896-H896)</x:f>
      </x:c>
      <x:c r="J896" s="4"/>
      <x:c r="K896" s="4" t="str">
        <x:v>URLs de detalle page/query/country por clics. No asignan las impresiones de esta consulta a cada página.</x:v>
      </x:c>
    </x:row>
    <x:row r="897" ht="28" customHeight="1">
      <x:c r="A897" s="4" t="n">
        <x:v>887</x:v>
      </x:c>
      <x:c r="B897" s="4" t="str">
        <x:v>youtubers viajeros</x:v>
      </x:c>
      <x:c r="C897" s="11" t="n">
        <x:v>2</x:v>
      </x:c>
      <x:c r="D897" s="11" t="n">
        <x:v>10</x:v>
      </x:c>
      <x:c r="E897" s="14" t="n">
        <x:v>0.2</x:v>
      </x:c>
      <x:c r="F897" s="12" t="n">
        <x:v>5.7</x:v>
      </x:c>
      <x:c r="G897" s="4" t="str">
        <x:v>Sin marca literal</x:v>
      </x:c>
      <x:c r="H897" s="11"/>
      <x:c r="I897" s="11" t="str">
        <x:f>IF(H897="","",C897-H897)</x:f>
      </x:c>
      <x:c r="J897" s="4"/>
      <x:c r="K897" s="4" t="str">
        <x:v>URLs de detalle page/query/country por clics. No asignan las impresiones de esta consulta a cada página.</x:v>
      </x:c>
    </x:row>
    <x:row r="898" ht="28" customHeight="1">
      <x:c r="A898" s="4" t="n">
        <x:v>888</x:v>
      </x:c>
      <x:c r="B898" s="4" t="str">
        <x:v>cambiar fecha de vuelo sky peru</x:v>
      </x:c>
      <x:c r="C898" s="11" t="n">
        <x:v>2</x:v>
      </x:c>
      <x:c r="D898" s="11" t="n">
        <x:v>9</x:v>
      </x:c>
      <x:c r="E898" s="14" t="n">
        <x:v>0.2222222222222222</x:v>
      </x:c>
      <x:c r="F898" s="12" t="n">
        <x:v>4.111111111111111</x:v>
      </x:c>
      <x:c r="G898" s="4" t="str">
        <x:v>Sin marca literal</x:v>
      </x:c>
      <x:c r="H898" s="11"/>
      <x:c r="I898" s="11" t="str">
        <x:f>IF(H898="","",C898-H898)</x:f>
      </x:c>
      <x:c r="J898" s="4"/>
      <x:c r="K898" s="4" t="str">
        <x:v>URLs de detalle page/query/country por clics. No asignan las impresiones de esta consulta a cada página.</x:v>
      </x:c>
    </x:row>
    <x:row r="899" ht="28" customHeight="1">
      <x:c r="A899" s="4" t="n">
        <x:v>889</x:v>
      </x:c>
      <x:c r="B899" s="4" t="str">
        <x:v>cuanto cuesta</x:v>
      </x:c>
      <x:c r="C899" s="11" t="n">
        <x:v>2</x:v>
      </x:c>
      <x:c r="D899" s="11" t="n">
        <x:v>9</x:v>
      </x:c>
      <x:c r="E899" s="14" t="n">
        <x:v>0.2222222222222222</x:v>
      </x:c>
      <x:c r="F899" s="12" t="n">
        <x:v>3.111111111111111</x:v>
      </x:c>
      <x:c r="G899" s="4" t="str">
        <x:v>Sin marca literal</x:v>
      </x:c>
      <x:c r="H899" s="11"/>
      <x:c r="I899" s="11" t="str">
        <x:f>IF(H899="","",C899-H899)</x:f>
      </x:c>
      <x:c r="J899" s="4"/>
      <x:c r="K899" s="4" t="str">
        <x:v>URLs de detalle page/query/country por clics. No asignan las impresiones de esta consulta a cada página.</x:v>
      </x:c>
    </x:row>
    <x:row r="900" ht="28" customHeight="1">
      <x:c r="A900" s="4" t="n">
        <x:v>890</x:v>
      </x:c>
      <x:c r="B900" s="4" t="str">
        <x:v>desde puerto natales a torres del paine</x:v>
      </x:c>
      <x:c r="C900" s="11" t="n">
        <x:v>2</x:v>
      </x:c>
      <x:c r="D900" s="11" t="n">
        <x:v>9</x:v>
      </x:c>
      <x:c r="E900" s="14" t="n">
        <x:v>0.2222222222222222</x:v>
      </x:c>
      <x:c r="F900" s="12" t="n">
        <x:v>7.777777777777778</x:v>
      </x:c>
      <x:c r="G900" s="4" t="str">
        <x:v>Sin marca literal</x:v>
      </x:c>
      <x:c r="H900" s="11"/>
      <x:c r="I900" s="11" t="str">
        <x:f>IF(H900="","",C900-H900)</x:f>
      </x:c>
      <x:c r="J900" s="4"/>
      <x:c r="K900" s="4" t="str">
        <x:v>URLs de detalle page/query/country por clics. No asignan las impresiones de esta consulta a cada página.</x:v>
      </x:c>
    </x:row>
    <x:row r="901" ht="28" customHeight="1">
      <x:c r="A901" s="4" t="n">
        <x:v>891</x:v>
      </x:c>
      <x:c r="B901" s="4" t="str">
        <x:v>medidas equipaje sky chile</x:v>
      </x:c>
      <x:c r="C901" s="11" t="n">
        <x:v>2</x:v>
      </x:c>
      <x:c r="D901" s="11" t="n">
        <x:v>9</x:v>
      </x:c>
      <x:c r="E901" s="14" t="n">
        <x:v>0.2222222222222222</x:v>
      </x:c>
      <x:c r="F901" s="12" t="n">
        <x:v>4.111111111111111</x:v>
      </x:c>
      <x:c r="G901" s="4" t="str">
        <x:v>Sin marca literal</x:v>
      </x:c>
      <x:c r="H901" s="11"/>
      <x:c r="I901" s="11" t="str">
        <x:f>IF(H901="","",C901-H901)</x:f>
      </x:c>
      <x:c r="J901" s="4"/>
      <x:c r="K901" s="4" t="str">
        <x:v>URLs de detalle page/query/country por clics. No asignan las impresiones de esta consulta a cada página.</x:v>
      </x:c>
    </x:row>
    <x:row r="902" ht="28" customHeight="1">
      <x:c r="A902" s="4" t="n">
        <x:v>892</x:v>
      </x:c>
      <x:c r="B902" s="4" t="str">
        <x:v>menores de 2 años pagan pasaje en avion</x:v>
      </x:c>
      <x:c r="C902" s="11" t="n">
        <x:v>2</x:v>
      </x:c>
      <x:c r="D902" s="11" t="n">
        <x:v>9</x:v>
      </x:c>
      <x:c r="E902" s="14" t="n">
        <x:v>0.2222222222222222</x:v>
      </x:c>
      <x:c r="F902" s="12" t="n">
        <x:v>4.444444444444445</x:v>
      </x:c>
      <x:c r="G902" s="4" t="str">
        <x:v>Sin marca literal</x:v>
      </x:c>
      <x:c r="H902" s="11"/>
      <x:c r="I902" s="11" t="str">
        <x:f>IF(H902="","",C902-H902)</x:f>
      </x:c>
      <x:c r="J902" s="4"/>
      <x:c r="K902" s="4" t="str">
        <x:v>URLs de detalle page/query/country por clics. No asignan las impresiones de esta consulta a cada página.</x:v>
      </x:c>
    </x:row>
    <x:row r="903" ht="28" customHeight="1">
      <x:c r="A903" s="4" t="n">
        <x:v>893</x:v>
      </x:c>
      <x:c r="B903" s="4" t="str">
        <x:v>se pueden llevar remedios en el avion</x:v>
      </x:c>
      <x:c r="C903" s="11" t="n">
        <x:v>2</x:v>
      </x:c>
      <x:c r="D903" s="11" t="n">
        <x:v>9</x:v>
      </x:c>
      <x:c r="E903" s="14" t="n">
        <x:v>0.2222222222222222</x:v>
      </x:c>
      <x:c r="F903" s="12" t="n">
        <x:v>8.333333333333332</x:v>
      </x:c>
      <x:c r="G903" s="4" t="str">
        <x:v>Sin marca literal</x:v>
      </x:c>
      <x:c r="H903" s="11"/>
      <x:c r="I903" s="11" t="str">
        <x:f>IF(H903="","",C903-H903)</x:f>
      </x:c>
      <x:c r="J903" s="4"/>
      <x:c r="K903" s="4" t="str">
        <x:v>URLs de detalle page/query/country por clics. No asignan las impresiones de esta consulta a cada página.</x:v>
      </x:c>
    </x:row>
    <x:row r="904" ht="28" customHeight="1">
      <x:c r="A904" s="4" t="n">
        <x:v>894</x:v>
      </x:c>
      <x:c r="B904" s="4" t="str">
        <x:v>sky airlines careers</x:v>
      </x:c>
      <x:c r="C904" s="11" t="n">
        <x:v>2</x:v>
      </x:c>
      <x:c r="D904" s="11" t="n">
        <x:v>9</x:v>
      </x:c>
      <x:c r="E904" s="14" t="n">
        <x:v>0.2222222222222222</x:v>
      </x:c>
      <x:c r="F904" s="12" t="n">
        <x:v>5.777777777777778</x:v>
      </x:c>
      <x:c r="G904" s="4" t="str">
        <x:v>Sin marca literal</x:v>
      </x:c>
      <x:c r="H904" s="11"/>
      <x:c r="I904" s="11" t="str">
        <x:f>IF(H904="","",C904-H904)</x:f>
      </x:c>
      <x:c r="J904" s="4"/>
      <x:c r="K904" s="4" t="str">
        <x:v>URLs de detalle page/query/country por clics. No asignan las impresiones de esta consulta a cada página.</x:v>
      </x:c>
    </x:row>
    <x:row r="905" ht="28" customHeight="1">
      <x:c r="A905" s="4" t="n">
        <x:v>895</x:v>
      </x:c>
      <x:c r="B905" s="4" t="str">
        <x:v>sky arline</x:v>
      </x:c>
      <x:c r="C905" s="11" t="n">
        <x:v>2</x:v>
      </x:c>
      <x:c r="D905" s="11" t="n">
        <x:v>9</x:v>
      </x:c>
      <x:c r="E905" s="14" t="n">
        <x:v>0.2222222222222222</x:v>
      </x:c>
      <x:c r="F905" s="12" t="n">
        <x:v>3.7777777777777777</x:v>
      </x:c>
      <x:c r="G905" s="4" t="str">
        <x:v>Sin marca literal</x:v>
      </x:c>
      <x:c r="H905" s="11"/>
      <x:c r="I905" s="11" t="str">
        <x:f>IF(H905="","",C905-H905)</x:f>
      </x:c>
      <x:c r="J905" s="4"/>
      <x:c r="K905" s="4" t="str">
        <x:v>URLs de detalle page/query/country por clics. No asignan las impresiones de esta consulta a cada página.</x:v>
      </x:c>
    </x:row>
    <x:row r="906" ht="28" customHeight="1">
      <x:c r="A906" s="4" t="n">
        <x:v>896</x:v>
      </x:c>
      <x:c r="B906" s="4" t="str">
        <x:v>tripulante de cabina postular</x:v>
      </x:c>
      <x:c r="C906" s="11" t="n">
        <x:v>2</x:v>
      </x:c>
      <x:c r="D906" s="11" t="n">
        <x:v>9</x:v>
      </x:c>
      <x:c r="E906" s="14" t="n">
        <x:v>0.2222222222222222</x:v>
      </x:c>
      <x:c r="F906" s="12" t="n">
        <x:v>9.666666666666666</x:v>
      </x:c>
      <x:c r="G906" s="4" t="str">
        <x:v>Sin marca literal</x:v>
      </x:c>
      <x:c r="H906" s="11"/>
      <x:c r="I906" s="11" t="str">
        <x:f>IF(H906="","",C906-H906)</x:f>
      </x:c>
      <x:c r="J906" s="4"/>
      <x:c r="K906" s="4" t="str">
        <x:v>URLs de detalle page/query/country por clics. No asignan las impresiones de esta consulta a cada página.</x:v>
      </x:c>
    </x:row>
    <x:row r="907" ht="28" customHeight="1">
      <x:c r="A907" s="4" t="n">
        <x:v>897</x:v>
      </x:c>
      <x:c r="B907" s="4" t="str">
        <x:v>como llevar una bicicleta en avion</x:v>
      </x:c>
      <x:c r="C907" s="11" t="n">
        <x:v>2</x:v>
      </x:c>
      <x:c r="D907" s="11" t="n">
        <x:v>8</x:v>
      </x:c>
      <x:c r="E907" s="14" t="n">
        <x:v>0.25</x:v>
      </x:c>
      <x:c r="F907" s="12" t="n">
        <x:v>3.125</x:v>
      </x:c>
      <x:c r="G907" s="4" t="str">
        <x:v>Sin marca literal</x:v>
      </x:c>
      <x:c r="H907" s="11"/>
      <x:c r="I907" s="11" t="str">
        <x:f>IF(H907="","",C907-H907)</x:f>
      </x:c>
      <x:c r="J907" s="4"/>
      <x:c r="K907" s="4" t="str">
        <x:v>URLs de detalle page/query/country por clics. No asignan las impresiones de esta consulta a cada página.</x:v>
      </x:c>
    </x:row>
    <x:row r="908" ht="28" customHeight="1">
      <x:c r="A908" s="4" t="n">
        <x:v>898</x:v>
      </x:c>
      <x:c r="B908" s="4" t="str">
        <x:v>líquidos permitidos en equipaje de mano</x:v>
      </x:c>
      <x:c r="C908" s="11" t="n">
        <x:v>2</x:v>
      </x:c>
      <x:c r="D908" s="11" t="n">
        <x:v>8</x:v>
      </x:c>
      <x:c r="E908" s="14" t="n">
        <x:v>0.25</x:v>
      </x:c>
      <x:c r="F908" s="12" t="n">
        <x:v>6.25</x:v>
      </x:c>
      <x:c r="G908" s="4" t="str">
        <x:v>Sin marca literal</x:v>
      </x:c>
      <x:c r="H908" s="11"/>
      <x:c r="I908" s="11" t="str">
        <x:f>IF(H908="","",C908-H908)</x:f>
      </x:c>
      <x:c r="J908" s="4"/>
      <x:c r="K908" s="4" t="str">
        <x:v>URLs de detalle page/query/country por clics. No asignan las impresiones de esta consulta a cada página.</x:v>
      </x:c>
    </x:row>
    <x:row r="909" ht="28" customHeight="1">
      <x:c r="A909" s="4" t="n">
        <x:v>899</x:v>
      </x:c>
      <x:c r="B909" s="4" t="str">
        <x:v>sky airline jobs</x:v>
      </x:c>
      <x:c r="C909" s="11" t="n">
        <x:v>2</x:v>
      </x:c>
      <x:c r="D909" s="11" t="n">
        <x:v>8</x:v>
      </x:c>
      <x:c r="E909" s="14" t="n">
        <x:v>0.25</x:v>
      </x:c>
      <x:c r="F909" s="12" t="n">
        <x:v>4.375</x:v>
      </x:c>
      <x:c r="G909" s="4" t="str">
        <x:v>Sin marca literal</x:v>
      </x:c>
      <x:c r="H909" s="11"/>
      <x:c r="I909" s="11" t="str">
        <x:f>IF(H909="","",C909-H909)</x:f>
      </x:c>
      <x:c r="J909" s="4"/>
      <x:c r="K909" s="4" t="str">
        <x:v>URLs de detalle page/query/country por clics. No asignan las impresiones de esta consulta a cada página.</x:v>
      </x:c>
    </x:row>
    <x:row r="910" ht="28" customHeight="1">
      <x:c r="A910" s="4" t="n">
        <x:v>900</x:v>
      </x:c>
      <x:c r="B910" s="4" t="str">
        <x:v>bolsa de trabajo sky</x:v>
      </x:c>
      <x:c r="C910" s="11" t="n">
        <x:v>2</x:v>
      </x:c>
      <x:c r="D910" s="11" t="n">
        <x:v>7</x:v>
      </x:c>
      <x:c r="E910" s="14" t="n">
        <x:v>0.2857142857142857</x:v>
      </x:c>
      <x:c r="F910" s="12" t="n">
        <x:v>6.142857142857143</x:v>
      </x:c>
      <x:c r="G910" s="4" t="str">
        <x:v>Sin marca literal</x:v>
      </x:c>
      <x:c r="H910" s="11"/>
      <x:c r="I910" s="11" t="str">
        <x:f>IF(H910="","",C910-H910)</x:f>
      </x:c>
      <x:c r="J910" s="4"/>
      <x:c r="K910" s="4" t="str">
        <x:v>URLs de detalle page/query/country por clics. No asignan las impresiones de esta consulta a cada página.</x:v>
      </x:c>
    </x:row>
    <x:row r="911" ht="28" customHeight="1">
      <x:c r="A911" s="4" t="n">
        <x:v>901</x:v>
      </x:c>
      <x:c r="B911" s="4" t="str">
        <x:v>como cambiar la fecha de mi vuelo</x:v>
      </x:c>
      <x:c r="C911" s="11" t="n">
        <x:v>2</x:v>
      </x:c>
      <x:c r="D911" s="11" t="n">
        <x:v>7</x:v>
      </x:c>
      <x:c r="E911" s="14" t="n">
        <x:v>0.2857142857142857</x:v>
      </x:c>
      <x:c r="F911" s="12" t="n">
        <x:v>6.285714285714286</x:v>
      </x:c>
      <x:c r="G911" s="4" t="str">
        <x:v>Sin marca literal</x:v>
      </x:c>
      <x:c r="H911" s="11"/>
      <x:c r="I911" s="11" t="str">
        <x:f>IF(H911="","",C911-H911)</x:f>
      </x:c>
      <x:c r="J911" s="4"/>
      <x:c r="K911" s="4" t="str">
        <x:v>URLs de detalle page/query/country por clics. No asignan las impresiones de esta consulta a cada página.</x:v>
      </x:c>
    </x:row>
    <x:row r="912" ht="28" customHeight="1">
      <x:c r="A912" s="4" t="n">
        <x:v>902</x:v>
      </x:c>
      <x:c r="B912" s="4" t="str">
        <x:v>cuanto debe medir un equipaje de mano</x:v>
      </x:c>
      <x:c r="C912" s="11" t="n">
        <x:v>2</x:v>
      </x:c>
      <x:c r="D912" s="11" t="n">
        <x:v>7</x:v>
      </x:c>
      <x:c r="E912" s="14" t="n">
        <x:v>0.2857142857142857</x:v>
      </x:c>
      <x:c r="F912" s="12" t="n">
        <x:v>7.428571428571429</x:v>
      </x:c>
      <x:c r="G912" s="4" t="str">
        <x:v>Sin marca literal</x:v>
      </x:c>
      <x:c r="H912" s="11"/>
      <x:c r="I912" s="11" t="str">
        <x:f>IF(H912="","",C912-H912)</x:f>
      </x:c>
      <x:c r="J912" s="4"/>
      <x:c r="K912" s="4" t="str">
        <x:v>URLs de detalle page/query/country por clics. No asignan las impresiones de esta consulta a cada página.</x:v>
      </x:c>
    </x:row>
    <x:row r="913" ht="28" customHeight="1">
      <x:c r="A913" s="4" t="n">
        <x:v>903</x:v>
      </x:c>
      <x:c r="B913" s="4" t="str">
        <x:v>dimension maleta cabina</x:v>
      </x:c>
      <x:c r="C913" s="11" t="n">
        <x:v>2</x:v>
      </x:c>
      <x:c r="D913" s="11" t="n">
        <x:v>7</x:v>
      </x:c>
      <x:c r="E913" s="14" t="n">
        <x:v>0.2857142857142857</x:v>
      </x:c>
      <x:c r="F913" s="12" t="n">
        <x:v>8.714285714285715</x:v>
      </x:c>
      <x:c r="G913" s="4" t="str">
        <x:v>Sin marca literal</x:v>
      </x:c>
      <x:c r="H913" s="11"/>
      <x:c r="I913" s="11" t="str">
        <x:f>IF(H913="","",C913-H913)</x:f>
      </x:c>
      <x:c r="J913" s="4"/>
      <x:c r="K913" s="4" t="str">
        <x:v>URLs de detalle page/query/country por clics. No asignan las impresiones de esta consulta a cada página.</x:v>
      </x:c>
    </x:row>
    <x:row r="914" ht="28" customHeight="1">
      <x:c r="A914" s="4" t="n">
        <x:v>904</x:v>
      </x:c>
      <x:c r="B914" s="4" t="str">
        <x:v>hay sargazo en octubre en punta cana</x:v>
      </x:c>
      <x:c r="C914" s="11" t="n">
        <x:v>2</x:v>
      </x:c>
      <x:c r="D914" s="11" t="n">
        <x:v>7</x:v>
      </x:c>
      <x:c r="E914" s="14" t="n">
        <x:v>0.2857142857142857</x:v>
      </x:c>
      <x:c r="F914" s="12" t="n">
        <x:v>8.714285714285715</x:v>
      </x:c>
      <x:c r="G914" s="4" t="str">
        <x:v>Sin marca literal</x:v>
      </x:c>
      <x:c r="H914" s="11"/>
      <x:c r="I914" s="11" t="str">
        <x:f>IF(H914="","",C914-H914)</x:f>
      </x:c>
      <x:c r="J914" s="4"/>
      <x:c r="K914" s="4" t="str">
        <x:v>URLs de detalle page/query/country por clics. No asignan las impresiones de esta consulta a cada página.</x:v>
      </x:c>
    </x:row>
    <x:row r="915" ht="28" customHeight="1">
      <x:c r="A915" s="4" t="n">
        <x:v>905</x:v>
      </x:c>
      <x:c r="B915" s="4" t="str">
        <x:v>lugares del sur para vacacionar</x:v>
      </x:c>
      <x:c r="C915" s="11" t="n">
        <x:v>2</x:v>
      </x:c>
      <x:c r="D915" s="11" t="n">
        <x:v>7</x:v>
      </x:c>
      <x:c r="E915" s="14" t="n">
        <x:v>0.2857142857142857</x:v>
      </x:c>
      <x:c r="F915" s="12" t="n">
        <x:v>3.857142857142857</x:v>
      </x:c>
      <x:c r="G915" s="4" t="str">
        <x:v>Sin marca literal</x:v>
      </x:c>
      <x:c r="H915" s="11"/>
      <x:c r="I915" s="11" t="str">
        <x:f>IF(H915="","",C915-H915)</x:f>
      </x:c>
      <x:c r="J915" s="4"/>
      <x:c r="K915" s="4" t="str">
        <x:v>URLs de detalle page/query/country por clics. No asignan las impresiones de esta consulta a cada página.</x:v>
      </x:c>
    </x:row>
    <x:row r="916" ht="28" customHeight="1">
      <x:c r="A916" s="4" t="n">
        <x:v>906</x:v>
      </x:c>
      <x:c r="B916" s="4" t="str">
        <x:v>mascota en bodega sky</x:v>
      </x:c>
      <x:c r="C916" s="11" t="n">
        <x:v>2</x:v>
      </x:c>
      <x:c r="D916" s="11" t="n">
        <x:v>7</x:v>
      </x:c>
      <x:c r="E916" s="14" t="n">
        <x:v>0.2857142857142857</x:v>
      </x:c>
      <x:c r="F916" s="12" t="n">
        <x:v>3.2857142857142856</x:v>
      </x:c>
      <x:c r="G916" s="4" t="str">
        <x:v>Contiene marca</x:v>
      </x:c>
      <x:c r="H916" s="11" t="n">
        <x:v>11</x:v>
      </x:c>
      <x:c r="I916" s="11" t="n">
        <x:f>IF(H916="","",C916-H916)</x:f>
        <x:v>-9</x:v>
      </x:c>
      <x:c r="J916" s="4" t="str">
        <x:v>https://blog.skyairline.com/viajar-con-perros/ (2 clics)</x:v>
      </x:c>
      <x:c r="K916" s="4" t="str">
        <x:v>URLs de detalle page/query/country por clics. No asignan las impresiones de esta consulta a cada página.</x:v>
      </x:c>
    </x:row>
    <x:row r="917" ht="28" customHeight="1">
      <x:c r="A917" s="4" t="n">
        <x:v>907</x:v>
      </x:c>
      <x:c r="B917" s="4" t="str">
        <x:v>sky airline airbus a321neo</x:v>
      </x:c>
      <x:c r="C917" s="11" t="n">
        <x:v>2</x:v>
      </x:c>
      <x:c r="D917" s="11" t="n">
        <x:v>7</x:v>
      </x:c>
      <x:c r="E917" s="14" t="n">
        <x:v>0.2857142857142857</x:v>
      </x:c>
      <x:c r="F917" s="12" t="n">
        <x:v>10.571428571428571</x:v>
      </x:c>
      <x:c r="G917" s="4" t="str">
        <x:v>Sin marca literal</x:v>
      </x:c>
      <x:c r="H917" s="11"/>
      <x:c r="I917" s="11" t="str">
        <x:f>IF(H917="","",C917-H917)</x:f>
      </x:c>
      <x:c r="J917" s="4"/>
      <x:c r="K917" s="4" t="str">
        <x:v>URLs de detalle page/query/country por clics. No asignan las impresiones de esta consulta a cada página.</x:v>
      </x:c>
    </x:row>
    <x:row r="918" ht="28" customHeight="1">
      <x:c r="A918" s="4" t="n">
        <x:v>908</x:v>
      </x:c>
      <x:c r="B918" s="4" t="str">
        <x:v>tiempo de vuelo a sao paulo</x:v>
      </x:c>
      <x:c r="C918" s="11" t="n">
        <x:v>2</x:v>
      </x:c>
      <x:c r="D918" s="11" t="n">
        <x:v>7</x:v>
      </x:c>
      <x:c r="E918" s="14" t="n">
        <x:v>0.2857142857142857</x:v>
      </x:c>
      <x:c r="F918" s="12" t="n">
        <x:v>2.7142857142857144</x:v>
      </x:c>
      <x:c r="G918" s="4" t="str">
        <x:v>Sin marca literal</x:v>
      </x:c>
      <x:c r="H918" s="11"/>
      <x:c r="I918" s="11" t="str">
        <x:f>IF(H918="","",C918-H918)</x:f>
      </x:c>
      <x:c r="J918" s="4"/>
      <x:c r="K918" s="4" t="str">
        <x:v>URLs de detalle page/query/country por clics. No asignan las impresiones de esta consulta a cada página.</x:v>
      </x:c>
    </x:row>
    <x:row r="919" ht="28" customHeight="1">
      <x:c r="A919" s="4" t="n">
        <x:v>909</x:v>
      </x:c>
      <x:c r="B919" s="4" t="str">
        <x:v>airbus a321xlr sky airline</x:v>
      </x:c>
      <x:c r="C919" s="11" t="n">
        <x:v>2</x:v>
      </x:c>
      <x:c r="D919" s="11" t="n">
        <x:v>6</x:v>
      </x:c>
      <x:c r="E919" s="14" t="n">
        <x:v>0.3333333333333333</x:v>
      </x:c>
      <x:c r="F919" s="12" t="n">
        <x:v>3.6666666666666665</x:v>
      </x:c>
      <x:c r="G919" s="4" t="str">
        <x:v>Sin marca literal</x:v>
      </x:c>
      <x:c r="H919" s="11"/>
      <x:c r="I919" s="11" t="str">
        <x:f>IF(H919="","",C919-H919)</x:f>
      </x:c>
      <x:c r="J919" s="4"/>
      <x:c r="K919" s="4" t="str">
        <x:v>URLs de detalle page/query/country por clics. No asignan las impresiones de esta consulta a cada página.</x:v>
      </x:c>
    </x:row>
    <x:row r="920" ht="28" customHeight="1">
      <x:c r="A920" s="4" t="n">
        <x:v>910</x:v>
      </x:c>
      <x:c r="B920" s="4" t="str">
        <x:v>lugares turisticos del sur argentino</x:v>
      </x:c>
      <x:c r="C920" s="11" t="n">
        <x:v>2</x:v>
      </x:c>
      <x:c r="D920" s="11" t="n">
        <x:v>6</x:v>
      </x:c>
      <x:c r="E920" s="14" t="n">
        <x:v>0.3333333333333333</x:v>
      </x:c>
      <x:c r="F920" s="12" t="n">
        <x:v>3.6666666666666665</x:v>
      </x:c>
      <x:c r="G920" s="4" t="str">
        <x:v>Sin marca literal</x:v>
      </x:c>
      <x:c r="H920" s="11"/>
      <x:c r="I920" s="11" t="str">
        <x:f>IF(H920="","",C920-H920)</x:f>
      </x:c>
      <x:c r="J920" s="4"/>
      <x:c r="K920" s="4" t="str">
        <x:v>URLs de detalle page/query/country por clics. No asignan las impresiones de esta consulta a cada página.</x:v>
      </x:c>
    </x:row>
    <x:row r="921" ht="28" customHeight="1">
      <x:c r="A921" s="4" t="n">
        <x:v>911</x:v>
      </x:c>
      <x:c r="B921" s="4" t="str">
        <x:v>sky airline careers</x:v>
      </x:c>
      <x:c r="C921" s="11" t="n">
        <x:v>2</x:v>
      </x:c>
      <x:c r="D921" s="11" t="n">
        <x:v>6</x:v>
      </x:c>
      <x:c r="E921" s="14" t="n">
        <x:v>0.3333333333333333</x:v>
      </x:c>
      <x:c r="F921" s="12" t="n">
        <x:v>5</x:v>
      </x:c>
      <x:c r="G921" s="4" t="str">
        <x:v>Sin marca literal</x:v>
      </x:c>
      <x:c r="H921" s="11"/>
      <x:c r="I921" s="11" t="str">
        <x:f>IF(H921="","",C921-H921)</x:f>
      </x:c>
      <x:c r="J921" s="4"/>
      <x:c r="K921" s="4" t="str">
        <x:v>URLs de detalle page/query/country por clics. No asignan las impresiones de esta consulta a cada página.</x:v>
      </x:c>
    </x:row>
    <x:row r="922" ht="28" customHeight="1">
      <x:c r="A922" s="4" t="n">
        <x:v>912</x:v>
      </x:c>
      <x:c r="B922" s="4" t="str">
        <x:v>sky instrumentos musicales</x:v>
      </x:c>
      <x:c r="C922" s="11" t="n">
        <x:v>2</x:v>
      </x:c>
      <x:c r="D922" s="11" t="n">
        <x:v>6</x:v>
      </x:c>
      <x:c r="E922" s="14" t="n">
        <x:v>0.3333333333333333</x:v>
      </x:c>
      <x:c r="F922" s="12" t="n">
        <x:v>4.833333333333334</x:v>
      </x:c>
      <x:c r="G922" s="4" t="str">
        <x:v>Sin marca literal</x:v>
      </x:c>
      <x:c r="H922" s="11"/>
      <x:c r="I922" s="11" t="str">
        <x:f>IF(H922="","",C922-H922)</x:f>
      </x:c>
      <x:c r="J922" s="4"/>
      <x:c r="K922" s="4" t="str">
        <x:v>URLs de detalle page/query/country por clics. No asignan las impresiones de esta consulta a cada página.</x:v>
      </x:c>
    </x:row>
    <x:row r="923" ht="28" customHeight="1">
      <x:c r="A923" s="4" t="n">
        <x:v>913</x:v>
      </x:c>
      <x:c r="B923" s="4" t="str">
        <x:v>pet sky</x:v>
      </x:c>
      <x:c r="C923" s="11" t="n">
        <x:v>2</x:v>
      </x:c>
      <x:c r="D923" s="11" t="n">
        <x:v>5</x:v>
      </x:c>
      <x:c r="E923" s="14" t="n">
        <x:v>0.4</x:v>
      </x:c>
      <x:c r="F923" s="12" t="n">
        <x:v>6</x:v>
      </x:c>
      <x:c r="G923" s="4" t="str">
        <x:v>Sin marca literal</x:v>
      </x:c>
      <x:c r="H923" s="11"/>
      <x:c r="I923" s="11" t="str">
        <x:f>IF(H923="","",C923-H923)</x:f>
      </x:c>
      <x:c r="J923" s="4"/>
      <x:c r="K923" s="4" t="str">
        <x:v>URLs de detalle page/query/country por clics. No asignan las impresiones de esta consulta a cada página.</x:v>
      </x:c>
    </x:row>
    <x:row r="924" ht="28" customHeight="1">
      <x:c r="A924" s="4" t="n">
        <x:v>914</x:v>
      </x:c>
      <x:c r="B924" s="4" t="str">
        <x:v>sky airline incrementa su oferta de vuelos directos conectando perú con brasil y chile</x:v>
      </x:c>
      <x:c r="C924" s="11" t="n">
        <x:v>2</x:v>
      </x:c>
      <x:c r="D924" s="11" t="n">
        <x:v>5</x:v>
      </x:c>
      <x:c r="E924" s="14" t="n">
        <x:v>0.4</x:v>
      </x:c>
      <x:c r="F924" s="12" t="n">
        <x:v>1.8</x:v>
      </x:c>
      <x:c r="G924" s="4" t="str">
        <x:v>Sin marca literal</x:v>
      </x:c>
      <x:c r="H924" s="11"/>
      <x:c r="I924" s="11" t="str">
        <x:f>IF(H924="","",C924-H924)</x:f>
      </x:c>
      <x:c r="J924" s="4"/>
      <x:c r="K924" s="4" t="str">
        <x:v>URLs de detalle page/query/country por clics. No asignan las impresiones de esta consulta a cada página.</x:v>
      </x:c>
    </x:row>
    <x:row r="925" ht="28" customHeight="1">
      <x:c r="A925" s="4" t="n">
        <x:v>915</x:v>
      </x:c>
      <x:c r="B925" s="4" t="str">
        <x:v>sky personal item size</x:v>
      </x:c>
      <x:c r="C925" s="11" t="n">
        <x:v>2</x:v>
      </x:c>
      <x:c r="D925" s="11" t="n">
        <x:v>5</x:v>
      </x:c>
      <x:c r="E925" s="14" t="n">
        <x:v>0.4</x:v>
      </x:c>
      <x:c r="F925" s="12" t="n">
        <x:v>4.2</x:v>
      </x:c>
      <x:c r="G925" s="4" t="str">
        <x:v>Sin marca literal</x:v>
      </x:c>
      <x:c r="H925" s="11"/>
      <x:c r="I925" s="11" t="str">
        <x:f>IF(H925="","",C925-H925)</x:f>
      </x:c>
      <x:c r="J925" s="4"/>
      <x:c r="K925" s="4" t="str">
        <x:v>URLs de detalle page/query/country por clics. No asignan las impresiones de esta consulta a cada página.</x:v>
      </x:c>
    </x:row>
    <x:row r="926" ht="28" customHeight="1">
      <x:c r="A926" s="4" t="n">
        <x:v>916</x:v>
      </x:c>
      <x:c r="B926" s="4" t="str">
        <x:v>como transportar una bicicleta en avion</x:v>
      </x:c>
      <x:c r="C926" s="11" t="n">
        <x:v>2</x:v>
      </x:c>
      <x:c r="D926" s="11" t="n">
        <x:v>4</x:v>
      </x:c>
      <x:c r="E926" s="14" t="n">
        <x:v>0.5</x:v>
      </x:c>
      <x:c r="F926" s="12" t="n">
        <x:v>2</x:v>
      </x:c>
      <x:c r="G926" s="4" t="str">
        <x:v>Sin marca literal</x:v>
      </x:c>
      <x:c r="H926" s="11"/>
      <x:c r="I926" s="11" t="str">
        <x:f>IF(H926="","",C926-H926)</x:f>
      </x:c>
      <x:c r="J926" s="4"/>
      <x:c r="K926" s="4" t="str">
        <x:v>URLs de detalle page/query/country por clics. No asignan las impresiones de esta consulta a cada página.</x:v>
      </x:c>
    </x:row>
    <x:row r="927" ht="28" customHeight="1">
      <x:c r="A927" s="4" t="n">
        <x:v>917</x:v>
      </x:c>
      <x:c r="B927" s="4" t="str">
        <x:v>diferencia equipaje de mano y de cabina</x:v>
      </x:c>
      <x:c r="C927" s="11" t="n">
        <x:v>2</x:v>
      </x:c>
      <x:c r="D927" s="11" t="n">
        <x:v>4</x:v>
      </x:c>
      <x:c r="E927" s="14" t="n">
        <x:v>0.5</x:v>
      </x:c>
      <x:c r="F927" s="12" t="n">
        <x:v>5.25</x:v>
      </x:c>
      <x:c r="G927" s="4" t="str">
        <x:v>Sin marca literal</x:v>
      </x:c>
      <x:c r="H927" s="11"/>
      <x:c r="I927" s="11" t="str">
        <x:f>IF(H927="","",C927-H927)</x:f>
      </x:c>
      <x:c r="J927" s="4"/>
      <x:c r="K927" s="4" t="str">
        <x:v>URLs de detalle page/query/country por clics. No asignan las impresiones de esta consulta a cada página.</x:v>
      </x:c>
    </x:row>
    <x:row r="928" ht="28" customHeight="1">
      <x:c r="A928" s="4" t="n">
        <x:v>918</x:v>
      </x:c>
      <x:c r="B928" s="4" t="str">
        <x:v>en que consiste el check in de un vuelo</x:v>
      </x:c>
      <x:c r="C928" s="11" t="n">
        <x:v>2</x:v>
      </x:c>
      <x:c r="D928" s="11" t="n">
        <x:v>4</x:v>
      </x:c>
      <x:c r="E928" s="14" t="n">
        <x:v>0.5</x:v>
      </x:c>
      <x:c r="F928" s="12" t="n">
        <x:v>1</x:v>
      </x:c>
      <x:c r="G928" s="4" t="str">
        <x:v>Sin marca literal</x:v>
      </x:c>
      <x:c r="H928" s="11"/>
      <x:c r="I928" s="11" t="str">
        <x:f>IF(H928="","",C928-H928)</x:f>
      </x:c>
      <x:c r="J928" s="4"/>
      <x:c r="K928" s="4" t="str">
        <x:v>URLs de detalle page/query/country por clics. No asignan las impresiones de esta consulta a cada página.</x:v>
      </x:c>
    </x:row>
    <x:row r="929" ht="28" customHeight="1">
      <x:c r="A929" s="4" t="n">
        <x:v>919</x:v>
      </x:c>
      <x:c r="B929" s="4" t="str">
        <x:v>quiero cambiar la fecha de mi vuelo</x:v>
      </x:c>
      <x:c r="C929" s="11" t="n">
        <x:v>2</x:v>
      </x:c>
      <x:c r="D929" s="11" t="n">
        <x:v>4</x:v>
      </x:c>
      <x:c r="E929" s="14" t="n">
        <x:v>0.5</x:v>
      </x:c>
      <x:c r="F929" s="12" t="n">
        <x:v>3.25</x:v>
      </x:c>
      <x:c r="G929" s="4" t="str">
        <x:v>Sin marca literal</x:v>
      </x:c>
      <x:c r="H929" s="11"/>
      <x:c r="I929" s="11" t="str">
        <x:f>IF(H929="","",C929-H929)</x:f>
      </x:c>
      <x:c r="J929" s="4"/>
      <x:c r="K929" s="4" t="str">
        <x:v>URLs de detalle page/query/country por clics. No asignan las impresiones de esta consulta a cada página.</x:v>
      </x:c>
    </x:row>
    <x:row r="930" ht="28" customHeight="1">
      <x:c r="A930" s="4" t="n">
        <x:v>920</x:v>
      </x:c>
      <x:c r="B930" s="4" t="str">
        <x:v>skyairline trabaja con nosotros</x:v>
      </x:c>
      <x:c r="C930" s="11" t="n">
        <x:v>2</x:v>
      </x:c>
      <x:c r="D930" s="11" t="n">
        <x:v>4</x:v>
      </x:c>
      <x:c r="E930" s="14" t="n">
        <x:v>0.5</x:v>
      </x:c>
      <x:c r="F930" s="12" t="n">
        <x:v>6</x:v>
      </x:c>
      <x:c r="G930" s="4" t="str">
        <x:v>Sin marca literal</x:v>
      </x:c>
      <x:c r="H930" s="11"/>
      <x:c r="I930" s="11" t="str">
        <x:f>IF(H930="","",C930-H930)</x:f>
      </x:c>
      <x:c r="J930" s="4"/>
      <x:c r="K930" s="4" t="str">
        <x:v>URLs de detalle page/query/country por clics. No asignan las impresiones de esta consulta a cada página.</x:v>
      </x:c>
    </x:row>
    <x:row r="931" ht="28" customHeight="1">
      <x:c r="A931" s="4" t="n">
        <x:v>921</x:v>
      </x:c>
      <x:c r="B931" s="4" t="str">
        <x:v>cambio de vuelo en sky</x:v>
      </x:c>
      <x:c r="C931" s="11" t="n">
        <x:v>2</x:v>
      </x:c>
      <x:c r="D931" s="11" t="n">
        <x:v>3</x:v>
      </x:c>
      <x:c r="E931" s="14" t="n">
        <x:v>0.6666666666666666</x:v>
      </x:c>
      <x:c r="F931" s="12" t="n">
        <x:v>4.333333333333334</x:v>
      </x:c>
      <x:c r="G931" s="4" t="str">
        <x:v>Sin marca literal</x:v>
      </x:c>
      <x:c r="H931" s="11"/>
      <x:c r="I931" s="11" t="str">
        <x:f>IF(H931="","",C931-H931)</x:f>
      </x:c>
      <x:c r="J931" s="4"/>
      <x:c r="K931" s="4" t="str">
        <x:v>URLs de detalle page/query/country por clics. No asignan las impresiones de esta consulta a cada página.</x:v>
      </x:c>
    </x:row>
    <x:row r="932" ht="28" customHeight="1">
      <x:c r="A932" s="4" t="n">
        <x:v>922</x:v>
      </x:c>
      <x:c r="B932" s="4" t="str">
        <x:v>como pagar sky con tarjeta de credito</x:v>
      </x:c>
      <x:c r="C932" s="11" t="n">
        <x:v>2</x:v>
      </x:c>
      <x:c r="D932" s="11" t="n">
        <x:v>2</x:v>
      </x:c>
      <x:c r="E932" s="14" t="n">
        <x:v>1</x:v>
      </x:c>
      <x:c r="F932" s="12" t="n">
        <x:v>1</x:v>
      </x:c>
      <x:c r="G932" s="4" t="str">
        <x:v>Sin marca literal</x:v>
      </x:c>
      <x:c r="H932" s="11"/>
      <x:c r="I932" s="11" t="str">
        <x:f>IF(H932="","",C932-H932)</x:f>
      </x:c>
      <x:c r="J932" s="4"/>
      <x:c r="K932" s="4" t="str">
        <x:v>URLs de detalle page/query/country por clics. No asignan las impresiones de esta consulta a cada página.</x:v>
      </x:c>
    </x:row>
    <x:row r="933" ht="28" customHeight="1">
      <x:c r="A933" s="4" t="n">
        <x:v>923</x:v>
      </x:c>
      <x:c r="B933" s="4" t="str">
        <x:v>trabajo de tripulante de cabina peru</x:v>
      </x:c>
      <x:c r="C933" s="11" t="n">
        <x:v>2</x:v>
      </x:c>
      <x:c r="D933" s="11" t="n">
        <x:v>2</x:v>
      </x:c>
      <x:c r="E933" s="14" t="n">
        <x:v>1</x:v>
      </x:c>
      <x:c r="F933" s="12" t="n">
        <x:v>1</x:v>
      </x:c>
      <x:c r="G933" s="4" t="str">
        <x:v>Sin marca literal</x:v>
      </x:c>
      <x:c r="H933" s="11"/>
      <x:c r="I933" s="11" t="str">
        <x:f>IF(H933="","",C933-H933)</x:f>
      </x:c>
      <x:c r="J933" s="4"/>
      <x:c r="K933" s="4" t="str">
        <x:v>URLs de detalle page/query/country por clics. No asignan las impresiones de esta consulta a cada página.</x:v>
      </x:c>
    </x:row>
    <x:row r="934" ht="28" customHeight="1">
      <x:c r="A934" s="4" t="n">
        <x:v>924</x:v>
      </x:c>
      <x:c r="B934" s="4" t="str">
        <x:v>cuando empieza la primavera en chile</x:v>
      </x:c>
      <x:c r="C934" s="11" t="n">
        <x:v>1</x:v>
      </x:c>
      <x:c r="D934" s="11" t="n">
        <x:v>9723</x:v>
      </x:c>
      <x:c r="E934" s="14" t="n">
        <x:v>0.00010284891494394734</x:v>
      </x:c>
      <x:c r="F934" s="12" t="n">
        <x:v>7.894168466522678</x:v>
      </x:c>
      <x:c r="G934" s="4" t="str">
        <x:v>Sin marca literal</x:v>
      </x:c>
      <x:c r="H934" s="11" t="n">
        <x:v>1</x:v>
      </x:c>
      <x:c r="I934" s="11" t="n">
        <x:f>IF(H934="","",C934-H934)</x:f>
        <x:v>0</x:v>
      </x:c>
      <x:c r="J934" s="4" t="str">
        <x:v>https://blog.skyairline.com/estaciones-en-chile/ (1 clics)</x:v>
      </x:c>
      <x:c r="K934" s="4" t="str">
        <x:v>URLs de detalle page/query/country por clics. No asignan las impresiones de esta consulta a cada página.</x:v>
      </x:c>
    </x:row>
    <x:row r="935" ht="28" customHeight="1">
      <x:c r="A935" s="4" t="n">
        <x:v>925</x:v>
      </x:c>
      <x:c r="B935" s="4" t="str">
        <x:v>terminal sur</x:v>
      </x:c>
      <x:c r="C935" s="11" t="n">
        <x:v>1</x:v>
      </x:c>
      <x:c r="D935" s="11" t="n">
        <x:v>3271</x:v>
      </x:c>
      <x:c r="E935" s="14" t="n">
        <x:v>0.0003057169061449098</x:v>
      </x:c>
      <x:c r="F935" s="12" t="n">
        <x:v>9.601650871293183</x:v>
      </x:c>
      <x:c r="G935" s="4" t="str">
        <x:v>Sin marca literal</x:v>
      </x:c>
      <x:c r="H935" s="11" t="n">
        <x:v>1</x:v>
      </x:c>
      <x:c r="I935" s="11" t="n">
        <x:f>IF(H935="","",C935-H935)</x:f>
        <x:v>0</x:v>
      </x:c>
      <x:c r="J935" s="4" t="str">
        <x:v>https://blog.skyairline.com/terminal-sur-santiago/ (1 clics)</x:v>
      </x:c>
      <x:c r="K935" s="4" t="str">
        <x:v>URLs de detalle page/query/country por clics. No asignan las impresiones de esta consulta a cada página.</x:v>
      </x:c>
    </x:row>
    <x:row r="936" ht="28" customHeight="1">
      <x:c r="A936" s="4" t="n">
        <x:v>926</x:v>
      </x:c>
      <x:c r="B936" s="4" t="str">
        <x:v>primavera en chile</x:v>
      </x:c>
      <x:c r="C936" s="11" t="n">
        <x:v>1</x:v>
      </x:c>
      <x:c r="D936" s="11" t="n">
        <x:v>2626</x:v>
      </x:c>
      <x:c r="E936" s="14" t="n">
        <x:v>0.0003808073115003808</x:v>
      </x:c>
      <x:c r="F936" s="12" t="n">
        <x:v>8.611576542269612</x:v>
      </x:c>
      <x:c r="G936" s="4" t="str">
        <x:v>Sin marca literal</x:v>
      </x:c>
      <x:c r="H936" s="11" t="n">
        <x:v>0</x:v>
      </x:c>
      <x:c r="I936" s="11" t="str">
        <x:f>IF(H936="","",C936-H936)</x:f>
      </x:c>
      <x:c r="J936" s="4" t="str">
        <x:v>https://blog.skyairline.com/estaciones-en-chile/ (1 clics)</x:v>
      </x:c>
      <x:c r="K936" s="4" t="str">
        <x:v>URLs de detalle page/query/country por clics. No asignan las impresiones de esta consulta a cada página.</x:v>
      </x:c>
    </x:row>
    <x:row r="937" ht="28" customHeight="1">
      <x:c r="A937" s="4" t="n">
        <x:v>927</x:v>
      </x:c>
      <x:c r="B937" s="4" t="str">
        <x:v>cuando termina el invierno en chile</x:v>
      </x:c>
      <x:c r="C937" s="11" t="n">
        <x:v>1</x:v>
      </x:c>
      <x:c r="D937" s="11" t="n">
        <x:v>2380</x:v>
      </x:c>
      <x:c r="E937" s="14" t="n">
        <x:v>0.0004201680672268908</x:v>
      </x:c>
      <x:c r="F937" s="12" t="n">
        <x:v>9.161344537815125</x:v>
      </x:c>
      <x:c r="G937" s="4" t="str">
        <x:v>Sin marca literal</x:v>
      </x:c>
      <x:c r="H937" s="11" t="n">
        <x:v>3</x:v>
      </x:c>
      <x:c r="I937" s="11" t="n">
        <x:f>IF(H937="","",C937-H937)</x:f>
        <x:v>-2</x:v>
      </x:c>
      <x:c r="J937" s="4" t="str">
        <x:v>https://blog.skyairline.com/estaciones-en-chile/ (1 clics)</x:v>
      </x:c>
      <x:c r="K937" s="4" t="str">
        <x:v>URLs de detalle page/query/country por clics. No asignan las impresiones de esta consulta a cada página.</x:v>
      </x:c>
    </x:row>
    <x:row r="938" ht="28" customHeight="1">
      <x:c r="A938" s="4" t="n">
        <x:v>928</x:v>
      </x:c>
      <x:c r="B938" s="4" t="str">
        <x:v>hostal</x:v>
      </x:c>
      <x:c r="C938" s="11" t="n">
        <x:v>1</x:v>
      </x:c>
      <x:c r="D938" s="11" t="n">
        <x:v>1660</x:v>
      </x:c>
      <x:c r="E938" s="14" t="n">
        <x:v>0.0006024096385542169</x:v>
      </x:c>
      <x:c r="F938" s="12" t="n">
        <x:v>10.434939759036144</x:v>
      </x:c>
      <x:c r="G938" s="4" t="str">
        <x:v>Sin marca literal</x:v>
      </x:c>
      <x:c r="H938" s="11" t="n">
        <x:v>0</x:v>
      </x:c>
      <x:c r="I938" s="11" t="str">
        <x:f>IF(H938="","",C938-H938)</x:f>
      </x:c>
      <x:c r="J938" s="4" t="str">
        <x:v>https://blog.skyairline.com/que-es-hostal/ (1 clics)</x:v>
      </x:c>
      <x:c r="K938" s="4" t="str">
        <x:v>URLs de detalle page/query/country por clics. No asignan las impresiones de esta consulta a cada página.</x:v>
      </x:c>
    </x:row>
    <x:row r="939" ht="28" customHeight="1">
      <x:c r="A939" s="4" t="n">
        <x:v>929</x:v>
      </x:c>
      <x:c r="B939" s="4" t="str">
        <x:v>rancagua</x:v>
      </x:c>
      <x:c r="C939" s="11" t="n">
        <x:v>1</x:v>
      </x:c>
      <x:c r="D939" s="11" t="n">
        <x:v>1521</x:v>
      </x:c>
      <x:c r="E939" s="14" t="n">
        <x:v>0.0006574621959237344</x:v>
      </x:c>
      <x:c r="F939" s="12" t="n">
        <x:v>13.341880341880342</x:v>
      </x:c>
      <x:c r="G939" s="4" t="str">
        <x:v>Sin marca literal</x:v>
      </x:c>
      <x:c r="H939" s="11" t="n">
        <x:v>1</x:v>
      </x:c>
      <x:c r="I939" s="11" t="n">
        <x:f>IF(H939="","",C939-H939)</x:f>
        <x:v>0</x:v>
      </x:c>
      <x:c r="J939" s="4" t="str">
        <x:v>https://blog.skyairline.com/donde-queda-rancagua/ (1 clics)</x:v>
      </x:c>
      <x:c r="K939" s="4" t="str">
        <x:v>URLs de detalle page/query/country por clics. No asignan las impresiones de esta consulta a cada página.</x:v>
      </x:c>
    </x:row>
    <x:row r="940" ht="28" customHeight="1">
      <x:c r="A940" s="4" t="n">
        <x:v>930</x:v>
      </x:c>
      <x:c r="B940" s="4" t="str">
        <x:v>clima florianopolis</x:v>
      </x:c>
      <x:c r="C940" s="11" t="n">
        <x:v>1</x:v>
      </x:c>
      <x:c r="D940" s="11" t="n">
        <x:v>1508</x:v>
      </x:c>
      <x:c r="E940" s="14" t="n">
        <x:v>0.000663129973474801</x:v>
      </x:c>
      <x:c r="F940" s="12" t="n">
        <x:v>11.232758620689655</x:v>
      </x:c>
      <x:c r="G940" s="4" t="str">
        <x:v>Sin marca literal</x:v>
      </x:c>
      <x:c r="H940" s="11" t="n">
        <x:v>3</x:v>
      </x:c>
      <x:c r="I940" s="11" t="n">
        <x:f>IF(H940="","",C940-H940)</x:f>
        <x:v>-2</x:v>
      </x:c>
      <x:c r="J940" s="4" t="str">
        <x:v>https://blog.skyairline.com/clima-florianopolis/ (1 clics)</x:v>
      </x:c>
      <x:c r="K940" s="4" t="str">
        <x:v>URLs de detalle page/query/country por clics. No asignan las impresiones de esta consulta a cada página.</x:v>
      </x:c>
    </x:row>
    <x:row r="941" ht="28" customHeight="1">
      <x:c r="A941" s="4" t="n">
        <x:v>931</x:v>
      </x:c>
      <x:c r="B941" s="4" t="str">
        <x:v>que es check in</x:v>
      </x:c>
      <x:c r="C941" s="11" t="n">
        <x:v>1</x:v>
      </x:c>
      <x:c r="D941" s="11" t="n">
        <x:v>1319</x:v>
      </x:c>
      <x:c r="E941" s="14" t="n">
        <x:v>0.000758150113722517</x:v>
      </x:c>
      <x:c r="F941" s="12" t="n">
        <x:v>7.087945413191812</x:v>
      </x:c>
      <x:c r="G941" s="4" t="str">
        <x:v>Sin marca literal</x:v>
      </x:c>
      <x:c r="H941" s="11" t="n">
        <x:v>3</x:v>
      </x:c>
      <x:c r="I941" s="11" t="n">
        <x:f>IF(H941="","",C941-H941)</x:f>
        <x:v>-2</x:v>
      </x:c>
      <x:c r="J941" s="4" t="str">
        <x:v>https://blog.skyairline.com/que-es-el-check-in/ (1 clics)</x:v>
      </x:c>
      <x:c r="K941" s="4" t="str">
        <x:v>URLs de detalle page/query/country por clics. No asignan las impresiones de esta consulta a cada página.</x:v>
      </x:c>
    </x:row>
    <x:row r="942" ht="28" customHeight="1">
      <x:c r="A942" s="4" t="n">
        <x:v>932</x:v>
      </x:c>
      <x:c r="B942" s="4" t="str">
        <x:v>cuando comienza el verano en chile</x:v>
      </x:c>
      <x:c r="C942" s="11" t="n">
        <x:v>1</x:v>
      </x:c>
      <x:c r="D942" s="11" t="n">
        <x:v>1261</x:v>
      </x:c>
      <x:c r="E942" s="14" t="n">
        <x:v>0.0007930214115781126</x:v>
      </x:c>
      <x:c r="F942" s="12" t="n">
        <x:v>7.908009516256939</x:v>
      </x:c>
      <x:c r="G942" s="4" t="str">
        <x:v>Sin marca literal</x:v>
      </x:c>
      <x:c r="H942" s="11" t="n">
        <x:v>0</x:v>
      </x:c>
      <x:c r="I942" s="11" t="str">
        <x:f>IF(H942="","",C942-H942)</x:f>
      </x:c>
      <x:c r="J942" s="4" t="str">
        <x:v>https://blog.skyairline.com/estaciones-en-chile/ (1 clics)</x:v>
      </x:c>
      <x:c r="K942" s="4" t="str">
        <x:v>URLs de detalle page/query/country por clics. No asignan las impresiones de esta consulta a cada página.</x:v>
      </x:c>
    </x:row>
    <x:row r="943" ht="28" customHeight="1">
      <x:c r="A943" s="4" t="n">
        <x:v>933</x:v>
      </x:c>
      <x:c r="B943" s="4" t="str">
        <x:v>check in sky airlines</x:v>
      </x:c>
      <x:c r="C943" s="11" t="n">
        <x:v>1</x:v>
      </x:c>
      <x:c r="D943" s="11" t="n">
        <x:v>1145</x:v>
      </x:c>
      <x:c r="E943" s="14" t="n">
        <x:v>0.0008733624454148472</x:v>
      </x:c>
      <x:c r="F943" s="12" t="n">
        <x:v>6.499563318777293</x:v>
      </x:c>
      <x:c r="G943" s="4" t="str">
        <x:v>Contiene marca</x:v>
      </x:c>
      <x:c r="H943" s="11" t="n">
        <x:v>4</x:v>
      </x:c>
      <x:c r="I943" s="11" t="n">
        <x:f>IF(H943="","",C943-H943)</x:f>
        <x:v>-3</x:v>
      </x:c>
      <x:c r="J943" s="4" t="str">
        <x:v>https://blog.skyairline.com/check-in-automatico/ (1 clics)</x:v>
      </x:c>
      <x:c r="K943" s="4" t="str">
        <x:v>URLs de detalle page/query/country por clics. No asignan las impresiones de esta consulta a cada página.</x:v>
      </x:c>
    </x:row>
    <x:row r="944" ht="28" customHeight="1">
      <x:c r="A944" s="4" t="n">
        <x:v>934</x:v>
      </x:c>
      <x:c r="B944" s="4" t="str">
        <x:v>hostal que es</x:v>
      </x:c>
      <x:c r="C944" s="11" t="n">
        <x:v>1</x:v>
      </x:c>
      <x:c r="D944" s="11" t="n">
        <x:v>1020</x:v>
      </x:c>
      <x:c r="E944" s="14" t="n">
        <x:v>0.000980392156862745</x:v>
      </x:c>
      <x:c r="F944" s="12" t="n">
        <x:v>7.23921568627451</x:v>
      </x:c>
      <x:c r="G944" s="4" t="str">
        <x:v>Sin marca literal</x:v>
      </x:c>
      <x:c r="H944" s="11" t="n">
        <x:v>1</x:v>
      </x:c>
      <x:c r="I944" s="11" t="n">
        <x:f>IF(H944="","",C944-H944)</x:f>
        <x:v>0</x:v>
      </x:c>
      <x:c r="J944" s="4" t="str">
        <x:v>https://blog.skyairline.com/que-es-hostal/ (1 clics)</x:v>
      </x:c>
      <x:c r="K944" s="4" t="str">
        <x:v>URLs de detalle page/query/country por clics. No asignan las impresiones de esta consulta a cada página.</x:v>
      </x:c>
    </x:row>
    <x:row r="945" ht="28" customHeight="1">
      <x:c r="A945" s="4" t="n">
        <x:v>935</x:v>
      </x:c>
      <x:c r="B945" s="4" t="str">
        <x:v>invierno en chile</x:v>
      </x:c>
      <x:c r="C945" s="11" t="n">
        <x:v>1</x:v>
      </x:c>
      <x:c r="D945" s="11" t="n">
        <x:v>909</x:v>
      </x:c>
      <x:c r="E945" s="14" t="n">
        <x:v>0.0011001100110011</x:v>
      </x:c>
      <x:c r="F945" s="12" t="n">
        <x:v>6.955995599559956</x:v>
      </x:c>
      <x:c r="G945" s="4" t="str">
        <x:v>Sin marca literal</x:v>
      </x:c>
      <x:c r="H945" s="11"/>
      <x:c r="I945" s="11" t="str">
        <x:f>IF(H945="","",C945-H945)</x:f>
      </x:c>
      <x:c r="J945" s="4"/>
      <x:c r="K945" s="4" t="str">
        <x:v>URLs de detalle page/query/country por clics. No asignan las impresiones de esta consulta a cada página.</x:v>
      </x:c>
    </x:row>
    <x:row r="946" ht="28" customHeight="1">
      <x:c r="A946" s="4" t="n">
        <x:v>936</x:v>
      </x:c>
      <x:c r="B946" s="4" t="str">
        <x:v>laguna de paca</x:v>
      </x:c>
      <x:c r="C946" s="11" t="n">
        <x:v>1</x:v>
      </x:c>
      <x:c r="D946" s="11" t="n">
        <x:v>904</x:v>
      </x:c>
      <x:c r="E946" s="14" t="n">
        <x:v>0.0011061946902654867</x:v>
      </x:c>
      <x:c r="F946" s="12" t="n">
        <x:v>11.823008849557523</x:v>
      </x:c>
      <x:c r="G946" s="4" t="str">
        <x:v>Sin marca literal</x:v>
      </x:c>
      <x:c r="H946" s="11"/>
      <x:c r="I946" s="11" t="str">
        <x:f>IF(H946="","",C946-H946)</x:f>
      </x:c>
      <x:c r="J946" s="4"/>
      <x:c r="K946" s="4" t="str">
        <x:v>URLs de detalle page/query/country por clics. No asignan las impresiones de esta consulta a cada página.</x:v>
      </x:c>
    </x:row>
    <x:row r="947" ht="28" customHeight="1">
      <x:c r="A947" s="4" t="n">
        <x:v>937</x:v>
      </x:c>
      <x:c r="B947" s="4" t="str">
        <x:v>como llegar al aeropuerto de santiago</x:v>
      </x:c>
      <x:c r="C947" s="11" t="n">
        <x:v>1</x:v>
      </x:c>
      <x:c r="D947" s="11" t="n">
        <x:v>789</x:v>
      </x:c>
      <x:c r="E947" s="14" t="n">
        <x:v>0.0012674271229404308</x:v>
      </x:c>
      <x:c r="F947" s="12" t="n">
        <x:v>8.874524714828897</x:v>
      </x:c>
      <x:c r="G947" s="4" t="str">
        <x:v>Sin marca literal</x:v>
      </x:c>
      <x:c r="H947" s="11"/>
      <x:c r="I947" s="11" t="str">
        <x:f>IF(H947="","",C947-H947)</x:f>
      </x:c>
      <x:c r="J947" s="4"/>
      <x:c r="K947" s="4" t="str">
        <x:v>URLs de detalle page/query/country por clics. No asignan las impresiones de esta consulta a cada página.</x:v>
      </x:c>
    </x:row>
    <x:row r="948" ht="28" customHeight="1">
      <x:c r="A948" s="4" t="n">
        <x:v>938</x:v>
      </x:c>
      <x:c r="B948" s="4" t="str">
        <x:v>mendoza plaza shopping</x:v>
      </x:c>
      <x:c r="C948" s="11" t="n">
        <x:v>1</x:v>
      </x:c>
      <x:c r="D948" s="11" t="n">
        <x:v>772</x:v>
      </x:c>
      <x:c r="E948" s="14" t="n">
        <x:v>0.0012953367875647669</x:v>
      </x:c>
      <x:c r="F948" s="12" t="n">
        <x:v>7.884715025906735</x:v>
      </x:c>
      <x:c r="G948" s="4" t="str">
        <x:v>Sin marca literal</x:v>
      </x:c>
      <x:c r="H948" s="11"/>
      <x:c r="I948" s="11" t="str">
        <x:f>IF(H948="","",C948-H948)</x:f>
      </x:c>
      <x:c r="J948" s="4"/>
      <x:c r="K948" s="4" t="str">
        <x:v>URLs de detalle page/query/country por clics. No asignan las impresiones de esta consulta a cada página.</x:v>
      </x:c>
    </x:row>
    <x:row r="949" ht="28" customHeight="1">
      <x:c r="A949" s="4" t="n">
        <x:v>939</x:v>
      </x:c>
      <x:c r="B949" s="4" t="str">
        <x:v>que es hostal</x:v>
      </x:c>
      <x:c r="C949" s="11" t="n">
        <x:v>1</x:v>
      </x:c>
      <x:c r="D949" s="11" t="n">
        <x:v>735</x:v>
      </x:c>
      <x:c r="E949" s="14" t="n">
        <x:v>0.0013605442176870747</x:v>
      </x:c>
      <x:c r="F949" s="12" t="n">
        <x:v>7.0843537414965985</x:v>
      </x:c>
      <x:c r="G949" s="4" t="str">
        <x:v>Sin marca literal</x:v>
      </x:c>
      <x:c r="H949" s="11"/>
      <x:c r="I949" s="11" t="str">
        <x:f>IF(H949="","",C949-H949)</x:f>
      </x:c>
      <x:c r="J949" s="4"/>
      <x:c r="K949" s="4" t="str">
        <x:v>URLs de detalle page/query/country por clics. No asignan las impresiones de esta consulta a cada página.</x:v>
      </x:c>
    </x:row>
    <x:row r="950" ht="28" customHeight="1">
      <x:c r="A950" s="4" t="n">
        <x:v>940</x:v>
      </x:c>
      <x:c r="B950" s="4" t="str">
        <x:v>cañon de shucto</x:v>
      </x:c>
      <x:c r="C950" s="11" t="n">
        <x:v>1</x:v>
      </x:c>
      <x:c r="D950" s="11" t="n">
        <x:v>687</x:v>
      </x:c>
      <x:c r="E950" s="14" t="n">
        <x:v>0.001455604075691412</x:v>
      </x:c>
      <x:c r="F950" s="12" t="n">
        <x:v>7.767103347889374</x:v>
      </x:c>
      <x:c r="G950" s="4" t="str">
        <x:v>Sin marca literal</x:v>
      </x:c>
      <x:c r="H950" s="11"/>
      <x:c r="I950" s="11" t="str">
        <x:f>IF(H950="","",C950-H950)</x:f>
      </x:c>
      <x:c r="J950" s="4"/>
      <x:c r="K950" s="4" t="str">
        <x:v>URLs de detalle page/query/country por clics. No asignan las impresiones de esta consulta a cada página.</x:v>
      </x:c>
    </x:row>
    <x:row r="951" ht="28" customHeight="1">
      <x:c r="A951" s="4" t="n">
        <x:v>941</x:v>
      </x:c>
      <x:c r="B951" s="4" t="str">
        <x:v>distancia de santo domingo a punta cana</x:v>
      </x:c>
      <x:c r="C951" s="11" t="n">
        <x:v>1</x:v>
      </x:c>
      <x:c r="D951" s="11" t="n">
        <x:v>663</x:v>
      </x:c>
      <x:c r="E951" s="14" t="n">
        <x:v>0.0015082956259426848</x:v>
      </x:c>
      <x:c r="F951" s="12" t="n">
        <x:v>8.97737556561086</x:v>
      </x:c>
      <x:c r="G951" s="4" t="str">
        <x:v>Sin marca literal</x:v>
      </x:c>
      <x:c r="H951" s="11"/>
      <x:c r="I951" s="11" t="str">
        <x:f>IF(H951="","",C951-H951)</x:f>
      </x:c>
      <x:c r="J951" s="4"/>
      <x:c r="K951" s="4" t="str">
        <x:v>URLs de detalle page/query/country por clics. No asignan las impresiones de esta consulta a cada página.</x:v>
      </x:c>
    </x:row>
    <x:row r="952" ht="28" customHeight="1">
      <x:c r="A952" s="4" t="n">
        <x:v>942</x:v>
      </x:c>
      <x:c r="B952" s="4" t="str">
        <x:v>beto carrero</x:v>
      </x:c>
      <x:c r="C952" s="11" t="n">
        <x:v>1</x:v>
      </x:c>
      <x:c r="D952" s="11" t="n">
        <x:v>623</x:v>
      </x:c>
      <x:c r="E952" s="14" t="n">
        <x:v>0.0016051364365971107</x:v>
      </x:c>
      <x:c r="F952" s="12" t="n">
        <x:v>9.085072231139646</x:v>
      </x:c>
      <x:c r="G952" s="4" t="str">
        <x:v>Sin marca literal</x:v>
      </x:c>
      <x:c r="H952" s="11"/>
      <x:c r="I952" s="11" t="str">
        <x:f>IF(H952="","",C952-H952)</x:f>
      </x:c>
      <x:c r="J952" s="4"/>
      <x:c r="K952" s="4" t="str">
        <x:v>URLs de detalle page/query/country por clics. No asignan las impresiones de esta consulta a cada página.</x:v>
      </x:c>
    </x:row>
    <x:row r="953" ht="28" customHeight="1">
      <x:c r="A953" s="4" t="n">
        <x:v>943</x:v>
      </x:c>
      <x:c r="B953" s="4" t="str">
        <x:v>conviene el cambio de peso chileno a real brasileño</x:v>
      </x:c>
      <x:c r="C953" s="11" t="n">
        <x:v>1</x:v>
      </x:c>
      <x:c r="D953" s="11" t="n">
        <x:v>623</x:v>
      </x:c>
      <x:c r="E953" s="14" t="n">
        <x:v>0.0016051364365971107</x:v>
      </x:c>
      <x:c r="F953" s="12" t="n">
        <x:v>8.062600321027286</x:v>
      </x:c>
      <x:c r="G953" s="4" t="str">
        <x:v>Sin marca literal</x:v>
      </x:c>
      <x:c r="H953" s="11"/>
      <x:c r="I953" s="11" t="str">
        <x:f>IF(H953="","",C953-H953)</x:f>
      </x:c>
      <x:c r="J953" s="4"/>
      <x:c r="K953" s="4" t="str">
        <x:v>URLs de detalle page/query/country por clics. No asignan las impresiones de esta consulta a cada página.</x:v>
      </x:c>
    </x:row>
    <x:row r="954" ht="28" customHeight="1">
      <x:c r="A954" s="4" t="n">
        <x:v>944</x:v>
      </x:c>
      <x:c r="B954" s="4" t="str">
        <x:v>sky airline check in</x:v>
      </x:c>
      <x:c r="C954" s="11" t="n">
        <x:v>1</x:v>
      </x:c>
      <x:c r="D954" s="11" t="n">
        <x:v>623</x:v>
      </x:c>
      <x:c r="E954" s="14" t="n">
        <x:v>0.0016051364365971107</x:v>
      </x:c>
      <x:c r="F954" s="12" t="n">
        <x:v>7.157303370786517</x:v>
      </x:c>
      <x:c r="G954" s="4" t="str">
        <x:v>Sin marca literal</x:v>
      </x:c>
      <x:c r="H954" s="11"/>
      <x:c r="I954" s="11" t="str">
        <x:f>IF(H954="","",C954-H954)</x:f>
      </x:c>
      <x:c r="J954" s="4"/>
      <x:c r="K954" s="4" t="str">
        <x:v>URLs de detalle page/query/country por clics. No asignan las impresiones de esta consulta a cada página.</x:v>
      </x:c>
    </x:row>
    <x:row r="955" ht="28" customHeight="1">
      <x:c r="A955" s="4" t="n">
        <x:v>945</x:v>
      </x:c>
      <x:c r="B955" s="4" t="str">
        <x:v>jurere</x:v>
      </x:c>
      <x:c r="C955" s="11" t="n">
        <x:v>1</x:v>
      </x:c>
      <x:c r="D955" s="11" t="n">
        <x:v>622</x:v>
      </x:c>
      <x:c r="E955" s="14" t="n">
        <x:v>0.001607717041800643</x:v>
      </x:c>
      <x:c r="F955" s="12" t="n">
        <x:v>10.541800643086816</x:v>
      </x:c>
      <x:c r="G955" s="4" t="str">
        <x:v>Sin marca literal</x:v>
      </x:c>
      <x:c r="H955" s="11"/>
      <x:c r="I955" s="11" t="str">
        <x:f>IF(H955="","",C955-H955)</x:f>
      </x:c>
      <x:c r="J955" s="4"/>
      <x:c r="K955" s="4" t="str">
        <x:v>URLs de detalle page/query/country por clics. No asignan las impresiones de esta consulta a cada página.</x:v>
      </x:c>
    </x:row>
    <x:row r="956" ht="28" customHeight="1">
      <x:c r="A956" s="4" t="n">
        <x:v>946</x:v>
      </x:c>
      <x:c r="B956" s="4" t="str">
        <x:v>zona sur</x:v>
      </x:c>
      <x:c r="C956" s="11" t="n">
        <x:v>1</x:v>
      </x:c>
      <x:c r="D956" s="11" t="n">
        <x:v>596</x:v>
      </x:c>
      <x:c r="E956" s="14" t="n">
        <x:v>0.0016778523489932886</x:v>
      </x:c>
      <x:c r="F956" s="12" t="n">
        <x:v>7.739932885906041</x:v>
      </x:c>
      <x:c r="G956" s="4" t="str">
        <x:v>Sin marca literal</x:v>
      </x:c>
      <x:c r="H956" s="11"/>
      <x:c r="I956" s="11" t="str">
        <x:f>IF(H956="","",C956-H956)</x:f>
      </x:c>
      <x:c r="J956" s="4"/>
      <x:c r="K956" s="4" t="str">
        <x:v>URLs de detalle page/query/country por clics. No asignan las impresiones de esta consulta a cada página.</x:v>
      </x:c>
    </x:row>
    <x:row r="957" ht="28" customHeight="1">
      <x:c r="A957" s="4" t="n">
        <x:v>947</x:v>
      </x:c>
      <x:c r="B957" s="4" t="str">
        <x:v>valdivia</x:v>
      </x:c>
      <x:c r="C957" s="11" t="n">
        <x:v>1</x:v>
      </x:c>
      <x:c r="D957" s="11" t="n">
        <x:v>573</x:v>
      </x:c>
      <x:c r="E957" s="14" t="n">
        <x:v>0.0017452006980802793</x:v>
      </x:c>
      <x:c r="F957" s="12" t="n">
        <x:v>19.612565445026178</x:v>
      </x:c>
      <x:c r="G957" s="4" t="str">
        <x:v>Sin marca literal</x:v>
      </x:c>
      <x:c r="H957" s="11"/>
      <x:c r="I957" s="11" t="str">
        <x:f>IF(H957="","",C957-H957)</x:f>
      </x:c>
      <x:c r="J957" s="4"/>
      <x:c r="K957" s="4" t="str">
        <x:v>URLs de detalle page/query/country por clics. No asignan las impresiones de esta consulta a cada página.</x:v>
      </x:c>
    </x:row>
    <x:row r="958" ht="28" customHeight="1">
      <x:c r="A958" s="4" t="n">
        <x:v>948</x:v>
      </x:c>
      <x:c r="B958" s="4" t="str">
        <x:v>donde queda rancagua</x:v>
      </x:c>
      <x:c r="C958" s="11" t="n">
        <x:v>1</x:v>
      </x:c>
      <x:c r="D958" s="11" t="n">
        <x:v>526</x:v>
      </x:c>
      <x:c r="E958" s="14" t="n">
        <x:v>0.0019011406844106464</x:v>
      </x:c>
      <x:c r="F958" s="12" t="n">
        <x:v>3.8916349809885933</x:v>
      </x:c>
      <x:c r="G958" s="4" t="str">
        <x:v>Sin marca literal</x:v>
      </x:c>
      <x:c r="H958" s="11"/>
      <x:c r="I958" s="11" t="str">
        <x:f>IF(H958="","",C958-H958)</x:f>
      </x:c>
      <x:c r="J958" s="4"/>
      <x:c r="K958" s="4" t="str">
        <x:v>URLs de detalle page/query/country por clics. No asignan las impresiones de esta consulta a cada página.</x:v>
      </x:c>
    </x:row>
    <x:row r="959" ht="28" customHeight="1">
      <x:c r="A959" s="4" t="n">
        <x:v>949</x:v>
      </x:c>
      <x:c r="B959" s="4" t="str">
        <x:v>rajuntay</x:v>
      </x:c>
      <x:c r="C959" s="11" t="n">
        <x:v>1</x:v>
      </x:c>
      <x:c r="D959" s="11" t="n">
        <x:v>519</x:v>
      </x:c>
      <x:c r="E959" s="14" t="n">
        <x:v>0.0019267822736030828</x:v>
      </x:c>
      <x:c r="F959" s="12" t="n">
        <x:v>10.64932562620424</x:v>
      </x:c>
      <x:c r="G959" s="4" t="str">
        <x:v>Sin marca literal</x:v>
      </x:c>
      <x:c r="H959" s="11"/>
      <x:c r="I959" s="11" t="str">
        <x:f>IF(H959="","",C959-H959)</x:f>
      </x:c>
      <x:c r="J959" s="4"/>
      <x:c r="K959" s="4" t="str">
        <x:v>URLs de detalle page/query/country por clics. No asignan las impresiones de esta consulta a cada página.</x:v>
      </x:c>
    </x:row>
    <x:row r="960" ht="28" customHeight="1">
      <x:c r="A960" s="4" t="n">
        <x:v>950</x:v>
      </x:c>
      <x:c r="B960" s="4" t="str">
        <x:v>desierto de ica</x:v>
      </x:c>
      <x:c r="C960" s="11" t="n">
        <x:v>1</x:v>
      </x:c>
      <x:c r="D960" s="11" t="n">
        <x:v>510</x:v>
      </x:c>
      <x:c r="E960" s="14" t="n">
        <x:v>0.00196078431372549</x:v>
      </x:c>
      <x:c r="F960" s="12" t="n">
        <x:v>10.003921568627451</x:v>
      </x:c>
      <x:c r="G960" s="4" t="str">
        <x:v>Sin marca literal</x:v>
      </x:c>
      <x:c r="H960" s="11"/>
      <x:c r="I960" s="11" t="str">
        <x:f>IF(H960="","",C960-H960)</x:f>
      </x:c>
      <x:c r="J960" s="4"/>
      <x:c r="K960" s="4" t="str">
        <x:v>URLs de detalle page/query/country por clics. No asignan las impresiones de esta consulta a cada página.</x:v>
      </x:c>
    </x:row>
    <x:row r="961" ht="28" customHeight="1">
      <x:c r="A961" s="4" t="n">
        <x:v>951</x:v>
      </x:c>
      <x:c r="B961" s="4" t="str">
        <x:v>barra da tijuca</x:v>
      </x:c>
      <x:c r="C961" s="11" t="n">
        <x:v>1</x:v>
      </x:c>
      <x:c r="D961" s="11" t="n">
        <x:v>509</x:v>
      </x:c>
      <x:c r="E961" s="14" t="n">
        <x:v>0.0019646365422396855</x:v>
      </x:c>
      <x:c r="F961" s="12" t="n">
        <x:v>11.161100196463654</x:v>
      </x:c>
      <x:c r="G961" s="4" t="str">
        <x:v>Sin marca literal</x:v>
      </x:c>
      <x:c r="H961" s="11"/>
      <x:c r="I961" s="11" t="str">
        <x:f>IF(H961="","",C961-H961)</x:f>
      </x:c>
      <x:c r="J961" s="4"/>
      <x:c r="K961" s="4" t="str">
        <x:v>URLs de detalle page/query/country por clics. No asignan las impresiones de esta consulta a cada página.</x:v>
      </x:c>
    </x:row>
    <x:row r="962" ht="28" customHeight="1">
      <x:c r="A962" s="4" t="n">
        <x:v>952</x:v>
      </x:c>
      <x:c r="B962" s="4" t="str">
        <x:v>clima en punta cana</x:v>
      </x:c>
      <x:c r="C962" s="11" t="n">
        <x:v>1</x:v>
      </x:c>
      <x:c r="D962" s="11" t="n">
        <x:v>507</x:v>
      </x:c>
      <x:c r="E962" s="14" t="n">
        <x:v>0.0019723865877712033</x:v>
      </x:c>
      <x:c r="F962" s="12" t="n">
        <x:v>9.429980276134122</x:v>
      </x:c>
      <x:c r="G962" s="4" t="str">
        <x:v>Sin marca literal</x:v>
      </x:c>
      <x:c r="H962" s="11"/>
      <x:c r="I962" s="11" t="str">
        <x:f>IF(H962="","",C962-H962)</x:f>
      </x:c>
      <x:c r="J962" s="4"/>
      <x:c r="K962" s="4" t="str">
        <x:v>URLs de detalle page/query/country por clics. No asignan las impresiones de esta consulta a cada página.</x:v>
      </x:c>
    </x:row>
    <x:row r="963" ht="28" customHeight="1">
      <x:c r="A963" s="4" t="n">
        <x:v>953</x:v>
      </x:c>
      <x:c r="B963" s="4" t="str">
        <x:v>folclore chileno</x:v>
      </x:c>
      <x:c r="C963" s="11" t="n">
        <x:v>1</x:v>
      </x:c>
      <x:c r="D963" s="11" t="n">
        <x:v>506</x:v>
      </x:c>
      <x:c r="E963" s="14" t="n">
        <x:v>0.001976284584980237</x:v>
      </x:c>
      <x:c r="F963" s="12" t="n">
        <x:v>9.189723320158103</x:v>
      </x:c>
      <x:c r="G963" s="4" t="str">
        <x:v>Sin marca literal</x:v>
      </x:c>
      <x:c r="H963" s="11"/>
      <x:c r="I963" s="11" t="str">
        <x:f>IF(H963="","",C963-H963)</x:f>
      </x:c>
      <x:c r="J963" s="4"/>
      <x:c r="K963" s="4" t="str">
        <x:v>URLs de detalle page/query/country por clics. No asignan las impresiones de esta consulta a cada página.</x:v>
      </x:c>
    </x:row>
    <x:row r="964" ht="28" customHeight="1">
      <x:c r="A964" s="4" t="n">
        <x:v>954</x:v>
      </x:c>
      <x:c r="B964" s="4" t="str">
        <x:v>bungee</x:v>
      </x:c>
      <x:c r="C964" s="11" t="n">
        <x:v>1</x:v>
      </x:c>
      <x:c r="D964" s="11" t="n">
        <x:v>501</x:v>
      </x:c>
      <x:c r="E964" s="14" t="n">
        <x:v>0.001996007984031936</x:v>
      </x:c>
      <x:c r="F964" s="12" t="n">
        <x:v>9.688622754491018</x:v>
      </x:c>
      <x:c r="G964" s="4" t="str">
        <x:v>Sin marca literal</x:v>
      </x:c>
      <x:c r="H964" s="11"/>
      <x:c r="I964" s="11" t="str">
        <x:f>IF(H964="","",C964-H964)</x:f>
      </x:c>
      <x:c r="J964" s="4"/>
      <x:c r="K964" s="4" t="str">
        <x:v>URLs de detalle page/query/country por clics. No asignan las impresiones de esta consulta a cada página.</x:v>
      </x:c>
    </x:row>
    <x:row r="965" ht="28" customHeight="1">
      <x:c r="A965" s="4" t="n">
        <x:v>955</x:v>
      </x:c>
      <x:c r="B965" s="4" t="str">
        <x:v>punta cana</x:v>
      </x:c>
      <x:c r="C965" s="11" t="n">
        <x:v>1</x:v>
      </x:c>
      <x:c r="D965" s="11" t="n">
        <x:v>500</x:v>
      </x:c>
      <x:c r="E965" s="14" t="n">
        <x:v>0.002</x:v>
      </x:c>
      <x:c r="F965" s="12" t="n">
        <x:v>13.858</x:v>
      </x:c>
      <x:c r="G965" s="4" t="str">
        <x:v>Sin marca literal</x:v>
      </x:c>
      <x:c r="H965" s="11"/>
      <x:c r="I965" s="11" t="str">
        <x:f>IF(H965="","",C965-H965)</x:f>
      </x:c>
      <x:c r="J965" s="4"/>
      <x:c r="K965" s="4" t="str">
        <x:v>URLs de detalle page/query/country por clics. No asignan las impresiones de esta consulta a cada página.</x:v>
      </x:c>
    </x:row>
    <x:row r="966" ht="28" customHeight="1">
      <x:c r="A966" s="4" t="n">
        <x:v>956</x:v>
      </x:c>
      <x:c r="B966" s="4" t="str">
        <x:v>pueblos originarios del norte de chile</x:v>
      </x:c>
      <x:c r="C966" s="11" t="n">
        <x:v>1</x:v>
      </x:c>
      <x:c r="D966" s="11" t="n">
        <x:v>490</x:v>
      </x:c>
      <x:c r="E966" s="14" t="n">
        <x:v>0.0020408163265306124</x:v>
      </x:c>
      <x:c r="F966" s="12" t="n">
        <x:v>6.469387755102041</x:v>
      </x:c>
      <x:c r="G966" s="4" t="str">
        <x:v>Sin marca literal</x:v>
      </x:c>
      <x:c r="H966" s="11"/>
      <x:c r="I966" s="11" t="str">
        <x:f>IF(H966="","",C966-H966)</x:f>
      </x:c>
      <x:c r="J966" s="4"/>
      <x:c r="K966" s="4" t="str">
        <x:v>URLs de detalle page/query/country por clics. No asignan las impresiones de esta consulta a cada página.</x:v>
      </x:c>
    </x:row>
    <x:row r="967" ht="28" customHeight="1">
      <x:c r="A967" s="4" t="n">
        <x:v>957</x:v>
      </x:c>
      <x:c r="B967" s="4" t="str">
        <x:v>sao paulo</x:v>
      </x:c>
      <x:c r="C967" s="11" t="n">
        <x:v>1</x:v>
      </x:c>
      <x:c r="D967" s="11" t="n">
        <x:v>479</x:v>
      </x:c>
      <x:c r="E967" s="14" t="n">
        <x:v>0.0020876826722338203</x:v>
      </x:c>
      <x:c r="F967" s="12" t="n">
        <x:v>13.588726513569938</x:v>
      </x:c>
      <x:c r="G967" s="4" t="str">
        <x:v>Sin marca literal</x:v>
      </x:c>
      <x:c r="H967" s="11"/>
      <x:c r="I967" s="11" t="str">
        <x:f>IF(H967="","",C967-H967)</x:f>
      </x:c>
      <x:c r="J967" s="4"/>
      <x:c r="K967" s="4" t="str">
        <x:v>URLs de detalle page/query/country por clics. No asignan las impresiones de esta consulta a cada página.</x:v>
      </x:c>
    </x:row>
    <x:row r="968" ht="28" customHeight="1">
      <x:c r="A968" s="4" t="n">
        <x:v>958</x:v>
      </x:c>
      <x:c r="B968" s="4" t="str">
        <x:v>dónde queda punta sal</x:v>
      </x:c>
      <x:c r="C968" s="11" t="n">
        <x:v>1</x:v>
      </x:c>
      <x:c r="D968" s="11" t="n">
        <x:v>476</x:v>
      </x:c>
      <x:c r="E968" s="14" t="n">
        <x:v>0.0021008403361344537</x:v>
      </x:c>
      <x:c r="F968" s="12" t="n">
        <x:v>7.544117647058823</x:v>
      </x:c>
      <x:c r="G968" s="4" t="str">
        <x:v>Sin marca literal</x:v>
      </x:c>
      <x:c r="H968" s="11"/>
      <x:c r="I968" s="11" t="str">
        <x:f>IF(H968="","",C968-H968)</x:f>
      </x:c>
      <x:c r="J968" s="4"/>
      <x:c r="K968" s="4" t="str">
        <x:v>URLs de detalle page/query/country por clics. No asignan las impresiones de esta consulta a cada página.</x:v>
      </x:c>
    </x:row>
    <x:row r="969" ht="28" customHeight="1">
      <x:c r="A969" s="4" t="n">
        <x:v>959</x:v>
      </x:c>
      <x:c r="B969" s="4" t="str">
        <x:v>en qué estación estamos</x:v>
      </x:c>
      <x:c r="C969" s="11" t="n">
        <x:v>1</x:v>
      </x:c>
      <x:c r="D969" s="11" t="n">
        <x:v>470</x:v>
      </x:c>
      <x:c r="E969" s="14" t="n">
        <x:v>0.002127659574468085</x:v>
      </x:c>
      <x:c r="F969" s="12" t="n">
        <x:v>5.529787234042553</x:v>
      </x:c>
      <x:c r="G969" s="4" t="str">
        <x:v>Sin marca literal</x:v>
      </x:c>
      <x:c r="H969" s="11"/>
      <x:c r="I969" s="11" t="str">
        <x:f>IF(H969="","",C969-H969)</x:f>
      </x:c>
      <x:c r="J969" s="4"/>
      <x:c r="K969" s="4" t="str">
        <x:v>URLs de detalle page/query/country por clics. No asignan las impresiones de esta consulta a cada página.</x:v>
      </x:c>
    </x:row>
    <x:row r="970" ht="28" customHeight="1">
      <x:c r="A970" s="4" t="n">
        <x:v>960</x:v>
      </x:c>
      <x:c r="B970" s="4" t="str">
        <x:v>leblon</x:v>
      </x:c>
      <x:c r="C970" s="11" t="n">
        <x:v>1</x:v>
      </x:c>
      <x:c r="D970" s="11" t="n">
        <x:v>470</x:v>
      </x:c>
      <x:c r="E970" s="14" t="n">
        <x:v>0.002127659574468085</x:v>
      </x:c>
      <x:c r="F970" s="12" t="n">
        <x:v>10.208510638297872</x:v>
      </x:c>
      <x:c r="G970" s="4" t="str">
        <x:v>Sin marca literal</x:v>
      </x:c>
      <x:c r="H970" s="11"/>
      <x:c r="I970" s="11" t="str">
        <x:f>IF(H970="","",C970-H970)</x:f>
      </x:c>
      <x:c r="J970" s="4"/>
      <x:c r="K970" s="4" t="str">
        <x:v>URLs de detalle page/query/country por clics. No asignan las impresiones de esta consulta a cada página.</x:v>
      </x:c>
    </x:row>
    <x:row r="971" ht="28" customHeight="1">
      <x:c r="A971" s="4" t="n">
        <x:v>961</x:v>
      </x:c>
      <x:c r="B971" s="4" t="str">
        <x:v>hornopiren donde queda</x:v>
      </x:c>
      <x:c r="C971" s="11" t="n">
        <x:v>1</x:v>
      </x:c>
      <x:c r="D971" s="11" t="n">
        <x:v>465</x:v>
      </x:c>
      <x:c r="E971" s="14" t="n">
        <x:v>0.002150537634408602</x:v>
      </x:c>
      <x:c r="F971" s="12" t="n">
        <x:v>5.812903225806451</x:v>
      </x:c>
      <x:c r="G971" s="4" t="str">
        <x:v>Sin marca literal</x:v>
      </x:c>
      <x:c r="H971" s="11"/>
      <x:c r="I971" s="11" t="str">
        <x:f>IF(H971="","",C971-H971)</x:f>
      </x:c>
      <x:c r="J971" s="4"/>
      <x:c r="K971" s="4" t="str">
        <x:v>URLs de detalle page/query/country por clics. No asignan las impresiones de esta consulta a cada página.</x:v>
      </x:c>
    </x:row>
    <x:row r="972" ht="28" customHeight="1">
      <x:c r="A972" s="4" t="n">
        <x:v>962</x:v>
      </x:c>
      <x:c r="B972" s="4" t="str">
        <x:v>terminal sur santiago como llegar</x:v>
      </x:c>
      <x:c r="C972" s="11" t="n">
        <x:v>1</x:v>
      </x:c>
      <x:c r="D972" s="11" t="n">
        <x:v>463</x:v>
      </x:c>
      <x:c r="E972" s="14" t="n">
        <x:v>0.0021598272138228943</x:v>
      </x:c>
      <x:c r="F972" s="12" t="n">
        <x:v>6.667386609071274</x:v>
      </x:c>
      <x:c r="G972" s="4" t="str">
        <x:v>Sin marca literal</x:v>
      </x:c>
      <x:c r="H972" s="11"/>
      <x:c r="I972" s="11" t="str">
        <x:f>IF(H972="","",C972-H972)</x:f>
      </x:c>
      <x:c r="J972" s="4"/>
      <x:c r="K972" s="4" t="str">
        <x:v>URLs de detalle page/query/country por clics. No asignan las impresiones de esta consulta a cada página.</x:v>
      </x:c>
    </x:row>
    <x:row r="973" ht="28" customHeight="1">
      <x:c r="A973" s="4" t="n">
        <x:v>963</x:v>
      </x:c>
      <x:c r="B973" s="4" t="str">
        <x:v>hostal significado</x:v>
      </x:c>
      <x:c r="C973" s="11" t="n">
        <x:v>1</x:v>
      </x:c>
      <x:c r="D973" s="11" t="n">
        <x:v>457</x:v>
      </x:c>
      <x:c r="E973" s="14" t="n">
        <x:v>0.002188183807439825</x:v>
      </x:c>
      <x:c r="F973" s="12" t="n">
        <x:v>6.964989059080962</x:v>
      </x:c>
      <x:c r="G973" s="4" t="str">
        <x:v>Sin marca literal</x:v>
      </x:c>
      <x:c r="H973" s="11"/>
      <x:c r="I973" s="11" t="str">
        <x:f>IF(H973="","",C973-H973)</x:f>
      </x:c>
      <x:c r="J973" s="4"/>
      <x:c r="K973" s="4" t="str">
        <x:v>URLs de detalle page/query/country por clics. No asignan las impresiones de esta consulta a cada página.</x:v>
      </x:c>
    </x:row>
    <x:row r="974" ht="28" customHeight="1">
      <x:c r="A974" s="4" t="n">
        <x:v>964</x:v>
      </x:c>
      <x:c r="B974" s="4" t="str">
        <x:v>angelmo</x:v>
      </x:c>
      <x:c r="C974" s="11" t="n">
        <x:v>1</x:v>
      </x:c>
      <x:c r="D974" s="11" t="n">
        <x:v>435</x:v>
      </x:c>
      <x:c r="E974" s="14" t="n">
        <x:v>0.0022988505747126436</x:v>
      </x:c>
      <x:c r="F974" s="12" t="n">
        <x:v>10.303448275862069</x:v>
      </x:c>
      <x:c r="G974" s="4" t="str">
        <x:v>Sin marca literal</x:v>
      </x:c>
      <x:c r="H974" s="11"/>
      <x:c r="I974" s="11" t="str">
        <x:f>IF(H974="","",C974-H974)</x:f>
      </x:c>
      <x:c r="J974" s="4"/>
      <x:c r="K974" s="4" t="str">
        <x:v>URLs de detalle page/query/country por clics. No asignan las impresiones de esta consulta a cada página.</x:v>
      </x:c>
    </x:row>
    <x:row r="975" ht="28" customHeight="1">
      <x:c r="A975" s="4" t="n">
        <x:v>965</x:v>
      </x:c>
      <x:c r="B975" s="4" t="str">
        <x:v>de lima a chiclayo cuantas horas</x:v>
      </x:c>
      <x:c r="C975" s="11" t="n">
        <x:v>1</x:v>
      </x:c>
      <x:c r="D975" s="11" t="n">
        <x:v>432</x:v>
      </x:c>
      <x:c r="E975" s="14" t="n">
        <x:v>0.0023148148148148147</x:v>
      </x:c>
      <x:c r="F975" s="12" t="n">
        <x:v>8.541666666666668</x:v>
      </x:c>
      <x:c r="G975" s="4" t="str">
        <x:v>Sin marca literal</x:v>
      </x:c>
      <x:c r="H975" s="11"/>
      <x:c r="I975" s="11" t="str">
        <x:f>IF(H975="","",C975-H975)</x:f>
      </x:c>
      <x:c r="J975" s="4"/>
      <x:c r="K975" s="4" t="str">
        <x:v>URLs de detalle page/query/country por clics. No asignan las impresiones de esta consulta a cada página.</x:v>
      </x:c>
    </x:row>
    <x:row r="976" ht="28" customHeight="1">
      <x:c r="A976" s="4" t="n">
        <x:v>966</x:v>
      </x:c>
      <x:c r="B976" s="4" t="str">
        <x:v>se puede llevar desodorante en spray en avion</x:v>
      </x:c>
      <x:c r="C976" s="11" t="n">
        <x:v>1</x:v>
      </x:c>
      <x:c r="D976" s="11" t="n">
        <x:v>421</x:v>
      </x:c>
      <x:c r="E976" s="14" t="n">
        <x:v>0.0023752969121140144</x:v>
      </x:c>
      <x:c r="F976" s="12" t="n">
        <x:v>6.258907363420428</x:v>
      </x:c>
      <x:c r="G976" s="4" t="str">
        <x:v>Sin marca literal</x:v>
      </x:c>
      <x:c r="H976" s="11"/>
      <x:c r="I976" s="11" t="str">
        <x:f>IF(H976="","",C976-H976)</x:f>
      </x:c>
      <x:c r="J976" s="4"/>
      <x:c r="K976" s="4" t="str">
        <x:v>URLs de detalle page/query/country por clics. No asignan las impresiones de esta consulta a cada página.</x:v>
      </x:c>
    </x:row>
    <x:row r="977" ht="28" customHeight="1">
      <x:c r="A977" s="4" t="n">
        <x:v>967</x:v>
      </x:c>
      <x:c r="B977" s="4" t="str">
        <x:v>shopping en mendoza</x:v>
      </x:c>
      <x:c r="C977" s="11" t="n">
        <x:v>1</x:v>
      </x:c>
      <x:c r="D977" s="11" t="n">
        <x:v>420</x:v>
      </x:c>
      <x:c r="E977" s="14" t="n">
        <x:v>0.002380952380952381</x:v>
      </x:c>
      <x:c r="F977" s="12" t="n">
        <x:v>7.4904761904761905</x:v>
      </x:c>
      <x:c r="G977" s="4" t="str">
        <x:v>Sin marca literal</x:v>
      </x:c>
      <x:c r="H977" s="11"/>
      <x:c r="I977" s="11" t="str">
        <x:f>IF(H977="","",C977-H977)</x:f>
      </x:c>
      <x:c r="J977" s="4"/>
      <x:c r="K977" s="4" t="str">
        <x:v>URLs de detalle page/query/country por clics. No asignan las impresiones de esta consulta a cada página.</x:v>
      </x:c>
    </x:row>
    <x:row r="978" ht="28" customHeight="1">
      <x:c r="A978" s="4" t="n">
        <x:v>968</x:v>
      </x:c>
      <x:c r="B978" s="4" t="str">
        <x:v>comidas tipicas chilenas 18 de septiembre</x:v>
      </x:c>
      <x:c r="C978" s="11" t="n">
        <x:v>1</x:v>
      </x:c>
      <x:c r="D978" s="11" t="n">
        <x:v>419</x:v>
      </x:c>
      <x:c r="E978" s="14" t="n">
        <x:v>0.002386634844868735</x:v>
      </x:c>
      <x:c r="F978" s="12" t="n">
        <x:v>7.045346062052506</x:v>
      </x:c>
      <x:c r="G978" s="4" t="str">
        <x:v>Sin marca literal</x:v>
      </x:c>
      <x:c r="H978" s="11"/>
      <x:c r="I978" s="11" t="str">
        <x:f>IF(H978="","",C978-H978)</x:f>
      </x:c>
      <x:c r="J978" s="4"/>
      <x:c r="K978" s="4" t="str">
        <x:v>URLs de detalle page/query/country por clics. No asignan las impresiones de esta consulta a cada página.</x:v>
      </x:c>
    </x:row>
    <x:row r="979" ht="28" customHeight="1">
      <x:c r="A979" s="4" t="n">
        <x:v>969</x:v>
      </x:c>
      <x:c r="B979" s="4" t="str">
        <x:v>google vuelos</x:v>
      </x:c>
      <x:c r="C979" s="11" t="n">
        <x:v>1</x:v>
      </x:c>
      <x:c r="D979" s="11" t="n">
        <x:v>417</x:v>
      </x:c>
      <x:c r="E979" s="14" t="n">
        <x:v>0.002398081534772182</x:v>
      </x:c>
      <x:c r="F979" s="12" t="n">
        <x:v>6.079136690647482</x:v>
      </x:c>
      <x:c r="G979" s="4" t="str">
        <x:v>Sin marca literal</x:v>
      </x:c>
      <x:c r="H979" s="11"/>
      <x:c r="I979" s="11" t="str">
        <x:f>IF(H979="","",C979-H979)</x:f>
      </x:c>
      <x:c r="J979" s="4"/>
      <x:c r="K979" s="4" t="str">
        <x:v>URLs de detalle page/query/country por clics. No asignan las impresiones de esta consulta a cada página.</x:v>
      </x:c>
    </x:row>
    <x:row r="980" ht="28" customHeight="1">
      <x:c r="A980" s="4" t="n">
        <x:v>970</x:v>
      </x:c>
      <x:c r="B980" s="4" t="str">
        <x:v>jardin japones santiago</x:v>
      </x:c>
      <x:c r="C980" s="11" t="n">
        <x:v>1</x:v>
      </x:c>
      <x:c r="D980" s="11" t="n">
        <x:v>417</x:v>
      </x:c>
      <x:c r="E980" s="14" t="n">
        <x:v>0.002398081534772182</x:v>
      </x:c>
      <x:c r="F980" s="12" t="n">
        <x:v>8.422062350119905</x:v>
      </x:c>
      <x:c r="G980" s="4" t="str">
        <x:v>Sin marca literal</x:v>
      </x:c>
      <x:c r="H980" s="11"/>
      <x:c r="I980" s="11" t="str">
        <x:f>IF(H980="","",C980-H980)</x:f>
      </x:c>
      <x:c r="J980" s="4"/>
      <x:c r="K980" s="4" t="str">
        <x:v>URLs de detalle page/query/country por clics. No asignan las impresiones de esta consulta a cada página.</x:v>
      </x:c>
    </x:row>
    <x:row r="981" ht="28" customHeight="1">
      <x:c r="A981" s="4" t="n">
        <x:v>971</x:v>
      </x:c>
      <x:c r="B981" s="4" t="str">
        <x:v>sur de argentina</x:v>
      </x:c>
      <x:c r="C981" s="11" t="n">
        <x:v>1</x:v>
      </x:c>
      <x:c r="D981" s="11" t="n">
        <x:v>414</x:v>
      </x:c>
      <x:c r="E981" s="14" t="n">
        <x:v>0.0024154589371980675</x:v>
      </x:c>
      <x:c r="F981" s="12" t="n">
        <x:v>8.971014492753623</x:v>
      </x:c>
      <x:c r="G981" s="4" t="str">
        <x:v>Sin marca literal</x:v>
      </x:c>
      <x:c r="H981" s="11"/>
      <x:c r="I981" s="11" t="str">
        <x:f>IF(H981="","",C981-H981)</x:f>
      </x:c>
      <x:c r="J981" s="4"/>
      <x:c r="K981" s="4" t="str">
        <x:v>URLs de detalle page/query/country por clics. No asignan las impresiones de esta consulta a cada página.</x:v>
      </x:c>
    </x:row>
    <x:row r="982" ht="28" customHeight="1">
      <x:c r="A982" s="4" t="n">
        <x:v>972</x:v>
      </x:c>
      <x:c r="B982" s="4" t="str">
        <x:v>parque japones</x:v>
      </x:c>
      <x:c r="C982" s="11" t="n">
        <x:v>1</x:v>
      </x:c>
      <x:c r="D982" s="11" t="n">
        <x:v>407</x:v>
      </x:c>
      <x:c r="E982" s="14" t="n">
        <x:v>0.002457002457002457</x:v>
      </x:c>
      <x:c r="F982" s="12" t="n">
        <x:v>10.609336609336609</x:v>
      </x:c>
      <x:c r="G982" s="4" t="str">
        <x:v>Sin marca literal</x:v>
      </x:c>
      <x:c r="H982" s="11"/>
      <x:c r="I982" s="11" t="str">
        <x:f>IF(H982="","",C982-H982)</x:f>
      </x:c>
      <x:c r="J982" s="4"/>
      <x:c r="K982" s="4" t="str">
        <x:v>URLs de detalle page/query/country por clics. No asignan las impresiones de esta consulta a cada página.</x:v>
      </x:c>
    </x:row>
    <x:row r="983" ht="28" customHeight="1">
      <x:c r="A983" s="4" t="n">
        <x:v>973</x:v>
      </x:c>
      <x:c r="B983" s="4" t="str">
        <x:v>cuando termina la primavera en chile</x:v>
      </x:c>
      <x:c r="C983" s="11" t="n">
        <x:v>1</x:v>
      </x:c>
      <x:c r="D983" s="11" t="n">
        <x:v>402</x:v>
      </x:c>
      <x:c r="E983" s="14" t="n">
        <x:v>0.0024875621890547263</x:v>
      </x:c>
      <x:c r="F983" s="12" t="n">
        <x:v>7.7164179104477615</x:v>
      </x:c>
      <x:c r="G983" s="4" t="str">
        <x:v>Sin marca literal</x:v>
      </x:c>
      <x:c r="H983" s="11"/>
      <x:c r="I983" s="11" t="str">
        <x:f>IF(H983="","",C983-H983)</x:f>
      </x:c>
      <x:c r="J983" s="4"/>
      <x:c r="K983" s="4" t="str">
        <x:v>URLs de detalle page/query/country por clics. No asignan las impresiones de esta consulta a cada página.</x:v>
      </x:c>
    </x:row>
    <x:row r="984" ht="28" customHeight="1">
      <x:c r="A984" s="4" t="n">
        <x:v>974</x:v>
      </x:c>
      <x:c r="B984" s="4" t="str">
        <x:v>distancia entre punta cana y santo domingo</x:v>
      </x:c>
      <x:c r="C984" s="11" t="n">
        <x:v>1</x:v>
      </x:c>
      <x:c r="D984" s="11" t="n">
        <x:v>401</x:v>
      </x:c>
      <x:c r="E984" s="14" t="n">
        <x:v>0.0024937655860349127</x:v>
      </x:c>
      <x:c r="F984" s="12" t="n">
        <x:v>6.448877805486284</x:v>
      </x:c>
      <x:c r="G984" s="4" t="str">
        <x:v>Sin marca literal</x:v>
      </x:c>
      <x:c r="H984" s="11"/>
      <x:c r="I984" s="11" t="str">
        <x:f>IF(H984="","",C984-H984)</x:f>
      </x:c>
      <x:c r="J984" s="4"/>
      <x:c r="K984" s="4" t="str">
        <x:v>URLs de detalle page/query/country por clics. No asignan las impresiones de esta consulta a cada página.</x:v>
      </x:c>
    </x:row>
    <x:row r="985" ht="28" customHeight="1">
      <x:c r="A985" s="4" t="n">
        <x:v>975</x:v>
      </x:c>
      <x:c r="B985" s="4" t="str">
        <x:v>disiochero</x:v>
      </x:c>
      <x:c r="C985" s="11" t="n">
        <x:v>1</x:v>
      </x:c>
      <x:c r="D985" s="11" t="n">
        <x:v>399</x:v>
      </x:c>
      <x:c r="E985" s="14" t="n">
        <x:v>0.002506265664160401</x:v>
      </x:c>
      <x:c r="F985" s="12" t="n">
        <x:v>5.93734335839599</x:v>
      </x:c>
      <x:c r="G985" s="4" t="str">
        <x:v>Sin marca literal</x:v>
      </x:c>
      <x:c r="H985" s="11"/>
      <x:c r="I985" s="11" t="str">
        <x:f>IF(H985="","",C985-H985)</x:f>
      </x:c>
      <x:c r="J985" s="4"/>
      <x:c r="K985" s="4" t="str">
        <x:v>URLs de detalle page/query/country por clics. No asignan las impresiones de esta consulta a cada página.</x:v>
      </x:c>
    </x:row>
    <x:row r="986" ht="28" customHeight="1">
      <x:c r="A986" s="4" t="n">
        <x:v>976</x:v>
      </x:c>
      <x:c r="B986" s="4" t="str">
        <x:v>angelmo puerto montt</x:v>
      </x:c>
      <x:c r="C986" s="11" t="n">
        <x:v>1</x:v>
      </x:c>
      <x:c r="D986" s="11" t="n">
        <x:v>386</x:v>
      </x:c>
      <x:c r="E986" s="14" t="n">
        <x:v>0.0025906735751295338</x:v>
      </x:c>
      <x:c r="F986" s="12" t="n">
        <x:v>9.61139896373057</x:v>
      </x:c>
      <x:c r="G986" s="4" t="str">
        <x:v>Sin marca literal</x:v>
      </x:c>
      <x:c r="H986" s="11"/>
      <x:c r="I986" s="11" t="str">
        <x:f>IF(H986="","",C986-H986)</x:f>
      </x:c>
      <x:c r="J986" s="4"/>
      <x:c r="K986" s="4" t="str">
        <x:v>URLs de detalle page/query/country por clics. No asignan las impresiones de esta consulta a cada página.</x:v>
      </x:c>
    </x:row>
    <x:row r="987" ht="28" customHeight="1">
      <x:c r="A987" s="4" t="n">
        <x:v>977</x:v>
      </x:c>
      <x:c r="B987" s="4" t="str">
        <x:v>qué es un hostal</x:v>
      </x:c>
      <x:c r="C987" s="11" t="n">
        <x:v>1</x:v>
      </x:c>
      <x:c r="D987" s="11" t="n">
        <x:v>378</x:v>
      </x:c>
      <x:c r="E987" s="14" t="n">
        <x:v>0.0026455026455026454</x:v>
      </x:c>
      <x:c r="F987" s="12" t="n">
        <x:v>7.37037037037037</x:v>
      </x:c>
      <x:c r="G987" s="4" t="str">
        <x:v>Sin marca literal</x:v>
      </x:c>
      <x:c r="H987" s="11"/>
      <x:c r="I987" s="11" t="str">
        <x:f>IF(H987="","",C987-H987)</x:f>
      </x:c>
      <x:c r="J987" s="4"/>
      <x:c r="K987" s="4" t="str">
        <x:v>URLs de detalle page/query/country por clics. No asignan las impresiones de esta consulta a cada página.</x:v>
      </x:c>
    </x:row>
    <x:row r="988" ht="28" customHeight="1">
      <x:c r="A988" s="4" t="n">
        <x:v>978</x:v>
      </x:c>
      <x:c r="B988" s="4" t="str">
        <x:v>bosque encantado pucon</x:v>
      </x:c>
      <x:c r="C988" s="11" t="n">
        <x:v>1</x:v>
      </x:c>
      <x:c r="D988" s="11" t="n">
        <x:v>369</x:v>
      </x:c>
      <x:c r="E988" s="14" t="n">
        <x:v>0.0027100271002710027</x:v>
      </x:c>
      <x:c r="F988" s="12" t="n">
        <x:v>10.084010840108402</x:v>
      </x:c>
      <x:c r="G988" s="4" t="str">
        <x:v>Sin marca literal</x:v>
      </x:c>
      <x:c r="H988" s="11"/>
      <x:c r="I988" s="11" t="str">
        <x:f>IF(H988="","",C988-H988)</x:f>
      </x:c>
      <x:c r="J988" s="4"/>
      <x:c r="K988" s="4" t="str">
        <x:v>URLs de detalle page/query/country por clics. No asignan las impresiones de esta consulta a cada página.</x:v>
      </x:c>
    </x:row>
    <x:row r="989" ht="28" customHeight="1">
      <x:c r="A989" s="4" t="n">
        <x:v>979</x:v>
      </x:c>
      <x:c r="B989" s="4" t="str">
        <x:v>florianopolis</x:v>
      </x:c>
      <x:c r="C989" s="11" t="n">
        <x:v>1</x:v>
      </x:c>
      <x:c r="D989" s="11" t="n">
        <x:v>363</x:v>
      </x:c>
      <x:c r="E989" s="14" t="n">
        <x:v>0.0027548209366391185</x:v>
      </x:c>
      <x:c r="F989" s="12" t="n">
        <x:v>9.333333333333334</x:v>
      </x:c>
      <x:c r="G989" s="4" t="str">
        <x:v>Sin marca literal</x:v>
      </x:c>
      <x:c r="H989" s="11"/>
      <x:c r="I989" s="11" t="str">
        <x:f>IF(H989="","",C989-H989)</x:f>
      </x:c>
      <x:c r="J989" s="4"/>
      <x:c r="K989" s="4" t="str">
        <x:v>URLs de detalle page/query/country por clics. No asignan las impresiones de esta consulta a cada página.</x:v>
      </x:c>
    </x:row>
    <x:row r="990" ht="28" customHeight="1">
      <x:c r="A990" s="4" t="n">
        <x:v>980</x:v>
      </x:c>
      <x:c r="B990" s="4" t="str">
        <x:v>comidas de la costa</x:v>
      </x:c>
      <x:c r="C990" s="11" t="n">
        <x:v>1</x:v>
      </x:c>
      <x:c r="D990" s="11" t="n">
        <x:v>362</x:v>
      </x:c>
      <x:c r="E990" s="14" t="n">
        <x:v>0.0027624309392265192</x:v>
      </x:c>
      <x:c r="F990" s="12" t="n">
        <x:v>7.303867403314917</x:v>
      </x:c>
      <x:c r="G990" s="4" t="str">
        <x:v>Sin marca literal</x:v>
      </x:c>
      <x:c r="H990" s="11"/>
      <x:c r="I990" s="11" t="str">
        <x:f>IF(H990="","",C990-H990)</x:f>
      </x:c>
      <x:c r="J990" s="4"/>
      <x:c r="K990" s="4" t="str">
        <x:v>URLs de detalle page/query/country por clics. No asignan las impresiones de esta consulta a cada página.</x:v>
      </x:c>
    </x:row>
    <x:row r="991" ht="28" customHeight="1">
      <x:c r="A991" s="4" t="n">
        <x:v>981</x:v>
      </x:c>
      <x:c r="B991" s="4" t="str">
        <x:v>cual es el terminal sur de santiago</x:v>
      </x:c>
      <x:c r="C991" s="11" t="n">
        <x:v>1</x:v>
      </x:c>
      <x:c r="D991" s="11" t="n">
        <x:v>360</x:v>
      </x:c>
      <x:c r="E991" s="14" t="n">
        <x:v>0.002777777777777778</x:v>
      </x:c>
      <x:c r="F991" s="12" t="n">
        <x:v>6.419444444444444</x:v>
      </x:c>
      <x:c r="G991" s="4" t="str">
        <x:v>Sin marca literal</x:v>
      </x:c>
      <x:c r="H991" s="11"/>
      <x:c r="I991" s="11" t="str">
        <x:f>IF(H991="","",C991-H991)</x:f>
      </x:c>
      <x:c r="J991" s="4"/>
      <x:c r="K991" s="4" t="str">
        <x:v>URLs de detalle page/query/country por clics. No asignan las impresiones de esta consulta a cada página.</x:v>
      </x:c>
    </x:row>
    <x:row r="992" ht="28" customHeight="1">
      <x:c r="A992" s="4" t="n">
        <x:v>982</x:v>
      </x:c>
      <x:c r="B992" s="4" t="str">
        <x:v>catedral de brasilia</x:v>
      </x:c>
      <x:c r="C992" s="11" t="n">
        <x:v>1</x:v>
      </x:c>
      <x:c r="D992" s="11" t="n">
        <x:v>359</x:v>
      </x:c>
      <x:c r="E992" s="14" t="n">
        <x:v>0.002785515320334262</x:v>
      </x:c>
      <x:c r="F992" s="12" t="n">
        <x:v>10.90807799442897</x:v>
      </x:c>
      <x:c r="G992" s="4" t="str">
        <x:v>Sin marca literal</x:v>
      </x:c>
      <x:c r="H992" s="11"/>
      <x:c r="I992" s="11" t="str">
        <x:f>IF(H992="","",C992-H992)</x:f>
      </x:c>
      <x:c r="J992" s="4"/>
      <x:c r="K992" s="4" t="str">
        <x:v>URLs de detalle page/query/country por clics. No asignan las impresiones de esta consulta a cada página.</x:v>
      </x:c>
    </x:row>
    <x:row r="993" ht="28" customHeight="1">
      <x:c r="A993" s="4" t="n">
        <x:v>983</x:v>
      </x:c>
      <x:c r="B993" s="4" t="str">
        <x:v>tarjeta de embarque sky</x:v>
      </x:c>
      <x:c r="C993" s="11" t="n">
        <x:v>1</x:v>
      </x:c>
      <x:c r="D993" s="11" t="n">
        <x:v>355</x:v>
      </x:c>
      <x:c r="E993" s="14" t="n">
        <x:v>0.0028169014084507044</x:v>
      </x:c>
      <x:c r="F993" s="12" t="n">
        <x:v>7.667605633802817</x:v>
      </x:c>
      <x:c r="G993" s="4" t="str">
        <x:v>Sin marca literal</x:v>
      </x:c>
      <x:c r="H993" s="11"/>
      <x:c r="I993" s="11" t="str">
        <x:f>IF(H993="","",C993-H993)</x:f>
      </x:c>
      <x:c r="J993" s="4"/>
      <x:c r="K993" s="4" t="str">
        <x:v>URLs de detalle page/query/country por clics. No asignan las impresiones de esta consulta a cada página.</x:v>
      </x:c>
    </x:row>
    <x:row r="994" ht="28" customHeight="1">
      <x:c r="A994" s="4" t="n">
        <x:v>984</x:v>
      </x:c>
      <x:c r="B994" s="4" t="str">
        <x:v>las estaciones del año en chile</x:v>
      </x:c>
      <x:c r="C994" s="11" t="n">
        <x:v>1</x:v>
      </x:c>
      <x:c r="D994" s="11" t="n">
        <x:v>353</x:v>
      </x:c>
      <x:c r="E994" s="14" t="n">
        <x:v>0.0028328611898017</x:v>
      </x:c>
      <x:c r="F994" s="12" t="n">
        <x:v>5.405099150141643</x:v>
      </x:c>
      <x:c r="G994" s="4" t="str">
        <x:v>Sin marca literal</x:v>
      </x:c>
      <x:c r="H994" s="11"/>
      <x:c r="I994" s="11" t="str">
        <x:f>IF(H994="","",C994-H994)</x:f>
      </x:c>
      <x:c r="J994" s="4"/>
      <x:c r="K994" s="4" t="str">
        <x:v>URLs de detalle page/query/country por clics. No asignan las impresiones de esta consulta a cada página.</x:v>
      </x:c>
    </x:row>
    <x:row r="995" ht="28" customHeight="1">
      <x:c r="A995" s="4" t="n">
        <x:v>985</x:v>
      </x:c>
      <x:c r="B995" s="4" t="str">
        <x:v>cambio de estaciones en chile</x:v>
      </x:c>
      <x:c r="C995" s="11" t="n">
        <x:v>1</x:v>
      </x:c>
      <x:c r="D995" s="11" t="n">
        <x:v>352</x:v>
      </x:c>
      <x:c r="E995" s="14" t="n">
        <x:v>0.002840909090909091</x:v>
      </x:c>
      <x:c r="F995" s="12" t="n">
        <x:v>5.0625</x:v>
      </x:c>
      <x:c r="G995" s="4" t="str">
        <x:v>Sin marca literal</x:v>
      </x:c>
      <x:c r="H995" s="11"/>
      <x:c r="I995" s="11" t="str">
        <x:f>IF(H995="","",C995-H995)</x:f>
      </x:c>
      <x:c r="J995" s="4"/>
      <x:c r="K995" s="4" t="str">
        <x:v>URLs de detalle page/query/country por clics. No asignan las impresiones de esta consulta a cada página.</x:v>
      </x:c>
    </x:row>
    <x:row r="996" ht="28" customHeight="1">
      <x:c r="A996" s="4" t="n">
        <x:v>986</x:v>
      </x:c>
      <x:c r="B996" s="4" t="str">
        <x:v>llamar a sky chile desde celular</x:v>
      </x:c>
      <x:c r="C996" s="11" t="n">
        <x:v>1</x:v>
      </x:c>
      <x:c r="D996" s="11" t="n">
        <x:v>349</x:v>
      </x:c>
      <x:c r="E996" s="14" t="n">
        <x:v>0.0028653295128939827</x:v>
      </x:c>
      <x:c r="F996" s="12" t="n">
        <x:v>9.080229226361032</x:v>
      </x:c>
      <x:c r="G996" s="4" t="str">
        <x:v>Sin marca literal</x:v>
      </x:c>
      <x:c r="H996" s="11"/>
      <x:c r="I996" s="11" t="str">
        <x:f>IF(H996="","",C996-H996)</x:f>
      </x:c>
      <x:c r="J996" s="4"/>
      <x:c r="K996" s="4" t="str">
        <x:v>URLs de detalle page/query/country por clics. No asignan las impresiones de esta consulta a cada página.</x:v>
      </x:c>
    </x:row>
    <x:row r="997" ht="28" customHeight="1">
      <x:c r="A997" s="4" t="n">
        <x:v>987</x:v>
      </x:c>
      <x:c r="B997" s="4" t="str">
        <x:v>paisajes del sur de chile</x:v>
      </x:c>
      <x:c r="C997" s="11" t="n">
        <x:v>1</x:v>
      </x:c>
      <x:c r="D997" s="11" t="n">
        <x:v>347</x:v>
      </x:c>
      <x:c r="E997" s="14" t="n">
        <x:v>0.002881844380403458</x:v>
      </x:c>
      <x:c r="F997" s="12" t="n">
        <x:v>3.7031700288184437</x:v>
      </x:c>
      <x:c r="G997" s="4" t="str">
        <x:v>Sin marca literal</x:v>
      </x:c>
      <x:c r="H997" s="11"/>
      <x:c r="I997" s="11" t="str">
        <x:f>IF(H997="","",C997-H997)</x:f>
      </x:c>
      <x:c r="J997" s="4"/>
      <x:c r="K997" s="4" t="str">
        <x:v>URLs de detalle page/query/country por clics. No asignan las impresiones de esta consulta a cada página.</x:v>
      </x:c>
    </x:row>
    <x:row r="998" ht="28" customHeight="1">
      <x:c r="A998" s="4" t="n">
        <x:v>988</x:v>
      </x:c>
      <x:c r="B998" s="4" t="str">
        <x:v>beto carrero donde queda</x:v>
      </x:c>
      <x:c r="C998" s="11" t="n">
        <x:v>1</x:v>
      </x:c>
      <x:c r="D998" s="11" t="n">
        <x:v>346</x:v>
      </x:c>
      <x:c r="E998" s="14" t="n">
        <x:v>0.002890173410404624</x:v>
      </x:c>
      <x:c r="F998" s="12" t="n">
        <x:v>6.546242774566474</x:v>
      </x:c>
      <x:c r="G998" s="4" t="str">
        <x:v>Sin marca literal</x:v>
      </x:c>
      <x:c r="H998" s="11"/>
      <x:c r="I998" s="11" t="str">
        <x:f>IF(H998="","",C998-H998)</x:f>
      </x:c>
      <x:c r="J998" s="4"/>
      <x:c r="K998" s="4" t="str">
        <x:v>URLs de detalle page/query/country por clics. No asignan las impresiones de esta consulta a cada página.</x:v>
      </x:c>
    </x:row>
    <x:row r="999" ht="28" customHeight="1">
      <x:c r="A999" s="4" t="n">
        <x:v>989</x:v>
      </x:c>
      <x:c r="B999" s="4" t="str">
        <x:v>cuando se termina el invierno en chile</x:v>
      </x:c>
      <x:c r="C999" s="11" t="n">
        <x:v>1</x:v>
      </x:c>
      <x:c r="D999" s="11" t="n">
        <x:v>346</x:v>
      </x:c>
      <x:c r="E999" s="14" t="n">
        <x:v>0.002890173410404624</x:v>
      </x:c>
      <x:c r="F999" s="12" t="n">
        <x:v>9.11271676300578</x:v>
      </x:c>
      <x:c r="G999" s="4" t="str">
        <x:v>Sin marca literal</x:v>
      </x:c>
      <x:c r="H999" s="11"/>
      <x:c r="I999" s="11" t="str">
        <x:f>IF(H999="","",C999-H999)</x:f>
      </x:c>
      <x:c r="J999" s="4"/>
      <x:c r="K999" s="4" t="str">
        <x:v>URLs de detalle page/query/country por clics. No asignan las impresiones de esta consulta a cada página.</x:v>
      </x:c>
    </x:row>
    <x:row r="1000" ht="28" customHeight="1">
      <x:c r="A1000" s="4" t="n">
        <x:v>990</x:v>
      </x:c>
      <x:c r="B1000" s="4" t="str">
        <x:v>distancia entre montevideo y punta del este</x:v>
      </x:c>
      <x:c r="C1000" s="11" t="n">
        <x:v>1</x:v>
      </x:c>
      <x:c r="D1000" s="11" t="n">
        <x:v>344</x:v>
      </x:c>
      <x:c r="E1000" s="14" t="n">
        <x:v>0.0029069767441860465</x:v>
      </x:c>
      <x:c r="F1000" s="12" t="n">
        <x:v>4.482558139534884</x:v>
      </x:c>
      <x:c r="G1000" s="4" t="str">
        <x:v>Sin marca literal</x:v>
      </x:c>
      <x:c r="H1000" s="11"/>
      <x:c r="I1000" s="11" t="str">
        <x:f>IF(H1000="","",C1000-H1000)</x:f>
      </x:c>
      <x:c r="J1000" s="4"/>
      <x:c r="K1000" s="4" t="str">
        <x:v>URLs de detalle page/query/country por clics. No asignan las impresiones de esta consulta a cada página.</x:v>
      </x:c>
    </x:row>
    <x:row r="1001" ht="28" customHeight="1">
      <x:c r="A1001" s="4" t="n">
        <x:v>991</x:v>
      </x:c>
      <x:c r="B1001" s="4" t="str">
        <x:v>café</x:v>
      </x:c>
      <x:c r="C1001" s="11" t="n">
        <x:v>1</x:v>
      </x:c>
      <x:c r="D1001" s="11" t="n">
        <x:v>342</x:v>
      </x:c>
      <x:c r="E1001" s="14" t="n">
        <x:v>0.0029239766081871343</x:v>
      </x:c>
      <x:c r="F1001" s="12" t="n">
        <x:v>15.555555555555555</x:v>
      </x:c>
      <x:c r="G1001" s="4" t="str">
        <x:v>Sin marca literal</x:v>
      </x:c>
      <x:c r="H1001" s="11"/>
      <x:c r="I1001" s="11" t="str">
        <x:f>IF(H1001="","",C1001-H1001)</x:f>
      </x:c>
      <x:c r="J1001" s="4"/>
      <x:c r="K1001" s="4" t="str">
        <x:v>URLs de detalle page/query/country por clics. No asignan las impresiones de esta consulta a cada página.</x:v>
      </x:c>
    </x:row>
    <x:row r="1002" ht="28" customHeight="1">
      <x:c r="A1002" s="4" t="n">
        <x:v>992</x:v>
      </x:c>
      <x:c r="B1002" s="4" t="str">
        <x:v>estacion del año en chile</x:v>
      </x:c>
      <x:c r="C1002" s="11" t="n">
        <x:v>1</x:v>
      </x:c>
      <x:c r="D1002" s="11" t="n">
        <x:v>341</x:v>
      </x:c>
      <x:c r="E1002" s="14" t="n">
        <x:v>0.002932551319648094</x:v>
      </x:c>
      <x:c r="F1002" s="12" t="n">
        <x:v>3.598240469208211</x:v>
      </x:c>
      <x:c r="G1002" s="4" t="str">
        <x:v>Sin marca literal</x:v>
      </x:c>
      <x:c r="H1002" s="11"/>
      <x:c r="I1002" s="11" t="str">
        <x:f>IF(H1002="","",C1002-H1002)</x:f>
      </x:c>
      <x:c r="J1002" s="4"/>
      <x:c r="K1002" s="4" t="str">
        <x:v>URLs de detalle page/query/country por clics. No asignan las impresiones de esta consulta a cada página.</x:v>
      </x:c>
    </x:row>
    <x:row r="1003" ht="28" customHeight="1">
      <x:c r="A1003" s="4" t="n">
        <x:v>993</x:v>
      </x:c>
      <x:c r="B1003" s="4" t="str">
        <x:v>puerto montt a puerto varas</x:v>
      </x:c>
      <x:c r="C1003" s="11" t="n">
        <x:v>1</x:v>
      </x:c>
      <x:c r="D1003" s="11" t="n">
        <x:v>339</x:v>
      </x:c>
      <x:c r="E1003" s="14" t="n">
        <x:v>0.0029498525073746312</x:v>
      </x:c>
      <x:c r="F1003" s="12" t="n">
        <x:v>9.64896755162242</x:v>
      </x:c>
      <x:c r="G1003" s="4" t="str">
        <x:v>Sin marca literal</x:v>
      </x:c>
      <x:c r="H1003" s="11"/>
      <x:c r="I1003" s="11" t="str">
        <x:f>IF(H1003="","",C1003-H1003)</x:f>
      </x:c>
      <x:c r="J1003" s="4"/>
      <x:c r="K1003" s="4" t="str">
        <x:v>URLs de detalle page/query/country por clics. No asignan las impresiones de esta consulta a cada página.</x:v>
      </x:c>
    </x:row>
    <x:row r="1004" ht="28" customHeight="1">
      <x:c r="A1004" s="4" t="n">
        <x:v>994</x:v>
      </x:c>
      <x:c r="B1004" s="4" t="str">
        <x:v>huascar barco</x:v>
      </x:c>
      <x:c r="C1004" s="11" t="n">
        <x:v>1</x:v>
      </x:c>
      <x:c r="D1004" s="11" t="n">
        <x:v>335</x:v>
      </x:c>
      <x:c r="E1004" s="14" t="n">
        <x:v>0.0029850746268656717</x:v>
      </x:c>
      <x:c r="F1004" s="12" t="n">
        <x:v>11.617910447761194</x:v>
      </x:c>
      <x:c r="G1004" s="4" t="str">
        <x:v>Sin marca literal</x:v>
      </x:c>
      <x:c r="H1004" s="11"/>
      <x:c r="I1004" s="11" t="str">
        <x:f>IF(H1004="","",C1004-H1004)</x:f>
      </x:c>
      <x:c r="J1004" s="4"/>
      <x:c r="K1004" s="4" t="str">
        <x:v>URLs de detalle page/query/country por clics. No asignan las impresiones de esta consulta a cada página.</x:v>
      </x:c>
    </x:row>
    <x:row r="1005" ht="28" customHeight="1">
      <x:c r="A1005" s="4" t="n">
        <x:v>995</x:v>
      </x:c>
      <x:c r="B1005" s="4" t="str">
        <x:v>invierno</x:v>
      </x:c>
      <x:c r="C1005" s="11" t="n">
        <x:v>1</x:v>
      </x:c>
      <x:c r="D1005" s="11" t="n">
        <x:v>332</x:v>
      </x:c>
      <x:c r="E1005" s="14" t="n">
        <x:v>0.0030120481927710845</x:v>
      </x:c>
      <x:c r="F1005" s="12" t="n">
        <x:v>8.006024096385541</x:v>
      </x:c>
      <x:c r="G1005" s="4" t="str">
        <x:v>Sin marca literal</x:v>
      </x:c>
      <x:c r="H1005" s="11"/>
      <x:c r="I1005" s="11" t="str">
        <x:f>IF(H1005="","",C1005-H1005)</x:f>
      </x:c>
      <x:c r="J1005" s="4"/>
      <x:c r="K1005" s="4" t="str">
        <x:v>URLs de detalle page/query/country por clics. No asignan las impresiones de esta consulta a cada página.</x:v>
      </x:c>
    </x:row>
    <x:row r="1006" ht="28" customHeight="1">
      <x:c r="A1006" s="4" t="n">
        <x:v>996</x:v>
      </x:c>
      <x:c r="B1006" s="4" t="str">
        <x:v>cuantos ml se pueden llevar en cabina</x:v>
      </x:c>
      <x:c r="C1006" s="11" t="n">
        <x:v>1</x:v>
      </x:c>
      <x:c r="D1006" s="11" t="n">
        <x:v>331</x:v>
      </x:c>
      <x:c r="E1006" s="14" t="n">
        <x:v>0.0030211480362537764</x:v>
      </x:c>
      <x:c r="F1006" s="12" t="n">
        <x:v>4.942598187311178</x:v>
      </x:c>
      <x:c r="G1006" s="4" t="str">
        <x:v>Sin marca literal</x:v>
      </x:c>
      <x:c r="H1006" s="11"/>
      <x:c r="I1006" s="11" t="str">
        <x:f>IF(H1006="","",C1006-H1006)</x:f>
      </x:c>
      <x:c r="J1006" s="4"/>
      <x:c r="K1006" s="4" t="str">
        <x:v>URLs de detalle page/query/country por clics. No asignan las impresiones de esta consulta a cada página.</x:v>
      </x:c>
    </x:row>
    <x:row r="1007" ht="28" customHeight="1">
      <x:c r="A1007" s="4" t="n">
        <x:v>997</x:v>
      </x:c>
      <x:c r="B1007" s="4" t="str">
        <x:v>reloj de viña del mar</x:v>
      </x:c>
      <x:c r="C1007" s="11" t="n">
        <x:v>1</x:v>
      </x:c>
      <x:c r="D1007" s="11" t="n">
        <x:v>330</x:v>
      </x:c>
      <x:c r="E1007" s="14" t="n">
        <x:v>0.0030303030303030303</x:v>
      </x:c>
      <x:c r="F1007" s="12" t="n">
        <x:v>10.681818181818182</x:v>
      </x:c>
      <x:c r="G1007" s="4" t="str">
        <x:v>Sin marca literal</x:v>
      </x:c>
      <x:c r="H1007" s="11"/>
      <x:c r="I1007" s="11" t="str">
        <x:f>IF(H1007="","",C1007-H1007)</x:f>
      </x:c>
      <x:c r="J1007" s="4"/>
      <x:c r="K1007" s="4" t="str">
        <x:v>URLs de detalle page/query/country por clics. No asignan las impresiones de esta consulta a cada página.</x:v>
      </x:c>
    </x:row>
    <x:row r="1008" ht="28" customHeight="1">
      <x:c r="A1008" s="4" t="n">
        <x:v>998</x:v>
      </x:c>
      <x:c r="B1008" s="4" t="str">
        <x:v>río de chile</x:v>
      </x:c>
      <x:c r="C1008" s="11" t="n">
        <x:v>1</x:v>
      </x:c>
      <x:c r="D1008" s="11" t="n">
        <x:v>329</x:v>
      </x:c>
      <x:c r="E1008" s="14" t="n">
        <x:v>0.00303951367781155</x:v>
      </x:c>
      <x:c r="F1008" s="12" t="n">
        <x:v>8.033434650455927</x:v>
      </x:c>
      <x:c r="G1008" s="4" t="str">
        <x:v>Sin marca literal</x:v>
      </x:c>
      <x:c r="H1008" s="11"/>
      <x:c r="I1008" s="11" t="str">
        <x:f>IF(H1008="","",C1008-H1008)</x:f>
      </x:c>
      <x:c r="J1008" s="4"/>
      <x:c r="K1008" s="4" t="str">
        <x:v>URLs de detalle page/query/country por clics. No asignan las impresiones de esta consulta a cada página.</x:v>
      </x:c>
    </x:row>
    <x:row r="1009" ht="28" customHeight="1">
      <x:c r="A1009" s="4" t="n">
        <x:v>999</x:v>
      </x:c>
      <x:c r="B1009" s="4" t="str">
        <x:v>angra do reis</x:v>
      </x:c>
      <x:c r="C1009" s="11" t="n">
        <x:v>1</x:v>
      </x:c>
      <x:c r="D1009" s="11" t="n">
        <x:v>328</x:v>
      </x:c>
      <x:c r="E1009" s="14" t="n">
        <x:v>0.003048780487804878</x:v>
      </x:c>
      <x:c r="F1009" s="12" t="n">
        <x:v>11.341463414634147</x:v>
      </x:c>
      <x:c r="G1009" s="4" t="str">
        <x:v>Sin marca literal</x:v>
      </x:c>
      <x:c r="H1009" s="11"/>
      <x:c r="I1009" s="11" t="str">
        <x:f>IF(H1009="","",C1009-H1009)</x:f>
      </x:c>
      <x:c r="J1009" s="4"/>
      <x:c r="K1009" s="4" t="str">
        <x:v>URLs de detalle page/query/country por clics. No asignan las impresiones de esta consulta a cada página.</x:v>
      </x:c>
    </x:row>
    <x:row r="1010" ht="28" customHeight="1">
      <x:c r="A1010" s="4" t="n">
        <x:v>1000</x:v>
      </x:c>
      <x:c r="B1010" s="4" t="str">
        <x:v>en qué país queda punta cana</x:v>
      </x:c>
      <x:c r="C1010" s="11" t="n">
        <x:v>1</x:v>
      </x:c>
      <x:c r="D1010" s="11" t="n">
        <x:v>328</x:v>
      </x:c>
      <x:c r="E1010" s="14" t="n">
        <x:v>0.003048780487804878</x:v>
      </x:c>
      <x:c r="F1010" s="12" t="n">
        <x:v>8.990853658536587</x:v>
      </x:c>
      <x:c r="G1010" s="4" t="str">
        <x:v>Sin marca literal</x:v>
      </x:c>
      <x:c r="H1010" s="11"/>
      <x:c r="I1010" s="11" t="str">
        <x:f>IF(H1010="","",C1010-H1010)</x:f>
      </x:c>
      <x:c r="J1010" s="4"/>
      <x:c r="K1010" s="4" t="str">
        <x:v>URLs de detalle page/query/country por clics. No asignan las impresiones de esta consulta a cada página.</x:v>
      </x:c>
    </x:row>
    <x:row r="1011" ht="28" customHeight="1">
      <x:c r="A1011" s="4" t="n">
        <x:v>1001</x:v>
      </x:c>
      <x:c r="B1011" s="4" t="str">
        <x:v>cuantas horas son de chile a brasil en avion</x:v>
      </x:c>
      <x:c r="C1011" s="11" t="n">
        <x:v>1</x:v>
      </x:c>
      <x:c r="D1011" s="11" t="n">
        <x:v>316</x:v>
      </x:c>
      <x:c r="E1011" s="14" t="n">
        <x:v>0.0031645569620253164</x:v>
      </x:c>
      <x:c r="F1011" s="12" t="n">
        <x:v>2.477848101265823</x:v>
      </x:c>
      <x:c r="G1011" s="4" t="str">
        <x:v>Sin marca literal</x:v>
      </x:c>
      <x:c r="H1011" s="11"/>
      <x:c r="I1011" s="11" t="str">
        <x:f>IF(H1011="","",C1011-H1011)</x:f>
      </x:c>
      <x:c r="J1011" s="4"/>
      <x:c r="K1011" s="4" t="str">
        <x:v>URLs de detalle page/query/country por clics. No asignan las impresiones de esta consulta a cada página.</x:v>
      </x:c>
    </x:row>
    <x:row r="1012" ht="28" customHeight="1">
      <x:c r="A1012" s="4" t="n">
        <x:v>1002</x:v>
      </x:c>
      <x:c r="B1012" s="4" t="str">
        <x:v>a cuantos kilometros por hora viaja un avion</x:v>
      </x:c>
      <x:c r="C1012" s="11" t="n">
        <x:v>1</x:v>
      </x:c>
      <x:c r="D1012" s="11" t="n">
        <x:v>314</x:v>
      </x:c>
      <x:c r="E1012" s="14" t="n">
        <x:v>0.0031847133757961785</x:v>
      </x:c>
      <x:c r="F1012" s="12" t="n">
        <x:v>7.945859872611465</x:v>
      </x:c>
      <x:c r="G1012" s="4" t="str">
        <x:v>Sin marca literal</x:v>
      </x:c>
      <x:c r="H1012" s="11"/>
      <x:c r="I1012" s="11" t="str">
        <x:f>IF(H1012="","",C1012-H1012)</x:f>
      </x:c>
      <x:c r="J1012" s="4"/>
      <x:c r="K1012" s="4" t="str">
        <x:v>URLs de detalle page/query/country por clics. No asignan las impresiones de esta consulta a cada página.</x:v>
      </x:c>
    </x:row>
    <x:row r="1013" ht="28" customHeight="1">
      <x:c r="A1013" s="4" t="n">
        <x:v>1003</x:v>
      </x:c>
      <x:c r="B1013" s="4" t="str">
        <x:v>aeropuerto</x:v>
      </x:c>
      <x:c r="C1013" s="11" t="n">
        <x:v>1</x:v>
      </x:c>
      <x:c r="D1013" s="11" t="n">
        <x:v>308</x:v>
      </x:c>
      <x:c r="E1013" s="14" t="n">
        <x:v>0.003246753246753247</x:v>
      </x:c>
      <x:c r="F1013" s="12" t="n">
        <x:v>8.259740259740258</x:v>
      </x:c>
      <x:c r="G1013" s="4" t="str">
        <x:v>Sin marca literal</x:v>
      </x:c>
      <x:c r="H1013" s="11"/>
      <x:c r="I1013" s="11" t="str">
        <x:f>IF(H1013="","",C1013-H1013)</x:f>
      </x:c>
      <x:c r="J1013" s="4"/>
      <x:c r="K1013" s="4" t="str">
        <x:v>URLs de detalle page/query/country por clics. No asignan las impresiones de esta consulta a cada página.</x:v>
      </x:c>
    </x:row>
    <x:row r="1014" ht="28" customHeight="1">
      <x:c r="A1014" s="4" t="n">
        <x:v>1004</x:v>
      </x:c>
      <x:c r="B1014" s="4" t="str">
        <x:v>teléfono de sky atención a clientes 01800</x:v>
      </x:c>
      <x:c r="C1014" s="11" t="n">
        <x:v>1</x:v>
      </x:c>
      <x:c r="D1014" s="11" t="n">
        <x:v>308</x:v>
      </x:c>
      <x:c r="E1014" s="14" t="n">
        <x:v>0.003246753246753247</x:v>
      </x:c>
      <x:c r="F1014" s="12" t="n">
        <x:v>8.493506493506494</x:v>
      </x:c>
      <x:c r="G1014" s="4" t="str">
        <x:v>Sin marca literal</x:v>
      </x:c>
      <x:c r="H1014" s="11"/>
      <x:c r="I1014" s="11" t="str">
        <x:f>IF(H1014="","",C1014-H1014)</x:f>
      </x:c>
      <x:c r="J1014" s="4"/>
      <x:c r="K1014" s="4" t="str">
        <x:v>URLs de detalle page/query/country por clics. No asignan las impresiones de esta consulta a cada página.</x:v>
      </x:c>
    </x:row>
    <x:row r="1015" ht="28" customHeight="1">
      <x:c r="A1015" s="4" t="n">
        <x:v>1005</x:v>
      </x:c>
      <x:c r="B1015" s="4" t="str">
        <x:v>medidas mochila avion</x:v>
      </x:c>
      <x:c r="C1015" s="11" t="n">
        <x:v>1</x:v>
      </x:c>
      <x:c r="D1015" s="11" t="n">
        <x:v>306</x:v>
      </x:c>
      <x:c r="E1015" s="14" t="n">
        <x:v>0.0032679738562091504</x:v>
      </x:c>
      <x:c r="F1015" s="12" t="n">
        <x:v>8.055555555555555</x:v>
      </x:c>
      <x:c r="G1015" s="4" t="str">
        <x:v>Sin marca literal</x:v>
      </x:c>
      <x:c r="H1015" s="11"/>
      <x:c r="I1015" s="11" t="str">
        <x:f>IF(H1015="","",C1015-H1015)</x:f>
      </x:c>
      <x:c r="J1015" s="4"/>
      <x:c r="K1015" s="4" t="str">
        <x:v>URLs de detalle page/query/country por clics. No asignan las impresiones de esta consulta a cada página.</x:v>
      </x:c>
    </x:row>
    <x:row r="1016" ht="28" customHeight="1">
      <x:c r="A1016" s="4" t="n">
        <x:v>1006</x:v>
      </x:c>
      <x:c r="B1016" s="4" t="str">
        <x:v>clima en florianopolis</x:v>
      </x:c>
      <x:c r="C1016" s="11" t="n">
        <x:v>1</x:v>
      </x:c>
      <x:c r="D1016" s="11" t="n">
        <x:v>304</x:v>
      </x:c>
      <x:c r="E1016" s="14" t="n">
        <x:v>0.003289473684210526</x:v>
      </x:c>
      <x:c r="F1016" s="12" t="n">
        <x:v>12.345394736842104</x:v>
      </x:c>
      <x:c r="G1016" s="4" t="str">
        <x:v>Sin marca literal</x:v>
      </x:c>
      <x:c r="H1016" s="11"/>
      <x:c r="I1016" s="11" t="str">
        <x:f>IF(H1016="","",C1016-H1016)</x:f>
      </x:c>
      <x:c r="J1016" s="4"/>
      <x:c r="K1016" s="4" t="str">
        <x:v>URLs de detalle page/query/country por clics. No asignan las impresiones de esta consulta a cada página.</x:v>
      </x:c>
    </x:row>
    <x:row r="1017" ht="28" customHeight="1">
      <x:c r="A1017" s="4" t="n">
        <x:v>1007</x:v>
      </x:c>
      <x:c r="B1017" s="4" t="str">
        <x:v>ilhabela</x:v>
      </x:c>
      <x:c r="C1017" s="11" t="n">
        <x:v>1</x:v>
      </x:c>
      <x:c r="D1017" s="11" t="n">
        <x:v>304</x:v>
      </x:c>
      <x:c r="E1017" s="14" t="n">
        <x:v>0.003289473684210526</x:v>
      </x:c>
      <x:c r="F1017" s="12" t="n">
        <x:v>12.884868421052632</x:v>
      </x:c>
      <x:c r="G1017" s="4" t="str">
        <x:v>Sin marca literal</x:v>
      </x:c>
      <x:c r="H1017" s="11"/>
      <x:c r="I1017" s="11" t="str">
        <x:f>IF(H1017="","",C1017-H1017)</x:f>
      </x:c>
      <x:c r="J1017" s="4"/>
      <x:c r="K1017" s="4" t="str">
        <x:v>URLs de detalle page/query/country por clics. No asignan las impresiones de esta consulta a cada página.</x:v>
      </x:c>
    </x:row>
    <x:row r="1018" ht="28" customHeight="1">
      <x:c r="A1018" s="4" t="n">
        <x:v>1008</x:v>
      </x:c>
      <x:c r="B1018" s="4" t="str">
        <x:v>zofri iquique</x:v>
      </x:c>
      <x:c r="C1018" s="11" t="n">
        <x:v>1</x:v>
      </x:c>
      <x:c r="D1018" s="11" t="n">
        <x:v>303</x:v>
      </x:c>
      <x:c r="E1018" s="14" t="n">
        <x:v>0.0033003300330033004</x:v>
      </x:c>
      <x:c r="F1018" s="12" t="n">
        <x:v>9.867986798679867</x:v>
      </x:c>
      <x:c r="G1018" s="4" t="str">
        <x:v>Sin marca literal</x:v>
      </x:c>
      <x:c r="H1018" s="11"/>
      <x:c r="I1018" s="11" t="str">
        <x:f>IF(H1018="","",C1018-H1018)</x:f>
      </x:c>
      <x:c r="J1018" s="4"/>
      <x:c r="K1018" s="4" t="str">
        <x:v>URLs de detalle page/query/country por clics. No asignan las impresiones de esta consulta a cada página.</x:v>
      </x:c>
    </x:row>
    <x:row r="1019" ht="28" customHeight="1">
      <x:c r="A1019" s="4" t="n">
        <x:v>1009</x:v>
      </x:c>
      <x:c r="B1019" s="4" t="str">
        <x:v>moneda de brasil como se llama</x:v>
      </x:c>
      <x:c r="C1019" s="11" t="n">
        <x:v>1</x:v>
      </x:c>
      <x:c r="D1019" s="11" t="n">
        <x:v>286</x:v>
      </x:c>
      <x:c r="E1019" s="14" t="n">
        <x:v>0.0034965034965034965</x:v>
      </x:c>
      <x:c r="F1019" s="12" t="n">
        <x:v>8.81118881118881</x:v>
      </x:c>
      <x:c r="G1019" s="4" t="str">
        <x:v>Sin marca literal</x:v>
      </x:c>
      <x:c r="H1019" s="11"/>
      <x:c r="I1019" s="11" t="str">
        <x:f>IF(H1019="","",C1019-H1019)</x:f>
      </x:c>
      <x:c r="J1019" s="4"/>
      <x:c r="K1019" s="4" t="str">
        <x:v>URLs de detalle page/query/country por clics. No asignan las impresiones de esta consulta a cada página.</x:v>
      </x:c>
    </x:row>
    <x:row r="1020" ht="28" customHeight="1">
      <x:c r="A1020" s="4" t="n">
        <x:v>1010</x:v>
      </x:c>
      <x:c r="B1020" s="4" t="str">
        <x:v>que estación estamos en chile</x:v>
      </x:c>
      <x:c r="C1020" s="11" t="n">
        <x:v>1</x:v>
      </x:c>
      <x:c r="D1020" s="11" t="n">
        <x:v>282</x:v>
      </x:c>
      <x:c r="E1020" s="14" t="n">
        <x:v>0.0035460992907801418</x:v>
      </x:c>
      <x:c r="F1020" s="12" t="n">
        <x:v>3.50709219858156</x:v>
      </x:c>
      <x:c r="G1020" s="4" t="str">
        <x:v>Sin marca literal</x:v>
      </x:c>
      <x:c r="H1020" s="11"/>
      <x:c r="I1020" s="11" t="str">
        <x:f>IF(H1020="","",C1020-H1020)</x:f>
      </x:c>
      <x:c r="J1020" s="4"/>
      <x:c r="K1020" s="4" t="str">
        <x:v>URLs de detalle page/query/country por clics. No asignan las impresiones de esta consulta a cada página.</x:v>
      </x:c>
    </x:row>
    <x:row r="1021" ht="28" customHeight="1">
      <x:c r="A1021" s="4" t="n">
        <x:v>1011</x:v>
      </x:c>
      <x:c r="B1021" s="4" t="str">
        <x:v>de punta cana a santo domingo</x:v>
      </x:c>
      <x:c r="C1021" s="11" t="n">
        <x:v>1</x:v>
      </x:c>
      <x:c r="D1021" s="11" t="n">
        <x:v>275</x:v>
      </x:c>
      <x:c r="E1021" s="14" t="n">
        <x:v>0.0036363636363636364</x:v>
      </x:c>
      <x:c r="F1021" s="12" t="n">
        <x:v>7.421818181818182</x:v>
      </x:c>
      <x:c r="G1021" s="4" t="str">
        <x:v>Sin marca literal</x:v>
      </x:c>
      <x:c r="H1021" s="11"/>
      <x:c r="I1021" s="11" t="str">
        <x:f>IF(H1021="","",C1021-H1021)</x:f>
      </x:c>
      <x:c r="J1021" s="4"/>
      <x:c r="K1021" s="4" t="str">
        <x:v>URLs de detalle page/query/country por clics. No asignan las impresiones de esta consulta a cada página.</x:v>
      </x:c>
    </x:row>
    <x:row r="1022" ht="28" customHeight="1">
      <x:c r="A1022" s="4" t="n">
        <x:v>1012</x:v>
      </x:c>
      <x:c r="B1022" s="4" t="str">
        <x:v>tiempo de mañana</x:v>
      </x:c>
      <x:c r="C1022" s="11" t="n">
        <x:v>1</x:v>
      </x:c>
      <x:c r="D1022" s="11" t="n">
        <x:v>269</x:v>
      </x:c>
      <x:c r="E1022" s="14" t="n">
        <x:v>0.0037174721189591076</x:v>
      </x:c>
      <x:c r="F1022" s="12" t="n">
        <x:v>3.2936802973977697</x:v>
      </x:c>
      <x:c r="G1022" s="4" t="str">
        <x:v>Sin marca literal</x:v>
      </x:c>
      <x:c r="H1022" s="11"/>
      <x:c r="I1022" s="11" t="str">
        <x:f>IF(H1022="","",C1022-H1022)</x:f>
      </x:c>
      <x:c r="J1022" s="4"/>
      <x:c r="K1022" s="4" t="str">
        <x:v>URLs de detalle page/query/country por clics. No asignan las impresiones de esta consulta a cada página.</x:v>
      </x:c>
    </x:row>
    <x:row r="1023" ht="28" customHeight="1">
      <x:c r="A1023" s="4" t="n">
        <x:v>1013</x:v>
      </x:c>
      <x:c r="B1023" s="4" t="str">
        <x:v>velocidad de un avion comercial</x:v>
      </x:c>
      <x:c r="C1023" s="11" t="n">
        <x:v>1</x:v>
      </x:c>
      <x:c r="D1023" s="11" t="n">
        <x:v>265</x:v>
      </x:c>
      <x:c r="E1023" s="14" t="n">
        <x:v>0.0037735849056603774</x:v>
      </x:c>
      <x:c r="F1023" s="12" t="n">
        <x:v>8.169811320754718</x:v>
      </x:c>
      <x:c r="G1023" s="4" t="str">
        <x:v>Sin marca literal</x:v>
      </x:c>
      <x:c r="H1023" s="11"/>
      <x:c r="I1023" s="11" t="str">
        <x:f>IF(H1023="","",C1023-H1023)</x:f>
      </x:c>
      <x:c r="J1023" s="4"/>
      <x:c r="K1023" s="4" t="str">
        <x:v>URLs de detalle page/query/country por clics. No asignan las impresiones de esta consulta a cada página.</x:v>
      </x:c>
    </x:row>
    <x:row r="1024" ht="28" customHeight="1">
      <x:c r="A1024" s="4" t="n">
        <x:v>1014</x:v>
      </x:c>
      <x:c r="B1024" s="4" t="str">
        <x:v>clima</x:v>
      </x:c>
      <x:c r="C1024" s="11" t="n">
        <x:v>1</x:v>
      </x:c>
      <x:c r="D1024" s="11" t="n">
        <x:v>261</x:v>
      </x:c>
      <x:c r="E1024" s="14" t="n">
        <x:v>0.0038314176245210726</x:v>
      </x:c>
      <x:c r="F1024" s="12" t="n">
        <x:v>5.67816091954023</x:v>
      </x:c>
      <x:c r="G1024" s="4" t="str">
        <x:v>Sin marca literal</x:v>
      </x:c>
      <x:c r="H1024" s="11"/>
      <x:c r="I1024" s="11" t="str">
        <x:f>IF(H1024="","",C1024-H1024)</x:f>
      </x:c>
      <x:c r="J1024" s="4"/>
      <x:c r="K1024" s="4" t="str">
        <x:v>URLs de detalle page/query/country por clics. No asignan las impresiones de esta consulta a cada página.</x:v>
      </x:c>
    </x:row>
    <x:row r="1025" ht="28" customHeight="1">
      <x:c r="A1025" s="4" t="n">
        <x:v>1015</x:v>
      </x:c>
      <x:c r="B1025" s="4" t="str">
        <x:v>donde esta el huascar en chile</x:v>
      </x:c>
      <x:c r="C1025" s="11" t="n">
        <x:v>1</x:v>
      </x:c>
      <x:c r="D1025" s="11" t="n">
        <x:v>253</x:v>
      </x:c>
      <x:c r="E1025" s="14" t="n">
        <x:v>0.003952569169960474</x:v>
      </x:c>
      <x:c r="F1025" s="12" t="n">
        <x:v>9.007905138339922</x:v>
      </x:c>
      <x:c r="G1025" s="4" t="str">
        <x:v>Sin marca literal</x:v>
      </x:c>
      <x:c r="H1025" s="11"/>
      <x:c r="I1025" s="11" t="str">
        <x:f>IF(H1025="","",C1025-H1025)</x:f>
      </x:c>
      <x:c r="J1025" s="4"/>
      <x:c r="K1025" s="4" t="str">
        <x:v>URLs de detalle page/query/country por clics. No asignan las impresiones de esta consulta a cada página.</x:v>
      </x:c>
    </x:row>
    <x:row r="1026" ht="28" customHeight="1">
      <x:c r="A1026" s="4" t="n">
        <x:v>1016</x:v>
      </x:c>
      <x:c r="B1026" s="4" t="str">
        <x:v>parque beto carrero brasil</x:v>
      </x:c>
      <x:c r="C1026" s="11" t="n">
        <x:v>1</x:v>
      </x:c>
      <x:c r="D1026" s="11" t="n">
        <x:v>246</x:v>
      </x:c>
      <x:c r="E1026" s="14" t="n">
        <x:v>0.0040650406504065045</x:v>
      </x:c>
      <x:c r="F1026" s="12" t="n">
        <x:v>9.508130081300813</x:v>
      </x:c>
      <x:c r="G1026" s="4" t="str">
        <x:v>Sin marca literal</x:v>
      </x:c>
      <x:c r="H1026" s="11"/>
      <x:c r="I1026" s="11" t="str">
        <x:f>IF(H1026="","",C1026-H1026)</x:f>
      </x:c>
      <x:c r="J1026" s="4"/>
      <x:c r="K1026" s="4" t="str">
        <x:v>URLs de detalle page/query/country por clics. No asignan las impresiones de esta consulta a cada página.</x:v>
      </x:c>
    </x:row>
    <x:row r="1027" ht="28" customHeight="1">
      <x:c r="A1027" s="4" t="n">
        <x:v>1017</x:v>
      </x:c>
      <x:c r="B1027" s="4" t="str">
        <x:v>enchufe en peru</x:v>
      </x:c>
      <x:c r="C1027" s="11" t="n">
        <x:v>1</x:v>
      </x:c>
      <x:c r="D1027" s="11" t="n">
        <x:v>244</x:v>
      </x:c>
      <x:c r="E1027" s="14" t="n">
        <x:v>0.004098360655737705</x:v>
      </x:c>
      <x:c r="F1027" s="12" t="n">
        <x:v>7.795081967213115</x:v>
      </x:c>
      <x:c r="G1027" s="4" t="str">
        <x:v>Sin marca literal</x:v>
      </x:c>
      <x:c r="H1027" s="11"/>
      <x:c r="I1027" s="11" t="str">
        <x:f>IF(H1027="","",C1027-H1027)</x:f>
      </x:c>
      <x:c r="J1027" s="4"/>
      <x:c r="K1027" s="4" t="str">
        <x:v>URLs de detalle page/query/country por clics. No asignan las impresiones de esta consulta a cada página.</x:v>
      </x:c>
    </x:row>
    <x:row r="1028" ht="28" customHeight="1">
      <x:c r="A1028" s="4" t="n">
        <x:v>1018</x:v>
      </x:c>
      <x:c r="B1028" s="4" t="str">
        <x:v>cabo frio donde queda</x:v>
      </x:c>
      <x:c r="C1028" s="11" t="n">
        <x:v>1</x:v>
      </x:c>
      <x:c r="D1028" s="11" t="n">
        <x:v>242</x:v>
      </x:c>
      <x:c r="E1028" s="14" t="n">
        <x:v>0.004132231404958678</x:v>
      </x:c>
      <x:c r="F1028" s="12" t="n">
        <x:v>10.483471074380166</x:v>
      </x:c>
      <x:c r="G1028" s="4" t="str">
        <x:v>Sin marca literal</x:v>
      </x:c>
      <x:c r="H1028" s="11"/>
      <x:c r="I1028" s="11" t="str">
        <x:f>IF(H1028="","",C1028-H1028)</x:f>
      </x:c>
      <x:c r="J1028" s="4"/>
      <x:c r="K1028" s="4" t="str">
        <x:v>URLs de detalle page/query/country por clics. No asignan las impresiones de esta consulta a cada página.</x:v>
      </x:c>
    </x:row>
    <x:row r="1029" ht="28" customHeight="1">
      <x:c r="A1029" s="4" t="n">
        <x:v>1019</x:v>
      </x:c>
      <x:c r="B1029" s="4" t="str">
        <x:v>como son los enchufes en argentina</x:v>
      </x:c>
      <x:c r="C1029" s="11" t="n">
        <x:v>1</x:v>
      </x:c>
      <x:c r="D1029" s="11" t="n">
        <x:v>242</x:v>
      </x:c>
      <x:c r="E1029" s="14" t="n">
        <x:v>0.004132231404958678</x:v>
      </x:c>
      <x:c r="F1029" s="12" t="n">
        <x:v>7.404958677685951</x:v>
      </x:c>
      <x:c r="G1029" s="4" t="str">
        <x:v>Sin marca literal</x:v>
      </x:c>
      <x:c r="H1029" s="11"/>
      <x:c r="I1029" s="11" t="str">
        <x:f>IF(H1029="","",C1029-H1029)</x:f>
      </x:c>
      <x:c r="J1029" s="4"/>
      <x:c r="K1029" s="4" t="str">
        <x:v>URLs de detalle page/query/country por clics. No asignan las impresiones de esta consulta a cada página.</x:v>
      </x:c>
    </x:row>
    <x:row r="1030" ht="28" customHeight="1">
      <x:c r="A1030" s="4" t="n">
        <x:v>1020</x:v>
      </x:c>
      <x:c r="B1030" s="4" t="str">
        <x:v>distancia puerto montt a puerto varas</x:v>
      </x:c>
      <x:c r="C1030" s="11" t="n">
        <x:v>1</x:v>
      </x:c>
      <x:c r="D1030" s="11" t="n">
        <x:v>242</x:v>
      </x:c>
      <x:c r="E1030" s="14" t="n">
        <x:v>0.004132231404958678</x:v>
      </x:c>
      <x:c r="F1030" s="12" t="n">
        <x:v>4.87603305785124</x:v>
      </x:c>
      <x:c r="G1030" s="4" t="str">
        <x:v>Sin marca literal</x:v>
      </x:c>
      <x:c r="H1030" s="11"/>
      <x:c r="I1030" s="11" t="str">
        <x:f>IF(H1030="","",C1030-H1030)</x:f>
      </x:c>
      <x:c r="J1030" s="4"/>
      <x:c r="K1030" s="4" t="str">
        <x:v>URLs de detalle page/query/country por clics. No asignan las impresiones de esta consulta a cada página.</x:v>
      </x:c>
    </x:row>
    <x:row r="1031" ht="28" customHeight="1">
      <x:c r="A1031" s="4" t="n">
        <x:v>1021</x:v>
      </x:c>
      <x:c r="B1031" s="4" t="str">
        <x:v>que temporada es en chile</x:v>
      </x:c>
      <x:c r="C1031" s="11" t="n">
        <x:v>1</x:v>
      </x:c>
      <x:c r="D1031" s="11" t="n">
        <x:v>241</x:v>
      </x:c>
      <x:c r="E1031" s="14" t="n">
        <x:v>0.004149377593360996</x:v>
      </x:c>
      <x:c r="F1031" s="12" t="n">
        <x:v>3.0622406639004147</x:v>
      </x:c>
      <x:c r="G1031" s="4" t="str">
        <x:v>Sin marca literal</x:v>
      </x:c>
      <x:c r="H1031" s="11"/>
      <x:c r="I1031" s="11" t="str">
        <x:f>IF(H1031="","",C1031-H1031)</x:f>
      </x:c>
      <x:c r="J1031" s="4"/>
      <x:c r="K1031" s="4" t="str">
        <x:v>URLs de detalle page/query/country por clics. No asignan las impresiones de esta consulta a cada página.</x:v>
      </x:c>
    </x:row>
    <x:row r="1032" ht="28" customHeight="1">
      <x:c r="A1032" s="4" t="n">
        <x:v>1022</x:v>
      </x:c>
      <x:c r="B1032" s="4" t="str">
        <x:v>aristides mendoza</x:v>
      </x:c>
      <x:c r="C1032" s="11" t="n">
        <x:v>1</x:v>
      </x:c>
      <x:c r="D1032" s="11" t="n">
        <x:v>240</x:v>
      </x:c>
      <x:c r="E1032" s="14" t="n">
        <x:v>0.004166666666666667</x:v>
      </x:c>
      <x:c r="F1032" s="12" t="n">
        <x:v>8.270833333333332</x:v>
      </x:c>
      <x:c r="G1032" s="4" t="str">
        <x:v>Sin marca literal</x:v>
      </x:c>
      <x:c r="H1032" s="11"/>
      <x:c r="I1032" s="11" t="str">
        <x:f>IF(H1032="","",C1032-H1032)</x:f>
      </x:c>
      <x:c r="J1032" s="4"/>
      <x:c r="K1032" s="4" t="str">
        <x:v>URLs de detalle page/query/country por clics. No asignan las impresiones de esta consulta a cada página.</x:v>
      </x:c>
    </x:row>
    <x:row r="1033" ht="28" customHeight="1">
      <x:c r="A1033" s="4" t="n">
        <x:v>1023</x:v>
      </x:c>
      <x:c r="B1033" s="4" t="str">
        <x:v>qué es una bitácora de viaje</x:v>
      </x:c>
      <x:c r="C1033" s="11" t="n">
        <x:v>1</x:v>
      </x:c>
      <x:c r="D1033" s="11" t="n">
        <x:v>237</x:v>
      </x:c>
      <x:c r="E1033" s="14" t="n">
        <x:v>0.004219409282700422</x:v>
      </x:c>
      <x:c r="F1033" s="12" t="n">
        <x:v>5.451476793248945</x:v>
      </x:c>
      <x:c r="G1033" s="4" t="str">
        <x:v>Sin marca literal</x:v>
      </x:c>
      <x:c r="H1033" s="11"/>
      <x:c r="I1033" s="11" t="str">
        <x:f>IF(H1033="","",C1033-H1033)</x:f>
      </x:c>
      <x:c r="J1033" s="4"/>
      <x:c r="K1033" s="4" t="str">
        <x:v>URLs de detalle page/query/country por clics. No asignan las impresiones de esta consulta a cada página.</x:v>
      </x:c>
    </x:row>
    <x:row r="1034" ht="28" customHeight="1">
      <x:c r="A1034" s="4" t="n">
        <x:v>1024</x:v>
      </x:c>
      <x:c r="B1034" s="4" t="str">
        <x:v>chile nieve</x:v>
      </x:c>
      <x:c r="C1034" s="11" t="n">
        <x:v>1</x:v>
      </x:c>
      <x:c r="D1034" s="11" t="n">
        <x:v>236</x:v>
      </x:c>
      <x:c r="E1034" s="14" t="n">
        <x:v>0.00423728813559322</x:v>
      </x:c>
      <x:c r="F1034" s="12" t="n">
        <x:v>7.2076271186440675</x:v>
      </x:c>
      <x:c r="G1034" s="4" t="str">
        <x:v>Sin marca literal</x:v>
      </x:c>
      <x:c r="H1034" s="11"/>
      <x:c r="I1034" s="11" t="str">
        <x:f>IF(H1034="","",C1034-H1034)</x:f>
      </x:c>
      <x:c r="J1034" s="4"/>
      <x:c r="K1034" s="4" t="str">
        <x:v>URLs de detalle page/query/country por clics. No asignan las impresiones de esta consulta a cada página.</x:v>
      </x:c>
    </x:row>
    <x:row r="1035" ht="28" customHeight="1">
      <x:c r="A1035" s="4" t="n">
        <x:v>1025</x:v>
      </x:c>
      <x:c r="B1035" s="4" t="str">
        <x:v>medidas de mochila para avion</x:v>
      </x:c>
      <x:c r="C1035" s="11" t="n">
        <x:v>1</x:v>
      </x:c>
      <x:c r="D1035" s="11" t="n">
        <x:v>228</x:v>
      </x:c>
      <x:c r="E1035" s="14" t="n">
        <x:v>0.0043859649122807015</x:v>
      </x:c>
      <x:c r="F1035" s="12" t="n">
        <x:v>8.807017543859649</x:v>
      </x:c>
      <x:c r="G1035" s="4" t="str">
        <x:v>Sin marca literal</x:v>
      </x:c>
      <x:c r="H1035" s="11"/>
      <x:c r="I1035" s="11" t="str">
        <x:f>IF(H1035="","",C1035-H1035)</x:f>
      </x:c>
      <x:c r="J1035" s="4"/>
      <x:c r="K1035" s="4" t="str">
        <x:v>URLs de detalle page/query/country por clics. No asignan las impresiones de esta consulta a cada página.</x:v>
      </x:c>
    </x:row>
    <x:row r="1036" ht="28" customHeight="1">
      <x:c r="A1036" s="4" t="n">
        <x:v>1026</x:v>
      </x:c>
      <x:c r="B1036" s="4" t="str">
        <x:v>termas de chillan</x:v>
      </x:c>
      <x:c r="C1036" s="11" t="n">
        <x:v>1</x:v>
      </x:c>
      <x:c r="D1036" s="11" t="n">
        <x:v>226</x:v>
      </x:c>
      <x:c r="E1036" s="14" t="n">
        <x:v>0.004424778761061947</x:v>
      </x:c>
      <x:c r="F1036" s="12" t="n">
        <x:v>23.402654867256636</x:v>
      </x:c>
      <x:c r="G1036" s="4" t="str">
        <x:v>Sin marca literal</x:v>
      </x:c>
      <x:c r="H1036" s="11"/>
      <x:c r="I1036" s="11" t="str">
        <x:f>IF(H1036="","",C1036-H1036)</x:f>
      </x:c>
      <x:c r="J1036" s="4"/>
      <x:c r="K1036" s="4" t="str">
        <x:v>URLs de detalle page/query/country por clics. No asignan las impresiones de esta consulta a cada página.</x:v>
      </x:c>
    </x:row>
    <x:row r="1037" ht="28" customHeight="1">
      <x:c r="A1037" s="4" t="n">
        <x:v>1027</x:v>
      </x:c>
      <x:c r="B1037" s="4" t="str">
        <x:v>sky airlines telefono</x:v>
      </x:c>
      <x:c r="C1037" s="11" t="n">
        <x:v>1</x:v>
      </x:c>
      <x:c r="D1037" s="11" t="n">
        <x:v>225</x:v>
      </x:c>
      <x:c r="E1037" s="14" t="n">
        <x:v>0.0044444444444444444</x:v>
      </x:c>
      <x:c r="F1037" s="12" t="n">
        <x:v>7.457777777777777</x:v>
      </x:c>
      <x:c r="G1037" s="4" t="str">
        <x:v>Sin marca literal</x:v>
      </x:c>
      <x:c r="H1037" s="11"/>
      <x:c r="I1037" s="11" t="str">
        <x:f>IF(H1037="","",C1037-H1037)</x:f>
      </x:c>
      <x:c r="J1037" s="4"/>
      <x:c r="K1037" s="4" t="str">
        <x:v>URLs de detalle page/query/country por clics. No asignan las impresiones de esta consulta a cada página.</x:v>
      </x:c>
    </x:row>
    <x:row r="1038" ht="28" customHeight="1">
      <x:c r="A1038" s="4" t="n">
        <x:v>1028</x:v>
      </x:c>
      <x:c r="B1038" s="4" t="str">
        <x:v>sky airlines teléfono</x:v>
      </x:c>
      <x:c r="C1038" s="11" t="n">
        <x:v>1</x:v>
      </x:c>
      <x:c r="D1038" s="11" t="n">
        <x:v>225</x:v>
      </x:c>
      <x:c r="E1038" s="14" t="n">
        <x:v>0.0044444444444444444</x:v>
      </x:c>
      <x:c r="F1038" s="12" t="n">
        <x:v>9.27111111111111</x:v>
      </x:c>
      <x:c r="G1038" s="4" t="str">
        <x:v>Sin marca literal</x:v>
      </x:c>
      <x:c r="H1038" s="11"/>
      <x:c r="I1038" s="11" t="str">
        <x:f>IF(H1038="","",C1038-H1038)</x:f>
      </x:c>
      <x:c r="J1038" s="4"/>
      <x:c r="K1038" s="4" t="str">
        <x:v>URLs de detalle page/query/country por clics. No asignan las impresiones de esta consulta a cada página.</x:v>
      </x:c>
    </x:row>
    <x:row r="1039" ht="28" customHeight="1">
      <x:c r="A1039" s="4" t="n">
        <x:v>1029</x:v>
      </x:c>
      <x:c r="B1039" s="4" t="str">
        <x:v>comidas tipicas para el 18 de septiembre</x:v>
      </x:c>
      <x:c r="C1039" s="11" t="n">
        <x:v>1</x:v>
      </x:c>
      <x:c r="D1039" s="11" t="n">
        <x:v>224</x:v>
      </x:c>
      <x:c r="E1039" s="14" t="n">
        <x:v>0.004464285714285714</x:v>
      </x:c>
      <x:c r="F1039" s="12" t="n">
        <x:v>4.71875</x:v>
      </x:c>
      <x:c r="G1039" s="4" t="str">
        <x:v>Sin marca literal</x:v>
      </x:c>
      <x:c r="H1039" s="11"/>
      <x:c r="I1039" s="11" t="str">
        <x:f>IF(H1039="","",C1039-H1039)</x:f>
      </x:c>
      <x:c r="J1039" s="4"/>
      <x:c r="K1039" s="4" t="str">
        <x:v>URLs de detalle page/query/country por clics. No asignan las impresiones de esta consulta a cada página.</x:v>
      </x:c>
    </x:row>
    <x:row r="1040" ht="28" customHeight="1">
      <x:c r="A1040" s="4" t="n">
        <x:v>1030</x:v>
      </x:c>
      <x:c r="B1040" s="4" t="str">
        <x:v>puerto maldonado</x:v>
      </x:c>
      <x:c r="C1040" s="11" t="n">
        <x:v>1</x:v>
      </x:c>
      <x:c r="D1040" s="11" t="n">
        <x:v>224</x:v>
      </x:c>
      <x:c r="E1040" s="14" t="n">
        <x:v>0.004464285714285714</x:v>
      </x:c>
      <x:c r="F1040" s="12" t="n">
        <x:v>15.133928571428571</x:v>
      </x:c>
      <x:c r="G1040" s="4" t="str">
        <x:v>Sin marca literal</x:v>
      </x:c>
      <x:c r="H1040" s="11"/>
      <x:c r="I1040" s="11" t="str">
        <x:f>IF(H1040="","",C1040-H1040)</x:f>
      </x:c>
      <x:c r="J1040" s="4"/>
      <x:c r="K1040" s="4" t="str">
        <x:v>URLs de detalle page/query/country por clics. No asignan las impresiones de esta consulta a cada página.</x:v>
      </x:c>
    </x:row>
    <x:row r="1041" ht="28" customHeight="1">
      <x:c r="A1041" s="4" t="n">
        <x:v>1031</x:v>
      </x:c>
      <x:c r="B1041" s="4" t="str">
        <x:v>plaza de armas de tacna</x:v>
      </x:c>
      <x:c r="C1041" s="11" t="n">
        <x:v>1</x:v>
      </x:c>
      <x:c r="D1041" s="11" t="n">
        <x:v>223</x:v>
      </x:c>
      <x:c r="E1041" s="14" t="n">
        <x:v>0.004484304932735426</x:v>
      </x:c>
      <x:c r="F1041" s="12" t="n">
        <x:v>9.547085201793722</x:v>
      </x:c>
      <x:c r="G1041" s="4" t="str">
        <x:v>Sin marca literal</x:v>
      </x:c>
      <x:c r="H1041" s="11"/>
      <x:c r="I1041" s="11" t="str">
        <x:f>IF(H1041="","",C1041-H1041)</x:f>
      </x:c>
      <x:c r="J1041" s="4"/>
      <x:c r="K1041" s="4" t="str">
        <x:v>URLs de detalle page/query/country por clics. No asignan las impresiones de esta consulta a cada página.</x:v>
      </x:c>
    </x:row>
    <x:row r="1042" ht="28" customHeight="1">
      <x:c r="A1042" s="4" t="n">
        <x:v>1032</x:v>
      </x:c>
      <x:c r="B1042" s="4" t="str">
        <x:v>comida tipica 18 de septiembre</x:v>
      </x:c>
      <x:c r="C1042" s="11" t="n">
        <x:v>1</x:v>
      </x:c>
      <x:c r="D1042" s="11" t="n">
        <x:v>220</x:v>
      </x:c>
      <x:c r="E1042" s="14" t="n">
        <x:v>0.004545454545454545</x:v>
      </x:c>
      <x:c r="F1042" s="12" t="n">
        <x:v>4.095454545454546</x:v>
      </x:c>
      <x:c r="G1042" s="4" t="str">
        <x:v>Sin marca literal</x:v>
      </x:c>
      <x:c r="H1042" s="11"/>
      <x:c r="I1042" s="11" t="str">
        <x:f>IF(H1042="","",C1042-H1042)</x:f>
      </x:c>
      <x:c r="J1042" s="4"/>
      <x:c r="K1042" s="4" t="str">
        <x:v>URLs de detalle page/query/country por clics. No asignan las impresiones de esta consulta a cada página.</x:v>
      </x:c>
    </x:row>
    <x:row r="1043" ht="28" customHeight="1">
      <x:c r="A1043" s="4" t="n">
        <x:v>1033</x:v>
      </x:c>
      <x:c r="B1043" s="4" t="str">
        <x:v>comidas tipicas 18 de septiembre</x:v>
      </x:c>
      <x:c r="C1043" s="11" t="n">
        <x:v>1</x:v>
      </x:c>
      <x:c r="D1043" s="11" t="n">
        <x:v>220</x:v>
      </x:c>
      <x:c r="E1043" s="14" t="n">
        <x:v>0.004545454545454545</x:v>
      </x:c>
      <x:c r="F1043" s="12" t="n">
        <x:v>4.65</x:v>
      </x:c>
      <x:c r="G1043" s="4" t="str">
        <x:v>Sin marca literal</x:v>
      </x:c>
      <x:c r="H1043" s="11"/>
      <x:c r="I1043" s="11" t="str">
        <x:f>IF(H1043="","",C1043-H1043)</x:f>
      </x:c>
      <x:c r="J1043" s="4"/>
      <x:c r="K1043" s="4" t="str">
        <x:v>URLs de detalle page/query/country por clics. No asignan las impresiones de esta consulta a cada página.</x:v>
      </x:c>
    </x:row>
    <x:row r="1044" ht="28" customHeight="1">
      <x:c r="A1044" s="4" t="n">
        <x:v>1034</x:v>
      </x:c>
      <x:c r="B1044" s="4" t="str">
        <x:v>sky airline check-in</x:v>
      </x:c>
      <x:c r="C1044" s="11" t="n">
        <x:v>1</x:v>
      </x:c>
      <x:c r="D1044" s="11" t="n">
        <x:v>220</x:v>
      </x:c>
      <x:c r="E1044" s="14" t="n">
        <x:v>0.004545454545454545</x:v>
      </x:c>
      <x:c r="F1044" s="12" t="n">
        <x:v>6.568181818181818</x:v>
      </x:c>
      <x:c r="G1044" s="4" t="str">
        <x:v>Sin marca literal</x:v>
      </x:c>
      <x:c r="H1044" s="11"/>
      <x:c r="I1044" s="11" t="str">
        <x:f>IF(H1044="","",C1044-H1044)</x:f>
      </x:c>
      <x:c r="J1044" s="4"/>
      <x:c r="K1044" s="4" t="str">
        <x:v>URLs de detalle page/query/country por clics. No asignan las impresiones de esta consulta a cada página.</x:v>
      </x:c>
    </x:row>
    <x:row r="1045" ht="28" customHeight="1">
      <x:c r="A1045" s="4" t="n">
        <x:v>1035</x:v>
      </x:c>
      <x:c r="B1045" s="4" t="str">
        <x:v>talara</x:v>
      </x:c>
      <x:c r="C1045" s="11" t="n">
        <x:v>1</x:v>
      </x:c>
      <x:c r="D1045" s="11" t="n">
        <x:v>220</x:v>
      </x:c>
      <x:c r="E1045" s="14" t="n">
        <x:v>0.004545454545454545</x:v>
      </x:c>
      <x:c r="F1045" s="12" t="n">
        <x:v>11.468181818181819</x:v>
      </x:c>
      <x:c r="G1045" s="4" t="str">
        <x:v>Sin marca literal</x:v>
      </x:c>
      <x:c r="H1045" s="11"/>
      <x:c r="I1045" s="11" t="str">
        <x:f>IF(H1045="","",C1045-H1045)</x:f>
      </x:c>
      <x:c r="J1045" s="4"/>
      <x:c r="K1045" s="4" t="str">
        <x:v>URLs de detalle page/query/country por clics. No asignan las impresiones de esta consulta a cada página.</x:v>
      </x:c>
    </x:row>
    <x:row r="1046" ht="28" customHeight="1">
      <x:c r="A1046" s="4" t="n">
        <x:v>1036</x:v>
      </x:c>
      <x:c r="B1046" s="4" t="str">
        <x:v>cabo frio</x:v>
      </x:c>
      <x:c r="C1046" s="11" t="n">
        <x:v>1</x:v>
      </x:c>
      <x:c r="D1046" s="11" t="n">
        <x:v>217</x:v>
      </x:c>
      <x:c r="E1046" s="14" t="n">
        <x:v>0.004608294930875576</x:v>
      </x:c>
      <x:c r="F1046" s="12" t="n">
        <x:v>11.414746543778802</x:v>
      </x:c>
      <x:c r="G1046" s="4" t="str">
        <x:v>Sin marca literal</x:v>
      </x:c>
      <x:c r="H1046" s="11"/>
      <x:c r="I1046" s="11" t="str">
        <x:f>IF(H1046="","",C1046-H1046)</x:f>
      </x:c>
      <x:c r="J1046" s="4"/>
      <x:c r="K1046" s="4" t="str">
        <x:v>URLs de detalle page/query/country por clics. No asignan las impresiones de esta consulta a cada página.</x:v>
      </x:c>
    </x:row>
    <x:row r="1047" ht="28" customHeight="1">
      <x:c r="A1047" s="4" t="n">
        <x:v>1037</x:v>
      </x:c>
      <x:c r="B1047" s="4" t="str">
        <x:v>termas cerca de puerto montt</x:v>
      </x:c>
      <x:c r="C1047" s="11" t="n">
        <x:v>1</x:v>
      </x:c>
      <x:c r="D1047" s="11" t="n">
        <x:v>217</x:v>
      </x:c>
      <x:c r="E1047" s="14" t="n">
        <x:v>0.004608294930875576</x:v>
      </x:c>
      <x:c r="F1047" s="12" t="n">
        <x:v>8.096774193548388</x:v>
      </x:c>
      <x:c r="G1047" s="4" t="str">
        <x:v>Sin marca literal</x:v>
      </x:c>
      <x:c r="H1047" s="11"/>
      <x:c r="I1047" s="11" t="str">
        <x:f>IF(H1047="","",C1047-H1047)</x:f>
      </x:c>
      <x:c r="J1047" s="4"/>
      <x:c r="K1047" s="4" t="str">
        <x:v>URLs de detalle page/query/country por clics. No asignan las impresiones de esta consulta a cada página.</x:v>
      </x:c>
    </x:row>
    <x:row r="1048" ht="28" customHeight="1">
      <x:c r="A1048" s="4" t="n">
        <x:v>1038</x:v>
      </x:c>
      <x:c r="B1048" s="4" t="str">
        <x:v>sky teléfono chile</x:v>
      </x:c>
      <x:c r="C1048" s="11" t="n">
        <x:v>1</x:v>
      </x:c>
      <x:c r="D1048" s="11" t="n">
        <x:v>216</x:v>
      </x:c>
      <x:c r="E1048" s="14" t="n">
        <x:v>0.004629629629629629</x:v>
      </x:c>
      <x:c r="F1048" s="12" t="n">
        <x:v>8.592592592592592</x:v>
      </x:c>
      <x:c r="G1048" s="4" t="str">
        <x:v>Sin marca literal</x:v>
      </x:c>
      <x:c r="H1048" s="11"/>
      <x:c r="I1048" s="11" t="str">
        <x:f>IF(H1048="","",C1048-H1048)</x:f>
      </x:c>
      <x:c r="J1048" s="4"/>
      <x:c r="K1048" s="4" t="str">
        <x:v>URLs de detalle page/query/country por clics. No asignan las impresiones de esta consulta a cada página.</x:v>
      </x:c>
    </x:row>
    <x:row r="1049" ht="28" customHeight="1">
      <x:c r="A1049" s="4" t="n">
        <x:v>1039</x:v>
      </x:c>
      <x:c r="B1049" s="4" t="str">
        <x:v>puerto fuy donde queda</x:v>
      </x:c>
      <x:c r="C1049" s="11" t="n">
        <x:v>1</x:v>
      </x:c>
      <x:c r="D1049" s="11" t="n">
        <x:v>215</x:v>
      </x:c>
      <x:c r="E1049" s="14" t="n">
        <x:v>0.004651162790697674</x:v>
      </x:c>
      <x:c r="F1049" s="12" t="n">
        <x:v>8.469767441860466</x:v>
      </x:c>
      <x:c r="G1049" s="4" t="str">
        <x:v>Sin marca literal</x:v>
      </x:c>
      <x:c r="H1049" s="11"/>
      <x:c r="I1049" s="11" t="str">
        <x:f>IF(H1049="","",C1049-H1049)</x:f>
      </x:c>
      <x:c r="J1049" s="4"/>
      <x:c r="K1049" s="4" t="str">
        <x:v>URLs de detalle page/query/country por clics. No asignan las impresiones de esta consulta a cada página.</x:v>
      </x:c>
    </x:row>
    <x:row r="1050" ht="28" customHeight="1">
      <x:c r="A1050" s="4" t="n">
        <x:v>1040</x:v>
      </x:c>
      <x:c r="B1050" s="4" t="str">
        <x:v>distancia punta cana a santo domingo</x:v>
      </x:c>
      <x:c r="C1050" s="11" t="n">
        <x:v>1</x:v>
      </x:c>
      <x:c r="D1050" s="11" t="n">
        <x:v>214</x:v>
      </x:c>
      <x:c r="E1050" s="14" t="n">
        <x:v>0.004672897196261682</x:v>
      </x:c>
      <x:c r="F1050" s="12" t="n">
        <x:v>6.570093457943925</x:v>
      </x:c>
      <x:c r="G1050" s="4" t="str">
        <x:v>Sin marca literal</x:v>
      </x:c>
      <x:c r="H1050" s="11"/>
      <x:c r="I1050" s="11" t="str">
        <x:f>IF(H1050="","",C1050-H1050)</x:f>
      </x:c>
      <x:c r="J1050" s="4"/>
      <x:c r="K1050" s="4" t="str">
        <x:v>URLs de detalle page/query/country por clics. No asignan las impresiones de esta consulta a cada página.</x:v>
      </x:c>
    </x:row>
    <x:row r="1051" ht="28" customHeight="1">
      <x:c r="A1051" s="4" t="n">
        <x:v>1041</x:v>
      </x:c>
      <x:c r="B1051" s="4" t="str">
        <x:v>que es el folclor chileno</x:v>
      </x:c>
      <x:c r="C1051" s="11" t="n">
        <x:v>1</x:v>
      </x:c>
      <x:c r="D1051" s="11" t="n">
        <x:v>213</x:v>
      </x:c>
      <x:c r="E1051" s="14" t="n">
        <x:v>0.004694835680751174</x:v>
      </x:c>
      <x:c r="F1051" s="12" t="n">
        <x:v>5.990610328638498</x:v>
      </x:c>
      <x:c r="G1051" s="4" t="str">
        <x:v>Sin marca literal</x:v>
      </x:c>
      <x:c r="H1051" s="11"/>
      <x:c r="I1051" s="11" t="str">
        <x:f>IF(H1051="","",C1051-H1051)</x:f>
      </x:c>
      <x:c r="J1051" s="4"/>
      <x:c r="K1051" s="4" t="str">
        <x:v>URLs de detalle page/query/country por clics. No asignan las impresiones de esta consulta a cada página.</x:v>
      </x:c>
    </x:row>
    <x:row r="1052" ht="28" customHeight="1">
      <x:c r="A1052" s="4" t="n">
        <x:v>1042</x:v>
      </x:c>
      <x:c r="B1052" s="4" t="str">
        <x:v>administra tu vuelo sky</x:v>
      </x:c>
      <x:c r="C1052" s="11" t="n">
        <x:v>1</x:v>
      </x:c>
      <x:c r="D1052" s="11" t="n">
        <x:v>209</x:v>
      </x:c>
      <x:c r="E1052" s="14" t="n">
        <x:v>0.004784688995215311</x:v>
      </x:c>
      <x:c r="F1052" s="12" t="n">
        <x:v>7.6746411483253585</x:v>
      </x:c>
      <x:c r="G1052" s="4" t="str">
        <x:v>Sin marca literal</x:v>
      </x:c>
      <x:c r="H1052" s="11"/>
      <x:c r="I1052" s="11" t="str">
        <x:f>IF(H1052="","",C1052-H1052)</x:f>
      </x:c>
      <x:c r="J1052" s="4"/>
      <x:c r="K1052" s="4" t="str">
        <x:v>URLs de detalle page/query/country por clics. No asignan las impresiones de esta consulta a cada página.</x:v>
      </x:c>
    </x:row>
    <x:row r="1053" ht="28" customHeight="1">
      <x:c r="A1053" s="4" t="n">
        <x:v>1043</x:v>
      </x:c>
      <x:c r="B1053" s="4" t="str">
        <x:v>bailes folclóricos de chile</x:v>
      </x:c>
      <x:c r="C1053" s="11" t="n">
        <x:v>1</x:v>
      </x:c>
      <x:c r="D1053" s="11" t="n">
        <x:v>207</x:v>
      </x:c>
      <x:c r="E1053" s="14" t="n">
        <x:v>0.004830917874396135</x:v>
      </x:c>
      <x:c r="F1053" s="12" t="n">
        <x:v>9.719806763285025</x:v>
      </x:c>
      <x:c r="G1053" s="4" t="str">
        <x:v>Sin marca literal</x:v>
      </x:c>
      <x:c r="H1053" s="11"/>
      <x:c r="I1053" s="11" t="str">
        <x:f>IF(H1053="","",C1053-H1053)</x:f>
      </x:c>
      <x:c r="J1053" s="4"/>
      <x:c r="K1053" s="4" t="str">
        <x:v>URLs de detalle page/query/country por clics. No asignan las impresiones de esta consulta a cada página.</x:v>
      </x:c>
    </x:row>
    <x:row r="1054" ht="28" customHeight="1">
      <x:c r="A1054" s="4" t="n">
        <x:v>1044</x:v>
      </x:c>
      <x:c r="B1054" s="4" t="str">
        <x:v>de montevideo a punta del este</x:v>
      </x:c>
      <x:c r="C1054" s="11" t="n">
        <x:v>1</x:v>
      </x:c>
      <x:c r="D1054" s="11" t="n">
        <x:v>205</x:v>
      </x:c>
      <x:c r="E1054" s="14" t="n">
        <x:v>0.004878048780487805</x:v>
      </x:c>
      <x:c r="F1054" s="12" t="n">
        <x:v>6.795121951219512</x:v>
      </x:c>
      <x:c r="G1054" s="4" t="str">
        <x:v>Sin marca literal</x:v>
      </x:c>
      <x:c r="H1054" s="11"/>
      <x:c r="I1054" s="11" t="str">
        <x:f>IF(H1054="","",C1054-H1054)</x:f>
      </x:c>
      <x:c r="J1054" s="4"/>
      <x:c r="K1054" s="4" t="str">
        <x:v>URLs de detalle page/query/country por clics. No asignan las impresiones de esta consulta a cada página.</x:v>
      </x:c>
    </x:row>
    <x:row r="1055" ht="28" customHeight="1">
      <x:c r="A1055" s="4" t="n">
        <x:v>1045</x:v>
      </x:c>
      <x:c r="B1055" s="4" t="str">
        <x:v>distancia de puerto montt a puerto varas</x:v>
      </x:c>
      <x:c r="C1055" s="11" t="n">
        <x:v>1</x:v>
      </x:c>
      <x:c r="D1055" s="11" t="n">
        <x:v>200</x:v>
      </x:c>
      <x:c r="E1055" s="14" t="n">
        <x:v>0.005</x:v>
      </x:c>
      <x:c r="F1055" s="12" t="n">
        <x:v>5.375</x:v>
      </x:c>
      <x:c r="G1055" s="4" t="str">
        <x:v>Sin marca literal</x:v>
      </x:c>
      <x:c r="H1055" s="11"/>
      <x:c r="I1055" s="11" t="str">
        <x:f>IF(H1055="","",C1055-H1055)</x:f>
      </x:c>
      <x:c r="J1055" s="4"/>
      <x:c r="K1055" s="4" t="str">
        <x:v>URLs de detalle page/query/country por clics. No asignan las impresiones de esta consulta a cada página.</x:v>
      </x:c>
    </x:row>
    <x:row r="1056" ht="28" customHeight="1">
      <x:c r="A1056" s="4" t="n">
        <x:v>1046</x:v>
      </x:c>
      <x:c r="B1056" s="4" t="str">
        <x:v>medida maleta de cabina</x:v>
      </x:c>
      <x:c r="C1056" s="11" t="n">
        <x:v>1</x:v>
      </x:c>
      <x:c r="D1056" s="11" t="n">
        <x:v>198</x:v>
      </x:c>
      <x:c r="E1056" s="14" t="n">
        <x:v>0.005050505050505051</x:v>
      </x:c>
      <x:c r="F1056" s="12" t="n">
        <x:v>7.954545454545454</x:v>
      </x:c>
      <x:c r="G1056" s="4" t="str">
        <x:v>Sin marca literal</x:v>
      </x:c>
      <x:c r="H1056" s="11"/>
      <x:c r="I1056" s="11" t="str">
        <x:f>IF(H1056="","",C1056-H1056)</x:f>
      </x:c>
      <x:c r="J1056" s="4"/>
      <x:c r="K1056" s="4" t="str">
        <x:v>URLs de detalle page/query/country por clics. No asignan las impresiones de esta consulta a cada página.</x:v>
      </x:c>
    </x:row>
    <x:row r="1057" ht="28" customHeight="1">
      <x:c r="A1057" s="4" t="n">
        <x:v>1047</x:v>
      </x:c>
      <x:c r="B1057" s="4" t="str">
        <x:v>puerto fuy</x:v>
      </x:c>
      <x:c r="C1057" s="11" t="n">
        <x:v>1</x:v>
      </x:c>
      <x:c r="D1057" s="11" t="n">
        <x:v>198</x:v>
      </x:c>
      <x:c r="E1057" s="14" t="n">
        <x:v>0.005050505050505051</x:v>
      </x:c>
      <x:c r="F1057" s="12" t="n">
        <x:v>9.954545454545455</x:v>
      </x:c>
      <x:c r="G1057" s="4" t="str">
        <x:v>Sin marca literal</x:v>
      </x:c>
      <x:c r="H1057" s="11"/>
      <x:c r="I1057" s="11" t="str">
        <x:f>IF(H1057="","",C1057-H1057)</x:f>
      </x:c>
      <x:c r="J1057" s="4"/>
      <x:c r="K1057" s="4" t="str">
        <x:v>URLs de detalle page/query/country por clics. No asignan las impresiones de esta consulta a cada página.</x:v>
      </x:c>
    </x:row>
    <x:row r="1058" ht="28" customHeight="1">
      <x:c r="A1058" s="4" t="n">
        <x:v>1048</x:v>
      </x:c>
      <x:c r="B1058" s="4" t="str">
        <x:v>que se puede llevar en el equipaje de mano</x:v>
      </x:c>
      <x:c r="C1058" s="11" t="n">
        <x:v>1</x:v>
      </x:c>
      <x:c r="D1058" s="11" t="n">
        <x:v>194</x:v>
      </x:c>
      <x:c r="E1058" s="14" t="n">
        <x:v>0.005154639175257732</x:v>
      </x:c>
      <x:c r="F1058" s="12" t="n">
        <x:v>18.8659793814433</x:v>
      </x:c>
      <x:c r="G1058" s="4" t="str">
        <x:v>Sin marca literal</x:v>
      </x:c>
      <x:c r="H1058" s="11"/>
      <x:c r="I1058" s="11" t="str">
        <x:f>IF(H1058="","",C1058-H1058)</x:f>
      </x:c>
      <x:c r="J1058" s="4"/>
      <x:c r="K1058" s="4" t="str">
        <x:v>URLs de detalle page/query/country por clics. No asignan las impresiones de esta consulta a cada página.</x:v>
      </x:c>
    </x:row>
    <x:row r="1059" ht="28" customHeight="1">
      <x:c r="A1059" s="4" t="n">
        <x:v>1049</x:v>
      </x:c>
      <x:c r="B1059" s="4" t="str">
        <x:v>donde queda camboriu</x:v>
      </x:c>
      <x:c r="C1059" s="11" t="n">
        <x:v>1</x:v>
      </x:c>
      <x:c r="D1059" s="11" t="n">
        <x:v>191</x:v>
      </x:c>
      <x:c r="E1059" s="14" t="n">
        <x:v>0.005235602094240838</x:v>
      </x:c>
      <x:c r="F1059" s="12" t="n">
        <x:v>7.361256544502618</x:v>
      </x:c>
      <x:c r="G1059" s="4" t="str">
        <x:v>Sin marca literal</x:v>
      </x:c>
      <x:c r="H1059" s="11"/>
      <x:c r="I1059" s="11" t="str">
        <x:f>IF(H1059="","",C1059-H1059)</x:f>
      </x:c>
      <x:c r="J1059" s="4"/>
      <x:c r="K1059" s="4" t="str">
        <x:v>URLs de detalle page/query/country por clics. No asignan las impresiones de esta consulta a cada página.</x:v>
      </x:c>
    </x:row>
    <x:row r="1060" ht="28" customHeight="1">
      <x:c r="A1060" s="4" t="n">
        <x:v>1050</x:v>
      </x:c>
      <x:c r="B1060" s="4" t="str">
        <x:v>skiplagging</x:v>
      </x:c>
      <x:c r="C1060" s="11" t="n">
        <x:v>1</x:v>
      </x:c>
      <x:c r="D1060" s="11" t="n">
        <x:v>190</x:v>
      </x:c>
      <x:c r="E1060" s="14" t="n">
        <x:v>0.005263157894736842</x:v>
      </x:c>
      <x:c r="F1060" s="12" t="n">
        <x:v>7.457894736842105</x:v>
      </x:c>
      <x:c r="G1060" s="4" t="str">
        <x:v>Sin marca literal</x:v>
      </x:c>
      <x:c r="H1060" s="11"/>
      <x:c r="I1060" s="11" t="str">
        <x:f>IF(H1060="","",C1060-H1060)</x:f>
      </x:c>
      <x:c r="J1060" s="4"/>
      <x:c r="K1060" s="4" t="str">
        <x:v>URLs de detalle page/query/country por clics. No asignan las impresiones de esta consulta a cada página.</x:v>
      </x:c>
    </x:row>
    <x:row r="1061" ht="28" customHeight="1">
      <x:c r="A1061" s="4" t="n">
        <x:v>1051</x:v>
      </x:c>
      <x:c r="B1061" s="4" t="str">
        <x:v>cuantas horas son de lima a chiclayo en bus</x:v>
      </x:c>
      <x:c r="C1061" s="11" t="n">
        <x:v>1</x:v>
      </x:c>
      <x:c r="D1061" s="11" t="n">
        <x:v>188</x:v>
      </x:c>
      <x:c r="E1061" s="14" t="n">
        <x:v>0.005319148936170213</x:v>
      </x:c>
      <x:c r="F1061" s="12" t="n">
        <x:v>7.962765957446808</x:v>
      </x:c>
      <x:c r="G1061" s="4" t="str">
        <x:v>Sin marca literal</x:v>
      </x:c>
      <x:c r="H1061" s="11"/>
      <x:c r="I1061" s="11" t="str">
        <x:f>IF(H1061="","",C1061-H1061)</x:f>
      </x:c>
      <x:c r="J1061" s="4"/>
      <x:c r="K1061" s="4" t="str">
        <x:v>URLs de detalle page/query/country por clics. No asignan las impresiones de esta consulta a cada página.</x:v>
      </x:c>
    </x:row>
    <x:row r="1062" ht="28" customHeight="1">
      <x:c r="A1062" s="4" t="n">
        <x:v>1052</x:v>
      </x:c>
      <x:c r="B1062" s="4" t="str">
        <x:v>renovar pasaporte chile</x:v>
      </x:c>
      <x:c r="C1062" s="11" t="n">
        <x:v>1</x:v>
      </x:c>
      <x:c r="D1062" s="11" t="n">
        <x:v>188</x:v>
      </x:c>
      <x:c r="E1062" s="14" t="n">
        <x:v>0.005319148936170213</x:v>
      </x:c>
      <x:c r="F1062" s="12" t="n">
        <x:v>7.51063829787234</x:v>
      </x:c>
      <x:c r="G1062" s="4" t="str">
        <x:v>Sin marca literal</x:v>
      </x:c>
      <x:c r="H1062" s="11"/>
      <x:c r="I1062" s="11" t="str">
        <x:f>IF(H1062="","",C1062-H1062)</x:f>
      </x:c>
      <x:c r="J1062" s="4"/>
      <x:c r="K1062" s="4" t="str">
        <x:v>URLs de detalle page/query/country por clics. No asignan las impresiones de esta consulta a cada página.</x:v>
      </x:c>
    </x:row>
    <x:row r="1063" ht="28" customHeight="1">
      <x:c r="A1063" s="4" t="n">
        <x:v>1053</x:v>
      </x:c>
      <x:c r="B1063" s="4" t="str">
        <x:v>farellones altura</x:v>
      </x:c>
      <x:c r="C1063" s="11" t="n">
        <x:v>1</x:v>
      </x:c>
      <x:c r="D1063" s="11" t="n">
        <x:v>186</x:v>
      </x:c>
      <x:c r="E1063" s="14" t="n">
        <x:v>0.005376344086021506</x:v>
      </x:c>
      <x:c r="F1063" s="12" t="n">
        <x:v>7.973118279569892</x:v>
      </x:c>
      <x:c r="G1063" s="4" t="str">
        <x:v>Sin marca literal</x:v>
      </x:c>
      <x:c r="H1063" s="11"/>
      <x:c r="I1063" s="11" t="str">
        <x:f>IF(H1063="","",C1063-H1063)</x:f>
      </x:c>
      <x:c r="J1063" s="4"/>
      <x:c r="K1063" s="4" t="str">
        <x:v>URLs de detalle page/query/country por clics. No asignan las impresiones de esta consulta a cada página.</x:v>
      </x:c>
    </x:row>
    <x:row r="1064" ht="28" customHeight="1">
      <x:c r="A1064" s="4" t="n">
        <x:v>1054</x:v>
      </x:c>
      <x:c r="B1064" s="4" t="str">
        <x:v>distancia punta arenas a puerto natales</x:v>
      </x:c>
      <x:c r="C1064" s="11" t="n">
        <x:v>1</x:v>
      </x:c>
      <x:c r="D1064" s="11" t="n">
        <x:v>183</x:v>
      </x:c>
      <x:c r="E1064" s="14" t="n">
        <x:v>0.00546448087431694</x:v>
      </x:c>
      <x:c r="F1064" s="12" t="n">
        <x:v>6.14207650273224</x:v>
      </x:c>
      <x:c r="G1064" s="4" t="str">
        <x:v>Sin marca literal</x:v>
      </x:c>
      <x:c r="H1064" s="11"/>
      <x:c r="I1064" s="11" t="str">
        <x:f>IF(H1064="","",C1064-H1064)</x:f>
      </x:c>
      <x:c r="J1064" s="4"/>
      <x:c r="K1064" s="4" t="str">
        <x:v>URLs de detalle page/query/country por clics. No asignan las impresiones de esta consulta a cada página.</x:v>
      </x:c>
    </x:row>
    <x:row r="1065" ht="28" customHeight="1">
      <x:c r="A1065" s="4" t="n">
        <x:v>1055</x:v>
      </x:c>
      <x:c r="B1065" s="4" t="str">
        <x:v>otoño</x:v>
      </x:c>
      <x:c r="C1065" s="11" t="n">
        <x:v>1</x:v>
      </x:c>
      <x:c r="D1065" s="11" t="n">
        <x:v>183</x:v>
      </x:c>
      <x:c r="E1065" s="14" t="n">
        <x:v>0.00546448087431694</x:v>
      </x:c>
      <x:c r="F1065" s="12" t="n">
        <x:v>7.808743169398907</x:v>
      </x:c>
      <x:c r="G1065" s="4" t="str">
        <x:v>Sin marca literal</x:v>
      </x:c>
      <x:c r="H1065" s="11"/>
      <x:c r="I1065" s="11" t="str">
        <x:f>IF(H1065="","",C1065-H1065)</x:f>
      </x:c>
      <x:c r="J1065" s="4"/>
      <x:c r="K1065" s="4" t="str">
        <x:v>URLs de detalle page/query/country por clics. No asignan las impresiones de esta consulta a cada página.</x:v>
      </x:c>
    </x:row>
    <x:row r="1066" ht="28" customHeight="1">
      <x:c r="A1066" s="4" t="n">
        <x:v>1056</x:v>
      </x:c>
      <x:c r="B1066" s="4" t="str">
        <x:v>emin vuelos</x:v>
      </x:c>
      <x:c r="C1066" s="11" t="n">
        <x:v>1</x:v>
      </x:c>
      <x:c r="D1066" s="11" t="n">
        <x:v>180</x:v>
      </x:c>
      <x:c r="E1066" s="14" t="n">
        <x:v>0.005555555555555556</x:v>
      </x:c>
      <x:c r="F1066" s="12" t="n">
        <x:v>4.133333333333333</x:v>
      </x:c>
      <x:c r="G1066" s="4" t="str">
        <x:v>Sin marca literal</x:v>
      </x:c>
      <x:c r="H1066" s="11"/>
      <x:c r="I1066" s="11" t="str">
        <x:f>IF(H1066="","",C1066-H1066)</x:f>
      </x:c>
      <x:c r="J1066" s="4"/>
      <x:c r="K1066" s="4" t="str">
        <x:v>URLs de detalle page/query/country por clics. No asignan las impresiones de esta consulta a cada página.</x:v>
      </x:c>
    </x:row>
    <x:row r="1067" ht="28" customHeight="1">
      <x:c r="A1067" s="4" t="n">
        <x:v>1057</x:v>
      </x:c>
      <x:c r="B1067" s="4" t="str">
        <x:v>en que temporada estamos en chile</x:v>
      </x:c>
      <x:c r="C1067" s="11" t="n">
        <x:v>1</x:v>
      </x:c>
      <x:c r="D1067" s="11" t="n">
        <x:v>179</x:v>
      </x:c>
      <x:c r="E1067" s="14" t="n">
        <x:v>0.00558659217877095</x:v>
      </x:c>
      <x:c r="F1067" s="12" t="n">
        <x:v>2.6927374301675977</x:v>
      </x:c>
      <x:c r="G1067" s="4" t="str">
        <x:v>Sin marca literal</x:v>
      </x:c>
      <x:c r="H1067" s="11"/>
      <x:c r="I1067" s="11" t="str">
        <x:f>IF(H1067="","",C1067-H1067)</x:f>
      </x:c>
      <x:c r="J1067" s="4"/>
      <x:c r="K1067" s="4" t="str">
        <x:v>URLs de detalle page/query/country por clics. No asignan las impresiones de esta consulta a cada página.</x:v>
      </x:c>
    </x:row>
    <x:row r="1068" ht="28" customHeight="1">
      <x:c r="A1068" s="4" t="n">
        <x:v>1058</x:v>
      </x:c>
      <x:c r="B1068" s="4" t="str">
        <x:v>distancia santiago mendoza</x:v>
      </x:c>
      <x:c r="C1068" s="11" t="n">
        <x:v>1</x:v>
      </x:c>
      <x:c r="D1068" s="11" t="n">
        <x:v>178</x:v>
      </x:c>
      <x:c r="E1068" s="14" t="n">
        <x:v>0.0056179775280898875</x:v>
      </x:c>
      <x:c r="F1068" s="12" t="n">
        <x:v>5.943820224719101</x:v>
      </x:c>
      <x:c r="G1068" s="4" t="str">
        <x:v>Sin marca literal</x:v>
      </x:c>
      <x:c r="H1068" s="11"/>
      <x:c r="I1068" s="11" t="str">
        <x:f>IF(H1068="","",C1068-H1068)</x:f>
      </x:c>
      <x:c r="J1068" s="4"/>
      <x:c r="K1068" s="4" t="str">
        <x:v>URLs de detalle page/query/country por clics. No asignan las impresiones de esta consulta a cada página.</x:v>
      </x:c>
    </x:row>
    <x:row r="1069" ht="28" customHeight="1">
      <x:c r="A1069" s="4" t="n">
        <x:v>1059</x:v>
      </x:c>
      <x:c r="B1069" s="4" t="str">
        <x:v>cuanto hay de punta cana a santo domingo</x:v>
      </x:c>
      <x:c r="C1069" s="11" t="n">
        <x:v>1</x:v>
      </x:c>
      <x:c r="D1069" s="11" t="n">
        <x:v>177</x:v>
      </x:c>
      <x:c r="E1069" s="14" t="n">
        <x:v>0.005649717514124294</x:v>
      </x:c>
      <x:c r="F1069" s="12" t="n">
        <x:v>6.418079096045198</x:v>
      </x:c>
      <x:c r="G1069" s="4" t="str">
        <x:v>Sin marca literal</x:v>
      </x:c>
      <x:c r="H1069" s="11"/>
      <x:c r="I1069" s="11" t="str">
        <x:f>IF(H1069="","",C1069-H1069)</x:f>
      </x:c>
      <x:c r="J1069" s="4"/>
      <x:c r="K1069" s="4" t="str">
        <x:v>URLs de detalle page/query/country por clics. No asignan las impresiones de esta consulta a cada página.</x:v>
      </x:c>
    </x:row>
    <x:row r="1070" ht="28" customHeight="1">
      <x:c r="A1070" s="4" t="n">
        <x:v>1060</x:v>
      </x:c>
      <x:c r="B1070" s="4" t="str">
        <x:v>que es una bitácora</x:v>
      </x:c>
      <x:c r="C1070" s="11" t="n">
        <x:v>1</x:v>
      </x:c>
      <x:c r="D1070" s="11" t="n">
        <x:v>177</x:v>
      </x:c>
      <x:c r="E1070" s="14" t="n">
        <x:v>0.005649717514124294</x:v>
      </x:c>
      <x:c r="F1070" s="12" t="n">
        <x:v>9.440677966101696</x:v>
      </x:c>
      <x:c r="G1070" s="4" t="str">
        <x:v>Sin marca literal</x:v>
      </x:c>
      <x:c r="H1070" s="11"/>
      <x:c r="I1070" s="11" t="str">
        <x:f>IF(H1070="","",C1070-H1070)</x:f>
      </x:c>
      <x:c r="J1070" s="4"/>
      <x:c r="K1070" s="4" t="str">
        <x:v>URLs de detalle page/query/country por clics. No asignan las impresiones de esta consulta a cada página.</x:v>
      </x:c>
    </x:row>
    <x:row r="1071" ht="28" customHeight="1">
      <x:c r="A1071" s="4" t="n">
        <x:v>1061</x:v>
      </x:c>
      <x:c r="B1071" s="4" t="str">
        <x:v>bailes típicos chilenos</x:v>
      </x:c>
      <x:c r="C1071" s="11" t="n">
        <x:v>1</x:v>
      </x:c>
      <x:c r="D1071" s="11" t="n">
        <x:v>171</x:v>
      </x:c>
      <x:c r="E1071" s="14" t="n">
        <x:v>0.005847953216374269</x:v>
      </x:c>
      <x:c r="F1071" s="12" t="n">
        <x:v>8.005847953216374</x:v>
      </x:c>
      <x:c r="G1071" s="4" t="str">
        <x:v>Sin marca literal</x:v>
      </x:c>
      <x:c r="H1071" s="11"/>
      <x:c r="I1071" s="11" t="str">
        <x:f>IF(H1071="","",C1071-H1071)</x:f>
      </x:c>
      <x:c r="J1071" s="4"/>
      <x:c r="K1071" s="4" t="str">
        <x:v>URLs de detalle page/query/country por clics. No asignan las impresiones de esta consulta a cada página.</x:v>
      </x:c>
    </x:row>
    <x:row r="1072" ht="28" customHeight="1">
      <x:c r="A1072" s="4" t="n">
        <x:v>1062</x:v>
      </x:c>
      <x:c r="B1072" s="4" t="str">
        <x:v>paquetes sky</x:v>
      </x:c>
      <x:c r="C1072" s="11" t="n">
        <x:v>1</x:v>
      </x:c>
      <x:c r="D1072" s="11" t="n">
        <x:v>170</x:v>
      </x:c>
      <x:c r="E1072" s="14" t="n">
        <x:v>0.0058823529411764705</x:v>
      </x:c>
      <x:c r="F1072" s="12" t="n">
        <x:v>7.864705882352941</x:v>
      </x:c>
      <x:c r="G1072" s="4" t="str">
        <x:v>Sin marca literal</x:v>
      </x:c>
      <x:c r="H1072" s="11"/>
      <x:c r="I1072" s="11" t="str">
        <x:f>IF(H1072="","",C1072-H1072)</x:f>
      </x:c>
      <x:c r="J1072" s="4"/>
      <x:c r="K1072" s="4" t="str">
        <x:v>URLs de detalle page/query/country por clics. No asignan las impresiones de esta consulta a cada página.</x:v>
      </x:c>
    </x:row>
    <x:row r="1073" ht="28" customHeight="1">
      <x:c r="A1073" s="4" t="n">
        <x:v>1063</x:v>
      </x:c>
      <x:c r="B1073" s="4" t="str">
        <x:v>donde queda el estadio nacional</x:v>
      </x:c>
      <x:c r="C1073" s="11" t="n">
        <x:v>1</x:v>
      </x:c>
      <x:c r="D1073" s="11" t="n">
        <x:v>167</x:v>
      </x:c>
      <x:c r="E1073" s="14" t="n">
        <x:v>0.005988023952095809</x:v>
      </x:c>
      <x:c r="F1073" s="12" t="n">
        <x:v>8.2874251497006</x:v>
      </x:c>
      <x:c r="G1073" s="4" t="str">
        <x:v>Sin marca literal</x:v>
      </x:c>
      <x:c r="H1073" s="11"/>
      <x:c r="I1073" s="11" t="str">
        <x:f>IF(H1073="","",C1073-H1073)</x:f>
      </x:c>
      <x:c r="J1073" s="4"/>
      <x:c r="K1073" s="4" t="str">
        <x:v>URLs de detalle page/query/country por clics. No asignan las impresiones de esta consulta a cada página.</x:v>
      </x:c>
    </x:row>
    <x:row r="1074" ht="28" customHeight="1">
      <x:c r="A1074" s="4" t="n">
        <x:v>1064</x:v>
      </x:c>
      <x:c r="B1074" s="4" t="str">
        <x:v>sargazo playa del carmen</x:v>
      </x:c>
      <x:c r="C1074" s="11" t="n">
        <x:v>1</x:v>
      </x:c>
      <x:c r="D1074" s="11" t="n">
        <x:v>165</x:v>
      </x:c>
      <x:c r="E1074" s="14" t="n">
        <x:v>0.006060606060606061</x:v>
      </x:c>
      <x:c r="F1074" s="12" t="n">
        <x:v>12.187878787878788</x:v>
      </x:c>
      <x:c r="G1074" s="4" t="str">
        <x:v>Sin marca literal</x:v>
      </x:c>
      <x:c r="H1074" s="11"/>
      <x:c r="I1074" s="11" t="str">
        <x:f>IF(H1074="","",C1074-H1074)</x:f>
      </x:c>
      <x:c r="J1074" s="4"/>
      <x:c r="K1074" s="4" t="str">
        <x:v>URLs de detalle page/query/country por clics. No asignan las impresiones de esta consulta a cada página.</x:v>
      </x:c>
    </x:row>
    <x:row r="1075" ht="28" customHeight="1">
      <x:c r="A1075" s="4" t="n">
        <x:v>1065</x:v>
      </x:c>
      <x:c r="B1075" s="4" t="str">
        <x:v>que es un glamping</x:v>
      </x:c>
      <x:c r="C1075" s="11" t="n">
        <x:v>1</x:v>
      </x:c>
      <x:c r="D1075" s="11" t="n">
        <x:v>162</x:v>
      </x:c>
      <x:c r="E1075" s="14" t="n">
        <x:v>0.006172839506172839</x:v>
      </x:c>
      <x:c r="F1075" s="12" t="n">
        <x:v>8.703703703703702</x:v>
      </x:c>
      <x:c r="G1075" s="4" t="str">
        <x:v>Sin marca literal</x:v>
      </x:c>
      <x:c r="H1075" s="11"/>
      <x:c r="I1075" s="11" t="str">
        <x:f>IF(H1075="","",C1075-H1075)</x:f>
      </x:c>
      <x:c r="J1075" s="4"/>
      <x:c r="K1075" s="4" t="str">
        <x:v>URLs de detalle page/query/country por clics. No asignan las impresiones de esta consulta a cada página.</x:v>
      </x:c>
    </x:row>
    <x:row r="1076" ht="28" customHeight="1">
      <x:c r="A1076" s="4" t="n">
        <x:v>1066</x:v>
      </x:c>
      <x:c r="B1076" s="4" t="str">
        <x:v>outfit para viajar en avion</x:v>
      </x:c>
      <x:c r="C1076" s="11" t="n">
        <x:v>1</x:v>
      </x:c>
      <x:c r="D1076" s="11" t="n">
        <x:v>159</x:v>
      </x:c>
      <x:c r="E1076" s="14" t="n">
        <x:v>0.006289308176100629</x:v>
      </x:c>
      <x:c r="F1076" s="12" t="n">
        <x:v>11.50943396226415</x:v>
      </x:c>
      <x:c r="G1076" s="4" t="str">
        <x:v>Sin marca literal</x:v>
      </x:c>
      <x:c r="H1076" s="11"/>
      <x:c r="I1076" s="11" t="str">
        <x:f>IF(H1076="","",C1076-H1076)</x:f>
      </x:c>
      <x:c r="J1076" s="4"/>
      <x:c r="K1076" s="4" t="str">
        <x:v>URLs de detalle page/query/country por clics. No asignan las impresiones de esta consulta a cada página.</x:v>
      </x:c>
    </x:row>
    <x:row r="1077" ht="28" customHeight="1">
      <x:c r="A1077" s="4" t="n">
        <x:v>1067</x:v>
      </x:c>
      <x:c r="B1077" s="4" t="str">
        <x:v>aeropuertos en chile</x:v>
      </x:c>
      <x:c r="C1077" s="11" t="n">
        <x:v>1</x:v>
      </x:c>
      <x:c r="D1077" s="11" t="n">
        <x:v>158</x:v>
      </x:c>
      <x:c r="E1077" s="14" t="n">
        <x:v>0.006329113924050633</x:v>
      </x:c>
      <x:c r="F1077" s="12" t="n">
        <x:v>6.848101265822785</x:v>
      </x:c>
      <x:c r="G1077" s="4" t="str">
        <x:v>Sin marca literal</x:v>
      </x:c>
      <x:c r="H1077" s="11"/>
      <x:c r="I1077" s="11" t="str">
        <x:f>IF(H1077="","",C1077-H1077)</x:f>
      </x:c>
      <x:c r="J1077" s="4"/>
      <x:c r="K1077" s="4" t="str">
        <x:v>URLs de detalle page/query/country por clics. No asignan las impresiones de esta consulta a cada página.</x:v>
      </x:c>
    </x:row>
    <x:row r="1078" ht="28" customHeight="1">
      <x:c r="A1078" s="4" t="n">
        <x:v>1068</x:v>
      </x:c>
      <x:c r="B1078" s="4" t="str">
        <x:v>vuelos lima talara</x:v>
      </x:c>
      <x:c r="C1078" s="11" t="n">
        <x:v>1</x:v>
      </x:c>
      <x:c r="D1078" s="11" t="n">
        <x:v>156</x:v>
      </x:c>
      <x:c r="E1078" s="14" t="n">
        <x:v>0.00641025641025641</x:v>
      </x:c>
      <x:c r="F1078" s="12" t="n">
        <x:v>11.493589743589743</x:v>
      </x:c>
      <x:c r="G1078" s="4" t="str">
        <x:v>Sin marca literal</x:v>
      </x:c>
      <x:c r="H1078" s="11"/>
      <x:c r="I1078" s="11" t="str">
        <x:f>IF(H1078="","",C1078-H1078)</x:f>
      </x:c>
      <x:c r="J1078" s="4"/>
      <x:c r="K1078" s="4" t="str">
        <x:v>URLs de detalle page/query/country por clics. No asignan las impresiones de esta consulta a cada página.</x:v>
      </x:c>
    </x:row>
    <x:row r="1079" ht="28" customHeight="1">
      <x:c r="A1079" s="4" t="n">
        <x:v>1069</x:v>
      </x:c>
      <x:c r="B1079" s="4" t="str">
        <x:v>distancia entre rancagua y santiago</x:v>
      </x:c>
      <x:c r="C1079" s="11" t="n">
        <x:v>1</x:v>
      </x:c>
      <x:c r="D1079" s="11" t="n">
        <x:v>155</x:v>
      </x:c>
      <x:c r="E1079" s="14" t="n">
        <x:v>0.0064516129032258064</x:v>
      </x:c>
      <x:c r="F1079" s="12" t="n">
        <x:v>6.877419354838709</x:v>
      </x:c>
      <x:c r="G1079" s="4" t="str">
        <x:v>Sin marca literal</x:v>
      </x:c>
      <x:c r="H1079" s="11"/>
      <x:c r="I1079" s="11" t="str">
        <x:f>IF(H1079="","",C1079-H1079)</x:f>
      </x:c>
      <x:c r="J1079" s="4"/>
      <x:c r="K1079" s="4" t="str">
        <x:v>URLs de detalle page/query/country por clics. No asignan las impresiones de esta consulta a cada página.</x:v>
      </x:c>
    </x:row>
    <x:row r="1080" ht="28" customHeight="1">
      <x:c r="A1080" s="4" t="n">
        <x:v>1070</x:v>
      </x:c>
      <x:c r="B1080" s="4" t="str">
        <x:v>donde queda futrono</x:v>
      </x:c>
      <x:c r="C1080" s="11" t="n">
        <x:v>1</x:v>
      </x:c>
      <x:c r="D1080" s="11" t="n">
        <x:v>155</x:v>
      </x:c>
      <x:c r="E1080" s="14" t="n">
        <x:v>0.0064516129032258064</x:v>
      </x:c>
      <x:c r="F1080" s="12" t="n">
        <x:v>9.529032258064516</x:v>
      </x:c>
      <x:c r="G1080" s="4" t="str">
        <x:v>Sin marca literal</x:v>
      </x:c>
      <x:c r="H1080" s="11"/>
      <x:c r="I1080" s="11" t="str">
        <x:f>IF(H1080="","",C1080-H1080)</x:f>
      </x:c>
      <x:c r="J1080" s="4"/>
      <x:c r="K1080" s="4" t="str">
        <x:v>URLs de detalle page/query/country por clics. No asignan las impresiones de esta consulta a cada página.</x:v>
      </x:c>
    </x:row>
    <x:row r="1081" ht="28" customHeight="1">
      <x:c r="A1081" s="4" t="n">
        <x:v>1071</x:v>
      </x:c>
      <x:c r="B1081" s="4" t="str">
        <x:v>bahia principe donde queda</x:v>
      </x:c>
      <x:c r="C1081" s="11" t="n">
        <x:v>1</x:v>
      </x:c>
      <x:c r="D1081" s="11" t="n">
        <x:v>154</x:v>
      </x:c>
      <x:c r="E1081" s="14" t="n">
        <x:v>0.006493506493506494</x:v>
      </x:c>
      <x:c r="F1081" s="12" t="n">
        <x:v>6.337662337662338</x:v>
      </x:c>
      <x:c r="G1081" s="4" t="str">
        <x:v>Sin marca literal</x:v>
      </x:c>
      <x:c r="H1081" s="11"/>
      <x:c r="I1081" s="11" t="str">
        <x:f>IF(H1081="","",C1081-H1081)</x:f>
      </x:c>
      <x:c r="J1081" s="4"/>
      <x:c r="K1081" s="4" t="str">
        <x:v>URLs de detalle page/query/country por clics. No asignan las impresiones de esta consulta a cada página.</x:v>
      </x:c>
    </x:row>
    <x:row r="1082" ht="28" customHeight="1">
      <x:c r="A1082" s="4" t="n">
        <x:v>1072</x:v>
      </x:c>
      <x:c r="B1082" s="4" t="str">
        <x:v>chek in sky</x:v>
      </x:c>
      <x:c r="C1082" s="11" t="n">
        <x:v>1</x:v>
      </x:c>
      <x:c r="D1082" s="11" t="n">
        <x:v>154</x:v>
      </x:c>
      <x:c r="E1082" s="14" t="n">
        <x:v>0.006493506493506494</x:v>
      </x:c>
      <x:c r="F1082" s="12" t="n">
        <x:v>7.214285714285714</x:v>
      </x:c>
      <x:c r="G1082" s="4" t="str">
        <x:v>Sin marca literal</x:v>
      </x:c>
      <x:c r="H1082" s="11"/>
      <x:c r="I1082" s="11" t="str">
        <x:f>IF(H1082="","",C1082-H1082)</x:f>
      </x:c>
      <x:c r="J1082" s="4"/>
      <x:c r="K1082" s="4" t="str">
        <x:v>URLs de detalle page/query/country por clics. No asignan las impresiones de esta consulta a cada página.</x:v>
      </x:c>
    </x:row>
    <x:row r="1083" ht="28" customHeight="1">
      <x:c r="A1083" s="4" t="n">
        <x:v>1073</x:v>
      </x:c>
      <x:c r="B1083" s="4" t="str">
        <x:v>a que paises se puede viajar sin pasaporte desde chile</x:v>
      </x:c>
      <x:c r="C1083" s="11" t="n">
        <x:v>1</x:v>
      </x:c>
      <x:c r="D1083" s="11" t="n">
        <x:v>152</x:v>
      </x:c>
      <x:c r="E1083" s="14" t="n">
        <x:v>0.006578947368421052</x:v>
      </x:c>
      <x:c r="F1083" s="12" t="n">
        <x:v>5.190789473684211</x:v>
      </x:c>
      <x:c r="G1083" s="4" t="str">
        <x:v>Sin marca literal</x:v>
      </x:c>
      <x:c r="H1083" s="11"/>
      <x:c r="I1083" s="11" t="str">
        <x:f>IF(H1083="","",C1083-H1083)</x:f>
      </x:c>
      <x:c r="J1083" s="4"/>
      <x:c r="K1083" s="4" t="str">
        <x:v>URLs de detalle page/query/country por clics. No asignan las impresiones de esta consulta a cada página.</x:v>
      </x:c>
    </x:row>
    <x:row r="1084" ht="28" customHeight="1">
      <x:c r="A1084" s="4" t="n">
        <x:v>1074</x:v>
      </x:c>
      <x:c r="B1084" s="4" t="str">
        <x:v>calafate donde queda</x:v>
      </x:c>
      <x:c r="C1084" s="11" t="n">
        <x:v>1</x:v>
      </x:c>
      <x:c r="D1084" s="11" t="n">
        <x:v>151</x:v>
      </x:c>
      <x:c r="E1084" s="14" t="n">
        <x:v>0.006622516556291391</x:v>
      </x:c>
      <x:c r="F1084" s="12" t="n">
        <x:v>4.947019867549669</x:v>
      </x:c>
      <x:c r="G1084" s="4" t="str">
        <x:v>Sin marca literal</x:v>
      </x:c>
      <x:c r="H1084" s="11"/>
      <x:c r="I1084" s="11" t="str">
        <x:f>IF(H1084="","",C1084-H1084)</x:f>
      </x:c>
      <x:c r="J1084" s="4"/>
      <x:c r="K1084" s="4" t="str">
        <x:v>URLs de detalle page/query/country por clics. No asignan las impresiones de esta consulta a cada página.</x:v>
      </x:c>
    </x:row>
    <x:row r="1085" ht="28" customHeight="1">
      <x:c r="A1085" s="4" t="n">
        <x:v>1075</x:v>
      </x:c>
      <x:c r="B1085" s="4" t="str">
        <x:v>cascada de las animas</x:v>
      </x:c>
      <x:c r="C1085" s="11" t="n">
        <x:v>1</x:v>
      </x:c>
      <x:c r="D1085" s="11" t="n">
        <x:v>148</x:v>
      </x:c>
      <x:c r="E1085" s="14" t="n">
        <x:v>0.006756756756756757</x:v>
      </x:c>
      <x:c r="F1085" s="12" t="n">
        <x:v>13.804054054054054</x:v>
      </x:c>
      <x:c r="G1085" s="4" t="str">
        <x:v>Sin marca literal</x:v>
      </x:c>
      <x:c r="H1085" s="11"/>
      <x:c r="I1085" s="11" t="str">
        <x:f>IF(H1085="","",C1085-H1085)</x:f>
      </x:c>
      <x:c r="J1085" s="4"/>
      <x:c r="K1085" s="4" t="str">
        <x:v>URLs de detalle page/query/country por clics. No asignan las impresiones de esta consulta a cada página.</x:v>
      </x:c>
    </x:row>
    <x:row r="1086" ht="28" customHeight="1">
      <x:c r="A1086" s="4" t="n">
        <x:v>1076</x:v>
      </x:c>
      <x:c r="B1086" s="4" t="str">
        <x:v>termas</x:v>
      </x:c>
      <x:c r="C1086" s="11" t="n">
        <x:v>1</x:v>
      </x:c>
      <x:c r="D1086" s="11" t="n">
        <x:v>146</x:v>
      </x:c>
      <x:c r="E1086" s="14" t="n">
        <x:v>0.00684931506849315</x:v>
      </x:c>
      <x:c r="F1086" s="12" t="n">
        <x:v>8.267123287671232</x:v>
      </x:c>
      <x:c r="G1086" s="4" t="str">
        <x:v>Sin marca literal</x:v>
      </x:c>
      <x:c r="H1086" s="11"/>
      <x:c r="I1086" s="11" t="str">
        <x:f>IF(H1086="","",C1086-H1086)</x:f>
      </x:c>
      <x:c r="J1086" s="4"/>
      <x:c r="K1086" s="4" t="str">
        <x:v>URLs de detalle page/query/country por clics. No asignan las impresiones de esta consulta a cada página.</x:v>
      </x:c>
    </x:row>
    <x:row r="1087" ht="28" customHeight="1">
      <x:c r="A1087" s="4" t="n">
        <x:v>1077</x:v>
      </x:c>
      <x:c r="B1087" s="4" t="str">
        <x:v>avión sky</x:v>
      </x:c>
      <x:c r="C1087" s="11" t="n">
        <x:v>1</x:v>
      </x:c>
      <x:c r="D1087" s="11" t="n">
        <x:v>144</x:v>
      </x:c>
      <x:c r="E1087" s="14" t="n">
        <x:v>0.006944444444444444</x:v>
      </x:c>
      <x:c r="F1087" s="12" t="n">
        <x:v>2.2222222222222223</x:v>
      </x:c>
      <x:c r="G1087" s="4" t="str">
        <x:v>Sin marca literal</x:v>
      </x:c>
      <x:c r="H1087" s="11"/>
      <x:c r="I1087" s="11" t="str">
        <x:f>IF(H1087="","",C1087-H1087)</x:f>
      </x:c>
      <x:c r="J1087" s="4"/>
      <x:c r="K1087" s="4" t="str">
        <x:v>URLs de detalle page/query/country por clics. No asignan las impresiones de esta consulta a cada página.</x:v>
      </x:c>
    </x:row>
    <x:row r="1088" ht="28" customHeight="1">
      <x:c r="A1088" s="4" t="n">
        <x:v>1078</x:v>
      </x:c>
      <x:c r="B1088" s="4" t="str">
        <x:v>regiones del sur de chile</x:v>
      </x:c>
      <x:c r="C1088" s="11" t="n">
        <x:v>1</x:v>
      </x:c>
      <x:c r="D1088" s="11" t="n">
        <x:v>143</x:v>
      </x:c>
      <x:c r="E1088" s="14" t="n">
        <x:v>0.006993006993006993</x:v>
      </x:c>
      <x:c r="F1088" s="12" t="n">
        <x:v>10.118881118881118</x:v>
      </x:c>
      <x:c r="G1088" s="4" t="str">
        <x:v>Sin marca literal</x:v>
      </x:c>
      <x:c r="H1088" s="11"/>
      <x:c r="I1088" s="11" t="str">
        <x:f>IF(H1088="","",C1088-H1088)</x:f>
      </x:c>
      <x:c r="J1088" s="4"/>
      <x:c r="K1088" s="4" t="str">
        <x:v>URLs de detalle page/query/country por clics. No asignan las impresiones de esta consulta a cada página.</x:v>
      </x:c>
    </x:row>
    <x:row r="1089" ht="28" customHeight="1">
      <x:c r="A1089" s="4" t="n">
        <x:v>1079</x:v>
      </x:c>
      <x:c r="B1089" s="4" t="str">
        <x:v>zona centro sur de chile</x:v>
      </x:c>
      <x:c r="C1089" s="11" t="n">
        <x:v>1</x:v>
      </x:c>
      <x:c r="D1089" s="11" t="n">
        <x:v>143</x:v>
      </x:c>
      <x:c r="E1089" s="14" t="n">
        <x:v>0.006993006993006993</x:v>
      </x:c>
      <x:c r="F1089" s="12" t="n">
        <x:v>5.034965034965035</x:v>
      </x:c>
      <x:c r="G1089" s="4" t="str">
        <x:v>Sin marca literal</x:v>
      </x:c>
      <x:c r="H1089" s="11"/>
      <x:c r="I1089" s="11" t="str">
        <x:f>IF(H1089="","",C1089-H1089)</x:f>
      </x:c>
      <x:c r="J1089" s="4"/>
      <x:c r="K1089" s="4" t="str">
        <x:v>URLs de detalle page/query/country por clics. No asignan las impresiones de esta consulta a cada página.</x:v>
      </x:c>
    </x:row>
    <x:row r="1090" ht="28" customHeight="1">
      <x:c r="A1090" s="4" t="n">
        <x:v>1080</x:v>
      </x:c>
      <x:c r="B1090" s="4" t="str">
        <x:v>playas de piura</x:v>
      </x:c>
      <x:c r="C1090" s="11" t="n">
        <x:v>1</x:v>
      </x:c>
      <x:c r="D1090" s="11" t="n">
        <x:v>142</x:v>
      </x:c>
      <x:c r="E1090" s="14" t="n">
        <x:v>0.007042253521126761</x:v>
      </x:c>
      <x:c r="F1090" s="12" t="n">
        <x:v>8.943661971830986</x:v>
      </x:c>
      <x:c r="G1090" s="4" t="str">
        <x:v>Sin marca literal</x:v>
      </x:c>
      <x:c r="H1090" s="11"/>
      <x:c r="I1090" s="11" t="str">
        <x:f>IF(H1090="","",C1090-H1090)</x:f>
      </x:c>
      <x:c r="J1090" s="4"/>
      <x:c r="K1090" s="4" t="str">
        <x:v>URLs de detalle page/query/country por clics. No asignan las impresiones de esta consulta a cada página.</x:v>
      </x:c>
    </x:row>
    <x:row r="1091" ht="28" customHeight="1">
      <x:c r="A1091" s="4" t="n">
        <x:v>1081</x:v>
      </x:c>
      <x:c r="B1091" s="4" t="str">
        <x:v>coyhaique aeropuerto</x:v>
      </x:c>
      <x:c r="C1091" s="11" t="n">
        <x:v>1</x:v>
      </x:c>
      <x:c r="D1091" s="11" t="n">
        <x:v>140</x:v>
      </x:c>
      <x:c r="E1091" s="14" t="n">
        <x:v>0.007142857142857143</x:v>
      </x:c>
      <x:c r="F1091" s="12" t="n">
        <x:v>7.678571428571429</x:v>
      </x:c>
      <x:c r="G1091" s="4" t="str">
        <x:v>Sin marca literal</x:v>
      </x:c>
      <x:c r="H1091" s="11"/>
      <x:c r="I1091" s="11" t="str">
        <x:f>IF(H1091="","",C1091-H1091)</x:f>
      </x:c>
      <x:c r="J1091" s="4"/>
      <x:c r="K1091" s="4" t="str">
        <x:v>URLs de detalle page/query/country por clics. No asignan las impresiones de esta consulta a cada página.</x:v>
      </x:c>
    </x:row>
    <x:row r="1092" ht="28" customHeight="1">
      <x:c r="A1092" s="4" t="n">
        <x:v>1082</x:v>
      </x:c>
      <x:c r="B1092" s="4" t="str">
        <x:v>baile de chile</x:v>
      </x:c>
      <x:c r="C1092" s="11" t="n">
        <x:v>1</x:v>
      </x:c>
      <x:c r="D1092" s="11" t="n">
        <x:v>139</x:v>
      </x:c>
      <x:c r="E1092" s="14" t="n">
        <x:v>0.007194244604316547</x:v>
      </x:c>
      <x:c r="F1092" s="12" t="n">
        <x:v>9.29496402877698</x:v>
      </x:c>
      <x:c r="G1092" s="4" t="str">
        <x:v>Sin marca literal</x:v>
      </x:c>
      <x:c r="H1092" s="11"/>
      <x:c r="I1092" s="11" t="str">
        <x:f>IF(H1092="","",C1092-H1092)</x:f>
      </x:c>
      <x:c r="J1092" s="4"/>
      <x:c r="K1092" s="4" t="str">
        <x:v>URLs de detalle page/query/country por clics. No asignan las impresiones de esta consulta a cada página.</x:v>
      </x:c>
    </x:row>
    <x:row r="1093" ht="28" customHeight="1">
      <x:c r="A1093" s="4" t="n">
        <x:v>1083</x:v>
      </x:c>
      <x:c r="B1093" s="4" t="str">
        <x:v>boliches para mayores de 40 en montevideo</x:v>
      </x:c>
      <x:c r="C1093" s="11" t="n">
        <x:v>1</x:v>
      </x:c>
      <x:c r="D1093" s="11" t="n">
        <x:v>138</x:v>
      </x:c>
      <x:c r="E1093" s="14" t="n">
        <x:v>0.007246376811594203</x:v>
      </x:c>
      <x:c r="F1093" s="12" t="n">
        <x:v>11.376811594202898</x:v>
      </x:c>
      <x:c r="G1093" s="4" t="str">
        <x:v>Sin marca literal</x:v>
      </x:c>
      <x:c r="H1093" s="11"/>
      <x:c r="I1093" s="11" t="str">
        <x:f>IF(H1093="","",C1093-H1093)</x:f>
      </x:c>
      <x:c r="J1093" s="4"/>
      <x:c r="K1093" s="4" t="str">
        <x:v>URLs de detalle page/query/country por clics. No asignan las impresiones de esta consulta a cada página.</x:v>
      </x:c>
    </x:row>
    <x:row r="1094" ht="28" customHeight="1">
      <x:c r="A1094" s="4" t="n">
        <x:v>1084</x:v>
      </x:c>
      <x:c r="B1094" s="4" t="str">
        <x:v>aeromoza</x:v>
      </x:c>
      <x:c r="C1094" s="11" t="n">
        <x:v>1</x:v>
      </x:c>
      <x:c r="D1094" s="11" t="n">
        <x:v>137</x:v>
      </x:c>
      <x:c r="E1094" s="14" t="n">
        <x:v>0.0072992700729927005</x:v>
      </x:c>
      <x:c r="F1094" s="12" t="n">
        <x:v>9.86861313868613</x:v>
      </x:c>
      <x:c r="G1094" s="4" t="str">
        <x:v>Sin marca literal</x:v>
      </x:c>
      <x:c r="H1094" s="11"/>
      <x:c r="I1094" s="11" t="str">
        <x:f>IF(H1094="","",C1094-H1094)</x:f>
      </x:c>
      <x:c r="J1094" s="4"/>
      <x:c r="K1094" s="4" t="str">
        <x:v>URLs de detalle page/query/country por clics. No asignan las impresiones de esta consulta a cada página.</x:v>
      </x:c>
    </x:row>
    <x:row r="1095" ht="28" customHeight="1">
      <x:c r="A1095" s="4" t="n">
        <x:v>1085</x:v>
      </x:c>
      <x:c r="B1095" s="4" t="str">
        <x:v>bailes folcloricos chilenos</x:v>
      </x:c>
      <x:c r="C1095" s="11" t="n">
        <x:v>1</x:v>
      </x:c>
      <x:c r="D1095" s="11" t="n">
        <x:v>135</x:v>
      </x:c>
      <x:c r="E1095" s="14" t="n">
        <x:v>0.007407407407407408</x:v>
      </x:c>
      <x:c r="F1095" s="12" t="n">
        <x:v>10.25925925925926</x:v>
      </x:c>
      <x:c r="G1095" s="4" t="str">
        <x:v>Sin marca literal</x:v>
      </x:c>
      <x:c r="H1095" s="11"/>
      <x:c r="I1095" s="11" t="str">
        <x:f>IF(H1095="","",C1095-H1095)</x:f>
      </x:c>
      <x:c r="J1095" s="4"/>
      <x:c r="K1095" s="4" t="str">
        <x:v>URLs de detalle page/query/country por clics. No asignan las impresiones de esta consulta a cada página.</x:v>
      </x:c>
    </x:row>
    <x:row r="1096" ht="28" customHeight="1">
      <x:c r="A1096" s="4" t="n">
        <x:v>1086</x:v>
      </x:c>
      <x:c r="B1096" s="4" t="str">
        <x:v>cuantas horas es de lima a chiclayo en bus</x:v>
      </x:c>
      <x:c r="C1096" s="11" t="n">
        <x:v>1</x:v>
      </x:c>
      <x:c r="D1096" s="11" t="n">
        <x:v>133</x:v>
      </x:c>
      <x:c r="E1096" s="14" t="n">
        <x:v>0.007518796992481203</x:v>
      </x:c>
      <x:c r="F1096" s="12" t="n">
        <x:v>7.962406015037594</x:v>
      </x:c>
      <x:c r="G1096" s="4" t="str">
        <x:v>Sin marca literal</x:v>
      </x:c>
      <x:c r="H1096" s="11"/>
      <x:c r="I1096" s="11" t="str">
        <x:f>IF(H1096="","",C1096-H1096)</x:f>
      </x:c>
      <x:c r="J1096" s="4"/>
      <x:c r="K1096" s="4" t="str">
        <x:v>URLs de detalle page/query/country por clics. No asignan las impresiones de esta consulta a cada página.</x:v>
      </x:c>
    </x:row>
    <x:row r="1097" ht="28" customHeight="1">
      <x:c r="A1097" s="4" t="n">
        <x:v>1087</x:v>
      </x:c>
      <x:c r="B1097" s="4" t="str">
        <x:v>punta cana es una isla</x:v>
      </x:c>
      <x:c r="C1097" s="11" t="n">
        <x:v>1</x:v>
      </x:c>
      <x:c r="D1097" s="11" t="n">
        <x:v>133</x:v>
      </x:c>
      <x:c r="E1097" s="14" t="n">
        <x:v>0.007518796992481203</x:v>
      </x:c>
      <x:c r="F1097" s="12" t="n">
        <x:v>6.819548872180451</x:v>
      </x:c>
      <x:c r="G1097" s="4" t="str">
        <x:v>Sin marca literal</x:v>
      </x:c>
      <x:c r="H1097" s="11"/>
      <x:c r="I1097" s="11" t="str">
        <x:f>IF(H1097="","",C1097-H1097)</x:f>
      </x:c>
      <x:c r="J1097" s="4"/>
      <x:c r="K1097" s="4" t="str">
        <x:v>URLs de detalle page/query/country por clics. No asignan las impresiones de esta consulta a cada página.</x:v>
      </x:c>
    </x:row>
    <x:row r="1098" ht="28" customHeight="1">
      <x:c r="A1098" s="4" t="n">
        <x:v>1088</x:v>
      </x:c>
      <x:c r="B1098" s="4" t="str">
        <x:v>sky app</x:v>
      </x:c>
      <x:c r="C1098" s="11" t="n">
        <x:v>1</x:v>
      </x:c>
      <x:c r="D1098" s="11" t="n">
        <x:v>133</x:v>
      </x:c>
      <x:c r="E1098" s="14" t="n">
        <x:v>0.007518796992481203</x:v>
      </x:c>
      <x:c r="F1098" s="12" t="n">
        <x:v>5.654135338345864</x:v>
      </x:c>
      <x:c r="G1098" s="4" t="str">
        <x:v>Sin marca literal</x:v>
      </x:c>
      <x:c r="H1098" s="11"/>
      <x:c r="I1098" s="11" t="str">
        <x:f>IF(H1098="","",C1098-H1098)</x:f>
      </x:c>
      <x:c r="J1098" s="4"/>
      <x:c r="K1098" s="4" t="str">
        <x:v>URLs de detalle page/query/country por clics. No asignan las impresiones de esta consulta a cada página.</x:v>
      </x:c>
    </x:row>
    <x:row r="1099" ht="28" customHeight="1">
      <x:c r="A1099" s="4" t="n">
        <x:v>1089</x:v>
      </x:c>
      <x:c r="B1099" s="4" t="str">
        <x:v>aeroparque buenos aires</x:v>
      </x:c>
      <x:c r="C1099" s="11" t="n">
        <x:v>1</x:v>
      </x:c>
      <x:c r="D1099" s="11" t="n">
        <x:v>130</x:v>
      </x:c>
      <x:c r="E1099" s="14" t="n">
        <x:v>0.007692307692307693</x:v>
      </x:c>
      <x:c r="F1099" s="12" t="n">
        <x:v>8.723076923076924</x:v>
      </x:c>
      <x:c r="G1099" s="4" t="str">
        <x:v>Sin marca literal</x:v>
      </x:c>
      <x:c r="H1099" s="11"/>
      <x:c r="I1099" s="11" t="str">
        <x:f>IF(H1099="","",C1099-H1099)</x:f>
      </x:c>
      <x:c r="J1099" s="4"/>
      <x:c r="K1099" s="4" t="str">
        <x:v>URLs de detalle page/query/country por clics. No asignan las impresiones de esta consulta a cada página.</x:v>
      </x:c>
    </x:row>
    <x:row r="1100" ht="28" customHeight="1">
      <x:c r="A1100" s="4" t="n">
        <x:v>1090</x:v>
      </x:c>
      <x:c r="B1100" s="4" t="str">
        <x:v>sky platinum</x:v>
      </x:c>
      <x:c r="C1100" s="11" t="n">
        <x:v>1</x:v>
      </x:c>
      <x:c r="D1100" s="11" t="n">
        <x:v>130</x:v>
      </x:c>
      <x:c r="E1100" s="14" t="n">
        <x:v>0.007692307692307693</x:v>
      </x:c>
      <x:c r="F1100" s="12" t="n">
        <x:v>10.753846153846155</x:v>
      </x:c>
      <x:c r="G1100" s="4" t="str">
        <x:v>Sin marca literal</x:v>
      </x:c>
      <x:c r="H1100" s="11"/>
      <x:c r="I1100" s="11" t="str">
        <x:f>IF(H1100="","",C1100-H1100)</x:f>
      </x:c>
      <x:c r="J1100" s="4"/>
      <x:c r="K1100" s="4" t="str">
        <x:v>URLs de detalle page/query/country por clics. No asignan las impresiones de esta consulta a cada página.</x:v>
      </x:c>
    </x:row>
    <x:row r="1101" ht="28" customHeight="1">
      <x:c r="A1101" s="4" t="n">
        <x:v>1091</x:v>
      </x:c>
      <x:c r="B1101" s="4" t="str">
        <x:v>el caribe donde queda</x:v>
      </x:c>
      <x:c r="C1101" s="11" t="n">
        <x:v>1</x:v>
      </x:c>
      <x:c r="D1101" s="11" t="n">
        <x:v>129</x:v>
      </x:c>
      <x:c r="E1101" s="14" t="n">
        <x:v>0.007751937984496124</x:v>
      </x:c>
      <x:c r="F1101" s="12" t="n">
        <x:v>8.193798449612403</x:v>
      </x:c>
      <x:c r="G1101" s="4" t="str">
        <x:v>Sin marca literal</x:v>
      </x:c>
      <x:c r="H1101" s="11"/>
      <x:c r="I1101" s="11" t="str">
        <x:f>IF(H1101="","",C1101-H1101)</x:f>
      </x:c>
      <x:c r="J1101" s="4"/>
      <x:c r="K1101" s="4" t="str">
        <x:v>URLs de detalle page/query/country por clics. No asignan las impresiones de esta consulta a cada página.</x:v>
      </x:c>
    </x:row>
    <x:row r="1102" ht="28" customHeight="1">
      <x:c r="A1102" s="4" t="n">
        <x:v>1092</x:v>
      </x:c>
      <x:c r="B1102" s="4" t="str">
        <x:v>aeropuerto de balmaceda</x:v>
      </x:c>
      <x:c r="C1102" s="11" t="n">
        <x:v>1</x:v>
      </x:c>
      <x:c r="D1102" s="11" t="n">
        <x:v>127</x:v>
      </x:c>
      <x:c r="E1102" s="14" t="n">
        <x:v>0.007874015748031496</x:v>
      </x:c>
      <x:c r="F1102" s="12" t="n">
        <x:v>8.590551181102363</x:v>
      </x:c>
      <x:c r="G1102" s="4" t="str">
        <x:v>Sin marca literal</x:v>
      </x:c>
      <x:c r="H1102" s="11"/>
      <x:c r="I1102" s="11" t="str">
        <x:f>IF(H1102="","",C1102-H1102)</x:f>
      </x:c>
      <x:c r="J1102" s="4"/>
      <x:c r="K1102" s="4" t="str">
        <x:v>URLs de detalle page/query/country por clics. No asignan las impresiones de esta consulta a cada página.</x:v>
      </x:c>
    </x:row>
    <x:row r="1103" ht="28" customHeight="1">
      <x:c r="A1103" s="4" t="n">
        <x:v>1093</x:v>
      </x:c>
      <x:c r="B1103" s="4" t="str">
        <x:v>fiestas religiosas de chile</x:v>
      </x:c>
      <x:c r="C1103" s="11" t="n">
        <x:v>1</x:v>
      </x:c>
      <x:c r="D1103" s="11" t="n">
        <x:v>126</x:v>
      </x:c>
      <x:c r="E1103" s="14" t="n">
        <x:v>0.007936507936507936</x:v>
      </x:c>
      <x:c r="F1103" s="12" t="n">
        <x:v>4.238095238095238</x:v>
      </x:c>
      <x:c r="G1103" s="4" t="str">
        <x:v>Sin marca literal</x:v>
      </x:c>
      <x:c r="H1103" s="11"/>
      <x:c r="I1103" s="11" t="str">
        <x:f>IF(H1103="","",C1103-H1103)</x:f>
      </x:c>
      <x:c r="J1103" s="4"/>
      <x:c r="K1103" s="4" t="str">
        <x:v>URLs de detalle page/query/country por clics. No asignan las impresiones de esta consulta a cada página.</x:v>
      </x:c>
    </x:row>
    <x:row r="1104" ht="28" customHeight="1">
      <x:c r="A1104" s="4" t="n">
        <x:v>1094</x:v>
      </x:c>
      <x:c r="B1104" s="4" t="str">
        <x:v>aeropuerto la araucania</x:v>
      </x:c>
      <x:c r="C1104" s="11" t="n">
        <x:v>1</x:v>
      </x:c>
      <x:c r="D1104" s="11" t="n">
        <x:v>125</x:v>
      </x:c>
      <x:c r="E1104" s="14" t="n">
        <x:v>0.008</x:v>
      </x:c>
      <x:c r="F1104" s="12" t="n">
        <x:v>7.792</x:v>
      </x:c>
      <x:c r="G1104" s="4" t="str">
        <x:v>Sin marca literal</x:v>
      </x:c>
      <x:c r="H1104" s="11"/>
      <x:c r="I1104" s="11" t="str">
        <x:f>IF(H1104="","",C1104-H1104)</x:f>
      </x:c>
      <x:c r="J1104" s="4"/>
      <x:c r="K1104" s="4" t="str">
        <x:v>URLs de detalle page/query/country por clics. No asignan las impresiones de esta consulta a cada página.</x:v>
      </x:c>
    </x:row>
    <x:row r="1105" ht="28" customHeight="1">
      <x:c r="A1105" s="4" t="n">
        <x:v>1095</x:v>
      </x:c>
      <x:c r="B1105" s="4" t="str">
        <x:v>todos los bailes tipicos de chile</x:v>
      </x:c>
      <x:c r="C1105" s="11" t="n">
        <x:v>1</x:v>
      </x:c>
      <x:c r="D1105" s="11" t="n">
        <x:v>125</x:v>
      </x:c>
      <x:c r="E1105" s="14" t="n">
        <x:v>0.008</x:v>
      </x:c>
      <x:c r="F1105" s="12" t="n">
        <x:v>7.104</x:v>
      </x:c>
      <x:c r="G1105" s="4" t="str">
        <x:v>Sin marca literal</x:v>
      </x:c>
      <x:c r="H1105" s="11"/>
      <x:c r="I1105" s="11" t="str">
        <x:f>IF(H1105="","",C1105-H1105)</x:f>
      </x:c>
      <x:c r="J1105" s="4"/>
      <x:c r="K1105" s="4" t="str">
        <x:v>URLs de detalle page/query/country por clics. No asignan las impresiones de esta consulta a cada página.</x:v>
      </x:c>
    </x:row>
    <x:row r="1106" ht="28" customHeight="1">
      <x:c r="A1106" s="4" t="n">
        <x:v>1096</x:v>
      </x:c>
      <x:c r="B1106" s="4" t="str">
        <x:v>bailes tipicos de peru</x:v>
      </x:c>
      <x:c r="C1106" s="11" t="n">
        <x:v>1</x:v>
      </x:c>
      <x:c r="D1106" s="11" t="n">
        <x:v>124</x:v>
      </x:c>
      <x:c r="E1106" s="14" t="n">
        <x:v>0.008064516129032258</x:v>
      </x:c>
      <x:c r="F1106" s="12" t="n">
        <x:v>5.620967741935484</x:v>
      </x:c>
      <x:c r="G1106" s="4" t="str">
        <x:v>Sin marca literal</x:v>
      </x:c>
      <x:c r="H1106" s="11"/>
      <x:c r="I1106" s="11" t="str">
        <x:f>IF(H1106="","",C1106-H1106)</x:f>
      </x:c>
      <x:c r="J1106" s="4"/>
      <x:c r="K1106" s="4" t="str">
        <x:v>URLs de detalle page/query/country por clics. No asignan las impresiones de esta consulta a cada página.</x:v>
      </x:c>
    </x:row>
    <x:row r="1107" ht="28" customHeight="1">
      <x:c r="A1107" s="4" t="n">
        <x:v>1097</x:v>
      </x:c>
      <x:c r="B1107" s="4" t="str">
        <x:v>norte de chile</x:v>
      </x:c>
      <x:c r="C1107" s="11" t="n">
        <x:v>1</x:v>
      </x:c>
      <x:c r="D1107" s="11" t="n">
        <x:v>124</x:v>
      </x:c>
      <x:c r="E1107" s="14" t="n">
        <x:v>0.008064516129032258</x:v>
      </x:c>
      <x:c r="F1107" s="12" t="n">
        <x:v>25.080645161290324</x:v>
      </x:c>
      <x:c r="G1107" s="4" t="str">
        <x:v>Sin marca literal</x:v>
      </x:c>
      <x:c r="H1107" s="11"/>
      <x:c r="I1107" s="11" t="str">
        <x:f>IF(H1107="","",C1107-H1107)</x:f>
      </x:c>
      <x:c r="J1107" s="4"/>
      <x:c r="K1107" s="4" t="str">
        <x:v>URLs de detalle page/query/country por clics. No asignan las impresiones de esta consulta a cada página.</x:v>
      </x:c>
    </x:row>
    <x:row r="1108" ht="28" customHeight="1">
      <x:c r="A1108" s="4" t="n">
        <x:v>1098</x:v>
      </x:c>
      <x:c r="B1108" s="4" t="str">
        <x:v>que estacion es en chile ahora</x:v>
      </x:c>
      <x:c r="C1108" s="11" t="n">
        <x:v>1</x:v>
      </x:c>
      <x:c r="D1108" s="11" t="n">
        <x:v>124</x:v>
      </x:c>
      <x:c r="E1108" s="14" t="n">
        <x:v>0.008064516129032258</x:v>
      </x:c>
      <x:c r="F1108" s="12" t="n">
        <x:v>4.556451612903226</x:v>
      </x:c>
      <x:c r="G1108" s="4" t="str">
        <x:v>Sin marca literal</x:v>
      </x:c>
      <x:c r="H1108" s="11"/>
      <x:c r="I1108" s="11" t="str">
        <x:f>IF(H1108="","",C1108-H1108)</x:f>
      </x:c>
      <x:c r="J1108" s="4"/>
      <x:c r="K1108" s="4" t="str">
        <x:v>URLs de detalle page/query/country por clics. No asignan las impresiones de esta consulta a cada página.</x:v>
      </x:c>
    </x:row>
    <x:row r="1109" ht="28" customHeight="1">
      <x:c r="A1109" s="4" t="n">
        <x:v>1099</x:v>
      </x:c>
      <x:c r="B1109" s="4" t="str">
        <x:v>teléfonos de sky servicio al cliente perú</x:v>
      </x:c>
      <x:c r="C1109" s="11" t="n">
        <x:v>1</x:v>
      </x:c>
      <x:c r="D1109" s="11" t="n">
        <x:v>124</x:v>
      </x:c>
      <x:c r="E1109" s="14" t="n">
        <x:v>0.008064516129032258</x:v>
      </x:c>
      <x:c r="F1109" s="12" t="n">
        <x:v>9.370967741935484</x:v>
      </x:c>
      <x:c r="G1109" s="4" t="str">
        <x:v>Sin marca literal</x:v>
      </x:c>
      <x:c r="H1109" s="11"/>
      <x:c r="I1109" s="11" t="str">
        <x:f>IF(H1109="","",C1109-H1109)</x:f>
      </x:c>
      <x:c r="J1109" s="4"/>
      <x:c r="K1109" s="4" t="str">
        <x:v>URLs de detalle page/query/country por clics. No asignan las impresiones de esta consulta a cada página.</x:v>
      </x:c>
    </x:row>
    <x:row r="1110" ht="28" customHeight="1">
      <x:c r="A1110" s="4" t="n">
        <x:v>1100</x:v>
      </x:c>
      <x:c r="B1110" s="4" t="str">
        <x:v>temporada de huracanes en punta cana</x:v>
      </x:c>
      <x:c r="C1110" s="11" t="n">
        <x:v>1</x:v>
      </x:c>
      <x:c r="D1110" s="11" t="n">
        <x:v>124</x:v>
      </x:c>
      <x:c r="E1110" s="14" t="n">
        <x:v>0.008064516129032258</x:v>
      </x:c>
      <x:c r="F1110" s="12" t="n">
        <x:v>10.806451612903226</x:v>
      </x:c>
      <x:c r="G1110" s="4" t="str">
        <x:v>Sin marca literal</x:v>
      </x:c>
      <x:c r="H1110" s="11"/>
      <x:c r="I1110" s="11" t="str">
        <x:f>IF(H1110="","",C1110-H1110)</x:f>
      </x:c>
      <x:c r="J1110" s="4"/>
      <x:c r="K1110" s="4" t="str">
        <x:v>URLs de detalle page/query/country por clics. No asignan las impresiones de esta consulta a cada página.</x:v>
      </x:c>
    </x:row>
    <x:row r="1111" ht="28" customHeight="1">
      <x:c r="A1111" s="4" t="n">
        <x:v>1101</x:v>
      </x:c>
      <x:c r="B1111" s="4" t="str">
        <x:v>donde está punta cana en el mapa</x:v>
      </x:c>
      <x:c r="C1111" s="11" t="n">
        <x:v>1</x:v>
      </x:c>
      <x:c r="D1111" s="11" t="n">
        <x:v>123</x:v>
      </x:c>
      <x:c r="E1111" s="14" t="n">
        <x:v>0.008130081300813009</x:v>
      </x:c>
      <x:c r="F1111" s="12" t="n">
        <x:v>9.048780487804878</x:v>
      </x:c>
      <x:c r="G1111" s="4" t="str">
        <x:v>Sin marca literal</x:v>
      </x:c>
      <x:c r="H1111" s="11"/>
      <x:c r="I1111" s="11" t="str">
        <x:f>IF(H1111="","",C1111-H1111)</x:f>
      </x:c>
      <x:c r="J1111" s="4"/>
      <x:c r="K1111" s="4" t="str">
        <x:v>URLs de detalle page/query/country por clics. No asignan las impresiones de esta consulta a cada página.</x:v>
      </x:c>
    </x:row>
    <x:row r="1112" ht="28" customHeight="1">
      <x:c r="A1112" s="4" t="n">
        <x:v>1102</x:v>
      </x:c>
      <x:c r="B1112" s="4" t="str">
        <x:v>lima a chiclayo tiempo</x:v>
      </x:c>
      <x:c r="C1112" s="11" t="n">
        <x:v>1</x:v>
      </x:c>
      <x:c r="D1112" s="11" t="n">
        <x:v>123</x:v>
      </x:c>
      <x:c r="E1112" s="14" t="n">
        <x:v>0.008130081300813009</x:v>
      </x:c>
      <x:c r="F1112" s="12" t="n">
        <x:v>9.959349593495935</x:v>
      </x:c>
      <x:c r="G1112" s="4" t="str">
        <x:v>Sin marca literal</x:v>
      </x:c>
      <x:c r="H1112" s="11"/>
      <x:c r="I1112" s="11" t="str">
        <x:f>IF(H1112="","",C1112-H1112)</x:f>
      </x:c>
      <x:c r="J1112" s="4"/>
      <x:c r="K1112" s="4" t="str">
        <x:v>URLs de detalle page/query/country por clics. No asignan las impresiones de esta consulta a cada página.</x:v>
      </x:c>
    </x:row>
    <x:row r="1113" ht="28" customHeight="1">
      <x:c r="A1113" s="4" t="n">
        <x:v>1103</x:v>
      </x:c>
      <x:c r="B1113" s="4" t="str">
        <x:v>vuelos a lago ranco</x:v>
      </x:c>
      <x:c r="C1113" s="11" t="n">
        <x:v>1</x:v>
      </x:c>
      <x:c r="D1113" s="11" t="n">
        <x:v>122</x:v>
      </x:c>
      <x:c r="E1113" s="14" t="n">
        <x:v>0.00819672131147541</x:v>
      </x:c>
      <x:c r="F1113" s="12" t="n">
        <x:v>10.147540983606557</x:v>
      </x:c>
      <x:c r="G1113" s="4" t="str">
        <x:v>Sin marca literal</x:v>
      </x:c>
      <x:c r="H1113" s="11"/>
      <x:c r="I1113" s="11" t="str">
        <x:f>IF(H1113="","",C1113-H1113)</x:f>
      </x:c>
      <x:c r="J1113" s="4"/>
      <x:c r="K1113" s="4" t="str">
        <x:v>URLs de detalle page/query/country por clics. No asignan las impresiones de esta consulta a cada página.</x:v>
      </x:c>
    </x:row>
    <x:row r="1114" ht="28" customHeight="1">
      <x:c r="A1114" s="4" t="n">
        <x:v>1104</x:v>
      </x:c>
      <x:c r="B1114" s="4" t="str">
        <x:v>cuantos aviones tiene sky</x:v>
      </x:c>
      <x:c r="C1114" s="11" t="n">
        <x:v>1</x:v>
      </x:c>
      <x:c r="D1114" s="11" t="n">
        <x:v>121</x:v>
      </x:c>
      <x:c r="E1114" s="14" t="n">
        <x:v>0.008264462809917356</x:v>
      </x:c>
      <x:c r="F1114" s="12" t="n">
        <x:v>5.636363636363637</x:v>
      </x:c>
      <x:c r="G1114" s="4" t="str">
        <x:v>Sin marca literal</x:v>
      </x:c>
      <x:c r="H1114" s="11"/>
      <x:c r="I1114" s="11" t="str">
        <x:f>IF(H1114="","",C1114-H1114)</x:f>
      </x:c>
      <x:c r="J1114" s="4"/>
      <x:c r="K1114" s="4" t="str">
        <x:v>URLs de detalle page/query/country por clics. No asignan las impresiones de esta consulta a cada página.</x:v>
      </x:c>
    </x:row>
    <x:row r="1115" ht="28" customHeight="1">
      <x:c r="A1115" s="4" t="n">
        <x:v>1105</x:v>
      </x:c>
      <x:c r="B1115" s="4" t="str">
        <x:v>imagenes del sur de chile</x:v>
      </x:c>
      <x:c r="C1115" s="11" t="n">
        <x:v>1</x:v>
      </x:c>
      <x:c r="D1115" s="11" t="n">
        <x:v>121</x:v>
      </x:c>
      <x:c r="E1115" s="14" t="n">
        <x:v>0.008264462809917356</x:v>
      </x:c>
      <x:c r="F1115" s="12" t="n">
        <x:v>1</x:v>
      </x:c>
      <x:c r="G1115" s="4" t="str">
        <x:v>Sin marca literal</x:v>
      </x:c>
      <x:c r="H1115" s="11"/>
      <x:c r="I1115" s="11" t="str">
        <x:f>IF(H1115="","",C1115-H1115)</x:f>
      </x:c>
      <x:c r="J1115" s="4"/>
      <x:c r="K1115" s="4" t="str">
        <x:v>URLs de detalle page/query/country por clics. No asignan las impresiones de esta consulta a cada página.</x:v>
      </x:c>
    </x:row>
    <x:row r="1116" ht="28" customHeight="1">
      <x:c r="A1116" s="4" t="n">
        <x:v>1106</x:v>
      </x:c>
      <x:c r="B1116" s="4" t="str">
        <x:v>10 patrimonios culturales de chile</x:v>
      </x:c>
      <x:c r="C1116" s="11" t="n">
        <x:v>1</x:v>
      </x:c>
      <x:c r="D1116" s="11" t="n">
        <x:v>120</x:v>
      </x:c>
      <x:c r="E1116" s="14" t="n">
        <x:v>0.008333333333333333</x:v>
      </x:c>
      <x:c r="F1116" s="12" t="n">
        <x:v>9</x:v>
      </x:c>
      <x:c r="G1116" s="4" t="str">
        <x:v>Sin marca literal</x:v>
      </x:c>
      <x:c r="H1116" s="11"/>
      <x:c r="I1116" s="11" t="str">
        <x:f>IF(H1116="","",C1116-H1116)</x:f>
      </x:c>
      <x:c r="J1116" s="4"/>
      <x:c r="K1116" s="4" t="str">
        <x:v>URLs de detalle page/query/country por clics. No asignan las impresiones de esta consulta a cada página.</x:v>
      </x:c>
    </x:row>
    <x:row r="1117" ht="28" customHeight="1">
      <x:c r="A1117" s="4" t="n">
        <x:v>1107</x:v>
      </x:c>
      <x:c r="B1117" s="4" t="str">
        <x:v>primavera chile</x:v>
      </x:c>
      <x:c r="C1117" s="11" t="n">
        <x:v>1</x:v>
      </x:c>
      <x:c r="D1117" s="11" t="n">
        <x:v>119</x:v>
      </x:c>
      <x:c r="E1117" s="14" t="n">
        <x:v>0.008403361344537815</x:v>
      </x:c>
      <x:c r="F1117" s="12" t="n">
        <x:v>7.974789915966387</x:v>
      </x:c>
      <x:c r="G1117" s="4" t="str">
        <x:v>Sin marca literal</x:v>
      </x:c>
      <x:c r="H1117" s="11"/>
      <x:c r="I1117" s="11" t="str">
        <x:f>IF(H1117="","",C1117-H1117)</x:f>
      </x:c>
      <x:c r="J1117" s="4"/>
      <x:c r="K1117" s="4" t="str">
        <x:v>URLs de detalle page/query/country por clics. No asignan las impresiones de esta consulta a cada página.</x:v>
      </x:c>
    </x:row>
    <x:row r="1118" ht="28" customHeight="1">
      <x:c r="A1118" s="4" t="n">
        <x:v>1108</x:v>
      </x:c>
      <x:c r="B1118" s="4" t="str">
        <x:v>clima de la zona sur de chile</x:v>
      </x:c>
      <x:c r="C1118" s="11" t="n">
        <x:v>1</x:v>
      </x:c>
      <x:c r="D1118" s="11" t="n">
        <x:v>118</x:v>
      </x:c>
      <x:c r="E1118" s="14" t="n">
        <x:v>0.00847457627118644</x:v>
      </x:c>
      <x:c r="F1118" s="12" t="n">
        <x:v>5.491525423728813</x:v>
      </x:c>
      <x:c r="G1118" s="4" t="str">
        <x:v>Sin marca literal</x:v>
      </x:c>
      <x:c r="H1118" s="11"/>
      <x:c r="I1118" s="11" t="str">
        <x:f>IF(H1118="","",C1118-H1118)</x:f>
      </x:c>
      <x:c r="J1118" s="4"/>
      <x:c r="K1118" s="4" t="str">
        <x:v>URLs de detalle page/query/country por clics. No asignan las impresiones de esta consulta a cada página.</x:v>
      </x:c>
    </x:row>
    <x:row r="1119" ht="28" customHeight="1">
      <x:c r="A1119" s="4" t="n">
        <x:v>1109</x:v>
      </x:c>
      <x:c r="B1119" s="4" t="str">
        <x:v>a que velocidad viaja un avión de pasajeros</x:v>
      </x:c>
      <x:c r="C1119" s="11" t="n">
        <x:v>1</x:v>
      </x:c>
      <x:c r="D1119" s="11" t="n">
        <x:v>116</x:v>
      </x:c>
      <x:c r="E1119" s="14" t="n">
        <x:v>0.008620689655172414</x:v>
      </x:c>
      <x:c r="F1119" s="12" t="n">
        <x:v>8.844827586206897</x:v>
      </x:c>
      <x:c r="G1119" s="4" t="str">
        <x:v>Sin marca literal</x:v>
      </x:c>
      <x:c r="H1119" s="11"/>
      <x:c r="I1119" s="11" t="str">
        <x:f>IF(H1119="","",C1119-H1119)</x:f>
      </x:c>
      <x:c r="J1119" s="4"/>
      <x:c r="K1119" s="4" t="str">
        <x:v>URLs de detalle page/query/country por clics. No asignan las impresiones de esta consulta a cada página.</x:v>
      </x:c>
    </x:row>
    <x:row r="1120" ht="28" customHeight="1">
      <x:c r="A1120" s="4" t="n">
        <x:v>1110</x:v>
      </x:c>
      <x:c r="B1120" s="4" t="str">
        <x:v>parque de diversiones florianopolis</x:v>
      </x:c>
      <x:c r="C1120" s="11" t="n">
        <x:v>1</x:v>
      </x:c>
      <x:c r="D1120" s="11" t="n">
        <x:v>116</x:v>
      </x:c>
      <x:c r="E1120" s="14" t="n">
        <x:v>0.008620689655172414</x:v>
      </x:c>
      <x:c r="F1120" s="12" t="n">
        <x:v>9.491379310344827</x:v>
      </x:c>
      <x:c r="G1120" s="4" t="str">
        <x:v>Sin marca literal</x:v>
      </x:c>
      <x:c r="H1120" s="11"/>
      <x:c r="I1120" s="11" t="str">
        <x:f>IF(H1120="","",C1120-H1120)</x:f>
      </x:c>
      <x:c r="J1120" s="4"/>
      <x:c r="K1120" s="4" t="str">
        <x:v>URLs de detalle page/query/country por clics. No asignan las impresiones de esta consulta a cada página.</x:v>
      </x:c>
    </x:row>
    <x:row r="1121" ht="28" customHeight="1">
      <x:c r="A1121" s="4" t="n">
        <x:v>1111</x:v>
      </x:c>
      <x:c r="B1121" s="4" t="str">
        <x:v>temuco aeropuerto</x:v>
      </x:c>
      <x:c r="C1121" s="11" t="n">
        <x:v>1</x:v>
      </x:c>
      <x:c r="D1121" s="11" t="n">
        <x:v>116</x:v>
      </x:c>
      <x:c r="E1121" s="14" t="n">
        <x:v>0.008620689655172414</x:v>
      </x:c>
      <x:c r="F1121" s="12" t="n">
        <x:v>8.189655172413794</x:v>
      </x:c>
      <x:c r="G1121" s="4" t="str">
        <x:v>Sin marca literal</x:v>
      </x:c>
      <x:c r="H1121" s="11"/>
      <x:c r="I1121" s="11" t="str">
        <x:f>IF(H1121="","",C1121-H1121)</x:f>
      </x:c>
      <x:c r="J1121" s="4"/>
      <x:c r="K1121" s="4" t="str">
        <x:v>URLs de detalle page/query/country por clics. No asignan las impresiones de esta consulta a cada página.</x:v>
      </x:c>
    </x:row>
    <x:row r="1122" ht="28" customHeight="1">
      <x:c r="A1122" s="4" t="n">
        <x:v>1112</x:v>
      </x:c>
      <x:c r="B1122" s="4" t="str">
        <x:v>fruta de oro</x:v>
      </x:c>
      <x:c r="C1122" s="11" t="n">
        <x:v>1</x:v>
      </x:c>
      <x:c r="D1122" s="11" t="n">
        <x:v>115</x:v>
      </x:c>
      <x:c r="E1122" s="14" t="n">
        <x:v>0.008695652173913044</x:v>
      </x:c>
      <x:c r="F1122" s="12" t="n">
        <x:v>6.895652173913043</x:v>
      </x:c>
      <x:c r="G1122" s="4" t="str">
        <x:v>Sin marca literal</x:v>
      </x:c>
      <x:c r="H1122" s="11"/>
      <x:c r="I1122" s="11" t="str">
        <x:f>IF(H1122="","",C1122-H1122)</x:f>
      </x:c>
      <x:c r="J1122" s="4"/>
      <x:c r="K1122" s="4" t="str">
        <x:v>URLs de detalle page/query/country por clics. No asignan las impresiones de esta consulta a cada página.</x:v>
      </x:c>
    </x:row>
    <x:row r="1123" ht="28" customHeight="1">
      <x:c r="A1123" s="4" t="n">
        <x:v>1113</x:v>
      </x:c>
      <x:c r="B1123" s="4" t="str">
        <x:v>ouro preto</x:v>
      </x:c>
      <x:c r="C1123" s="11" t="n">
        <x:v>1</x:v>
      </x:c>
      <x:c r="D1123" s="11" t="n">
        <x:v>115</x:v>
      </x:c>
      <x:c r="E1123" s="14" t="n">
        <x:v>0.008695652173913044</x:v>
      </x:c>
      <x:c r="F1123" s="12" t="n">
        <x:v>12.73913043478261</x:v>
      </x:c>
      <x:c r="G1123" s="4" t="str">
        <x:v>Sin marca literal</x:v>
      </x:c>
      <x:c r="H1123" s="11"/>
      <x:c r="I1123" s="11" t="str">
        <x:f>IF(H1123="","",C1123-H1123)</x:f>
      </x:c>
      <x:c r="J1123" s="4"/>
      <x:c r="K1123" s="4" t="str">
        <x:v>URLs de detalle page/query/country por clics. No asignan las impresiones de esta consulta a cada página.</x:v>
      </x:c>
    </x:row>
    <x:row r="1124" ht="28" customHeight="1">
      <x:c r="A1124" s="4" t="n">
        <x:v>1114</x:v>
      </x:c>
      <x:c r="B1124" s="4" t="str">
        <x:v>rancagua donde queda</x:v>
      </x:c>
      <x:c r="C1124" s="11" t="n">
        <x:v>1</x:v>
      </x:c>
      <x:c r="D1124" s="11" t="n">
        <x:v>115</x:v>
      </x:c>
      <x:c r="E1124" s="14" t="n">
        <x:v>0.008695652173913044</x:v>
      </x:c>
      <x:c r="F1124" s="12" t="n">
        <x:v>3.860869565217391</x:v>
      </x:c>
      <x:c r="G1124" s="4" t="str">
        <x:v>Sin marca literal</x:v>
      </x:c>
      <x:c r="H1124" s="11"/>
      <x:c r="I1124" s="11" t="str">
        <x:f>IF(H1124="","",C1124-H1124)</x:f>
      </x:c>
      <x:c r="J1124" s="4"/>
      <x:c r="K1124" s="4" t="str">
        <x:v>URLs de detalle page/query/country por clics. No asignan las impresiones de esta consulta a cada página.</x:v>
      </x:c>
    </x:row>
    <x:row r="1125" ht="28" customHeight="1">
      <x:c r="A1125" s="4" t="n">
        <x:v>1115</x:v>
      </x:c>
      <x:c r="B1125" s="4" t="str">
        <x:v>cuantos bailes tipicos hay en chile</x:v>
      </x:c>
      <x:c r="C1125" s="11" t="n">
        <x:v>1</x:v>
      </x:c>
      <x:c r="D1125" s="11" t="n">
        <x:v>114</x:v>
      </x:c>
      <x:c r="E1125" s="14" t="n">
        <x:v>0.008771929824561403</x:v>
      </x:c>
      <x:c r="F1125" s="12" t="n">
        <x:v>6.7631578947368425</x:v>
      </x:c>
      <x:c r="G1125" s="4" t="str">
        <x:v>Sin marca literal</x:v>
      </x:c>
      <x:c r="H1125" s="11"/>
      <x:c r="I1125" s="11" t="str">
        <x:f>IF(H1125="","",C1125-H1125)</x:f>
      </x:c>
      <x:c r="J1125" s="4"/>
      <x:c r="K1125" s="4" t="str">
        <x:v>URLs de detalle page/query/country por clics. No asignan las impresiones de esta consulta a cada página.</x:v>
      </x:c>
    </x:row>
    <x:row r="1126" ht="28" customHeight="1">
      <x:c r="A1126" s="4" t="n">
        <x:v>1116</x:v>
      </x:c>
      <x:c r="B1126" s="4" t="str">
        <x:v>comida tipica de brasil</x:v>
      </x:c>
      <x:c r="C1126" s="11" t="n">
        <x:v>1</x:v>
      </x:c>
      <x:c r="D1126" s="11" t="n">
        <x:v>113</x:v>
      </x:c>
      <x:c r="E1126" s="14" t="n">
        <x:v>0.008849557522123894</x:v>
      </x:c>
      <x:c r="F1126" s="12" t="n">
        <x:v>13.141592920353983</x:v>
      </x:c>
      <x:c r="G1126" s="4" t="str">
        <x:v>Sin marca literal</x:v>
      </x:c>
      <x:c r="H1126" s="11"/>
      <x:c r="I1126" s="11" t="str">
        <x:f>IF(H1126="","",C1126-H1126)</x:f>
      </x:c>
      <x:c r="J1126" s="4"/>
      <x:c r="K1126" s="4" t="str">
        <x:v>URLs de detalle page/query/country por clics. No asignan las impresiones de esta consulta a cada página.</x:v>
      </x:c>
    </x:row>
    <x:row r="1127" ht="28" customHeight="1">
      <x:c r="A1127" s="4" t="n">
        <x:v>1117</x:v>
      </x:c>
      <x:c r="B1127" s="4" t="str">
        <x:v>distancia florianopolis a rio de janeiro</x:v>
      </x:c>
      <x:c r="C1127" s="11" t="n">
        <x:v>1</x:v>
      </x:c>
      <x:c r="D1127" s="11" t="n">
        <x:v>112</x:v>
      </x:c>
      <x:c r="E1127" s="14" t="n">
        <x:v>0.008928571428571428</x:v>
      </x:c>
      <x:c r="F1127" s="12" t="n">
        <x:v>4.205357142857142</x:v>
      </x:c>
      <x:c r="G1127" s="4" t="str">
        <x:v>Sin marca literal</x:v>
      </x:c>
      <x:c r="H1127" s="11"/>
      <x:c r="I1127" s="11" t="str">
        <x:f>IF(H1127="","",C1127-H1127)</x:f>
      </x:c>
      <x:c r="J1127" s="4"/>
      <x:c r="K1127" s="4" t="str">
        <x:v>URLs de detalle page/query/country por clics. No asignan las impresiones de esta consulta a cada página.</x:v>
      </x:c>
    </x:row>
    <x:row r="1128" ht="28" customHeight="1">
      <x:c r="A1128" s="4" t="n">
        <x:v>1118</x:v>
      </x:c>
      <x:c r="B1128" s="4" t="str">
        <x:v>distancia punta del este montevideo</x:v>
      </x:c>
      <x:c r="C1128" s="11" t="n">
        <x:v>1</x:v>
      </x:c>
      <x:c r="D1128" s="11" t="n">
        <x:v>112</x:v>
      </x:c>
      <x:c r="E1128" s="14" t="n">
        <x:v>0.008928571428571428</x:v>
      </x:c>
      <x:c r="F1128" s="12" t="n">
        <x:v>6.928571428571429</x:v>
      </x:c>
      <x:c r="G1128" s="4" t="str">
        <x:v>Sin marca literal</x:v>
      </x:c>
      <x:c r="H1128" s="11"/>
      <x:c r="I1128" s="11" t="str">
        <x:f>IF(H1128="","",C1128-H1128)</x:f>
      </x:c>
      <x:c r="J1128" s="4"/>
      <x:c r="K1128" s="4" t="str">
        <x:v>URLs de detalle page/query/country por clics. No asignan las impresiones de esta consulta a cada página.</x:v>
      </x:c>
    </x:row>
    <x:row r="1129" ht="28" customHeight="1">
      <x:c r="A1129" s="4" t="n">
        <x:v>1119</x:v>
      </x:c>
      <x:c r="B1129" s="4" t="str">
        <x:v>teleferico pan de azucar</x:v>
      </x:c>
      <x:c r="C1129" s="11" t="n">
        <x:v>1</x:v>
      </x:c>
      <x:c r="D1129" s="11" t="n">
        <x:v>111</x:v>
      </x:c>
      <x:c r="E1129" s="14" t="n">
        <x:v>0.009009009009009009</x:v>
      </x:c>
      <x:c r="F1129" s="12" t="n">
        <x:v>8.972972972972972</x:v>
      </x:c>
      <x:c r="G1129" s="4" t="str">
        <x:v>Sin marca literal</x:v>
      </x:c>
      <x:c r="H1129" s="11"/>
      <x:c r="I1129" s="11" t="str">
        <x:f>IF(H1129="","",C1129-H1129)</x:f>
      </x:c>
      <x:c r="J1129" s="4"/>
      <x:c r="K1129" s="4" t="str">
        <x:v>URLs de detalle page/query/country por clics. No asignan las impresiones de esta consulta a cada página.</x:v>
      </x:c>
    </x:row>
    <x:row r="1130" ht="28" customHeight="1">
      <x:c r="A1130" s="4" t="n">
        <x:v>1120</x:v>
      </x:c>
      <x:c r="B1130" s="4" t="str">
        <x:v>como ser azafata en chile</x:v>
      </x:c>
      <x:c r="C1130" s="11" t="n">
        <x:v>1</x:v>
      </x:c>
      <x:c r="D1130" s="11" t="n">
        <x:v>110</x:v>
      </x:c>
      <x:c r="E1130" s="14" t="n">
        <x:v>0.00909090909090909</x:v>
      </x:c>
      <x:c r="F1130" s="12" t="n">
        <x:v>8.39090909090909</x:v>
      </x:c>
      <x:c r="G1130" s="4" t="str">
        <x:v>Sin marca literal</x:v>
      </x:c>
      <x:c r="H1130" s="11"/>
      <x:c r="I1130" s="11" t="str">
        <x:f>IF(H1130="","",C1130-H1130)</x:f>
      </x:c>
      <x:c r="J1130" s="4"/>
      <x:c r="K1130" s="4" t="str">
        <x:v>URLs de detalle page/query/country por clics. No asignan las impresiones de esta consulta a cada página.</x:v>
      </x:c>
    </x:row>
    <x:row r="1131" ht="28" customHeight="1">
      <x:c r="A1131" s="4" t="n">
        <x:v>1121</x:v>
      </x:c>
      <x:c r="B1131" s="4" t="str">
        <x:v>entrada pan de azucar</x:v>
      </x:c>
      <x:c r="C1131" s="11" t="n">
        <x:v>1</x:v>
      </x:c>
      <x:c r="D1131" s="11" t="n">
        <x:v>110</x:v>
      </x:c>
      <x:c r="E1131" s="14" t="n">
        <x:v>0.00909090909090909</x:v>
      </x:c>
      <x:c r="F1131" s="12" t="n">
        <x:v>7.6909090909090905</x:v>
      </x:c>
      <x:c r="G1131" s="4" t="str">
        <x:v>Sin marca literal</x:v>
      </x:c>
      <x:c r="H1131" s="11"/>
      <x:c r="I1131" s="11" t="str">
        <x:f>IF(H1131="","",C1131-H1131)</x:f>
      </x:c>
      <x:c r="J1131" s="4"/>
      <x:c r="K1131" s="4" t="str">
        <x:v>URLs de detalle page/query/country por clics. No asignan las impresiones de esta consulta a cada página.</x:v>
      </x:c>
    </x:row>
    <x:row r="1132" ht="28" customHeight="1">
      <x:c r="A1132" s="4" t="n">
        <x:v>1122</x:v>
      </x:c>
      <x:c r="B1132" s="4" t="str">
        <x:v>estamos en invierno</x:v>
      </x:c>
      <x:c r="C1132" s="11" t="n">
        <x:v>1</x:v>
      </x:c>
      <x:c r="D1132" s="11" t="n">
        <x:v>110</x:v>
      </x:c>
      <x:c r="E1132" s="14" t="n">
        <x:v>0.00909090909090909</x:v>
      </x:c>
      <x:c r="F1132" s="12" t="n">
        <x:v>8</x:v>
      </x:c>
      <x:c r="G1132" s="4" t="str">
        <x:v>Sin marca literal</x:v>
      </x:c>
      <x:c r="H1132" s="11"/>
      <x:c r="I1132" s="11" t="str">
        <x:f>IF(H1132="","",C1132-H1132)</x:f>
      </x:c>
      <x:c r="J1132" s="4"/>
      <x:c r="K1132" s="4" t="str">
        <x:v>URLs de detalle page/query/country por clics. No asignan las impresiones de esta consulta a cada página.</x:v>
      </x:c>
    </x:row>
    <x:row r="1133" ht="28" customHeight="1">
      <x:c r="A1133" s="4" t="n">
        <x:v>1123</x:v>
      </x:c>
      <x:c r="B1133" s="4" t="str">
        <x:v>miami</x:v>
      </x:c>
      <x:c r="C1133" s="11" t="n">
        <x:v>1</x:v>
      </x:c>
      <x:c r="D1133" s="11" t="n">
        <x:v>109</x:v>
      </x:c>
      <x:c r="E1133" s="14" t="n">
        <x:v>0.009174311926605505</x:v>
      </x:c>
      <x:c r="F1133" s="12" t="n">
        <x:v>3.18348623853211</x:v>
      </x:c>
      <x:c r="G1133" s="4" t="str">
        <x:v>Sin marca literal</x:v>
      </x:c>
      <x:c r="H1133" s="11"/>
      <x:c r="I1133" s="11" t="str">
        <x:f>IF(H1133="","",C1133-H1133)</x:f>
      </x:c>
      <x:c r="J1133" s="4"/>
      <x:c r="K1133" s="4" t="str">
        <x:v>URLs de detalle page/query/country por clics. No asignan las impresiones de esta consulta a cada página.</x:v>
      </x:c>
    </x:row>
    <x:row r="1134" ht="28" customHeight="1">
      <x:c r="A1134" s="4" t="n">
        <x:v>1124</x:v>
      </x:c>
      <x:c r="B1134" s="4" t="str">
        <x:v>aerodromo mocopulli</x:v>
      </x:c>
      <x:c r="C1134" s="11" t="n">
        <x:v>1</x:v>
      </x:c>
      <x:c r="D1134" s="11" t="n">
        <x:v>107</x:v>
      </x:c>
      <x:c r="E1134" s="14" t="n">
        <x:v>0.009345794392523364</x:v>
      </x:c>
      <x:c r="F1134" s="12" t="n">
        <x:v>7.897196261682243</x:v>
      </x:c>
      <x:c r="G1134" s="4" t="str">
        <x:v>Sin marca literal</x:v>
      </x:c>
      <x:c r="H1134" s="11"/>
      <x:c r="I1134" s="11" t="str">
        <x:f>IF(H1134="","",C1134-H1134)</x:f>
      </x:c>
      <x:c r="J1134" s="4"/>
      <x:c r="K1134" s="4" t="str">
        <x:v>URLs de detalle page/query/country por clics. No asignan las impresiones de esta consulta a cada página.</x:v>
      </x:c>
    </x:row>
    <x:row r="1135" ht="28" customHeight="1">
      <x:c r="A1135" s="4" t="n">
        <x:v>1125</x:v>
      </x:c>
      <x:c r="B1135" s="4" t="str">
        <x:v>donde queda maceio</x:v>
      </x:c>
      <x:c r="C1135" s="11" t="n">
        <x:v>1</x:v>
      </x:c>
      <x:c r="D1135" s="11" t="n">
        <x:v>107</x:v>
      </x:c>
      <x:c r="E1135" s="14" t="n">
        <x:v>0.009345794392523364</x:v>
      </x:c>
      <x:c r="F1135" s="12" t="n">
        <x:v>10.233644859813085</x:v>
      </x:c>
      <x:c r="G1135" s="4" t="str">
        <x:v>Sin marca literal</x:v>
      </x:c>
      <x:c r="H1135" s="11"/>
      <x:c r="I1135" s="11" t="str">
        <x:f>IF(H1135="","",C1135-H1135)</x:f>
      </x:c>
      <x:c r="J1135" s="4"/>
      <x:c r="K1135" s="4" t="str">
        <x:v>URLs de detalle page/query/country por clics. No asignan las impresiones de esta consulta a cada página.</x:v>
      </x:c>
    </x:row>
    <x:row r="1136" ht="28" customHeight="1">
      <x:c r="A1136" s="4" t="n">
        <x:v>1126</x:v>
      </x:c>
      <x:c r="B1136" s="4" t="str">
        <x:v>ipanema</x:v>
      </x:c>
      <x:c r="C1136" s="11" t="n">
        <x:v>1</x:v>
      </x:c>
      <x:c r="D1136" s="11" t="n">
        <x:v>107</x:v>
      </x:c>
      <x:c r="E1136" s="14" t="n">
        <x:v>0.009345794392523364</x:v>
      </x:c>
      <x:c r="F1136" s="12" t="n">
        <x:v>8.551401869158878</x:v>
      </x:c>
      <x:c r="G1136" s="4" t="str">
        <x:v>Sin marca literal</x:v>
      </x:c>
      <x:c r="H1136" s="11"/>
      <x:c r="I1136" s="11" t="str">
        <x:f>IF(H1136="","",C1136-H1136)</x:f>
      </x:c>
      <x:c r="J1136" s="4"/>
      <x:c r="K1136" s="4" t="str">
        <x:v>URLs de detalle page/query/country por clics. No asignan las impresiones de esta consulta a cada página.</x:v>
      </x:c>
    </x:row>
    <x:row r="1137" ht="28" customHeight="1">
      <x:c r="A1137" s="4" t="n">
        <x:v>1127</x:v>
      </x:c>
      <x:c r="B1137" s="4" t="str">
        <x:v>qué es una bitácora</x:v>
      </x:c>
      <x:c r="C1137" s="11" t="n">
        <x:v>1</x:v>
      </x:c>
      <x:c r="D1137" s="11" t="n">
        <x:v>107</x:v>
      </x:c>
      <x:c r="E1137" s="14" t="n">
        <x:v>0.009345794392523364</x:v>
      </x:c>
      <x:c r="F1137" s="12" t="n">
        <x:v>9.532710280373832</x:v>
      </x:c>
      <x:c r="G1137" s="4" t="str">
        <x:v>Sin marca literal</x:v>
      </x:c>
      <x:c r="H1137" s="11"/>
      <x:c r="I1137" s="11" t="str">
        <x:f>IF(H1137="","",C1137-H1137)</x:f>
      </x:c>
      <x:c r="J1137" s="4"/>
      <x:c r="K1137" s="4" t="str">
        <x:v>URLs de detalle page/query/country por clics. No asignan las impresiones de esta consulta a cada página.</x:v>
      </x:c>
    </x:row>
    <x:row r="1138" ht="28" customHeight="1">
      <x:c r="A1138" s="4" t="n">
        <x:v>1128</x:v>
      </x:c>
      <x:c r="B1138" s="4" t="str">
        <x:v>florianópolis donde queda</x:v>
      </x:c>
      <x:c r="C1138" s="11" t="n">
        <x:v>1</x:v>
      </x:c>
      <x:c r="D1138" s="11" t="n">
        <x:v>106</x:v>
      </x:c>
      <x:c r="E1138" s="14" t="n">
        <x:v>0.009433962264150943</x:v>
      </x:c>
      <x:c r="F1138" s="12" t="n">
        <x:v>5.839622641509434</x:v>
      </x:c>
      <x:c r="G1138" s="4" t="str">
        <x:v>Sin marca literal</x:v>
      </x:c>
      <x:c r="H1138" s="11"/>
      <x:c r="I1138" s="11" t="str">
        <x:f>IF(H1138="","",C1138-H1138)</x:f>
      </x:c>
      <x:c r="J1138" s="4"/>
      <x:c r="K1138" s="4" t="str">
        <x:v>URLs de detalle page/query/country por clics. No asignan las impresiones de esta consulta a cada página.</x:v>
      </x:c>
    </x:row>
    <x:row r="1139" ht="28" customHeight="1">
      <x:c r="A1139" s="4" t="n">
        <x:v>1129</x:v>
      </x:c>
      <x:c r="B1139" s="4" t="str">
        <x:v>para ir a mexico se necesita pasaporte</x:v>
      </x:c>
      <x:c r="C1139" s="11" t="n">
        <x:v>1</x:v>
      </x:c>
      <x:c r="D1139" s="11" t="n">
        <x:v>106</x:v>
      </x:c>
      <x:c r="E1139" s="14" t="n">
        <x:v>0.009433962264150943</x:v>
      </x:c>
      <x:c r="F1139" s="12" t="n">
        <x:v>6.0754716981132075</x:v>
      </x:c>
      <x:c r="G1139" s="4" t="str">
        <x:v>Sin marca literal</x:v>
      </x:c>
      <x:c r="H1139" s="11"/>
      <x:c r="I1139" s="11" t="str">
        <x:f>IF(H1139="","",C1139-H1139)</x:f>
      </x:c>
      <x:c r="J1139" s="4"/>
      <x:c r="K1139" s="4" t="str">
        <x:v>URLs de detalle page/query/country por clics. No asignan las impresiones de esta consulta a cada página.</x:v>
      </x:c>
    </x:row>
    <x:row r="1140" ht="28" customHeight="1">
      <x:c r="A1140" s="4" t="n">
        <x:v>1130</x:v>
      </x:c>
      <x:c r="B1140" s="4" t="str">
        <x:v>de perú a chile cuantas horas son en avión</x:v>
      </x:c>
      <x:c r="C1140" s="11" t="n">
        <x:v>1</x:v>
      </x:c>
      <x:c r="D1140" s="11" t="n">
        <x:v>105</x:v>
      </x:c>
      <x:c r="E1140" s="14" t="n">
        <x:v>0.009523809523809525</x:v>
      </x:c>
      <x:c r="F1140" s="12" t="n">
        <x:v>5.161904761904762</x:v>
      </x:c>
      <x:c r="G1140" s="4" t="str">
        <x:v>Sin marca literal</x:v>
      </x:c>
      <x:c r="H1140" s="11"/>
      <x:c r="I1140" s="11" t="str">
        <x:f>IF(H1140="","",C1140-H1140)</x:f>
      </x:c>
      <x:c r="J1140" s="4"/>
      <x:c r="K1140" s="4" t="str">
        <x:v>URLs de detalle page/query/country por clics. No asignan las impresiones de esta consulta a cada página.</x:v>
      </x:c>
    </x:row>
    <x:row r="1141" ht="28" customHeight="1">
      <x:c r="A1141" s="4" t="n">
        <x:v>1131</x:v>
      </x:c>
      <x:c r="B1141" s="4" t="str">
        <x:v>paisaje del sur de chile</x:v>
      </x:c>
      <x:c r="C1141" s="11" t="n">
        <x:v>1</x:v>
      </x:c>
      <x:c r="D1141" s="11" t="n">
        <x:v>105</x:v>
      </x:c>
      <x:c r="E1141" s="14" t="n">
        <x:v>0.009523809523809525</x:v>
      </x:c>
      <x:c r="F1141" s="12" t="n">
        <x:v>1.3714285714285714</x:v>
      </x:c>
      <x:c r="G1141" s="4" t="str">
        <x:v>Sin marca literal</x:v>
      </x:c>
      <x:c r="H1141" s="11"/>
      <x:c r="I1141" s="11" t="str">
        <x:f>IF(H1141="","",C1141-H1141)</x:f>
      </x:c>
      <x:c r="J1141" s="4"/>
      <x:c r="K1141" s="4" t="str">
        <x:v>URLs de detalle page/query/country por clics. No asignan las impresiones de esta consulta a cada página.</x:v>
      </x:c>
    </x:row>
    <x:row r="1142" ht="28" customHeight="1">
      <x:c r="A1142" s="4" t="n">
        <x:v>1132</x:v>
      </x:c>
      <x:c r="B1142" s="4" t="str">
        <x:v>distancia entre rio de janeiro y florianopolis</x:v>
      </x:c>
      <x:c r="C1142" s="11" t="n">
        <x:v>1</x:v>
      </x:c>
      <x:c r="D1142" s="11" t="n">
        <x:v>104</x:v>
      </x:c>
      <x:c r="E1142" s="14" t="n">
        <x:v>0.009615384615384616</x:v>
      </x:c>
      <x:c r="F1142" s="12" t="n">
        <x:v>2.5673076923076925</x:v>
      </x:c>
      <x:c r="G1142" s="4" t="str">
        <x:v>Sin marca literal</x:v>
      </x:c>
      <x:c r="H1142" s="11"/>
      <x:c r="I1142" s="11" t="str">
        <x:f>IF(H1142="","",C1142-H1142)</x:f>
      </x:c>
      <x:c r="J1142" s="4"/>
      <x:c r="K1142" s="4" t="str">
        <x:v>URLs de detalle page/query/country por clics. No asignan las impresiones de esta consulta a cada página.</x:v>
      </x:c>
    </x:row>
    <x:row r="1143" ht="28" customHeight="1">
      <x:c r="A1143" s="4" t="n">
        <x:v>1133</x:v>
      </x:c>
      <x:c r="B1143" s="4" t="str">
        <x:v>flora y fauna de la zona sur de chile</x:v>
      </x:c>
      <x:c r="C1143" s="11" t="n">
        <x:v>1</x:v>
      </x:c>
      <x:c r="D1143" s="11" t="n">
        <x:v>104</x:v>
      </x:c>
      <x:c r="E1143" s="14" t="n">
        <x:v>0.009615384615384616</x:v>
      </x:c>
      <x:c r="F1143" s="12" t="n">
        <x:v>7.134615384615385</x:v>
      </x:c>
      <x:c r="G1143" s="4" t="str">
        <x:v>Sin marca literal</x:v>
      </x:c>
      <x:c r="H1143" s="11"/>
      <x:c r="I1143" s="11" t="str">
        <x:f>IF(H1143="","",C1143-H1143)</x:f>
      </x:c>
      <x:c r="J1143" s="4"/>
      <x:c r="K1143" s="4" t="str">
        <x:v>URLs de detalle page/query/country por clics. No asignan las impresiones de esta consulta a cada página.</x:v>
      </x:c>
    </x:row>
    <x:row r="1144" ht="28" customHeight="1">
      <x:c r="A1144" s="4" t="n">
        <x:v>1134</x:v>
      </x:c>
      <x:c r="B1144" s="4" t="str">
        <x:v>enchufe de brasil</x:v>
      </x:c>
      <x:c r="C1144" s="11" t="n">
        <x:v>1</x:v>
      </x:c>
      <x:c r="D1144" s="11" t="n">
        <x:v>103</x:v>
      </x:c>
      <x:c r="E1144" s="14" t="n">
        <x:v>0.009708737864077669</x:v>
      </x:c>
      <x:c r="F1144" s="12" t="n">
        <x:v>6.271844660194175</x:v>
      </x:c>
      <x:c r="G1144" s="4" t="str">
        <x:v>Sin marca literal</x:v>
      </x:c>
      <x:c r="H1144" s="11"/>
      <x:c r="I1144" s="11" t="str">
        <x:f>IF(H1144="","",C1144-H1144)</x:f>
      </x:c>
      <x:c r="J1144" s="4"/>
      <x:c r="K1144" s="4" t="str">
        <x:v>URLs de detalle page/query/country por clics. No asignan las impresiones de esta consulta a cada página.</x:v>
      </x:c>
    </x:row>
    <x:row r="1145" ht="28" customHeight="1">
      <x:c r="A1145" s="4" t="n">
        <x:v>1135</x:v>
      </x:c>
      <x:c r="B1145" s="4" t="str">
        <x:v>angelmó puerto montt</x:v>
      </x:c>
      <x:c r="C1145" s="11" t="n">
        <x:v>1</x:v>
      </x:c>
      <x:c r="D1145" s="11" t="n">
        <x:v>101</x:v>
      </x:c>
      <x:c r="E1145" s="14" t="n">
        <x:v>0.009900990099009901</x:v>
      </x:c>
      <x:c r="F1145" s="12" t="n">
        <x:v>10.425742574257425</x:v>
      </x:c>
      <x:c r="G1145" s="4" t="str">
        <x:v>Sin marca literal</x:v>
      </x:c>
      <x:c r="H1145" s="11"/>
      <x:c r="I1145" s="11" t="str">
        <x:f>IF(H1145="","",C1145-H1145)</x:f>
      </x:c>
      <x:c r="J1145" s="4"/>
      <x:c r="K1145" s="4" t="str">
        <x:v>URLs de detalle page/query/country por clics. No asignan las impresiones de esta consulta a cada página.</x:v>
      </x:c>
    </x:row>
    <x:row r="1146" ht="28" customHeight="1">
      <x:c r="A1146" s="4" t="n">
        <x:v>1136</x:v>
      </x:c>
      <x:c r="B1146" s="4" t="str">
        <x:v>en que epoca del año estamos en chile</x:v>
      </x:c>
      <x:c r="C1146" s="11" t="n">
        <x:v>1</x:v>
      </x:c>
      <x:c r="D1146" s="11" t="n">
        <x:v>101</x:v>
      </x:c>
      <x:c r="E1146" s="14" t="n">
        <x:v>0.009900990099009901</x:v>
      </x:c>
      <x:c r="F1146" s="12" t="n">
        <x:v>2.900990099009901</x:v>
      </x:c>
      <x:c r="G1146" s="4" t="str">
        <x:v>Sin marca literal</x:v>
      </x:c>
      <x:c r="H1146" s="11"/>
      <x:c r="I1146" s="11" t="str">
        <x:f>IF(H1146="","",C1146-H1146)</x:f>
      </x:c>
      <x:c r="J1146" s="4"/>
      <x:c r="K1146" s="4" t="str">
        <x:v>URLs de detalle page/query/country por clics. No asignan las impresiones de esta consulta a cada página.</x:v>
      </x:c>
    </x:row>
    <x:row r="1147" ht="28" customHeight="1">
      <x:c r="A1147" s="4" t="n">
        <x:v>1137</x:v>
      </x:c>
      <x:c r="B1147" s="4" t="str">
        <x:v>punta sal playa</x:v>
      </x:c>
      <x:c r="C1147" s="11" t="n">
        <x:v>1</x:v>
      </x:c>
      <x:c r="D1147" s="11" t="n">
        <x:v>101</x:v>
      </x:c>
      <x:c r="E1147" s="14" t="n">
        <x:v>0.009900990099009901</x:v>
      </x:c>
      <x:c r="F1147" s="12" t="n">
        <x:v>8.742574257425742</x:v>
      </x:c>
      <x:c r="G1147" s="4" t="str">
        <x:v>Sin marca literal</x:v>
      </x:c>
      <x:c r="H1147" s="11"/>
      <x:c r="I1147" s="11" t="str">
        <x:f>IF(H1147="","",C1147-H1147)</x:f>
      </x:c>
      <x:c r="J1147" s="4"/>
      <x:c r="K1147" s="4" t="str">
        <x:v>URLs de detalle page/query/country por clics. No asignan las impresiones de esta consulta a cada página.</x:v>
      </x:c>
    </x:row>
    <x:row r="1148" ht="28" customHeight="1">
      <x:c r="A1148" s="4" t="n">
        <x:v>1138</x:v>
      </x:c>
      <x:c r="B1148" s="4" t="str">
        <x:v>cancelar vuelo sky</x:v>
      </x:c>
      <x:c r="C1148" s="11" t="n">
        <x:v>1</x:v>
      </x:c>
      <x:c r="D1148" s="11" t="n">
        <x:v>100</x:v>
      </x:c>
      <x:c r="E1148" s="14" t="n">
        <x:v>0.01</x:v>
      </x:c>
      <x:c r="F1148" s="12" t="n">
        <x:v>4.02</x:v>
      </x:c>
      <x:c r="G1148" s="4" t="str">
        <x:v>Sin marca literal</x:v>
      </x:c>
      <x:c r="H1148" s="11"/>
      <x:c r="I1148" s="11" t="str">
        <x:f>IF(H1148="","",C1148-H1148)</x:f>
      </x:c>
      <x:c r="J1148" s="4"/>
      <x:c r="K1148" s="4" t="str">
        <x:v>URLs de detalle page/query/country por clics. No asignan las impresiones de esta consulta a cada página.</x:v>
      </x:c>
    </x:row>
    <x:row r="1149" ht="28" customHeight="1">
      <x:c r="A1149" s="4" t="n">
        <x:v>1139</x:v>
      </x:c>
      <x:c r="B1149" s="4" t="str">
        <x:v>santiago a rancagua distancia</x:v>
      </x:c>
      <x:c r="C1149" s="11" t="n">
        <x:v>1</x:v>
      </x:c>
      <x:c r="D1149" s="11" t="n">
        <x:v>100</x:v>
      </x:c>
      <x:c r="E1149" s="14" t="n">
        <x:v>0.01</x:v>
      </x:c>
      <x:c r="F1149" s="12" t="n">
        <x:v>6.09</x:v>
      </x:c>
      <x:c r="G1149" s="4" t="str">
        <x:v>Sin marca literal</x:v>
      </x:c>
      <x:c r="H1149" s="11"/>
      <x:c r="I1149" s="11" t="str">
        <x:f>IF(H1149="","",C1149-H1149)</x:f>
      </x:c>
      <x:c r="J1149" s="4"/>
      <x:c r="K1149" s="4" t="str">
        <x:v>URLs de detalle page/query/country por clics. No asignan las impresiones de esta consulta a cada página.</x:v>
      </x:c>
    </x:row>
    <x:row r="1150" ht="28" customHeight="1">
      <x:c r="A1150" s="4" t="n">
        <x:v>1140</x:v>
      </x:c>
      <x:c r="B1150" s="4" t="str">
        <x:v>distancia puerto natales a punta arenas</x:v>
      </x:c>
      <x:c r="C1150" s="11" t="n">
        <x:v>1</x:v>
      </x:c>
      <x:c r="D1150" s="11" t="n">
        <x:v>99</x:v>
      </x:c>
      <x:c r="E1150" s="14" t="n">
        <x:v>0.010101010101010102</x:v>
      </x:c>
      <x:c r="F1150" s="12" t="n">
        <x:v>5.292929292929293</x:v>
      </x:c>
      <x:c r="G1150" s="4" t="str">
        <x:v>Sin marca literal</x:v>
      </x:c>
      <x:c r="H1150" s="11"/>
      <x:c r="I1150" s="11" t="str">
        <x:f>IF(H1150="","",C1150-H1150)</x:f>
      </x:c>
      <x:c r="J1150" s="4"/>
      <x:c r="K1150" s="4" t="str">
        <x:v>URLs de detalle page/query/country por clics. No asignan las impresiones de esta consulta a cada página.</x:v>
      </x:c>
    </x:row>
    <x:row r="1151" ht="28" customHeight="1">
      <x:c r="A1151" s="4" t="n">
        <x:v>1141</x:v>
      </x:c>
      <x:c r="B1151" s="4" t="str">
        <x:v>parque acuatico brasil</x:v>
      </x:c>
      <x:c r="C1151" s="11" t="n">
        <x:v>1</x:v>
      </x:c>
      <x:c r="D1151" s="11" t="n">
        <x:v>99</x:v>
      </x:c>
      <x:c r="E1151" s="14" t="n">
        <x:v>0.010101010101010102</x:v>
      </x:c>
      <x:c r="F1151" s="12" t="n">
        <x:v>8.97979797979798</x:v>
      </x:c>
      <x:c r="G1151" s="4" t="str">
        <x:v>Sin marca literal</x:v>
      </x:c>
      <x:c r="H1151" s="11"/>
      <x:c r="I1151" s="11" t="str">
        <x:f>IF(H1151="","",C1151-H1151)</x:f>
      </x:c>
      <x:c r="J1151" s="4"/>
      <x:c r="K1151" s="4" t="str">
        <x:v>URLs de detalle page/query/country por clics. No asignan las impresiones de esta consulta a cada página.</x:v>
      </x:c>
    </x:row>
    <x:row r="1152" ht="28" customHeight="1">
      <x:c r="A1152" s="4" t="n">
        <x:v>1142</x:v>
      </x:c>
      <x:c r="B1152" s="4" t="str">
        <x:v>vacunas para viajar a brasil</x:v>
      </x:c>
      <x:c r="C1152" s="11" t="n">
        <x:v>1</x:v>
      </x:c>
      <x:c r="D1152" s="11" t="n">
        <x:v>99</x:v>
      </x:c>
      <x:c r="E1152" s="14" t="n">
        <x:v>0.010101010101010102</x:v>
      </x:c>
      <x:c r="F1152" s="12" t="n">
        <x:v>10.919191919191919</x:v>
      </x:c>
      <x:c r="G1152" s="4" t="str">
        <x:v>Sin marca literal</x:v>
      </x:c>
      <x:c r="H1152" s="11"/>
      <x:c r="I1152" s="11" t="str">
        <x:f>IF(H1152="","",C1152-H1152)</x:f>
      </x:c>
      <x:c r="J1152" s="4"/>
      <x:c r="K1152" s="4" t="str">
        <x:v>URLs de detalle page/query/country por clics. No asignan las impresiones de esta consulta a cada página.</x:v>
      </x:c>
    </x:row>
    <x:row r="1153" ht="28" customHeight="1">
      <x:c r="A1153" s="4" t="n">
        <x:v>1143</x:v>
      </x:c>
      <x:c r="B1153" s="4" t="str">
        <x:v>camping villarrica</x:v>
      </x:c>
      <x:c r="C1153" s="11" t="n">
        <x:v>1</x:v>
      </x:c>
      <x:c r="D1153" s="11" t="n">
        <x:v>98</x:v>
      </x:c>
      <x:c r="E1153" s="14" t="n">
        <x:v>0.01020408163265306</x:v>
      </x:c>
      <x:c r="F1153" s="12" t="n">
        <x:v>8.081632653061224</x:v>
      </x:c>
      <x:c r="G1153" s="4" t="str">
        <x:v>Sin marca literal</x:v>
      </x:c>
      <x:c r="H1153" s="11"/>
      <x:c r="I1153" s="11" t="str">
        <x:f>IF(H1153="","",C1153-H1153)</x:f>
      </x:c>
      <x:c r="J1153" s="4"/>
      <x:c r="K1153" s="4" t="str">
        <x:v>URLs de detalle page/query/country por clics. No asignan las impresiones de esta consulta a cada página.</x:v>
      </x:c>
    </x:row>
    <x:row r="1154" ht="28" customHeight="1">
      <x:c r="A1154" s="4" t="n">
        <x:v>1144</x:v>
      </x:c>
      <x:c r="B1154" s="4" t="str">
        <x:v>paisaje chileno</x:v>
      </x:c>
      <x:c r="C1154" s="11" t="n">
        <x:v>1</x:v>
      </x:c>
      <x:c r="D1154" s="11" t="n">
        <x:v>98</x:v>
      </x:c>
      <x:c r="E1154" s="14" t="n">
        <x:v>0.01020408163265306</x:v>
      </x:c>
      <x:c r="F1154" s="12" t="n">
        <x:v>1</x:v>
      </x:c>
      <x:c r="G1154" s="4" t="str">
        <x:v>Sin marca literal</x:v>
      </x:c>
      <x:c r="H1154" s="11"/>
      <x:c r="I1154" s="11" t="str">
        <x:f>IF(H1154="","",C1154-H1154)</x:f>
      </x:c>
      <x:c r="J1154" s="4"/>
      <x:c r="K1154" s="4" t="str">
        <x:v>URLs de detalle page/query/country por clics. No asignan las impresiones de esta consulta a cada página.</x:v>
      </x:c>
    </x:row>
    <x:row r="1155" ht="28" customHeight="1">
      <x:c r="A1155" s="4" t="n">
        <x:v>1145</x:v>
      </x:c>
      <x:c r="B1155" s="4" t="str">
        <x:v>sky agregar equipaje</x:v>
      </x:c>
      <x:c r="C1155" s="11" t="n">
        <x:v>1</x:v>
      </x:c>
      <x:c r="D1155" s="11" t="n">
        <x:v>97</x:v>
      </x:c>
      <x:c r="E1155" s="14" t="n">
        <x:v>0.010309278350515464</x:v>
      </x:c>
      <x:c r="F1155" s="12" t="n">
        <x:v>9.11340206185567</x:v>
      </x:c>
      <x:c r="G1155" s="4" t="str">
        <x:v>Sin marca literal</x:v>
      </x:c>
      <x:c r="H1155" s="11"/>
      <x:c r="I1155" s="11" t="str">
        <x:f>IF(H1155="","",C1155-H1155)</x:f>
      </x:c>
      <x:c r="J1155" s="4"/>
      <x:c r="K1155" s="4" t="str">
        <x:v>URLs de detalle page/query/country por clics. No asignan las impresiones de esta consulta a cada página.</x:v>
      </x:c>
    </x:row>
    <x:row r="1156" ht="28" customHeight="1">
      <x:c r="A1156" s="4" t="n">
        <x:v>1146</x:v>
      </x:c>
      <x:c r="B1156" s="4" t="str">
        <x:v>danzas chilenas</x:v>
      </x:c>
      <x:c r="C1156" s="11" t="n">
        <x:v>1</x:v>
      </x:c>
      <x:c r="D1156" s="11" t="n">
        <x:v>94</x:v>
      </x:c>
      <x:c r="E1156" s="14" t="n">
        <x:v>0.010638297872340425</x:v>
      </x:c>
      <x:c r="F1156" s="12" t="n">
        <x:v>6.574468085106383</x:v>
      </x:c>
      <x:c r="G1156" s="4" t="str">
        <x:v>Sin marca literal</x:v>
      </x:c>
      <x:c r="H1156" s="11"/>
      <x:c r="I1156" s="11" t="str">
        <x:f>IF(H1156="","",C1156-H1156)</x:f>
      </x:c>
      <x:c r="J1156" s="4"/>
      <x:c r="K1156" s="4" t="str">
        <x:v>URLs de detalle page/query/country por clics. No asignan las impresiones de esta consulta a cada página.</x:v>
      </x:c>
    </x:row>
    <x:row r="1157" ht="28" customHeight="1">
      <x:c r="A1157" s="4" t="n">
        <x:v>1147</x:v>
      </x:c>
      <x:c r="B1157" s="4" t="str">
        <x:v>paisajes de la zona central de chile</x:v>
      </x:c>
      <x:c r="C1157" s="11" t="n">
        <x:v>1</x:v>
      </x:c>
      <x:c r="D1157" s="11" t="n">
        <x:v>94</x:v>
      </x:c>
      <x:c r="E1157" s="14" t="n">
        <x:v>0.010638297872340425</x:v>
      </x:c>
      <x:c r="F1157" s="12" t="n">
        <x:v>1.3297872340425532</x:v>
      </x:c>
      <x:c r="G1157" s="4" t="str">
        <x:v>Sin marca literal</x:v>
      </x:c>
      <x:c r="H1157" s="11"/>
      <x:c r="I1157" s="11" t="str">
        <x:f>IF(H1157="","",C1157-H1157)</x:f>
      </x:c>
      <x:c r="J1157" s="4"/>
      <x:c r="K1157" s="4" t="str">
        <x:v>URLs de detalle page/query/country por clics. No asignan las impresiones de esta consulta a cada página.</x:v>
      </x:c>
    </x:row>
    <x:row r="1158" ht="28" customHeight="1">
      <x:c r="A1158" s="4" t="n">
        <x:v>1148</x:v>
      </x:c>
      <x:c r="B1158" s="4" t="str">
        <x:v>zofri iquique venta online</x:v>
      </x:c>
      <x:c r="C1158" s="11" t="n">
        <x:v>1</x:v>
      </x:c>
      <x:c r="D1158" s="11" t="n">
        <x:v>94</x:v>
      </x:c>
      <x:c r="E1158" s="14" t="n">
        <x:v>0.010638297872340425</x:v>
      </x:c>
      <x:c r="F1158" s="12" t="n">
        <x:v>10.074468085106384</x:v>
      </x:c>
      <x:c r="G1158" s="4" t="str">
        <x:v>Sin marca literal</x:v>
      </x:c>
      <x:c r="H1158" s="11"/>
      <x:c r="I1158" s="11" t="str">
        <x:f>IF(H1158="","",C1158-H1158)</x:f>
      </x:c>
      <x:c r="J1158" s="4"/>
      <x:c r="K1158" s="4" t="str">
        <x:v>URLs de detalle page/query/country por clics. No asignan las impresiones de esta consulta a cada página.</x:v>
      </x:c>
    </x:row>
    <x:row r="1159" ht="28" customHeight="1">
      <x:c r="A1159" s="4" t="n">
        <x:v>1149</x:v>
      </x:c>
      <x:c r="B1159" s="4" t="str">
        <x:v>destinos baratos para viajar desde chile</x:v>
      </x:c>
      <x:c r="C1159" s="11" t="n">
        <x:v>1</x:v>
      </x:c>
      <x:c r="D1159" s="11" t="n">
        <x:v>93</x:v>
      </x:c>
      <x:c r="E1159" s="14" t="n">
        <x:v>0.010752688172043012</x:v>
      </x:c>
      <x:c r="F1159" s="12" t="n">
        <x:v>3.989247311827957</x:v>
      </x:c>
      <x:c r="G1159" s="4" t="str">
        <x:v>Sin marca literal</x:v>
      </x:c>
      <x:c r="H1159" s="11"/>
      <x:c r="I1159" s="11" t="str">
        <x:f>IF(H1159="","",C1159-H1159)</x:f>
      </x:c>
      <x:c r="J1159" s="4"/>
      <x:c r="K1159" s="4" t="str">
        <x:v>URLs de detalle page/query/country por clics. No asignan las impresiones de esta consulta a cada página.</x:v>
      </x:c>
    </x:row>
    <x:row r="1160" ht="28" customHeight="1">
      <x:c r="A1160" s="4" t="n">
        <x:v>1150</x:v>
      </x:c>
      <x:c r="B1160" s="4" t="str">
        <x:v>estacionamiento en aeropuerto santiago</x:v>
      </x:c>
      <x:c r="C1160" s="11" t="n">
        <x:v>1</x:v>
      </x:c>
      <x:c r="D1160" s="11" t="n">
        <x:v>93</x:v>
      </x:c>
      <x:c r="E1160" s="14" t="n">
        <x:v>0.010752688172043012</x:v>
      </x:c>
      <x:c r="F1160" s="12" t="n">
        <x:v>10.548387096774194</x:v>
      </x:c>
      <x:c r="G1160" s="4" t="str">
        <x:v>Sin marca literal</x:v>
      </x:c>
      <x:c r="H1160" s="11"/>
      <x:c r="I1160" s="11" t="str">
        <x:f>IF(H1160="","",C1160-H1160)</x:f>
      </x:c>
      <x:c r="J1160" s="4"/>
      <x:c r="K1160" s="4" t="str">
        <x:v>URLs de detalle page/query/country por clics. No asignan las impresiones de esta consulta a cada página.</x:v>
      </x:c>
    </x:row>
    <x:row r="1161" ht="28" customHeight="1">
      <x:c r="A1161" s="4" t="n">
        <x:v>1151</x:v>
      </x:c>
      <x:c r="B1161" s="4" t="str">
        <x:v>se puede llevar shampoo en el avion</x:v>
      </x:c>
      <x:c r="C1161" s="11" t="n">
        <x:v>1</x:v>
      </x:c>
      <x:c r="D1161" s="11" t="n">
        <x:v>92</x:v>
      </x:c>
      <x:c r="E1161" s="14" t="n">
        <x:v>0.010869565217391304</x:v>
      </x:c>
      <x:c r="F1161" s="12" t="n">
        <x:v>4.260869565217391</x:v>
      </x:c>
      <x:c r="G1161" s="4" t="str">
        <x:v>Sin marca literal</x:v>
      </x:c>
      <x:c r="H1161" s="11"/>
      <x:c r="I1161" s="11" t="str">
        <x:f>IF(H1161="","",C1161-H1161)</x:f>
      </x:c>
      <x:c r="J1161" s="4"/>
      <x:c r="K1161" s="4" t="str">
        <x:v>URLs de detalle page/query/country por clics. No asignan las impresiones de esta consulta a cada página.</x:v>
      </x:c>
    </x:row>
    <x:row r="1162" ht="28" customHeight="1">
      <x:c r="A1162" s="4" t="n">
        <x:v>1152</x:v>
      </x:c>
      <x:c r="B1162" s="4" t="str">
        <x:v>cuántos kilómetros hay de montevideo a punta del este</x:v>
      </x:c>
      <x:c r="C1162" s="11" t="n">
        <x:v>1</x:v>
      </x:c>
      <x:c r="D1162" s="11" t="n">
        <x:v>91</x:v>
      </x:c>
      <x:c r="E1162" s="14" t="n">
        <x:v>0.01098901098901099</x:v>
      </x:c>
      <x:c r="F1162" s="12" t="n">
        <x:v>5.6923076923076925</x:v>
      </x:c>
      <x:c r="G1162" s="4" t="str">
        <x:v>Sin marca literal</x:v>
      </x:c>
      <x:c r="H1162" s="11"/>
      <x:c r="I1162" s="11" t="str">
        <x:f>IF(H1162="","",C1162-H1162)</x:f>
      </x:c>
      <x:c r="J1162" s="4"/>
      <x:c r="K1162" s="4" t="str">
        <x:v>URLs de detalle page/query/country por clics. No asignan las impresiones de esta consulta a cada página.</x:v>
      </x:c>
    </x:row>
    <x:row r="1163" ht="28" customHeight="1">
      <x:c r="A1163" s="4" t="n">
        <x:v>1153</x:v>
      </x:c>
      <x:c r="B1163" s="4" t="str">
        <x:v>medidas bolso de mano</x:v>
      </x:c>
      <x:c r="C1163" s="11" t="n">
        <x:v>1</x:v>
      </x:c>
      <x:c r="D1163" s="11" t="n">
        <x:v>91</x:v>
      </x:c>
      <x:c r="E1163" s="14" t="n">
        <x:v>0.01098901098901099</x:v>
      </x:c>
      <x:c r="F1163" s="12" t="n">
        <x:v>8.64835164835165</x:v>
      </x:c>
      <x:c r="G1163" s="4" t="str">
        <x:v>Sin marca literal</x:v>
      </x:c>
      <x:c r="H1163" s="11"/>
      <x:c r="I1163" s="11" t="str">
        <x:f>IF(H1163="","",C1163-H1163)</x:f>
      </x:c>
      <x:c r="J1163" s="4"/>
      <x:c r="K1163" s="4" t="str">
        <x:v>URLs de detalle page/query/country por clics. No asignan las impresiones de esta consulta a cada página.</x:v>
      </x:c>
    </x:row>
    <x:row r="1164" ht="28" customHeight="1">
      <x:c r="A1164" s="4" t="n">
        <x:v>1154</x:v>
      </x:c>
      <x:c r="B1164" s="4" t="str">
        <x:v>faro de josé ignacio</x:v>
      </x:c>
      <x:c r="C1164" s="11" t="n">
        <x:v>1</x:v>
      </x:c>
      <x:c r="D1164" s="11" t="n">
        <x:v>90</x:v>
      </x:c>
      <x:c r="E1164" s="14" t="n">
        <x:v>0.011111111111111112</x:v>
      </x:c>
      <x:c r="F1164" s="12" t="n">
        <x:v>10.777777777777779</x:v>
      </x:c>
      <x:c r="G1164" s="4" t="str">
        <x:v>Sin marca literal</x:v>
      </x:c>
      <x:c r="H1164" s="11"/>
      <x:c r="I1164" s="11" t="str">
        <x:f>IF(H1164="","",C1164-H1164)</x:f>
      </x:c>
      <x:c r="J1164" s="4"/>
      <x:c r="K1164" s="4" t="str">
        <x:v>URLs de detalle page/query/country por clics. No asignan las impresiones de esta consulta a cada página.</x:v>
      </x:c>
    </x:row>
    <x:row r="1165" ht="28" customHeight="1">
      <x:c r="A1165" s="4" t="n">
        <x:v>1155</x:v>
      </x:c>
      <x:c r="B1165" s="4" t="str">
        <x:v>balneario camboriu donde queda</x:v>
      </x:c>
      <x:c r="C1165" s="11" t="n">
        <x:v>1</x:v>
      </x:c>
      <x:c r="D1165" s="11" t="n">
        <x:v>89</x:v>
      </x:c>
      <x:c r="E1165" s="14" t="n">
        <x:v>0.011235955056179775</x:v>
      </x:c>
      <x:c r="F1165" s="12" t="n">
        <x:v>8.44943820224719</x:v>
      </x:c>
      <x:c r="G1165" s="4" t="str">
        <x:v>Sin marca literal</x:v>
      </x:c>
      <x:c r="H1165" s="11"/>
      <x:c r="I1165" s="11" t="str">
        <x:f>IF(H1165="","",C1165-H1165)</x:f>
      </x:c>
      <x:c r="J1165" s="4"/>
      <x:c r="K1165" s="4" t="str">
        <x:v>URLs de detalle page/query/country por clics. No asignan las impresiones de esta consulta a cada página.</x:v>
      </x:c>
    </x:row>
    <x:row r="1166" ht="28" customHeight="1">
      <x:c r="A1166" s="4" t="n">
        <x:v>1156</x:v>
      </x:c>
      <x:c r="B1166" s="4" t="str">
        <x:v>bus de montevideo a punta del este</x:v>
      </x:c>
      <x:c r="C1166" s="11" t="n">
        <x:v>1</x:v>
      </x:c>
      <x:c r="D1166" s="11" t="n">
        <x:v>89</x:v>
      </x:c>
      <x:c r="E1166" s="14" t="n">
        <x:v>0.011235955056179775</x:v>
      </x:c>
      <x:c r="F1166" s="12" t="n">
        <x:v>8.438202247191011</x:v>
      </x:c>
      <x:c r="G1166" s="4" t="str">
        <x:v>Sin marca literal</x:v>
      </x:c>
      <x:c r="H1166" s="11"/>
      <x:c r="I1166" s="11" t="str">
        <x:f>IF(H1166="","",C1166-H1166)</x:f>
      </x:c>
      <x:c r="J1166" s="4"/>
      <x:c r="K1166" s="4" t="str">
        <x:v>URLs de detalle page/query/country por clics. No asignan las impresiones de esta consulta a cada página.</x:v>
      </x:c>
    </x:row>
    <x:row r="1167" ht="28" customHeight="1">
      <x:c r="A1167" s="4" t="n">
        <x:v>1157</x:v>
      </x:c>
      <x:c r="B1167" s="4" t="str">
        <x:v>cuanto liquido se puede llevar en equipaje de mano</x:v>
      </x:c>
      <x:c r="C1167" s="11" t="n">
        <x:v>1</x:v>
      </x:c>
      <x:c r="D1167" s="11" t="n">
        <x:v>89</x:v>
      </x:c>
      <x:c r="E1167" s="14" t="n">
        <x:v>0.011235955056179775</x:v>
      </x:c>
      <x:c r="F1167" s="12" t="n">
        <x:v>5.808988764044944</x:v>
      </x:c>
      <x:c r="G1167" s="4" t="str">
        <x:v>Sin marca literal</x:v>
      </x:c>
      <x:c r="H1167" s="11"/>
      <x:c r="I1167" s="11" t="str">
        <x:f>IF(H1167="","",C1167-H1167)</x:f>
      </x:c>
      <x:c r="J1167" s="4"/>
      <x:c r="K1167" s="4" t="str">
        <x:v>URLs de detalle page/query/country por clics. No asignan las impresiones de esta consulta a cada página.</x:v>
      </x:c>
    </x:row>
    <x:row r="1168" ht="28" customHeight="1">
      <x:c r="A1168" s="4" t="n">
        <x:v>1158</x:v>
      </x:c>
      <x:c r="B1168" s="4" t="str">
        <x:v>bailes tipico de chile</x:v>
      </x:c>
      <x:c r="C1168" s="11" t="n">
        <x:v>1</x:v>
      </x:c>
      <x:c r="D1168" s="11" t="n">
        <x:v>88</x:v>
      </x:c>
      <x:c r="E1168" s="14" t="n">
        <x:v>0.011363636363636364</x:v>
      </x:c>
      <x:c r="F1168" s="12" t="n">
        <x:v>7.6022727272727275</x:v>
      </x:c>
      <x:c r="G1168" s="4" t="str">
        <x:v>Sin marca literal</x:v>
      </x:c>
      <x:c r="H1168" s="11"/>
      <x:c r="I1168" s="11" t="str">
        <x:f>IF(H1168="","",C1168-H1168)</x:f>
      </x:c>
      <x:c r="J1168" s="4"/>
      <x:c r="K1168" s="4" t="str">
        <x:v>URLs de detalle page/query/country por clics. No asignan las impresiones de esta consulta a cada página.</x:v>
      </x:c>
    </x:row>
    <x:row r="1169" ht="28" customHeight="1">
      <x:c r="A1169" s="4" t="n">
        <x:v>1159</x:v>
      </x:c>
      <x:c r="B1169" s="4" t="str">
        <x:v>distancia entre punta del este y montevideo</x:v>
      </x:c>
      <x:c r="C1169" s="11" t="n">
        <x:v>1</x:v>
      </x:c>
      <x:c r="D1169" s="11" t="n">
        <x:v>88</x:v>
      </x:c>
      <x:c r="E1169" s="14" t="n">
        <x:v>0.011363636363636364</x:v>
      </x:c>
      <x:c r="F1169" s="12" t="n">
        <x:v>5.534090909090909</x:v>
      </x:c>
      <x:c r="G1169" s="4" t="str">
        <x:v>Sin marca literal</x:v>
      </x:c>
      <x:c r="H1169" s="11"/>
      <x:c r="I1169" s="11" t="str">
        <x:f>IF(H1169="","",C1169-H1169)</x:f>
      </x:c>
      <x:c r="J1169" s="4"/>
      <x:c r="K1169" s="4" t="str">
        <x:v>URLs de detalle page/query/country por clics. No asignan las impresiones de esta consulta a cada página.</x:v>
      </x:c>
    </x:row>
    <x:row r="1170" ht="28" customHeight="1">
      <x:c r="A1170" s="4" t="n">
        <x:v>1160</x:v>
      </x:c>
      <x:c r="B1170" s="4" t="str">
        <x:v>panoramas con niños en santiago</x:v>
      </x:c>
      <x:c r="C1170" s="11" t="n">
        <x:v>1</x:v>
      </x:c>
      <x:c r="D1170" s="11" t="n">
        <x:v>88</x:v>
      </x:c>
      <x:c r="E1170" s="14" t="n">
        <x:v>0.011363636363636364</x:v>
      </x:c>
      <x:c r="F1170" s="12" t="n">
        <x:v>8.670454545454547</x:v>
      </x:c>
      <x:c r="G1170" s="4" t="str">
        <x:v>Sin marca literal</x:v>
      </x:c>
      <x:c r="H1170" s="11"/>
      <x:c r="I1170" s="11" t="str">
        <x:f>IF(H1170="","",C1170-H1170)</x:f>
      </x:c>
      <x:c r="J1170" s="4"/>
      <x:c r="K1170" s="4" t="str">
        <x:v>URLs de detalle page/query/country por clics. No asignan las impresiones de esta consulta a cada página.</x:v>
      </x:c>
    </x:row>
    <x:row r="1171" ht="28" customHeight="1">
      <x:c r="A1171" s="4" t="n">
        <x:v>1161</x:v>
      </x:c>
      <x:c r="B1171" s="4" t="str">
        <x:v>playa antofagasta</x:v>
      </x:c>
      <x:c r="C1171" s="11" t="n">
        <x:v>1</x:v>
      </x:c>
      <x:c r="D1171" s="11" t="n">
        <x:v>88</x:v>
      </x:c>
      <x:c r="E1171" s="14" t="n">
        <x:v>0.011363636363636364</x:v>
      </x:c>
      <x:c r="F1171" s="12" t="n">
        <x:v>10.227272727272727</x:v>
      </x:c>
      <x:c r="G1171" s="4" t="str">
        <x:v>Sin marca literal</x:v>
      </x:c>
      <x:c r="H1171" s="11"/>
      <x:c r="I1171" s="11" t="str">
        <x:f>IF(H1171="","",C1171-H1171)</x:f>
      </x:c>
      <x:c r="J1171" s="4"/>
      <x:c r="K1171" s="4" t="str">
        <x:v>URLs de detalle page/query/country por clics. No asignan las impresiones de esta consulta a cada página.</x:v>
      </x:c>
    </x:row>
    <x:row r="1172" ht="28" customHeight="1">
      <x:c r="A1172" s="4" t="n">
        <x:v>1162</x:v>
      </x:c>
      <x:c r="B1172" s="4" t="str">
        <x:v>playa del carmen</x:v>
      </x:c>
      <x:c r="C1172" s="11" t="n">
        <x:v>1</x:v>
      </x:c>
      <x:c r="D1172" s="11" t="n">
        <x:v>88</x:v>
      </x:c>
      <x:c r="E1172" s="14" t="n">
        <x:v>0.011363636363636364</x:v>
      </x:c>
      <x:c r="F1172" s="12" t="n">
        <x:v>10.545454545454545</x:v>
      </x:c>
      <x:c r="G1172" s="4" t="str">
        <x:v>Sin marca literal</x:v>
      </x:c>
      <x:c r="H1172" s="11"/>
      <x:c r="I1172" s="11" t="str">
        <x:f>IF(H1172="","",C1172-H1172)</x:f>
      </x:c>
      <x:c r="J1172" s="4"/>
      <x:c r="K1172" s="4" t="str">
        <x:v>URLs de detalle page/query/country por clics. No asignan las impresiones de esta consulta a cada página.</x:v>
      </x:c>
    </x:row>
    <x:row r="1173" ht="28" customHeight="1">
      <x:c r="A1173" s="4" t="n">
        <x:v>1163</x:v>
      </x:c>
      <x:c r="B1173" s="4" t="str">
        <x:v>volcanes araucania</x:v>
      </x:c>
      <x:c r="C1173" s="11" t="n">
        <x:v>1</x:v>
      </x:c>
      <x:c r="D1173" s="11" t="n">
        <x:v>88</x:v>
      </x:c>
      <x:c r="E1173" s="14" t="n">
        <x:v>0.011363636363636364</x:v>
      </x:c>
      <x:c r="F1173" s="12" t="n">
        <x:v>8.78409090909091</x:v>
      </x:c>
      <x:c r="G1173" s="4" t="str">
        <x:v>Sin marca literal</x:v>
      </x:c>
      <x:c r="H1173" s="11"/>
      <x:c r="I1173" s="11" t="str">
        <x:f>IF(H1173="","",C1173-H1173)</x:f>
      </x:c>
      <x:c r="J1173" s="4"/>
      <x:c r="K1173" s="4" t="str">
        <x:v>URLs de detalle page/query/country por clics. No asignan las impresiones de esta consulta a cada página.</x:v>
      </x:c>
    </x:row>
    <x:row r="1174" ht="28" customHeight="1">
      <x:c r="A1174" s="4" t="n">
        <x:v>1164</x:v>
      </x:c>
      <x:c r="B1174" s="4" t="str">
        <x:v>bailes típicos de perú</x:v>
      </x:c>
      <x:c r="C1174" s="11" t="n">
        <x:v>1</x:v>
      </x:c>
      <x:c r="D1174" s="11" t="n">
        <x:v>87</x:v>
      </x:c>
      <x:c r="E1174" s="14" t="n">
        <x:v>0.011494252873563218</x:v>
      </x:c>
      <x:c r="F1174" s="12" t="n">
        <x:v>4.60919540229885</x:v>
      </x:c>
      <x:c r="G1174" s="4" t="str">
        <x:v>Sin marca literal</x:v>
      </x:c>
      <x:c r="H1174" s="11"/>
      <x:c r="I1174" s="11" t="str">
        <x:f>IF(H1174="","",C1174-H1174)</x:f>
      </x:c>
      <x:c r="J1174" s="4"/>
      <x:c r="K1174" s="4" t="str">
        <x:v>URLs de detalle page/query/country por clics. No asignan las impresiones de esta consulta a cada página.</x:v>
      </x:c>
    </x:row>
    <x:row r="1175" ht="28" customHeight="1">
      <x:c r="A1175" s="4" t="n">
        <x:v>1165</x:v>
      </x:c>
      <x:c r="B1175" s="4" t="str">
        <x:v>donde queda beto carrero world</x:v>
      </x:c>
      <x:c r="C1175" s="11" t="n">
        <x:v>1</x:v>
      </x:c>
      <x:c r="D1175" s="11" t="n">
        <x:v>87</x:v>
      </x:c>
      <x:c r="E1175" s="14" t="n">
        <x:v>0.011494252873563218</x:v>
      </x:c>
      <x:c r="F1175" s="12" t="n">
        <x:v>7.241379310344827</x:v>
      </x:c>
      <x:c r="G1175" s="4" t="str">
        <x:v>Sin marca literal</x:v>
      </x:c>
      <x:c r="H1175" s="11"/>
      <x:c r="I1175" s="11" t="str">
        <x:f>IF(H1175="","",C1175-H1175)</x:f>
      </x:c>
      <x:c r="J1175" s="4"/>
      <x:c r="K1175" s="4" t="str">
        <x:v>URLs de detalle page/query/country por clics. No asignan las impresiones de esta consulta a cada página.</x:v>
      </x:c>
    </x:row>
    <x:row r="1176" ht="28" customHeight="1">
      <x:c r="A1176" s="4" t="n">
        <x:v>1166</x:v>
      </x:c>
      <x:c r="B1176" s="4" t="str">
        <x:v>hornopiren</x:v>
      </x:c>
      <x:c r="C1176" s="11" t="n">
        <x:v>1</x:v>
      </x:c>
      <x:c r="D1176" s="11" t="n">
        <x:v>87</x:v>
      </x:c>
      <x:c r="E1176" s="14" t="n">
        <x:v>0.011494252873563218</x:v>
      </x:c>
      <x:c r="F1176" s="12" t="n">
        <x:v>33.51724137931034</x:v>
      </x:c>
      <x:c r="G1176" s="4" t="str">
        <x:v>Sin marca literal</x:v>
      </x:c>
      <x:c r="H1176" s="11"/>
      <x:c r="I1176" s="11" t="str">
        <x:f>IF(H1176="","",C1176-H1176)</x:f>
      </x:c>
      <x:c r="J1176" s="4"/>
      <x:c r="K1176" s="4" t="str">
        <x:v>URLs de detalle page/query/country por clics. No asignan las impresiones de esta consulta a cada página.</x:v>
      </x:c>
    </x:row>
    <x:row r="1177" ht="28" customHeight="1">
      <x:c r="A1177" s="4" t="n">
        <x:v>1167</x:v>
      </x:c>
      <x:c r="B1177" s="4" t="str">
        <x:v>cuando es otoño en chile</x:v>
      </x:c>
      <x:c r="C1177" s="11" t="n">
        <x:v>1</x:v>
      </x:c>
      <x:c r="D1177" s="11" t="n">
        <x:v>86</x:v>
      </x:c>
      <x:c r="E1177" s="14" t="n">
        <x:v>0.011627906976744186</x:v>
      </x:c>
      <x:c r="F1177" s="12" t="n">
        <x:v>7.813953488372093</x:v>
      </x:c>
      <x:c r="G1177" s="4" t="str">
        <x:v>Sin marca literal</x:v>
      </x:c>
      <x:c r="H1177" s="11"/>
      <x:c r="I1177" s="11" t="str">
        <x:f>IF(H1177="","",C1177-H1177)</x:f>
      </x:c>
      <x:c r="J1177" s="4"/>
      <x:c r="K1177" s="4" t="str">
        <x:v>URLs de detalle page/query/country por clics. No asignan las impresiones de esta consulta a cada página.</x:v>
      </x:c>
    </x:row>
    <x:row r="1178" ht="28" customHeight="1">
      <x:c r="A1178" s="4" t="n">
        <x:v>1168</x:v>
      </x:c>
      <x:c r="B1178" s="4" t="str">
        <x:v>estaciones del año en chile fechas</x:v>
      </x:c>
      <x:c r="C1178" s="11" t="n">
        <x:v>1</x:v>
      </x:c>
      <x:c r="D1178" s="11" t="n">
        <x:v>86</x:v>
      </x:c>
      <x:c r="E1178" s="14" t="n">
        <x:v>0.011627906976744186</x:v>
      </x:c>
      <x:c r="F1178" s="12" t="n">
        <x:v>1.9534883720930232</x:v>
      </x:c>
      <x:c r="G1178" s="4" t="str">
        <x:v>Sin marca literal</x:v>
      </x:c>
      <x:c r="H1178" s="11"/>
      <x:c r="I1178" s="11" t="str">
        <x:f>IF(H1178="","",C1178-H1178)</x:f>
      </x:c>
      <x:c r="J1178" s="4"/>
      <x:c r="K1178" s="4" t="str">
        <x:v>URLs de detalle page/query/country por clics. No asignan las impresiones de esta consulta a cada página.</x:v>
      </x:c>
    </x:row>
    <x:row r="1179" ht="28" customHeight="1">
      <x:c r="A1179" s="4" t="n">
        <x:v>1169</x:v>
      </x:c>
      <x:c r="B1179" s="4" t="str">
        <x:v>mall mendoza</x:v>
      </x:c>
      <x:c r="C1179" s="11" t="n">
        <x:v>1</x:v>
      </x:c>
      <x:c r="D1179" s="11" t="n">
        <x:v>86</x:v>
      </x:c>
      <x:c r="E1179" s="14" t="n">
        <x:v>0.011627906976744186</x:v>
      </x:c>
      <x:c r="F1179" s="12" t="n">
        <x:v>6.988372093023256</x:v>
      </x:c>
      <x:c r="G1179" s="4" t="str">
        <x:v>Sin marca literal</x:v>
      </x:c>
      <x:c r="H1179" s="11"/>
      <x:c r="I1179" s="11" t="str">
        <x:f>IF(H1179="","",C1179-H1179)</x:f>
      </x:c>
      <x:c r="J1179" s="4"/>
      <x:c r="K1179" s="4" t="str">
        <x:v>URLs de detalle page/query/country por clics. No asignan las impresiones de esta consulta a cada página.</x:v>
      </x:c>
    </x:row>
    <x:row r="1180" ht="28" customHeight="1">
      <x:c r="A1180" s="4" t="n">
        <x:v>1170</x:v>
      </x:c>
      <x:c r="B1180" s="4" t="str">
        <x:v>características de la zona sur de chile</x:v>
      </x:c>
      <x:c r="C1180" s="11" t="n">
        <x:v>1</x:v>
      </x:c>
      <x:c r="D1180" s="11" t="n">
        <x:v>85</x:v>
      </x:c>
      <x:c r="E1180" s="14" t="n">
        <x:v>0.011764705882352941</x:v>
      </x:c>
      <x:c r="F1180" s="12" t="n">
        <x:v>5.329411764705882</x:v>
      </x:c>
      <x:c r="G1180" s="4" t="str">
        <x:v>Sin marca literal</x:v>
      </x:c>
      <x:c r="H1180" s="11"/>
      <x:c r="I1180" s="11" t="str">
        <x:f>IF(H1180="","",C1180-H1180)</x:f>
      </x:c>
      <x:c r="J1180" s="4"/>
      <x:c r="K1180" s="4" t="str">
        <x:v>URLs de detalle page/query/country por clics. No asignan las impresiones de esta consulta a cada página.</x:v>
      </x:c>
    </x:row>
    <x:row r="1181" ht="28" customHeight="1">
      <x:c r="A1181" s="4" t="n">
        <x:v>1171</x:v>
      </x:c>
      <x:c r="B1181" s="4" t="str">
        <x:v>distancia de punta del este a montevideo</x:v>
      </x:c>
      <x:c r="C1181" s="11" t="n">
        <x:v>1</x:v>
      </x:c>
      <x:c r="D1181" s="11" t="n">
        <x:v>85</x:v>
      </x:c>
      <x:c r="E1181" s="14" t="n">
        <x:v>0.011764705882352941</x:v>
      </x:c>
      <x:c r="F1181" s="12" t="n">
        <x:v>5.529411764705882</x:v>
      </x:c>
      <x:c r="G1181" s="4" t="str">
        <x:v>Sin marca literal</x:v>
      </x:c>
      <x:c r="H1181" s="11"/>
      <x:c r="I1181" s="11" t="str">
        <x:f>IF(H1181="","",C1181-H1181)</x:f>
      </x:c>
      <x:c r="J1181" s="4"/>
      <x:c r="K1181" s="4" t="str">
        <x:v>URLs de detalle page/query/country por clics. No asignan las impresiones de esta consulta a cada página.</x:v>
      </x:c>
    </x:row>
    <x:row r="1182" ht="28" customHeight="1">
      <x:c r="A1182" s="4" t="n">
        <x:v>1172</x:v>
      </x:c>
      <x:c r="B1182" s="4" t="str">
        <x:v>musica tipica de chile</x:v>
      </x:c>
      <x:c r="C1182" s="11" t="n">
        <x:v>1</x:v>
      </x:c>
      <x:c r="D1182" s="11" t="n">
        <x:v>85</x:v>
      </x:c>
      <x:c r="E1182" s="14" t="n">
        <x:v>0.011764705882352941</x:v>
      </x:c>
      <x:c r="F1182" s="12" t="n">
        <x:v>7.129411764705883</x:v>
      </x:c>
      <x:c r="G1182" s="4" t="str">
        <x:v>Sin marca literal</x:v>
      </x:c>
      <x:c r="H1182" s="11"/>
      <x:c r="I1182" s="11" t="str">
        <x:f>IF(H1182="","",C1182-H1182)</x:f>
      </x:c>
      <x:c r="J1182" s="4"/>
      <x:c r="K1182" s="4" t="str">
        <x:v>URLs de detalle page/query/country por clics. No asignan las impresiones de esta consulta a cada página.</x:v>
      </x:c>
    </x:row>
    <x:row r="1183" ht="28" customHeight="1">
      <x:c r="A1183" s="4" t="n">
        <x:v>1173</x:v>
      </x:c>
      <x:c r="B1183" s="4" t="str">
        <x:v>donde queda huilo huilo en chile</x:v>
      </x:c>
      <x:c r="C1183" s="11" t="n">
        <x:v>1</x:v>
      </x:c>
      <x:c r="D1183" s="11" t="n">
        <x:v>84</x:v>
      </x:c>
      <x:c r="E1183" s="14" t="n">
        <x:v>0.011904761904761904</x:v>
      </x:c>
      <x:c r="F1183" s="12" t="n">
        <x:v>10.119047619047619</x:v>
      </x:c>
      <x:c r="G1183" s="4" t="str">
        <x:v>Sin marca literal</x:v>
      </x:c>
      <x:c r="H1183" s="11"/>
      <x:c r="I1183" s="11" t="str">
        <x:f>IF(H1183="","",C1183-H1183)</x:f>
      </x:c>
      <x:c r="J1183" s="4"/>
      <x:c r="K1183" s="4" t="str">
        <x:v>URLs de detalle page/query/country por clics. No asignan las impresiones de esta consulta a cada página.</x:v>
      </x:c>
    </x:row>
    <x:row r="1184" ht="28" customHeight="1">
      <x:c r="A1184" s="4" t="n">
        <x:v>1174</x:v>
      </x:c>
      <x:c r="B1184" s="4" t="str">
        <x:v>musica de chile</x:v>
      </x:c>
      <x:c r="C1184" s="11" t="n">
        <x:v>1</x:v>
      </x:c>
      <x:c r="D1184" s="11" t="n">
        <x:v>84</x:v>
      </x:c>
      <x:c r="E1184" s="14" t="n">
        <x:v>0.011904761904761904</x:v>
      </x:c>
      <x:c r="F1184" s="12" t="n">
        <x:v>9.654761904761905</x:v>
      </x:c>
      <x:c r="G1184" s="4" t="str">
        <x:v>Sin marca literal</x:v>
      </x:c>
      <x:c r="H1184" s="11"/>
      <x:c r="I1184" s="11" t="str">
        <x:f>IF(H1184="","",C1184-H1184)</x:f>
      </x:c>
      <x:c r="J1184" s="4"/>
      <x:c r="K1184" s="4" t="str">
        <x:v>URLs de detalle page/query/country por clics. No asignan las impresiones de esta consulta a cada página.</x:v>
      </x:c>
    </x:row>
    <x:row r="1185" ht="28" customHeight="1">
      <x:c r="A1185" s="4" t="n">
        <x:v>1175</x:v>
      </x:c>
      <x:c r="B1185" s="4" t="str">
        <x:v>arrecifes brasil</x:v>
      </x:c>
      <x:c r="C1185" s="11" t="n">
        <x:v>1</x:v>
      </x:c>
      <x:c r="D1185" s="11" t="n">
        <x:v>83</x:v>
      </x:c>
      <x:c r="E1185" s="14" t="n">
        <x:v>0.012048192771084338</x:v>
      </x:c>
      <x:c r="F1185" s="12" t="n">
        <x:v>8.771084337349397</x:v>
      </x:c>
      <x:c r="G1185" s="4" t="str">
        <x:v>Sin marca literal</x:v>
      </x:c>
      <x:c r="H1185" s="11"/>
      <x:c r="I1185" s="11" t="str">
        <x:f>IF(H1185="","",C1185-H1185)</x:f>
      </x:c>
      <x:c r="J1185" s="4"/>
      <x:c r="K1185" s="4" t="str">
        <x:v>URLs de detalle page/query/country por clics. No asignan las impresiones de esta consulta a cada página.</x:v>
      </x:c>
    </x:row>
    <x:row r="1186" ht="28" customHeight="1">
      <x:c r="A1186" s="4" t="n">
        <x:v>1176</x:v>
      </x:c>
      <x:c r="B1186" s="4" t="str">
        <x:v>puedo llevar medicamentos en el avion</x:v>
      </x:c>
      <x:c r="C1186" s="11" t="n">
        <x:v>1</x:v>
      </x:c>
      <x:c r="D1186" s="11" t="n">
        <x:v>83</x:v>
      </x:c>
      <x:c r="E1186" s="14" t="n">
        <x:v>0.012048192771084338</x:v>
      </x:c>
      <x:c r="F1186" s="12" t="n">
        <x:v>8.06024096385542</x:v>
      </x:c>
      <x:c r="G1186" s="4" t="str">
        <x:v>Sin marca literal</x:v>
      </x:c>
      <x:c r="H1186" s="11"/>
      <x:c r="I1186" s="11" t="str">
        <x:f>IF(H1186="","",C1186-H1186)</x:f>
      </x:c>
      <x:c r="J1186" s="4"/>
      <x:c r="K1186" s="4" t="str">
        <x:v>URLs de detalle page/query/country por clics. No asignan las impresiones de esta consulta a cada página.</x:v>
      </x:c>
    </x:row>
    <x:row r="1187" ht="28" customHeight="1">
      <x:c r="A1187" s="4" t="n">
        <x:v>1177</x:v>
      </x:c>
      <x:c r="B1187" s="4" t="str">
        <x:v>termas del flaco</x:v>
      </x:c>
      <x:c r="C1187" s="11" t="n">
        <x:v>1</x:v>
      </x:c>
      <x:c r="D1187" s="11" t="n">
        <x:v>83</x:v>
      </x:c>
      <x:c r="E1187" s="14" t="n">
        <x:v>0.012048192771084338</x:v>
      </x:c>
      <x:c r="F1187" s="12" t="n">
        <x:v>7.746987951807229</x:v>
      </x:c>
      <x:c r="G1187" s="4" t="str">
        <x:v>Sin marca literal</x:v>
      </x:c>
      <x:c r="H1187" s="11"/>
      <x:c r="I1187" s="11" t="str">
        <x:f>IF(H1187="","",C1187-H1187)</x:f>
      </x:c>
      <x:c r="J1187" s="4"/>
      <x:c r="K1187" s="4" t="str">
        <x:v>URLs de detalle page/query/country por clics. No asignan las impresiones de esta consulta a cada página.</x:v>
      </x:c>
    </x:row>
    <x:row r="1188" ht="28" customHeight="1">
      <x:c r="A1188" s="4" t="n">
        <x:v>1178</x:v>
      </x:c>
      <x:c r="B1188" s="4" t="str">
        <x:v>ushuaia</x:v>
      </x:c>
      <x:c r="C1188" s="11" t="n">
        <x:v>1</x:v>
      </x:c>
      <x:c r="D1188" s="11" t="n">
        <x:v>83</x:v>
      </x:c>
      <x:c r="E1188" s="14" t="n">
        <x:v>0.012048192771084338</x:v>
      </x:c>
      <x:c r="F1188" s="12" t="n">
        <x:v>5.192771084337349</x:v>
      </x:c>
      <x:c r="G1188" s="4" t="str">
        <x:v>Sin marca literal</x:v>
      </x:c>
      <x:c r="H1188" s="11"/>
      <x:c r="I1188" s="11" t="str">
        <x:f>IF(H1188="","",C1188-H1188)</x:f>
      </x:c>
      <x:c r="J1188" s="4"/>
      <x:c r="K1188" s="4" t="str">
        <x:v>URLs de detalle page/query/country por clics. No asignan las impresiones de esta consulta a cada página.</x:v>
      </x:c>
    </x:row>
    <x:row r="1189" ht="28" customHeight="1">
      <x:c r="A1189" s="4" t="n">
        <x:v>1179</x:v>
      </x:c>
      <x:c r="B1189" s="4" t="str">
        <x:v>cual es el aeropuerto principal de buenos aires</x:v>
      </x:c>
      <x:c r="C1189" s="11" t="n">
        <x:v>1</x:v>
      </x:c>
      <x:c r="D1189" s="11" t="n">
        <x:v>82</x:v>
      </x:c>
      <x:c r="E1189" s="14" t="n">
        <x:v>0.012195121951219513</x:v>
      </x:c>
      <x:c r="F1189" s="12" t="n">
        <x:v>3.268292682926829</x:v>
      </x:c>
      <x:c r="G1189" s="4" t="str">
        <x:v>Sin marca literal</x:v>
      </x:c>
      <x:c r="H1189" s="11"/>
      <x:c r="I1189" s="11" t="str">
        <x:f>IF(H1189="","",C1189-H1189)</x:f>
      </x:c>
      <x:c r="J1189" s="4"/>
      <x:c r="K1189" s="4" t="str">
        <x:v>URLs de detalle page/query/country por clics. No asignan las impresiones de esta consulta a cada página.</x:v>
      </x:c>
    </x:row>
    <x:row r="1190" ht="28" customHeight="1">
      <x:c r="A1190" s="4" t="n">
        <x:v>1180</x:v>
      </x:c>
      <x:c r="B1190" s="4" t="str">
        <x:v>lago todos los santos</x:v>
      </x:c>
      <x:c r="C1190" s="11" t="n">
        <x:v>1</x:v>
      </x:c>
      <x:c r="D1190" s="11" t="n">
        <x:v>82</x:v>
      </x:c>
      <x:c r="E1190" s="14" t="n">
        <x:v>0.012195121951219513</x:v>
      </x:c>
      <x:c r="F1190" s="12" t="n">
        <x:v>10.939024390243903</x:v>
      </x:c>
      <x:c r="G1190" s="4" t="str">
        <x:v>Sin marca literal</x:v>
      </x:c>
      <x:c r="H1190" s="11"/>
      <x:c r="I1190" s="11" t="str">
        <x:f>IF(H1190="","",C1190-H1190)</x:f>
      </x:c>
      <x:c r="J1190" s="4"/>
      <x:c r="K1190" s="4" t="str">
        <x:v>URLs de detalle page/query/country por clics. No asignan las impresiones de esta consulta a cada página.</x:v>
      </x:c>
    </x:row>
    <x:row r="1191" ht="28" customHeight="1">
      <x:c r="A1191" s="4" t="n">
        <x:v>1181</x:v>
      </x:c>
      <x:c r="B1191" s="4" t="str">
        <x:v>parques acuaticos en brasil</x:v>
      </x:c>
      <x:c r="C1191" s="11" t="n">
        <x:v>1</x:v>
      </x:c>
      <x:c r="D1191" s="11" t="n">
        <x:v>82</x:v>
      </x:c>
      <x:c r="E1191" s="14" t="n">
        <x:v>0.012195121951219513</x:v>
      </x:c>
      <x:c r="F1191" s="12" t="n">
        <x:v>7.804878048780488</x:v>
      </x:c>
      <x:c r="G1191" s="4" t="str">
        <x:v>Sin marca literal</x:v>
      </x:c>
      <x:c r="H1191" s="11"/>
      <x:c r="I1191" s="11" t="str">
        <x:f>IF(H1191="","",C1191-H1191)</x:f>
      </x:c>
      <x:c r="J1191" s="4"/>
      <x:c r="K1191" s="4" t="str">
        <x:v>URLs de detalle page/query/country por clics. No asignan las impresiones de esta consulta a cada página.</x:v>
      </x:c>
    </x:row>
    <x:row r="1192" ht="28" customHeight="1">
      <x:c r="A1192" s="4" t="n">
        <x:v>1182</x:v>
      </x:c>
      <x:c r="B1192" s="4" t="str">
        <x:v>playas de rio de janeiro</x:v>
      </x:c>
      <x:c r="C1192" s="11" t="n">
        <x:v>1</x:v>
      </x:c>
      <x:c r="D1192" s="11" t="n">
        <x:v>82</x:v>
      </x:c>
      <x:c r="E1192" s="14" t="n">
        <x:v>0.012195121951219513</x:v>
      </x:c>
      <x:c r="F1192" s="12" t="n">
        <x:v>12.097560975609756</x:v>
      </x:c>
      <x:c r="G1192" s="4" t="str">
        <x:v>Sin marca literal</x:v>
      </x:c>
      <x:c r="H1192" s="11"/>
      <x:c r="I1192" s="11" t="str">
        <x:f>IF(H1192="","",C1192-H1192)</x:f>
      </x:c>
      <x:c r="J1192" s="4"/>
      <x:c r="K1192" s="4" t="str">
        <x:v>URLs de detalle page/query/country por clics. No asignan las impresiones de esta consulta a cada página.</x:v>
      </x:c>
    </x:row>
    <x:row r="1193" ht="28" customHeight="1">
      <x:c r="A1193" s="4" t="n">
        <x:v>1183</x:v>
      </x:c>
      <x:c r="B1193" s="4" t="str">
        <x:v>praia do campeche florianópolis</x:v>
      </x:c>
      <x:c r="C1193" s="11" t="n">
        <x:v>1</x:v>
      </x:c>
      <x:c r="D1193" s="11" t="n">
        <x:v>82</x:v>
      </x:c>
      <x:c r="E1193" s="14" t="n">
        <x:v>0.012195121951219513</x:v>
      </x:c>
      <x:c r="F1193" s="12" t="n">
        <x:v>18.695121951219512</x:v>
      </x:c>
      <x:c r="G1193" s="4" t="str">
        <x:v>Sin marca literal</x:v>
      </x:c>
      <x:c r="H1193" s="11"/>
      <x:c r="I1193" s="11" t="str">
        <x:f>IF(H1193="","",C1193-H1193)</x:f>
      </x:c>
      <x:c r="J1193" s="4"/>
      <x:c r="K1193" s="4" t="str">
        <x:v>URLs de detalle page/query/country por clics. No asignan las impresiones de esta consulta a cada página.</x:v>
      </x:c>
    </x:row>
    <x:row r="1194" ht="28" customHeight="1">
      <x:c r="A1194" s="4" t="n">
        <x:v>1184</x:v>
      </x:c>
      <x:c r="B1194" s="4" t="str">
        <x:v>puedo llevar shampoo en el avion</x:v>
      </x:c>
      <x:c r="C1194" s="11" t="n">
        <x:v>1</x:v>
      </x:c>
      <x:c r="D1194" s="11" t="n">
        <x:v>82</x:v>
      </x:c>
      <x:c r="E1194" s="14" t="n">
        <x:v>0.012195121951219513</x:v>
      </x:c>
      <x:c r="F1194" s="12" t="n">
        <x:v>4.670731707317073</x:v>
      </x:c>
      <x:c r="G1194" s="4" t="str">
        <x:v>Sin marca literal</x:v>
      </x:c>
      <x:c r="H1194" s="11"/>
      <x:c r="I1194" s="11" t="str">
        <x:f>IF(H1194="","",C1194-H1194)</x:f>
      </x:c>
      <x:c r="J1194" s="4"/>
      <x:c r="K1194" s="4" t="str">
        <x:v>URLs de detalle page/query/country por clics. No asignan las impresiones de esta consulta a cada página.</x:v>
      </x:c>
    </x:row>
    <x:row r="1195" ht="28" customHeight="1">
      <x:c r="A1195" s="4" t="n">
        <x:v>1185</x:v>
      </x:c>
      <x:c r="B1195" s="4" t="str">
        <x:v>punta sal como llegar</x:v>
      </x:c>
      <x:c r="C1195" s="11" t="n">
        <x:v>1</x:v>
      </x:c>
      <x:c r="D1195" s="11" t="n">
        <x:v>82</x:v>
      </x:c>
      <x:c r="E1195" s="14" t="n">
        <x:v>0.012195121951219513</x:v>
      </x:c>
      <x:c r="F1195" s="12" t="n">
        <x:v>3.3658536585365852</x:v>
      </x:c>
      <x:c r="G1195" s="4" t="str">
        <x:v>Sin marca literal</x:v>
      </x:c>
      <x:c r="H1195" s="11"/>
      <x:c r="I1195" s="11" t="str">
        <x:f>IF(H1195="","",C1195-H1195)</x:f>
      </x:c>
      <x:c r="J1195" s="4"/>
      <x:c r="K1195" s="4" t="str">
        <x:v>URLs de detalle page/query/country por clics. No asignan las impresiones de esta consulta a cada página.</x:v>
      </x:c>
    </x:row>
    <x:row r="1196" ht="28" customHeight="1">
      <x:c r="A1196" s="4" t="n">
        <x:v>1186</x:v>
      </x:c>
      <x:c r="B1196" s="4" t="str">
        <x:v>sky check</x:v>
      </x:c>
      <x:c r="C1196" s="11" t="n">
        <x:v>1</x:v>
      </x:c>
      <x:c r="D1196" s="11" t="n">
        <x:v>82</x:v>
      </x:c>
      <x:c r="E1196" s="14" t="n">
        <x:v>0.012195121951219513</x:v>
      </x:c>
      <x:c r="F1196" s="12" t="n">
        <x:v>7.951219512195122</x:v>
      </x:c>
      <x:c r="G1196" s="4" t="str">
        <x:v>Sin marca literal</x:v>
      </x:c>
      <x:c r="H1196" s="11"/>
      <x:c r="I1196" s="11" t="str">
        <x:f>IF(H1196="","",C1196-H1196)</x:f>
      </x:c>
      <x:c r="J1196" s="4"/>
      <x:c r="K1196" s="4" t="str">
        <x:v>URLs de detalle page/query/country por clics. No asignan las impresiones de esta consulta a cada página.</x:v>
      </x:c>
    </x:row>
    <x:row r="1197" ht="28" customHeight="1">
      <x:c r="A1197" s="4" t="n">
        <x:v>1187</x:v>
      </x:c>
      <x:c r="B1197" s="4" t="str">
        <x:v>bailes de peru</x:v>
      </x:c>
      <x:c r="C1197" s="11" t="n">
        <x:v>1</x:v>
      </x:c>
      <x:c r="D1197" s="11" t="n">
        <x:v>81</x:v>
      </x:c>
      <x:c r="E1197" s="14" t="n">
        <x:v>0.012345679012345678</x:v>
      </x:c>
      <x:c r="F1197" s="12" t="n">
        <x:v>6.506172839506172</x:v>
      </x:c>
      <x:c r="G1197" s="4" t="str">
        <x:v>Sin marca literal</x:v>
      </x:c>
      <x:c r="H1197" s="11"/>
      <x:c r="I1197" s="11" t="str">
        <x:f>IF(H1197="","",C1197-H1197)</x:f>
      </x:c>
      <x:c r="J1197" s="4"/>
      <x:c r="K1197" s="4" t="str">
        <x:v>URLs de detalle page/query/country por clics. No asignan las impresiones de esta consulta a cada página.</x:v>
      </x:c>
    </x:row>
    <x:row r="1198" ht="28" customHeight="1">
      <x:c r="A1198" s="4" t="n">
        <x:v>1188</x:v>
      </x:c>
      <x:c r="B1198" s="4" t="str">
        <x:v>check in sky cuantas horas antes</x:v>
      </x:c>
      <x:c r="C1198" s="11" t="n">
        <x:v>1</x:v>
      </x:c>
      <x:c r="D1198" s="11" t="n">
        <x:v>81</x:v>
      </x:c>
      <x:c r="E1198" s="14" t="n">
        <x:v>0.012345679012345678</x:v>
      </x:c>
      <x:c r="F1198" s="12" t="n">
        <x:v>6.37037037037037</x:v>
      </x:c>
      <x:c r="G1198" s="4" t="str">
        <x:v>Sin marca literal</x:v>
      </x:c>
      <x:c r="H1198" s="11"/>
      <x:c r="I1198" s="11" t="str">
        <x:f>IF(H1198="","",C1198-H1198)</x:f>
      </x:c>
      <x:c r="J1198" s="4"/>
      <x:c r="K1198" s="4" t="str">
        <x:v>URLs de detalle page/query/country por clics. No asignan las impresiones de esta consulta a cada página.</x:v>
      </x:c>
    </x:row>
    <x:row r="1199" ht="28" customHeight="1">
      <x:c r="A1199" s="4" t="n">
        <x:v>1189</x:v>
      </x:c>
      <x:c r="B1199" s="4" t="str">
        <x:v>en qué país está punta cana</x:v>
      </x:c>
      <x:c r="C1199" s="11" t="n">
        <x:v>1</x:v>
      </x:c>
      <x:c r="D1199" s="11" t="n">
        <x:v>81</x:v>
      </x:c>
      <x:c r="E1199" s="14" t="n">
        <x:v>0.012345679012345678</x:v>
      </x:c>
      <x:c r="F1199" s="12" t="n">
        <x:v>8.703703703703702</x:v>
      </x:c>
      <x:c r="G1199" s="4" t="str">
        <x:v>Sin marca literal</x:v>
      </x:c>
      <x:c r="H1199" s="11"/>
      <x:c r="I1199" s="11" t="str">
        <x:f>IF(H1199="","",C1199-H1199)</x:f>
      </x:c>
      <x:c r="J1199" s="4"/>
      <x:c r="K1199" s="4" t="str">
        <x:v>URLs de detalle page/query/country por clics. No asignan las impresiones de esta consulta a cada página.</x:v>
      </x:c>
    </x:row>
    <x:row r="1200" ht="28" customHeight="1">
      <x:c r="A1200" s="4" t="n">
        <x:v>1190</x:v>
      </x:c>
      <x:c r="B1200" s="4" t="str">
        <x:v>peso maleta de cabina</x:v>
      </x:c>
      <x:c r="C1200" s="11" t="n">
        <x:v>1</x:v>
      </x:c>
      <x:c r="D1200" s="11" t="n">
        <x:v>81</x:v>
      </x:c>
      <x:c r="E1200" s="14" t="n">
        <x:v>0.012345679012345678</x:v>
      </x:c>
      <x:c r="F1200" s="12" t="n">
        <x:v>7.827160493827161</x:v>
      </x:c>
      <x:c r="G1200" s="4" t="str">
        <x:v>Sin marca literal</x:v>
      </x:c>
      <x:c r="H1200" s="11"/>
      <x:c r="I1200" s="11" t="str">
        <x:f>IF(H1200="","",C1200-H1200)</x:f>
      </x:c>
      <x:c r="J1200" s="4"/>
      <x:c r="K1200" s="4" t="str">
        <x:v>URLs de detalle page/query/country por clics. No asignan las impresiones de esta consulta a cada página.</x:v>
      </x:c>
    </x:row>
    <x:row r="1201" ht="28" customHeight="1">
      <x:c r="A1201" s="4" t="n">
        <x:v>1191</x:v>
      </x:c>
      <x:c r="B1201" s="4" t="str">
        <x:v>qué es el check-in</x:v>
      </x:c>
      <x:c r="C1201" s="11" t="n">
        <x:v>1</x:v>
      </x:c>
      <x:c r="D1201" s="11" t="n">
        <x:v>81</x:v>
      </x:c>
      <x:c r="E1201" s="14" t="n">
        <x:v>0.012345679012345678</x:v>
      </x:c>
      <x:c r="F1201" s="12" t="n">
        <x:v>6.197530864197531</x:v>
      </x:c>
      <x:c r="G1201" s="4" t="str">
        <x:v>Sin marca literal</x:v>
      </x:c>
      <x:c r="H1201" s="11"/>
      <x:c r="I1201" s="11" t="str">
        <x:f>IF(H1201="","",C1201-H1201)</x:f>
      </x:c>
      <x:c r="J1201" s="4"/>
      <x:c r="K1201" s="4" t="str">
        <x:v>URLs de detalle page/query/country por clics. No asignan las impresiones de esta consulta a cada página.</x:v>
      </x:c>
    </x:row>
    <x:row r="1202" ht="28" customHeight="1">
      <x:c r="A1202" s="4" t="n">
        <x:v>1192</x:v>
      </x:c>
      <x:c r="B1202" s="4" t="str">
        <x:v>relieve de la zona sur de chile</x:v>
      </x:c>
      <x:c r="C1202" s="11" t="n">
        <x:v>1</x:v>
      </x:c>
      <x:c r="D1202" s="11" t="n">
        <x:v>81</x:v>
      </x:c>
      <x:c r="E1202" s="14" t="n">
        <x:v>0.012345679012345678</x:v>
      </x:c>
      <x:c r="F1202" s="12" t="n">
        <x:v>5.135802469135802</x:v>
      </x:c>
      <x:c r="G1202" s="4" t="str">
        <x:v>Sin marca literal</x:v>
      </x:c>
      <x:c r="H1202" s="11"/>
      <x:c r="I1202" s="11" t="str">
        <x:f>IF(H1202="","",C1202-H1202)</x:f>
      </x:c>
      <x:c r="J1202" s="4"/>
      <x:c r="K1202" s="4" t="str">
        <x:v>URLs de detalle page/query/country por clics. No asignan las impresiones de esta consulta a cada página.</x:v>
      </x:c>
    </x:row>
    <x:row r="1203" ht="28" customHeight="1">
      <x:c r="A1203" s="4" t="n">
        <x:v>1193</x:v>
      </x:c>
      <x:c r="B1203" s="4" t="str">
        <x:v>se puede llevar perfume en el avión nacional</x:v>
      </x:c>
      <x:c r="C1203" s="11" t="n">
        <x:v>1</x:v>
      </x:c>
      <x:c r="D1203" s="11" t="n">
        <x:v>81</x:v>
      </x:c>
      <x:c r="E1203" s="14" t="n">
        <x:v>0.012345679012345678</x:v>
      </x:c>
      <x:c r="F1203" s="12" t="n">
        <x:v>4.061728395061728</x:v>
      </x:c>
      <x:c r="G1203" s="4" t="str">
        <x:v>Sin marca literal</x:v>
      </x:c>
      <x:c r="H1203" s="11"/>
      <x:c r="I1203" s="11" t="str">
        <x:f>IF(H1203="","",C1203-H1203)</x:f>
      </x:c>
      <x:c r="J1203" s="4"/>
      <x:c r="K1203" s="4" t="str">
        <x:v>URLs de detalle page/query/country por clics. No asignan las impresiones de esta consulta a cada página.</x:v>
      </x:c>
    </x:row>
    <x:row r="1204" ht="28" customHeight="1">
      <x:c r="A1204" s="4" t="n">
        <x:v>1194</x:v>
      </x:c>
      <x:c r="B1204" s="4" t="str">
        <x:v>shopping mendoza capital</x:v>
      </x:c>
      <x:c r="C1204" s="11" t="n">
        <x:v>1</x:v>
      </x:c>
      <x:c r="D1204" s="11" t="n">
        <x:v>81</x:v>
      </x:c>
      <x:c r="E1204" s="14" t="n">
        <x:v>0.012345679012345678</x:v>
      </x:c>
      <x:c r="F1204" s="12" t="n">
        <x:v>9.802469135802468</x:v>
      </x:c>
      <x:c r="G1204" s="4" t="str">
        <x:v>Sin marca literal</x:v>
      </x:c>
      <x:c r="H1204" s="11"/>
      <x:c r="I1204" s="11" t="str">
        <x:f>IF(H1204="","",C1204-H1204)</x:f>
      </x:c>
      <x:c r="J1204" s="4"/>
      <x:c r="K1204" s="4" t="str">
        <x:v>URLs de detalle page/query/country por clics. No asignan las impresiones de esta consulta a cada página.</x:v>
      </x:c>
    </x:row>
    <x:row r="1205" ht="28" customHeight="1">
      <x:c r="A1205" s="4" t="n">
        <x:v>1195</x:v>
      </x:c>
      <x:c r="B1205" s="4" t="str">
        <x:v>tripulante de cabina chile</x:v>
      </x:c>
      <x:c r="C1205" s="11" t="n">
        <x:v>1</x:v>
      </x:c>
      <x:c r="D1205" s="11" t="n">
        <x:v>81</x:v>
      </x:c>
      <x:c r="E1205" s="14" t="n">
        <x:v>0.012345679012345678</x:v>
      </x:c>
      <x:c r="F1205" s="12" t="n">
        <x:v>10.308641975308642</x:v>
      </x:c>
      <x:c r="G1205" s="4" t="str">
        <x:v>Sin marca literal</x:v>
      </x:c>
      <x:c r="H1205" s="11" t="n">
        <x:v>11</x:v>
      </x:c>
      <x:c r="I1205" s="11" t="n">
        <x:f>IF(H1205="","",C1205-H1205)</x:f>
        <x:v>-10</x:v>
      </x:c>
      <x:c r="J1205" s="4" t="str">
        <x:v>https://blog.skyairline.com/curso-tripulante-cabina/ (1 clics)</x:v>
      </x:c>
      <x:c r="K1205" s="4" t="str">
        <x:v>URLs de detalle page/query/country por clics. No asignan las impresiones de esta consulta a cada página.</x:v>
      </x:c>
    </x:row>
    <x:row r="1206" ht="28" customHeight="1">
      <x:c r="A1206" s="4" t="n">
        <x:v>1196</x:v>
      </x:c>
      <x:c r="B1206" s="4" t="str">
        <x:v>voltaje en peru</x:v>
      </x:c>
      <x:c r="C1206" s="11" t="n">
        <x:v>1</x:v>
      </x:c>
      <x:c r="D1206" s="11" t="n">
        <x:v>81</x:v>
      </x:c>
      <x:c r="E1206" s="14" t="n">
        <x:v>0.012345679012345678</x:v>
      </x:c>
      <x:c r="F1206" s="12" t="n">
        <x:v>11.45679012345679</x:v>
      </x:c>
      <x:c r="G1206" s="4" t="str">
        <x:v>Sin marca literal</x:v>
      </x:c>
      <x:c r="H1206" s="11"/>
      <x:c r="I1206" s="11" t="str">
        <x:f>IF(H1206="","",C1206-H1206)</x:f>
      </x:c>
      <x:c r="J1206" s="4"/>
      <x:c r="K1206" s="4" t="str">
        <x:v>URLs de detalle page/query/country por clics. No asignan las impresiones de esta consulta a cada página.</x:v>
      </x:c>
    </x:row>
    <x:row r="1207" ht="28" customHeight="1">
      <x:c r="A1207" s="4" t="n">
        <x:v>1197</x:v>
      </x:c>
      <x:c r="B1207" s="4" t="str">
        <x:v>vuelos a hornopirén</x:v>
      </x:c>
      <x:c r="C1207" s="11" t="n">
        <x:v>1</x:v>
      </x:c>
      <x:c r="D1207" s="11" t="n">
        <x:v>81</x:v>
      </x:c>
      <x:c r="E1207" s="14" t="n">
        <x:v>0.012345679012345678</x:v>
      </x:c>
      <x:c r="F1207" s="12" t="n">
        <x:v>8.777777777777779</x:v>
      </x:c>
      <x:c r="G1207" s="4" t="str">
        <x:v>Sin marca literal</x:v>
      </x:c>
      <x:c r="H1207" s="11"/>
      <x:c r="I1207" s="11" t="str">
        <x:f>IF(H1207="","",C1207-H1207)</x:f>
      </x:c>
      <x:c r="J1207" s="4"/>
      <x:c r="K1207" s="4" t="str">
        <x:v>URLs de detalle page/query/country por clics. No asignan las impresiones de esta consulta a cada página.</x:v>
      </x:c>
    </x:row>
    <x:row r="1208" ht="28" customHeight="1">
      <x:c r="A1208" s="4" t="n">
        <x:v>1198</x:v>
      </x:c>
      <x:c r="B1208" s="4" t="str">
        <x:v>estacion en chile ahora</x:v>
      </x:c>
      <x:c r="C1208" s="11" t="n">
        <x:v>1</x:v>
      </x:c>
      <x:c r="D1208" s="11" t="n">
        <x:v>80</x:v>
      </x:c>
      <x:c r="E1208" s="14" t="n">
        <x:v>0.0125</x:v>
      </x:c>
      <x:c r="F1208" s="12" t="n">
        <x:v>4.2</x:v>
      </x:c>
      <x:c r="G1208" s="4" t="str">
        <x:v>Sin marca literal</x:v>
      </x:c>
      <x:c r="H1208" s="11"/>
      <x:c r="I1208" s="11" t="str">
        <x:f>IF(H1208="","",C1208-H1208)</x:f>
      </x:c>
      <x:c r="J1208" s="4"/>
      <x:c r="K1208" s="4" t="str">
        <x:v>URLs de detalle page/query/country por clics. No asignan las impresiones de esta consulta a cada página.</x:v>
      </x:c>
    </x:row>
    <x:row r="1209" ht="28" customHeight="1">
      <x:c r="A1209" s="4" t="n">
        <x:v>1199</x:v>
      </x:c>
      <x:c r="B1209" s="4" t="str">
        <x:v>para ir a argentina se necesita pasaporte</x:v>
      </x:c>
      <x:c r="C1209" s="11" t="n">
        <x:v>1</x:v>
      </x:c>
      <x:c r="D1209" s="11" t="n">
        <x:v>80</x:v>
      </x:c>
      <x:c r="E1209" s="14" t="n">
        <x:v>0.0125</x:v>
      </x:c>
      <x:c r="F1209" s="12" t="n">
        <x:v>7.8875</x:v>
      </x:c>
      <x:c r="G1209" s="4" t="str">
        <x:v>Sin marca literal</x:v>
      </x:c>
      <x:c r="H1209" s="11"/>
      <x:c r="I1209" s="11" t="str">
        <x:f>IF(H1209="","",C1209-H1209)</x:f>
      </x:c>
      <x:c r="J1209" s="4"/>
      <x:c r="K1209" s="4" t="str">
        <x:v>URLs de detalle page/query/country por clics. No asignan las impresiones de esta consulta a cada página.</x:v>
      </x:c>
    </x:row>
    <x:row r="1210" ht="28" customHeight="1">
      <x:c r="A1210" s="4" t="n">
        <x:v>1200</x:v>
      </x:c>
      <x:c r="B1210" s="4" t="str">
        <x:v>que es una bitacora de viaje</x:v>
      </x:c>
      <x:c r="C1210" s="11" t="n">
        <x:v>1</x:v>
      </x:c>
      <x:c r="D1210" s="11" t="n">
        <x:v>80</x:v>
      </x:c>
      <x:c r="E1210" s="14" t="n">
        <x:v>0.0125</x:v>
      </x:c>
      <x:c r="F1210" s="12" t="n">
        <x:v>4.225</x:v>
      </x:c>
      <x:c r="G1210" s="4" t="str">
        <x:v>Sin marca literal</x:v>
      </x:c>
      <x:c r="H1210" s="11"/>
      <x:c r="I1210" s="11" t="str">
        <x:f>IF(H1210="","",C1210-H1210)</x:f>
      </x:c>
      <x:c r="J1210" s="4"/>
      <x:c r="K1210" s="4" t="str">
        <x:v>URLs de detalle page/query/country por clics. No asignan las impresiones de esta consulta a cada página.</x:v>
      </x:c>
    </x:row>
    <x:row r="1211" ht="28" customHeight="1">
      <x:c r="A1211" s="4" t="n">
        <x:v>1201</x:v>
      </x:c>
      <x:c r="B1211" s="4" t="str">
        <x:v>zofri tiendas</x:v>
      </x:c>
      <x:c r="C1211" s="11" t="n">
        <x:v>1</x:v>
      </x:c>
      <x:c r="D1211" s="11" t="n">
        <x:v>80</x:v>
      </x:c>
      <x:c r="E1211" s="14" t="n">
        <x:v>0.0125</x:v>
      </x:c>
      <x:c r="F1211" s="12" t="n">
        <x:v>8.525</x:v>
      </x:c>
      <x:c r="G1211" s="4" t="str">
        <x:v>Sin marca literal</x:v>
      </x:c>
      <x:c r="H1211" s="11"/>
      <x:c r="I1211" s="11" t="str">
        <x:f>IF(H1211="","",C1211-H1211)</x:f>
      </x:c>
      <x:c r="J1211" s="4"/>
      <x:c r="K1211" s="4" t="str">
        <x:v>URLs de detalle page/query/country por clics. No asignan las impresiones de esta consulta a cada página.</x:v>
      </x:c>
    </x:row>
    <x:row r="1212" ht="28" customHeight="1">
      <x:c r="A1212" s="4" t="n">
        <x:v>1202</x:v>
      </x:c>
      <x:c r="B1212" s="4" t="str">
        <x:v>estacion actual en chile</x:v>
      </x:c>
      <x:c r="C1212" s="11" t="n">
        <x:v>1</x:v>
      </x:c>
      <x:c r="D1212" s="11" t="n">
        <x:v>79</x:v>
      </x:c>
      <x:c r="E1212" s="14" t="n">
        <x:v>0.012658227848101266</x:v>
      </x:c>
      <x:c r="F1212" s="12" t="n">
        <x:v>3.8607594936708862</x:v>
      </x:c>
      <x:c r="G1212" s="4" t="str">
        <x:v>Sin marca literal</x:v>
      </x:c>
      <x:c r="H1212" s="11"/>
      <x:c r="I1212" s="11" t="str">
        <x:f>IF(H1212="","",C1212-H1212)</x:f>
      </x:c>
      <x:c r="J1212" s="4"/>
      <x:c r="K1212" s="4" t="str">
        <x:v>URLs de detalle page/query/country por clics. No asignan las impresiones de esta consulta a cada página.</x:v>
      </x:c>
    </x:row>
    <x:row r="1213" ht="28" customHeight="1">
      <x:c r="A1213" s="4" t="n">
        <x:v>1203</x:v>
      </x:c>
      <x:c r="B1213" s="4" t="str">
        <x:v>sky cajamarca</x:v>
      </x:c>
      <x:c r="C1213" s="11" t="n">
        <x:v>1</x:v>
      </x:c>
      <x:c r="D1213" s="11" t="n">
        <x:v>79</x:v>
      </x:c>
      <x:c r="E1213" s="14" t="n">
        <x:v>0.012658227848101266</x:v>
      </x:c>
      <x:c r="F1213" s="12" t="n">
        <x:v>8.60759493670886</x:v>
      </x:c>
      <x:c r="G1213" s="4" t="str">
        <x:v>Sin marca literal</x:v>
      </x:c>
      <x:c r="H1213" s="11"/>
      <x:c r="I1213" s="11" t="str">
        <x:f>IF(H1213="","",C1213-H1213)</x:f>
      </x:c>
      <x:c r="J1213" s="4"/>
      <x:c r="K1213" s="4" t="str">
        <x:v>URLs de detalle page/query/country por clics. No asignan las impresiones de esta consulta a cada página.</x:v>
      </x:c>
    </x:row>
    <x:row r="1214" ht="28" customHeight="1">
      <x:c r="A1214" s="4" t="n">
        <x:v>1204</x:v>
      </x:c>
      <x:c r="B1214" s="4" t="str">
        <x:v>comidas de lima</x:v>
      </x:c>
      <x:c r="C1214" s="11" t="n">
        <x:v>1</x:v>
      </x:c>
      <x:c r="D1214" s="11" t="n">
        <x:v>78</x:v>
      </x:c>
      <x:c r="E1214" s="14" t="n">
        <x:v>0.01282051282051282</x:v>
      </x:c>
      <x:c r="F1214" s="12" t="n">
        <x:v>2.6923076923076925</x:v>
      </x:c>
      <x:c r="G1214" s="4" t="str">
        <x:v>Sin marca literal</x:v>
      </x:c>
      <x:c r="H1214" s="11"/>
      <x:c r="I1214" s="11" t="str">
        <x:f>IF(H1214="","",C1214-H1214)</x:f>
      </x:c>
      <x:c r="J1214" s="4"/>
      <x:c r="K1214" s="4" t="str">
        <x:v>URLs de detalle page/query/country por clics. No asignan las impresiones de esta consulta a cada página.</x:v>
      </x:c>
    </x:row>
    <x:row r="1215" ht="28" customHeight="1">
      <x:c r="A1215" s="4" t="n">
        <x:v>1205</x:v>
      </x:c>
      <x:c r="B1215" s="4" t="str">
        <x:v>paisajes zona centro de chile</x:v>
      </x:c>
      <x:c r="C1215" s="11" t="n">
        <x:v>1</x:v>
      </x:c>
      <x:c r="D1215" s="11" t="n">
        <x:v>78</x:v>
      </x:c>
      <x:c r="E1215" s="14" t="n">
        <x:v>0.01282051282051282</x:v>
      </x:c>
      <x:c r="F1215" s="12" t="n">
        <x:v>1.6025641025641026</x:v>
      </x:c>
      <x:c r="G1215" s="4" t="str">
        <x:v>Sin marca literal</x:v>
      </x:c>
      <x:c r="H1215" s="11"/>
      <x:c r="I1215" s="11" t="str">
        <x:f>IF(H1215="","",C1215-H1215)</x:f>
      </x:c>
      <x:c r="J1215" s="4"/>
      <x:c r="K1215" s="4" t="str">
        <x:v>URLs de detalle page/query/country por clics. No asignan las impresiones de esta consulta a cada página.</x:v>
      </x:c>
    </x:row>
    <x:row r="1216" ht="28" customHeight="1">
      <x:c r="A1216" s="4" t="n">
        <x:v>1206</x:v>
      </x:c>
      <x:c r="B1216" s="4" t="str">
        <x:v>que necesito para viajar a brasil</x:v>
      </x:c>
      <x:c r="C1216" s="11" t="n">
        <x:v>1</x:v>
      </x:c>
      <x:c r="D1216" s="11" t="n">
        <x:v>78</x:v>
      </x:c>
      <x:c r="E1216" s="14" t="n">
        <x:v>0.01282051282051282</x:v>
      </x:c>
      <x:c r="F1216" s="12" t="n">
        <x:v>3.730769230769231</x:v>
      </x:c>
      <x:c r="G1216" s="4" t="str">
        <x:v>Sin marca literal</x:v>
      </x:c>
      <x:c r="H1216" s="11"/>
      <x:c r="I1216" s="11" t="str">
        <x:f>IF(H1216="","",C1216-H1216)</x:f>
      </x:c>
      <x:c r="J1216" s="4"/>
      <x:c r="K1216" s="4" t="str">
        <x:v>URLs de detalle page/query/country por clics. No asignan las impresiones de esta consulta a cada página.</x:v>
      </x:c>
    </x:row>
    <x:row r="1217" ht="28" customHeight="1">
      <x:c r="A1217" s="4" t="n">
        <x:v>1207</x:v>
      </x:c>
      <x:c r="B1217" s="4" t="str">
        <x:v>salto en bungee chile</x:v>
      </x:c>
      <x:c r="C1217" s="11" t="n">
        <x:v>1</x:v>
      </x:c>
      <x:c r="D1217" s="11" t="n">
        <x:v>78</x:v>
      </x:c>
      <x:c r="E1217" s="14" t="n">
        <x:v>0.01282051282051282</x:v>
      </x:c>
      <x:c r="F1217" s="12" t="n">
        <x:v>8.26923076923077</x:v>
      </x:c>
      <x:c r="G1217" s="4" t="str">
        <x:v>Sin marca literal</x:v>
      </x:c>
      <x:c r="H1217" s="11"/>
      <x:c r="I1217" s="11" t="str">
        <x:f>IF(H1217="","",C1217-H1217)</x:f>
      </x:c>
      <x:c r="J1217" s="4"/>
      <x:c r="K1217" s="4" t="str">
        <x:v>URLs de detalle page/query/country por clics. No asignan las impresiones de esta consulta a cada página.</x:v>
      </x:c>
    </x:row>
    <x:row r="1218" ht="28" customHeight="1">
      <x:c r="A1218" s="4" t="n">
        <x:v>1208</x:v>
      </x:c>
      <x:c r="B1218" s="4" t="str">
        <x:v>teléfono sky chile</x:v>
      </x:c>
      <x:c r="C1218" s="11" t="n">
        <x:v>1</x:v>
      </x:c>
      <x:c r="D1218" s="11" t="n">
        <x:v>78</x:v>
      </x:c>
      <x:c r="E1218" s="14" t="n">
        <x:v>0.01282051282051282</x:v>
      </x:c>
      <x:c r="F1218" s="12" t="n">
        <x:v>9.038461538461538</x:v>
      </x:c>
      <x:c r="G1218" s="4" t="str">
        <x:v>Sin marca literal</x:v>
      </x:c>
      <x:c r="H1218" s="11"/>
      <x:c r="I1218" s="11" t="str">
        <x:f>IF(H1218="","",C1218-H1218)</x:f>
      </x:c>
      <x:c r="J1218" s="4"/>
      <x:c r="K1218" s="4" t="str">
        <x:v>URLs de detalle page/query/country por clics. No asignan las impresiones de esta consulta a cada página.</x:v>
      </x:c>
    </x:row>
    <x:row r="1219" ht="28" customHeight="1">
      <x:c r="A1219" s="4" t="n">
        <x:v>1209</x:v>
      </x:c>
      <x:c r="B1219" s="4" t="str">
        <x:v>10 mitos chilenos</x:v>
      </x:c>
      <x:c r="C1219" s="11" t="n">
        <x:v>1</x:v>
      </x:c>
      <x:c r="D1219" s="11" t="n">
        <x:v>77</x:v>
      </x:c>
      <x:c r="E1219" s="14" t="n">
        <x:v>0.012987012987012988</x:v>
      </x:c>
      <x:c r="F1219" s="12" t="n">
        <x:v>7.636363636363637</x:v>
      </x:c>
      <x:c r="G1219" s="4" t="str">
        <x:v>Sin marca literal</x:v>
      </x:c>
      <x:c r="H1219" s="11"/>
      <x:c r="I1219" s="11" t="str">
        <x:f>IF(H1219="","",C1219-H1219)</x:f>
      </x:c>
      <x:c r="J1219" s="4"/>
      <x:c r="K1219" s="4" t="str">
        <x:v>URLs de detalle page/query/country por clics. No asignan las impresiones de esta consulta a cada página.</x:v>
      </x:c>
    </x:row>
    <x:row r="1220" ht="28" customHeight="1">
      <x:c r="A1220" s="4" t="n">
        <x:v>1210</x:v>
      </x:c>
      <x:c r="B1220" s="4" t="str">
        <x:v>aeropuerto en chiloe</x:v>
      </x:c>
      <x:c r="C1220" s="11" t="n">
        <x:v>1</x:v>
      </x:c>
      <x:c r="D1220" s="11" t="n">
        <x:v>77</x:v>
      </x:c>
      <x:c r="E1220" s="14" t="n">
        <x:v>0.012987012987012988</x:v>
      </x:c>
      <x:c r="F1220" s="12" t="n">
        <x:v>2.2727272727272725</x:v>
      </x:c>
      <x:c r="G1220" s="4" t="str">
        <x:v>Sin marca literal</x:v>
      </x:c>
      <x:c r="H1220" s="11"/>
      <x:c r="I1220" s="11" t="str">
        <x:f>IF(H1220="","",C1220-H1220)</x:f>
      </x:c>
      <x:c r="J1220" s="4"/>
      <x:c r="K1220" s="4" t="str">
        <x:v>URLs de detalle page/query/country por clics. No asignan las impresiones de esta consulta a cada página.</x:v>
      </x:c>
    </x:row>
    <x:row r="1221" ht="28" customHeight="1">
      <x:c r="A1221" s="4" t="n">
        <x:v>1211</x:v>
      </x:c>
      <x:c r="B1221" s="4" t="str">
        <x:v>aeropuertos buenos aires argentina</x:v>
      </x:c>
      <x:c r="C1221" s="11" t="n">
        <x:v>1</x:v>
      </x:c>
      <x:c r="D1221" s="11" t="n">
        <x:v>77</x:v>
      </x:c>
      <x:c r="E1221" s="14" t="n">
        <x:v>0.012987012987012988</x:v>
      </x:c>
      <x:c r="F1221" s="12" t="n">
        <x:v>3.5584415584415585</x:v>
      </x:c>
      <x:c r="G1221" s="4" t="str">
        <x:v>Sin marca literal</x:v>
      </x:c>
      <x:c r="H1221" s="11"/>
      <x:c r="I1221" s="11" t="str">
        <x:f>IF(H1221="","",C1221-H1221)</x:f>
      </x:c>
      <x:c r="J1221" s="4"/>
      <x:c r="K1221" s="4" t="str">
        <x:v>URLs de detalle page/query/country por clics. No asignan las impresiones de esta consulta a cada página.</x:v>
      </x:c>
    </x:row>
    <x:row r="1222" ht="28" customHeight="1">
      <x:c r="A1222" s="4" t="n">
        <x:v>1212</x:v>
      </x:c>
      <x:c r="B1222" s="4" t="str">
        <x:v>donde queda la serena</x:v>
      </x:c>
      <x:c r="C1222" s="11" t="n">
        <x:v>1</x:v>
      </x:c>
      <x:c r="D1222" s="11" t="n">
        <x:v>77</x:v>
      </x:c>
      <x:c r="E1222" s="14" t="n">
        <x:v>0.012987012987012988</x:v>
      </x:c>
      <x:c r="F1222" s="12" t="n">
        <x:v>9.363636363636363</x:v>
      </x:c>
      <x:c r="G1222" s="4" t="str">
        <x:v>Sin marca literal</x:v>
      </x:c>
      <x:c r="H1222" s="11"/>
      <x:c r="I1222" s="11" t="str">
        <x:f>IF(H1222="","",C1222-H1222)</x:f>
      </x:c>
      <x:c r="J1222" s="4"/>
      <x:c r="K1222" s="4" t="str">
        <x:v>URLs de detalle page/query/country por clics. No asignan las impresiones de esta consulta a cada página.</x:v>
      </x:c>
    </x:row>
    <x:row r="1223" ht="28" customHeight="1">
      <x:c r="A1223" s="4" t="n">
        <x:v>1213</x:v>
      </x:c>
      <x:c r="B1223" s="4" t="str">
        <x:v>laguna de chacas</x:v>
      </x:c>
      <x:c r="C1223" s="11" t="n">
        <x:v>1</x:v>
      </x:c>
      <x:c r="D1223" s="11" t="n">
        <x:v>77</x:v>
      </x:c>
      <x:c r="E1223" s="14" t="n">
        <x:v>0.012987012987012988</x:v>
      </x:c>
      <x:c r="F1223" s="12" t="n">
        <x:v>7.662337662337662</x:v>
      </x:c>
      <x:c r="G1223" s="4" t="str">
        <x:v>Sin marca literal</x:v>
      </x:c>
      <x:c r="H1223" s="11"/>
      <x:c r="I1223" s="11" t="str">
        <x:f>IF(H1223="","",C1223-H1223)</x:f>
      </x:c>
      <x:c r="J1223" s="4"/>
      <x:c r="K1223" s="4" t="str">
        <x:v>URLs de detalle page/query/country por clics. No asignan las impresiones de esta consulta a cada página.</x:v>
      </x:c>
    </x:row>
    <x:row r="1224" ht="28" customHeight="1">
      <x:c r="A1224" s="4" t="n">
        <x:v>1214</x:v>
      </x:c>
      <x:c r="B1224" s="4" t="str">
        <x:v>medidas equipaje de cabina</x:v>
      </x:c>
      <x:c r="C1224" s="11" t="n">
        <x:v>1</x:v>
      </x:c>
      <x:c r="D1224" s="11" t="n">
        <x:v>77</x:v>
      </x:c>
      <x:c r="E1224" s="14" t="n">
        <x:v>0.012987012987012988</x:v>
      </x:c>
      <x:c r="F1224" s="12" t="n">
        <x:v>8.311688311688311</x:v>
      </x:c>
      <x:c r="G1224" s="4" t="str">
        <x:v>Sin marca literal</x:v>
      </x:c>
      <x:c r="H1224" s="11"/>
      <x:c r="I1224" s="11" t="str">
        <x:f>IF(H1224="","",C1224-H1224)</x:f>
      </x:c>
      <x:c r="J1224" s="4"/>
      <x:c r="K1224" s="4" t="str">
        <x:v>URLs de detalle page/query/country por clics. No asignan las impresiones de esta consulta a cada página.</x:v>
      </x:c>
    </x:row>
    <x:row r="1225" ht="28" customHeight="1">
      <x:c r="A1225" s="4" t="n">
        <x:v>1215</x:v>
      </x:c>
      <x:c r="B1225" s="4" t="str">
        <x:v>numero de pasajero frecuente sky</x:v>
      </x:c>
      <x:c r="C1225" s="11" t="n">
        <x:v>1</x:v>
      </x:c>
      <x:c r="D1225" s="11" t="n">
        <x:v>77</x:v>
      </x:c>
      <x:c r="E1225" s="14" t="n">
        <x:v>0.012987012987012988</x:v>
      </x:c>
      <x:c r="F1225" s="12" t="n">
        <x:v>2.7532467532467533</x:v>
      </x:c>
      <x:c r="G1225" s="4" t="str">
        <x:v>Sin marca literal</x:v>
      </x:c>
      <x:c r="H1225" s="11"/>
      <x:c r="I1225" s="11" t="str">
        <x:f>IF(H1225="","",C1225-H1225)</x:f>
      </x:c>
      <x:c r="J1225" s="4"/>
      <x:c r="K1225" s="4" t="str">
        <x:v>URLs de detalle page/query/country por clics. No asignan las impresiones de esta consulta a cada página.</x:v>
      </x:c>
    </x:row>
    <x:row r="1226" ht="28" customHeight="1">
      <x:c r="A1226" s="4" t="n">
        <x:v>1216</x:v>
      </x:c>
      <x:c r="B1226" s="4" t="str">
        <x:v>calle aristides mendoza</x:v>
      </x:c>
      <x:c r="C1226" s="11" t="n">
        <x:v>1</x:v>
      </x:c>
      <x:c r="D1226" s="11" t="n">
        <x:v>76</x:v>
      </x:c>
      <x:c r="E1226" s="14" t="n">
        <x:v>0.013157894736842105</x:v>
      </x:c>
      <x:c r="F1226" s="12" t="n">
        <x:v>8.75</x:v>
      </x:c>
      <x:c r="G1226" s="4" t="str">
        <x:v>Sin marca literal</x:v>
      </x:c>
      <x:c r="H1226" s="11"/>
      <x:c r="I1226" s="11" t="str">
        <x:f>IF(H1226="","",C1226-H1226)</x:f>
      </x:c>
      <x:c r="J1226" s="4"/>
      <x:c r="K1226" s="4" t="str">
        <x:v>URLs de detalle page/query/country por clics. No asignan las impresiones de esta consulta a cada página.</x:v>
      </x:c>
    </x:row>
    <x:row r="1227" ht="28" customHeight="1">
      <x:c r="A1227" s="4" t="n">
        <x:v>1217</x:v>
      </x:c>
      <x:c r="B1227" s="4" t="str">
        <x:v>epoca del año en chile</x:v>
      </x:c>
      <x:c r="C1227" s="11" t="n">
        <x:v>1</x:v>
      </x:c>
      <x:c r="D1227" s="11" t="n">
        <x:v>76</x:v>
      </x:c>
      <x:c r="E1227" s="14" t="n">
        <x:v>0.013157894736842105</x:v>
      </x:c>
      <x:c r="F1227" s="12" t="n">
        <x:v>3.8815789473684212</x:v>
      </x:c>
      <x:c r="G1227" s="4" t="str">
        <x:v>Sin marca literal</x:v>
      </x:c>
      <x:c r="H1227" s="11"/>
      <x:c r="I1227" s="11" t="str">
        <x:f>IF(H1227="","",C1227-H1227)</x:f>
      </x:c>
      <x:c r="J1227" s="4"/>
      <x:c r="K1227" s="4" t="str">
        <x:v>URLs de detalle page/query/country por clics. No asignan las impresiones de esta consulta a cada página.</x:v>
      </x:c>
    </x:row>
    <x:row r="1228" ht="28" customHeight="1">
      <x:c r="A1228" s="4" t="n">
        <x:v>1218</x:v>
      </x:c>
      <x:c r="B1228" s="4" t="str">
        <x:v>que es check in en el aeropuerto</x:v>
      </x:c>
      <x:c r="C1228" s="11" t="n">
        <x:v>1</x:v>
      </x:c>
      <x:c r="D1228" s="11" t="n">
        <x:v>76</x:v>
      </x:c>
      <x:c r="E1228" s="14" t="n">
        <x:v>0.013157894736842105</x:v>
      </x:c>
      <x:c r="F1228" s="12" t="n">
        <x:v>3.736842105263158</x:v>
      </x:c>
      <x:c r="G1228" s="4" t="str">
        <x:v>Sin marca literal</x:v>
      </x:c>
      <x:c r="H1228" s="11"/>
      <x:c r="I1228" s="11" t="str">
        <x:f>IF(H1228="","",C1228-H1228)</x:f>
      </x:c>
      <x:c r="J1228" s="4"/>
      <x:c r="K1228" s="4" t="str">
        <x:v>URLs de detalle page/query/country por clics. No asignan las impresiones de esta consulta a cada página.</x:v>
      </x:c>
    </x:row>
    <x:row r="1229" ht="28" customHeight="1">
      <x:c r="A1229" s="4" t="n">
        <x:v>1219</x:v>
      </x:c>
      <x:c r="B1229" s="4" t="str">
        <x:v>talara donde queda</x:v>
      </x:c>
      <x:c r="C1229" s="11" t="n">
        <x:v>1</x:v>
      </x:c>
      <x:c r="D1229" s="11" t="n">
        <x:v>76</x:v>
      </x:c>
      <x:c r="E1229" s="14" t="n">
        <x:v>0.013157894736842105</x:v>
      </x:c>
      <x:c r="F1229" s="12" t="n">
        <x:v>10.421052631578947</x:v>
      </x:c>
      <x:c r="G1229" s="4" t="str">
        <x:v>Sin marca literal</x:v>
      </x:c>
      <x:c r="H1229" s="11"/>
      <x:c r="I1229" s="11" t="str">
        <x:f>IF(H1229="","",C1229-H1229)</x:f>
      </x:c>
      <x:c r="J1229" s="4"/>
      <x:c r="K1229" s="4" t="str">
        <x:v>URLs de detalle page/query/country por clics. No asignan las impresiones de esta consulta a cada página.</x:v>
      </x:c>
    </x:row>
    <x:row r="1230" ht="28" customHeight="1">
      <x:c r="A1230" s="4" t="n">
        <x:v>1220</x:v>
      </x:c>
      <x:c r="B1230" s="4" t="str">
        <x:v>aep buenos aires</x:v>
      </x:c>
      <x:c r="C1230" s="11" t="n">
        <x:v>1</x:v>
      </x:c>
      <x:c r="D1230" s="11" t="n">
        <x:v>75</x:v>
      </x:c>
      <x:c r="E1230" s="14" t="n">
        <x:v>0.013333333333333334</x:v>
      </x:c>
      <x:c r="F1230" s="12" t="n">
        <x:v>9.373333333333333</x:v>
      </x:c>
      <x:c r="G1230" s="4" t="str">
        <x:v>Sin marca literal</x:v>
      </x:c>
      <x:c r="H1230" s="11"/>
      <x:c r="I1230" s="11" t="str">
        <x:f>IF(H1230="","",C1230-H1230)</x:f>
      </x:c>
      <x:c r="J1230" s="4"/>
      <x:c r="K1230" s="4" t="str">
        <x:v>URLs de detalle page/query/country por clics. No asignan las impresiones de esta consulta a cada página.</x:v>
      </x:c>
    </x:row>
    <x:row r="1231" ht="28" customHeight="1">
      <x:c r="A1231" s="4" t="n">
        <x:v>1221</x:v>
      </x:c>
      <x:c r="B1231" s="4" t="str">
        <x:v>en que estación del año estamos</x:v>
      </x:c>
      <x:c r="C1231" s="11" t="n">
        <x:v>1</x:v>
      </x:c>
      <x:c r="D1231" s="11" t="n">
        <x:v>75</x:v>
      </x:c>
      <x:c r="E1231" s="14" t="n">
        <x:v>0.013333333333333334</x:v>
      </x:c>
      <x:c r="F1231" s="12" t="n">
        <x:v>4.946666666666667</x:v>
      </x:c>
      <x:c r="G1231" s="4" t="str">
        <x:v>Sin marca literal</x:v>
      </x:c>
      <x:c r="H1231" s="11"/>
      <x:c r="I1231" s="11" t="str">
        <x:f>IF(H1231="","",C1231-H1231)</x:f>
      </x:c>
      <x:c r="J1231" s="4"/>
      <x:c r="K1231" s="4" t="str">
        <x:v>URLs de detalle page/query/country por clics. No asignan las impresiones de esta consulta a cada página.</x:v>
      </x:c>
    </x:row>
    <x:row r="1232" ht="28" customHeight="1">
      <x:c r="A1232" s="4" t="n">
        <x:v>1222</x:v>
      </x:c>
      <x:c r="B1232" s="4" t="str">
        <x:v>fruto de oro chile</x:v>
      </x:c>
      <x:c r="C1232" s="11" t="n">
        <x:v>1</x:v>
      </x:c>
      <x:c r="D1232" s="11" t="n">
        <x:v>75</x:v>
      </x:c>
      <x:c r="E1232" s="14" t="n">
        <x:v>0.013333333333333334</x:v>
      </x:c>
      <x:c r="F1232" s="12" t="n">
        <x:v>5.36</x:v>
      </x:c>
      <x:c r="G1232" s="4" t="str">
        <x:v>Sin marca literal</x:v>
      </x:c>
      <x:c r="H1232" s="11"/>
      <x:c r="I1232" s="11" t="str">
        <x:f>IF(H1232="","",C1232-H1232)</x:f>
      </x:c>
      <x:c r="J1232" s="4"/>
      <x:c r="K1232" s="4" t="str">
        <x:v>URLs de detalle page/query/country por clics. No asignan las impresiones de esta consulta a cada página.</x:v>
      </x:c>
    </x:row>
    <x:row r="1233" ht="28" customHeight="1">
      <x:c r="A1233" s="4" t="n">
        <x:v>1223</x:v>
      </x:c>
      <x:c r="B1233" s="4" t="str">
        <x:v>lima talara vuelos</x:v>
      </x:c>
      <x:c r="C1233" s="11" t="n">
        <x:v>1</x:v>
      </x:c>
      <x:c r="D1233" s="11" t="n">
        <x:v>75</x:v>
      </x:c>
      <x:c r="E1233" s="14" t="n">
        <x:v>0.013333333333333334</x:v>
      </x:c>
      <x:c r="F1233" s="12" t="n">
        <x:v>11.346666666666666</x:v>
      </x:c>
      <x:c r="G1233" s="4" t="str">
        <x:v>Sin marca literal</x:v>
      </x:c>
      <x:c r="H1233" s="11"/>
      <x:c r="I1233" s="11" t="str">
        <x:f>IF(H1233="","",C1233-H1233)</x:f>
      </x:c>
      <x:c r="J1233" s="4"/>
      <x:c r="K1233" s="4" t="str">
        <x:v>URLs de detalle page/query/country por clics. No asignan las impresiones de esta consulta a cada página.</x:v>
      </x:c>
    </x:row>
    <x:row r="1234" ht="28" customHeight="1">
      <x:c r="A1234" s="4" t="n">
        <x:v>1224</x:v>
      </x:c>
      <x:c r="B1234" s="4" t="str">
        <x:v>para ser azafata que se necesita</x:v>
      </x:c>
      <x:c r="C1234" s="11" t="n">
        <x:v>1</x:v>
      </x:c>
      <x:c r="D1234" s="11" t="n">
        <x:v>75</x:v>
      </x:c>
      <x:c r="E1234" s="14" t="n">
        <x:v>0.013333333333333334</x:v>
      </x:c>
      <x:c r="F1234" s="12" t="n">
        <x:v>4.786666666666667</x:v>
      </x:c>
      <x:c r="G1234" s="4" t="str">
        <x:v>Sin marca literal</x:v>
      </x:c>
      <x:c r="H1234" s="11"/>
      <x:c r="I1234" s="11" t="str">
        <x:f>IF(H1234="","",C1234-H1234)</x:f>
      </x:c>
      <x:c r="J1234" s="4"/>
      <x:c r="K1234" s="4" t="str">
        <x:v>URLs de detalle page/query/country por clics. No asignan las impresiones de esta consulta a cada página.</x:v>
      </x:c>
    </x:row>
    <x:row r="1235" ht="28" customHeight="1">
      <x:c r="A1235" s="4" t="n">
        <x:v>1225</x:v>
      </x:c>
      <x:c r="B1235" s="4" t="str">
        <x:v>shopping de mendoza</x:v>
      </x:c>
      <x:c r="C1235" s="11" t="n">
        <x:v>1</x:v>
      </x:c>
      <x:c r="D1235" s="11" t="n">
        <x:v>75</x:v>
      </x:c>
      <x:c r="E1235" s="14" t="n">
        <x:v>0.013333333333333334</x:v>
      </x:c>
      <x:c r="F1235" s="12" t="n">
        <x:v>8.626666666666667</x:v>
      </x:c>
      <x:c r="G1235" s="4" t="str">
        <x:v>Sin marca literal</x:v>
      </x:c>
      <x:c r="H1235" s="11"/>
      <x:c r="I1235" s="11" t="str">
        <x:f>IF(H1235="","",C1235-H1235)</x:f>
      </x:c>
      <x:c r="J1235" s="4"/>
      <x:c r="K1235" s="4" t="str">
        <x:v>URLs de detalle page/query/country por clics. No asignan las impresiones de esta consulta a cada página.</x:v>
      </x:c>
    </x:row>
    <x:row r="1236" ht="28" customHeight="1">
      <x:c r="A1236" s="4" t="n">
        <x:v>1226</x:v>
      </x:c>
      <x:c r="B1236" s="4" t="str">
        <x:v>vuelos a punta sal</x:v>
      </x:c>
      <x:c r="C1236" s="11" t="n">
        <x:v>1</x:v>
      </x:c>
      <x:c r="D1236" s="11" t="n">
        <x:v>75</x:v>
      </x:c>
      <x:c r="E1236" s="14" t="n">
        <x:v>0.013333333333333334</x:v>
      </x:c>
      <x:c r="F1236" s="12" t="n">
        <x:v>8.906666666666666</x:v>
      </x:c>
      <x:c r="G1236" s="4" t="str">
        <x:v>Sin marca literal</x:v>
      </x:c>
      <x:c r="H1236" s="11"/>
      <x:c r="I1236" s="11" t="str">
        <x:f>IF(H1236="","",C1236-H1236)</x:f>
      </x:c>
      <x:c r="J1236" s="4"/>
      <x:c r="K1236" s="4" t="str">
        <x:v>URLs de detalle page/query/country por clics. No asignan las impresiones de esta consulta a cada página.</x:v>
      </x:c>
    </x:row>
    <x:row r="1237" ht="28" customHeight="1">
      <x:c r="A1237" s="4" t="n">
        <x:v>1227</x:v>
      </x:c>
      <x:c r="B1237" s="4" t="str">
        <x:v>auxiliar de vuelo</x:v>
      </x:c>
      <x:c r="C1237" s="11" t="n">
        <x:v>1</x:v>
      </x:c>
      <x:c r="D1237" s="11" t="n">
        <x:v>74</x:v>
      </x:c>
      <x:c r="E1237" s="14" t="n">
        <x:v>0.013513513513513514</x:v>
      </x:c>
      <x:c r="F1237" s="12" t="n">
        <x:v>27.7972972972973</x:v>
      </x:c>
      <x:c r="G1237" s="4" t="str">
        <x:v>Sin marca literal</x:v>
      </x:c>
      <x:c r="H1237" s="11"/>
      <x:c r="I1237" s="11" t="str">
        <x:f>IF(H1237="","",C1237-H1237)</x:f>
      </x:c>
      <x:c r="J1237" s="4"/>
      <x:c r="K1237" s="4" t="str">
        <x:v>URLs de detalle page/query/country por clics. No asignan las impresiones de esta consulta a cada página.</x:v>
      </x:c>
    </x:row>
    <x:row r="1238" ht="28" customHeight="1">
      <x:c r="A1238" s="4" t="n">
        <x:v>1228</x:v>
      </x:c>
      <x:c r="B1238" s="4" t="str">
        <x:v>cuanto tiempo es de punta cana a santo domingo</x:v>
      </x:c>
      <x:c r="C1238" s="11" t="n">
        <x:v>1</x:v>
      </x:c>
      <x:c r="D1238" s="11" t="n">
        <x:v>74</x:v>
      </x:c>
      <x:c r="E1238" s="14" t="n">
        <x:v>0.013513513513513514</x:v>
      </x:c>
      <x:c r="F1238" s="12" t="n">
        <x:v>6.702702702702703</x:v>
      </x:c>
      <x:c r="G1238" s="4" t="str">
        <x:v>Sin marca literal</x:v>
      </x:c>
      <x:c r="H1238" s="11"/>
      <x:c r="I1238" s="11" t="str">
        <x:f>IF(H1238="","",C1238-H1238)</x:f>
      </x:c>
      <x:c r="J1238" s="4"/>
      <x:c r="K1238" s="4" t="str">
        <x:v>URLs de detalle page/query/country por clics. No asignan las impresiones de esta consulta a cada página.</x:v>
      </x:c>
    </x:row>
    <x:row r="1239" ht="28" customHeight="1">
      <x:c r="A1239" s="4" t="n">
        <x:v>1229</x:v>
      </x:c>
      <x:c r="B1239" s="4" t="str">
        <x:v>paisaje sur de chile</x:v>
      </x:c>
      <x:c r="C1239" s="11" t="n">
        <x:v>1</x:v>
      </x:c>
      <x:c r="D1239" s="11" t="n">
        <x:v>74</x:v>
      </x:c>
      <x:c r="E1239" s="14" t="n">
        <x:v>0.013513513513513514</x:v>
      </x:c>
      <x:c r="F1239" s="12" t="n">
        <x:v>1</x:v>
      </x:c>
      <x:c r="G1239" s="4" t="str">
        <x:v>Sin marca literal</x:v>
      </x:c>
      <x:c r="H1239" s="11"/>
      <x:c r="I1239" s="11" t="str">
        <x:f>IF(H1239="","",C1239-H1239)</x:f>
      </x:c>
      <x:c r="J1239" s="4"/>
      <x:c r="K1239" s="4" t="str">
        <x:v>URLs de detalle page/query/country por clics. No asignan las impresiones de esta consulta a cada página.</x:v>
      </x:c>
    </x:row>
    <x:row r="1240" ht="28" customHeight="1">
      <x:c r="A1240" s="4" t="n">
        <x:v>1230</x:v>
      </x:c>
      <x:c r="B1240" s="4" t="str">
        <x:v>que es una maleta documentada</x:v>
      </x:c>
      <x:c r="C1240" s="11" t="n">
        <x:v>1</x:v>
      </x:c>
      <x:c r="D1240" s="11" t="n">
        <x:v>74</x:v>
      </x:c>
      <x:c r="E1240" s="14" t="n">
        <x:v>0.013513513513513514</x:v>
      </x:c>
      <x:c r="F1240" s="12" t="n">
        <x:v>8.635135135135135</x:v>
      </x:c>
      <x:c r="G1240" s="4" t="str">
        <x:v>Sin marca literal</x:v>
      </x:c>
      <x:c r="H1240" s="11"/>
      <x:c r="I1240" s="11" t="str">
        <x:f>IF(H1240="","",C1240-H1240)</x:f>
      </x:c>
      <x:c r="J1240" s="4"/>
      <x:c r="K1240" s="4" t="str">
        <x:v>URLs de detalle page/query/country por clics. No asignan las impresiones de esta consulta a cada página.</x:v>
      </x:c>
    </x:row>
    <x:row r="1241" ht="28" customHeight="1">
      <x:c r="A1241" s="4" t="n">
        <x:v>1231</x:v>
      </x:c>
      <x:c r="B1241" s="4" t="str">
        <x:v>aeropuertos de buenos aires argentina</x:v>
      </x:c>
      <x:c r="C1241" s="11" t="n">
        <x:v>1</x:v>
      </x:c>
      <x:c r="D1241" s="11" t="n">
        <x:v>73</x:v>
      </x:c>
      <x:c r="E1241" s="14" t="n">
        <x:v>0.0136986301369863</x:v>
      </x:c>
      <x:c r="F1241" s="12" t="n">
        <x:v>3.328767123287671</x:v>
      </x:c>
      <x:c r="G1241" s="4" t="str">
        <x:v>Sin marca literal</x:v>
      </x:c>
      <x:c r="H1241" s="11"/>
      <x:c r="I1241" s="11" t="str">
        <x:f>IF(H1241="","",C1241-H1241)</x:f>
      </x:c>
      <x:c r="J1241" s="4"/>
      <x:c r="K1241" s="4" t="str">
        <x:v>URLs de detalle page/query/country por clics. No asignan las impresiones de esta consulta a cada página.</x:v>
      </x:c>
    </x:row>
    <x:row r="1242" ht="28" customHeight="1">
      <x:c r="A1242" s="4" t="n">
        <x:v>1232</x:v>
      </x:c>
      <x:c r="B1242" s="4" t="str">
        <x:v>cuantas horas de viaje son de chile a brasil</x:v>
      </x:c>
      <x:c r="C1242" s="11" t="n">
        <x:v>1</x:v>
      </x:c>
      <x:c r="D1242" s="11" t="n">
        <x:v>73</x:v>
      </x:c>
      <x:c r="E1242" s="14" t="n">
        <x:v>0.0136986301369863</x:v>
      </x:c>
      <x:c r="F1242" s="12" t="n">
        <x:v>2.1643835616438354</x:v>
      </x:c>
      <x:c r="G1242" s="4" t="str">
        <x:v>Sin marca literal</x:v>
      </x:c>
      <x:c r="H1242" s="11"/>
      <x:c r="I1242" s="11" t="str">
        <x:f>IF(H1242="","",C1242-H1242)</x:f>
      </x:c>
      <x:c r="J1242" s="4"/>
      <x:c r="K1242" s="4" t="str">
        <x:v>URLs de detalle page/query/country por clics. No asignan las impresiones de esta consulta a cada página.</x:v>
      </x:c>
    </x:row>
    <x:row r="1243" ht="28" customHeight="1">
      <x:c r="A1243" s="4" t="n">
        <x:v>1233</x:v>
      </x:c>
      <x:c r="B1243" s="4" t="str">
        <x:v>cómo llegar a santo domingo</x:v>
      </x:c>
      <x:c r="C1243" s="11" t="n">
        <x:v>1</x:v>
      </x:c>
      <x:c r="D1243" s="11" t="n">
        <x:v>73</x:v>
      </x:c>
      <x:c r="E1243" s="14" t="n">
        <x:v>0.0136986301369863</x:v>
      </x:c>
      <x:c r="F1243" s="12" t="n">
        <x:v>6.178082191780822</x:v>
      </x:c>
      <x:c r="G1243" s="4" t="str">
        <x:v>Sin marca literal</x:v>
      </x:c>
      <x:c r="H1243" s="11"/>
      <x:c r="I1243" s="11" t="str">
        <x:f>IF(H1243="","",C1243-H1243)</x:f>
      </x:c>
      <x:c r="J1243" s="4"/>
      <x:c r="K1243" s="4" t="str">
        <x:v>URLs de detalle page/query/country por clics. No asignan las impresiones de esta consulta a cada página.</x:v>
      </x:c>
    </x:row>
    <x:row r="1244" ht="28" customHeight="1">
      <x:c r="A1244" s="4" t="n">
        <x:v>1234</x:v>
      </x:c>
      <x:c r="B1244" s="4" t="str">
        <x:v>liquidos permitidos en equipaje de mano</x:v>
      </x:c>
      <x:c r="C1244" s="11" t="n">
        <x:v>1</x:v>
      </x:c>
      <x:c r="D1244" s="11" t="n">
        <x:v>73</x:v>
      </x:c>
      <x:c r="E1244" s="14" t="n">
        <x:v>0.0136986301369863</x:v>
      </x:c>
      <x:c r="F1244" s="12" t="n">
        <x:v>28.589041095890412</x:v>
      </x:c>
      <x:c r="G1244" s="4" t="str">
        <x:v>Sin marca literal</x:v>
      </x:c>
      <x:c r="H1244" s="11"/>
      <x:c r="I1244" s="11" t="str">
        <x:f>IF(H1244="","",C1244-H1244)</x:f>
      </x:c>
      <x:c r="J1244" s="4"/>
      <x:c r="K1244" s="4" t="str">
        <x:v>URLs de detalle page/query/country por clics. No asignan las impresiones de esta consulta a cada página.</x:v>
      </x:c>
    </x:row>
    <x:row r="1245" ht="28" customHeight="1">
      <x:c r="A1245" s="4" t="n">
        <x:v>1235</x:v>
      </x:c>
      <x:c r="B1245" s="4" t="str">
        <x:v>a que aeropuerto llegar en buenos aires</x:v>
      </x:c>
      <x:c r="C1245" s="11" t="n">
        <x:v>1</x:v>
      </x:c>
      <x:c r="D1245" s="11" t="n">
        <x:v>72</x:v>
      </x:c>
      <x:c r="E1245" s="14" t="n">
        <x:v>0.013888888888888888</x:v>
      </x:c>
      <x:c r="F1245" s="12" t="n">
        <x:v>1.8888888888888888</x:v>
      </x:c>
      <x:c r="G1245" s="4" t="str">
        <x:v>Sin marca literal</x:v>
      </x:c>
      <x:c r="H1245" s="11"/>
      <x:c r="I1245" s="11" t="str">
        <x:f>IF(H1245="","",C1245-H1245)</x:f>
      </x:c>
      <x:c r="J1245" s="4"/>
      <x:c r="K1245" s="4" t="str">
        <x:v>URLs de detalle page/query/country por clics. No asignan las impresiones de esta consulta a cada página.</x:v>
      </x:c>
    </x:row>
    <x:row r="1246" ht="28" customHeight="1">
      <x:c r="A1246" s="4" t="n">
        <x:v>1236</x:v>
      </x:c>
      <x:c r="B1246" s="4" t="str">
        <x:v>a que paises puedo viajar sin pasaporte</x:v>
      </x:c>
      <x:c r="C1246" s="11" t="n">
        <x:v>1</x:v>
      </x:c>
      <x:c r="D1246" s="11" t="n">
        <x:v>72</x:v>
      </x:c>
      <x:c r="E1246" s="14" t="n">
        <x:v>0.013888888888888888</x:v>
      </x:c>
      <x:c r="F1246" s="12" t="n">
        <x:v>4.291666666666666</x:v>
      </x:c>
      <x:c r="G1246" s="4" t="str">
        <x:v>Sin marca literal</x:v>
      </x:c>
      <x:c r="H1246" s="11"/>
      <x:c r="I1246" s="11" t="str">
        <x:f>IF(H1246="","",C1246-H1246)</x:f>
      </x:c>
      <x:c r="J1246" s="4"/>
      <x:c r="K1246" s="4" t="str">
        <x:v>URLs de detalle page/query/country por clics. No asignan las impresiones de esta consulta a cada página.</x:v>
      </x:c>
    </x:row>
    <x:row r="1247" ht="28" customHeight="1">
      <x:c r="A1247" s="4" t="n">
        <x:v>1237</x:v>
      </x:c>
      <x:c r="B1247" s="4" t="str">
        <x:v>aguas termales en tacna</x:v>
      </x:c>
      <x:c r="C1247" s="11" t="n">
        <x:v>1</x:v>
      </x:c>
      <x:c r="D1247" s="11" t="n">
        <x:v>72</x:v>
      </x:c>
      <x:c r="E1247" s="14" t="n">
        <x:v>0.013888888888888888</x:v>
      </x:c>
      <x:c r="F1247" s="12" t="n">
        <x:v>10.666666666666666</x:v>
      </x:c>
      <x:c r="G1247" s="4" t="str">
        <x:v>Sin marca literal</x:v>
      </x:c>
      <x:c r="H1247" s="11"/>
      <x:c r="I1247" s="11" t="str">
        <x:f>IF(H1247="","",C1247-H1247)</x:f>
      </x:c>
      <x:c r="J1247" s="4"/>
      <x:c r="K1247" s="4" t="str">
        <x:v>URLs de detalle page/query/country por clics. No asignan las impresiones de esta consulta a cada página.</x:v>
      </x:c>
    </x:row>
    <x:row r="1248" ht="28" customHeight="1">
      <x:c r="A1248" s="4" t="n">
        <x:v>1238</x:v>
      </x:c>
      <x:c r="B1248" s="4" t="str">
        <x:v>en que estacion estan en chile</x:v>
      </x:c>
      <x:c r="C1248" s="11" t="n">
        <x:v>1</x:v>
      </x:c>
      <x:c r="D1248" s="11" t="n">
        <x:v>72</x:v>
      </x:c>
      <x:c r="E1248" s="14" t="n">
        <x:v>0.013888888888888888</x:v>
      </x:c>
      <x:c r="F1248" s="12" t="n">
        <x:v>2.8472222222222223</x:v>
      </x:c>
      <x:c r="G1248" s="4" t="str">
        <x:v>Sin marca literal</x:v>
      </x:c>
      <x:c r="H1248" s="11"/>
      <x:c r="I1248" s="11" t="str">
        <x:f>IF(H1248="","",C1248-H1248)</x:f>
      </x:c>
      <x:c r="J1248" s="4"/>
      <x:c r="K1248" s="4" t="str">
        <x:v>URLs de detalle page/query/country por clics. No asignan las impresiones de esta consulta a cada página.</x:v>
      </x:c>
    </x:row>
    <x:row r="1249" ht="28" customHeight="1">
      <x:c r="A1249" s="4" t="n">
        <x:v>1239</x:v>
      </x:c>
      <x:c r="B1249" s="4" t="str">
        <x:v>se puede llevar alcohol en el avión</x:v>
      </x:c>
      <x:c r="C1249" s="11" t="n">
        <x:v>1</x:v>
      </x:c>
      <x:c r="D1249" s="11" t="n">
        <x:v>72</x:v>
      </x:c>
      <x:c r="E1249" s="14" t="n">
        <x:v>0.013888888888888888</x:v>
      </x:c>
      <x:c r="F1249" s="12" t="n">
        <x:v>6.638888888888889</x:v>
      </x:c>
      <x:c r="G1249" s="4" t="str">
        <x:v>Sin marca literal</x:v>
      </x:c>
      <x:c r="H1249" s="11"/>
      <x:c r="I1249" s="11" t="str">
        <x:f>IF(H1249="","",C1249-H1249)</x:f>
      </x:c>
      <x:c r="J1249" s="4"/>
      <x:c r="K1249" s="4" t="str">
        <x:v>URLs de detalle page/query/country por clics. No asignan las impresiones de esta consulta a cada página.</x:v>
      </x:c>
    </x:row>
    <x:row r="1250" ht="28" customHeight="1">
      <x:c r="A1250" s="4" t="n">
        <x:v>1240</x:v>
      </x:c>
      <x:c r="B1250" s="4" t="str">
        <x:v>sky perro</x:v>
      </x:c>
      <x:c r="C1250" s="11" t="n">
        <x:v>1</x:v>
      </x:c>
      <x:c r="D1250" s="11" t="n">
        <x:v>72</x:v>
      </x:c>
      <x:c r="E1250" s="14" t="n">
        <x:v>0.013888888888888888</x:v>
      </x:c>
      <x:c r="F1250" s="12" t="n">
        <x:v>4.388888888888889</x:v>
      </x:c>
      <x:c r="G1250" s="4" t="str">
        <x:v>Sin marca literal</x:v>
      </x:c>
      <x:c r="H1250" s="11"/>
      <x:c r="I1250" s="11" t="str">
        <x:f>IF(H1250="","",C1250-H1250)</x:f>
      </x:c>
      <x:c r="J1250" s="4"/>
      <x:c r="K1250" s="4" t="str">
        <x:v>URLs de detalle page/query/country por clics. No asignan las impresiones de esta consulta a cada página.</x:v>
      </x:c>
    </x:row>
    <x:row r="1251" ht="28" customHeight="1">
      <x:c r="A1251" s="4" t="n">
        <x:v>1241</x:v>
      </x:c>
      <x:c r="B1251" s="4" t="str">
        <x:v>teleferico rio de janeiro</x:v>
      </x:c>
      <x:c r="C1251" s="11" t="n">
        <x:v>1</x:v>
      </x:c>
      <x:c r="D1251" s="11" t="n">
        <x:v>72</x:v>
      </x:c>
      <x:c r="E1251" s="14" t="n">
        <x:v>0.013888888888888888</x:v>
      </x:c>
      <x:c r="F1251" s="12" t="n">
        <x:v>10.708333333333334</x:v>
      </x:c>
      <x:c r="G1251" s="4" t="str">
        <x:v>Sin marca literal</x:v>
      </x:c>
      <x:c r="H1251" s="11"/>
      <x:c r="I1251" s="11" t="str">
        <x:f>IF(H1251="","",C1251-H1251)</x:f>
      </x:c>
      <x:c r="J1251" s="4"/>
      <x:c r="K1251" s="4" t="str">
        <x:v>URLs de detalle page/query/country por clics. No asignan las impresiones de esta consulta a cada página.</x:v>
      </x:c>
    </x:row>
    <x:row r="1252" ht="28" customHeight="1">
      <x:c r="A1252" s="4" t="n">
        <x:v>1242</x:v>
      </x:c>
      <x:c r="B1252" s="4" t="str">
        <x:v>vacuna para viajar a brasil</x:v>
      </x:c>
      <x:c r="C1252" s="11" t="n">
        <x:v>1</x:v>
      </x:c>
      <x:c r="D1252" s="11" t="n">
        <x:v>72</x:v>
      </x:c>
      <x:c r="E1252" s="14" t="n">
        <x:v>0.013888888888888888</x:v>
      </x:c>
      <x:c r="F1252" s="12" t="n">
        <x:v>10.76388888888889</x:v>
      </x:c>
      <x:c r="G1252" s="4" t="str">
        <x:v>Sin marca literal</x:v>
      </x:c>
      <x:c r="H1252" s="11"/>
      <x:c r="I1252" s="11" t="str">
        <x:f>IF(H1252="","",C1252-H1252)</x:f>
      </x:c>
      <x:c r="J1252" s="4"/>
      <x:c r="K1252" s="4" t="str">
        <x:v>URLs de detalle page/query/country por clics. No asignan las impresiones de esta consulta a cada página.</x:v>
      </x:c>
    </x:row>
    <x:row r="1253" ht="28" customHeight="1">
      <x:c r="A1253" s="4" t="n">
        <x:v>1243</x:v>
      </x:c>
      <x:c r="B1253" s="4" t="str">
        <x:v>aeropuertos sur de chile</x:v>
      </x:c>
      <x:c r="C1253" s="11" t="n">
        <x:v>1</x:v>
      </x:c>
      <x:c r="D1253" s="11" t="n">
        <x:v>71</x:v>
      </x:c>
      <x:c r="E1253" s="14" t="n">
        <x:v>0.014084507042253521</x:v>
      </x:c>
      <x:c r="F1253" s="12" t="n">
        <x:v>1.5070422535211268</x:v>
      </x:c>
      <x:c r="G1253" s="4" t="str">
        <x:v>Sin marca literal</x:v>
      </x:c>
      <x:c r="H1253" s="11"/>
      <x:c r="I1253" s="11" t="str">
        <x:f>IF(H1253="","",C1253-H1253)</x:f>
      </x:c>
      <x:c r="J1253" s="4"/>
      <x:c r="K1253" s="4" t="str">
        <x:v>URLs de detalle page/query/country por clics. No asignan las impresiones de esta consulta a cada página.</x:v>
      </x:c>
    </x:row>
    <x:row r="1254" ht="28" customHeight="1">
      <x:c r="A1254" s="4" t="n">
        <x:v>1244</x:v>
      </x:c>
      <x:c r="B1254" s="4" t="str">
        <x:v>app sky airline</x:v>
      </x:c>
      <x:c r="C1254" s="11" t="n">
        <x:v>1</x:v>
      </x:c>
      <x:c r="D1254" s="11" t="n">
        <x:v>71</x:v>
      </x:c>
      <x:c r="E1254" s="14" t="n">
        <x:v>0.014084507042253521</x:v>
      </x:c>
      <x:c r="F1254" s="12" t="n">
        <x:v>7.338028169014085</x:v>
      </x:c>
      <x:c r="G1254" s="4" t="str">
        <x:v>Sin marca literal</x:v>
      </x:c>
      <x:c r="H1254" s="11"/>
      <x:c r="I1254" s="11" t="str">
        <x:f>IF(H1254="","",C1254-H1254)</x:f>
      </x:c>
      <x:c r="J1254" s="4"/>
      <x:c r="K1254" s="4" t="str">
        <x:v>URLs de detalle page/query/country por clics. No asignan las impresiones de esta consulta a cada página.</x:v>
      </x:c>
    </x:row>
    <x:row r="1255" ht="28" customHeight="1">
      <x:c r="A1255" s="4" t="n">
        <x:v>1245</x:v>
      </x:c>
      <x:c r="B1255" s="4" t="str">
        <x:v>donde queda valle nevado</x:v>
      </x:c>
      <x:c r="C1255" s="11" t="n">
        <x:v>1</x:v>
      </x:c>
      <x:c r="D1255" s="11" t="n">
        <x:v>71</x:v>
      </x:c>
      <x:c r="E1255" s="14" t="n">
        <x:v>0.014084507042253521</x:v>
      </x:c>
      <x:c r="F1255" s="12" t="n">
        <x:v>10.140845070422536</x:v>
      </x:c>
      <x:c r="G1255" s="4" t="str">
        <x:v>Sin marca literal</x:v>
      </x:c>
      <x:c r="H1255" s="11"/>
      <x:c r="I1255" s="11" t="str">
        <x:f>IF(H1255="","",C1255-H1255)</x:f>
      </x:c>
      <x:c r="J1255" s="4"/>
      <x:c r="K1255" s="4" t="str">
        <x:v>URLs de detalle page/query/country por clics. No asignan las impresiones de esta consulta a cada página.</x:v>
      </x:c>
    </x:row>
    <x:row r="1256" ht="28" customHeight="1">
      <x:c r="A1256" s="4" t="n">
        <x:v>1246</x:v>
      </x:c>
      <x:c r="B1256" s="4" t="str">
        <x:v>grupos sky</x:v>
      </x:c>
      <x:c r="C1256" s="11" t="n">
        <x:v>1</x:v>
      </x:c>
      <x:c r="D1256" s="11" t="n">
        <x:v>71</x:v>
      </x:c>
      <x:c r="E1256" s="14" t="n">
        <x:v>0.014084507042253521</x:v>
      </x:c>
      <x:c r="F1256" s="12" t="n">
        <x:v>5.802816901408451</x:v>
      </x:c>
      <x:c r="G1256" s="4" t="str">
        <x:v>Sin marca literal</x:v>
      </x:c>
      <x:c r="H1256" s="11"/>
      <x:c r="I1256" s="11" t="str">
        <x:f>IF(H1256="","",C1256-H1256)</x:f>
      </x:c>
      <x:c r="J1256" s="4"/>
      <x:c r="K1256" s="4" t="str">
        <x:v>URLs de detalle page/query/country por clics. No asignan las impresiones de esta consulta a cada página.</x:v>
      </x:c>
    </x:row>
    <x:row r="1257" ht="28" customHeight="1">
      <x:c r="A1257" s="4" t="n">
        <x:v>1247</x:v>
      </x:c>
      <x:c r="B1257" s="4" t="str">
        <x:v>sky peru cambiar fecha de vuelo</x:v>
      </x:c>
      <x:c r="C1257" s="11" t="n">
        <x:v>1</x:v>
      </x:c>
      <x:c r="D1257" s="11" t="n">
        <x:v>71</x:v>
      </x:c>
      <x:c r="E1257" s="14" t="n">
        <x:v>0.014084507042253521</x:v>
      </x:c>
      <x:c r="F1257" s="12" t="n">
        <x:v>5.563380281690141</x:v>
      </x:c>
      <x:c r="G1257" s="4" t="str">
        <x:v>Sin marca literal</x:v>
      </x:c>
      <x:c r="H1257" s="11"/>
      <x:c r="I1257" s="11" t="str">
        <x:f>IF(H1257="","",C1257-H1257)</x:f>
      </x:c>
      <x:c r="J1257" s="4"/>
      <x:c r="K1257" s="4" t="str">
        <x:v>URLs de detalle page/query/country por clics. No asignan las impresiones de esta consulta a cada página.</x:v>
      </x:c>
    </x:row>
    <x:row r="1258" ht="28" customHeight="1">
      <x:c r="A1258" s="4" t="n">
        <x:v>1248</x:v>
      </x:c>
      <x:c r="B1258" s="4" t="str">
        <x:v>angra dos reis playas</x:v>
      </x:c>
      <x:c r="C1258" s="11" t="n">
        <x:v>1</x:v>
      </x:c>
      <x:c r="D1258" s="11" t="n">
        <x:v>70</x:v>
      </x:c>
      <x:c r="E1258" s="14" t="n">
        <x:v>0.014285714285714285</x:v>
      </x:c>
      <x:c r="F1258" s="12" t="n">
        <x:v>10.342857142857143</x:v>
      </x:c>
      <x:c r="G1258" s="4" t="str">
        <x:v>Sin marca literal</x:v>
      </x:c>
      <x:c r="H1258" s="11"/>
      <x:c r="I1258" s="11" t="str">
        <x:f>IF(H1258="","",C1258-H1258)</x:f>
      </x:c>
      <x:c r="J1258" s="4"/>
      <x:c r="K1258" s="4" t="str">
        <x:v>URLs de detalle page/query/country por clics. No asignan las impresiones de esta consulta a cada página.</x:v>
      </x:c>
    </x:row>
    <x:row r="1259" ht="28" customHeight="1">
      <x:c r="A1259" s="4" t="n">
        <x:v>1249</x:v>
      </x:c>
      <x:c r="B1259" s="4" t="str">
        <x:v>distancia puerto natales a torres del paine</x:v>
      </x:c>
      <x:c r="C1259" s="11" t="n">
        <x:v>1</x:v>
      </x:c>
      <x:c r="D1259" s="11" t="n">
        <x:v>70</x:v>
      </x:c>
      <x:c r="E1259" s="14" t="n">
        <x:v>0.014285714285714285</x:v>
      </x:c>
      <x:c r="F1259" s="12" t="n">
        <x:v>3.942857142857143</x:v>
      </x:c>
      <x:c r="G1259" s="4" t="str">
        <x:v>Sin marca literal</x:v>
      </x:c>
      <x:c r="H1259" s="11"/>
      <x:c r="I1259" s="11" t="str">
        <x:f>IF(H1259="","",C1259-H1259)</x:f>
      </x:c>
      <x:c r="J1259" s="4"/>
      <x:c r="K1259" s="4" t="str">
        <x:v>URLs de detalle page/query/country por clics. No asignan las impresiones de esta consulta a cada página.</x:v>
      </x:c>
    </x:row>
    <x:row r="1260" ht="28" customHeight="1">
      <x:c r="A1260" s="4" t="n">
        <x:v>1250</x:v>
      </x:c>
      <x:c r="B1260" s="4" t="str">
        <x:v>panoramas para niños hoy</x:v>
      </x:c>
      <x:c r="C1260" s="11" t="n">
        <x:v>1</x:v>
      </x:c>
      <x:c r="D1260" s="11" t="n">
        <x:v>70</x:v>
      </x:c>
      <x:c r="E1260" s="14" t="n">
        <x:v>0.014285714285714285</x:v>
      </x:c>
      <x:c r="F1260" s="12" t="n">
        <x:v>7.4714285714285715</x:v>
      </x:c>
      <x:c r="G1260" s="4" t="str">
        <x:v>Sin marca literal</x:v>
      </x:c>
      <x:c r="H1260" s="11"/>
      <x:c r="I1260" s="11" t="str">
        <x:f>IF(H1260="","",C1260-H1260)</x:f>
      </x:c>
      <x:c r="J1260" s="4"/>
      <x:c r="K1260" s="4" t="str">
        <x:v>URLs de detalle page/query/country por clics. No asignan las impresiones de esta consulta a cada página.</x:v>
      </x:c>
    </x:row>
    <x:row r="1261" ht="28" customHeight="1">
      <x:c r="A1261" s="4" t="n">
        <x:v>1251</x:v>
      </x:c>
      <x:c r="B1261" s="4" t="str">
        <x:v>playa punta sal</x:v>
      </x:c>
      <x:c r="C1261" s="11" t="n">
        <x:v>1</x:v>
      </x:c>
      <x:c r="D1261" s="11" t="n">
        <x:v>70</x:v>
      </x:c>
      <x:c r="E1261" s="14" t="n">
        <x:v>0.014285714285714285</x:v>
      </x:c>
      <x:c r="F1261" s="12" t="n">
        <x:v>10.028571428571428</x:v>
      </x:c>
      <x:c r="G1261" s="4" t="str">
        <x:v>Sin marca literal</x:v>
      </x:c>
      <x:c r="H1261" s="11"/>
      <x:c r="I1261" s="11" t="str">
        <x:f>IF(H1261="","",C1261-H1261)</x:f>
      </x:c>
      <x:c r="J1261" s="4"/>
      <x:c r="K1261" s="4" t="str">
        <x:v>URLs de detalle page/query/country por clics. No asignan las impresiones de esta consulta a cada página.</x:v>
      </x:c>
    </x:row>
    <x:row r="1262" ht="28" customHeight="1">
      <x:c r="A1262" s="4" t="n">
        <x:v>1252</x:v>
      </x:c>
      <x:c r="B1262" s="4" t="str">
        <x:v>cañón de shucto</x:v>
      </x:c>
      <x:c r="C1262" s="11" t="n">
        <x:v>1</x:v>
      </x:c>
      <x:c r="D1262" s="11" t="n">
        <x:v>69</x:v>
      </x:c>
      <x:c r="E1262" s="14" t="n">
        <x:v>0.014492753623188406</x:v>
      </x:c>
      <x:c r="F1262" s="12" t="n">
        <x:v>6.913043478260869</x:v>
      </x:c>
      <x:c r="G1262" s="4" t="str">
        <x:v>Sin marca literal</x:v>
      </x:c>
      <x:c r="H1262" s="11"/>
      <x:c r="I1262" s="11" t="str">
        <x:f>IF(H1262="","",C1262-H1262)</x:f>
      </x:c>
      <x:c r="J1262" s="4"/>
      <x:c r="K1262" s="4" t="str">
        <x:v>URLs de detalle page/query/country por clics. No asignan las impresiones de esta consulta a cada página.</x:v>
      </x:c>
    </x:row>
    <x:row r="1263" ht="28" customHeight="1">
      <x:c r="A1263" s="4" t="n">
        <x:v>1253</x:v>
      </x:c>
      <x:c r="B1263" s="4" t="str">
        <x:v>enchufe tipo i argentina</x:v>
      </x:c>
      <x:c r="C1263" s="11" t="n">
        <x:v>1</x:v>
      </x:c>
      <x:c r="D1263" s="11" t="n">
        <x:v>69</x:v>
      </x:c>
      <x:c r="E1263" s="14" t="n">
        <x:v>0.014492753623188406</x:v>
      </x:c>
      <x:c r="F1263" s="12" t="n">
        <x:v>8.231884057971016</x:v>
      </x:c>
      <x:c r="G1263" s="4" t="str">
        <x:v>Sin marca literal</x:v>
      </x:c>
      <x:c r="H1263" s="11"/>
      <x:c r="I1263" s="11" t="str">
        <x:f>IF(H1263="","",C1263-H1263)</x:f>
      </x:c>
      <x:c r="J1263" s="4"/>
      <x:c r="K1263" s="4" t="str">
        <x:v>URLs de detalle page/query/country por clics. No asignan las impresiones de esta consulta a cada página.</x:v>
      </x:c>
    </x:row>
    <x:row r="1264" ht="28" customHeight="1">
      <x:c r="A1264" s="4" t="n">
        <x:v>1254</x:v>
      </x:c>
      <x:c r="B1264" s="4" t="str">
        <x:v>playas en uruguay</x:v>
      </x:c>
      <x:c r="C1264" s="11" t="n">
        <x:v>1</x:v>
      </x:c>
      <x:c r="D1264" s="11" t="n">
        <x:v>69</x:v>
      </x:c>
      <x:c r="E1264" s="14" t="n">
        <x:v>0.014492753623188406</x:v>
      </x:c>
      <x:c r="F1264" s="12" t="n">
        <x:v>13.869565217391305</x:v>
      </x:c>
      <x:c r="G1264" s="4" t="str">
        <x:v>Sin marca literal</x:v>
      </x:c>
      <x:c r="H1264" s="11"/>
      <x:c r="I1264" s="11" t="str">
        <x:f>IF(H1264="","",C1264-H1264)</x:f>
      </x:c>
      <x:c r="J1264" s="4"/>
      <x:c r="K1264" s="4" t="str">
        <x:v>URLs de detalle page/query/country por clics. No asignan las impresiones de esta consulta a cada página.</x:v>
      </x:c>
    </x:row>
    <x:row r="1265" ht="28" customHeight="1">
      <x:c r="A1265" s="4" t="n">
        <x:v>1255</x:v>
      </x:c>
      <x:c r="B1265" s="4" t="str">
        <x:v>se puede llevar maquillaje en el avion</x:v>
      </x:c>
      <x:c r="C1265" s="11" t="n">
        <x:v>1</x:v>
      </x:c>
      <x:c r="D1265" s="11" t="n">
        <x:v>69</x:v>
      </x:c>
      <x:c r="E1265" s="14" t="n">
        <x:v>0.014492753623188406</x:v>
      </x:c>
      <x:c r="F1265" s="12" t="n">
        <x:v>8.623188405797102</x:v>
      </x:c>
      <x:c r="G1265" s="4" t="str">
        <x:v>Sin marca literal</x:v>
      </x:c>
      <x:c r="H1265" s="11"/>
      <x:c r="I1265" s="11" t="str">
        <x:f>IF(H1265="","",C1265-H1265)</x:f>
      </x:c>
      <x:c r="J1265" s="4"/>
      <x:c r="K1265" s="4" t="str">
        <x:v>URLs de detalle page/query/country por clics. No asignan las impresiones de esta consulta a cada página.</x:v>
      </x:c>
    </x:row>
    <x:row r="1266" ht="28" customHeight="1">
      <x:c r="A1266" s="4" t="n">
        <x:v>1256</x:v>
      </x:c>
      <x:c r="B1266" s="4" t="str">
        <x:v>comprar equipaje sky</x:v>
      </x:c>
      <x:c r="C1266" s="11" t="n">
        <x:v>1</x:v>
      </x:c>
      <x:c r="D1266" s="11" t="n">
        <x:v>68</x:v>
      </x:c>
      <x:c r="E1266" s="14" t="n">
        <x:v>0.014705882352941176</x:v>
      </x:c>
      <x:c r="F1266" s="12" t="n">
        <x:v>4.279411764705882</x:v>
      </x:c>
      <x:c r="G1266" s="4" t="str">
        <x:v>Sin marca literal</x:v>
      </x:c>
      <x:c r="H1266" s="11"/>
      <x:c r="I1266" s="11" t="str">
        <x:f>IF(H1266="","",C1266-H1266)</x:f>
      </x:c>
      <x:c r="J1266" s="4"/>
      <x:c r="K1266" s="4" t="str">
        <x:v>URLs de detalle page/query/country por clics. No asignan las impresiones de esta consulta a cada página.</x:v>
      </x:c>
    </x:row>
    <x:row r="1267" ht="28" customHeight="1">
      <x:c r="A1267" s="4" t="n">
        <x:v>1257</x:v>
      </x:c>
      <x:c r="B1267" s="4" t="str">
        <x:v>cuando se hace el check in en sky</x:v>
      </x:c>
      <x:c r="C1267" s="11" t="n">
        <x:v>1</x:v>
      </x:c>
      <x:c r="D1267" s="11" t="n">
        <x:v>68</x:v>
      </x:c>
      <x:c r="E1267" s="14" t="n">
        <x:v>0.014705882352941176</x:v>
      </x:c>
      <x:c r="F1267" s="12" t="n">
        <x:v>5.367647058823529</x:v>
      </x:c>
      <x:c r="G1267" s="4" t="str">
        <x:v>Sin marca literal</x:v>
      </x:c>
      <x:c r="H1267" s="11"/>
      <x:c r="I1267" s="11" t="str">
        <x:f>IF(H1267="","",C1267-H1267)</x:f>
      </x:c>
      <x:c r="J1267" s="4"/>
      <x:c r="K1267" s="4" t="str">
        <x:v>URLs de detalle page/query/country por clics. No asignan las impresiones de esta consulta a cada página.</x:v>
      </x:c>
    </x:row>
    <x:row r="1268" ht="28" customHeight="1">
      <x:c r="A1268" s="4" t="n">
        <x:v>1258</x:v>
      </x:c>
      <x:c r="B1268" s="4" t="str">
        <x:v>cuántas horas son de chile a perú en avión</x:v>
      </x:c>
      <x:c r="C1268" s="11" t="n">
        <x:v>1</x:v>
      </x:c>
      <x:c r="D1268" s="11" t="n">
        <x:v>68</x:v>
      </x:c>
      <x:c r="E1268" s="14" t="n">
        <x:v>0.014705882352941176</x:v>
      </x:c>
      <x:c r="F1268" s="12" t="n">
        <x:v>2.764705882352941</x:v>
      </x:c>
      <x:c r="G1268" s="4" t="str">
        <x:v>Sin marca literal</x:v>
      </x:c>
      <x:c r="H1268" s="11"/>
      <x:c r="I1268" s="11" t="str">
        <x:f>IF(H1268="","",C1268-H1268)</x:f>
      </x:c>
      <x:c r="J1268" s="4"/>
      <x:c r="K1268" s="4" t="str">
        <x:v>URLs de detalle page/query/country por clics. No asignan las impresiones de esta consulta a cada página.</x:v>
      </x:c>
    </x:row>
    <x:row r="1269" ht="28" customHeight="1">
      <x:c r="A1269" s="4" t="n">
        <x:v>1259</x:v>
      </x:c>
      <x:c r="B1269" s="4" t="str">
        <x:v>donde ver auroras boreales en chile</x:v>
      </x:c>
      <x:c r="C1269" s="11" t="n">
        <x:v>1</x:v>
      </x:c>
      <x:c r="D1269" s="11" t="n">
        <x:v>68</x:v>
      </x:c>
      <x:c r="E1269" s="14" t="n">
        <x:v>0.014705882352941176</x:v>
      </x:c>
      <x:c r="F1269" s="12" t="n">
        <x:v>4.264705882352941</x:v>
      </x:c>
      <x:c r="G1269" s="4" t="str">
        <x:v>Sin marca literal</x:v>
      </x:c>
      <x:c r="H1269" s="11"/>
      <x:c r="I1269" s="11" t="str">
        <x:f>IF(H1269="","",C1269-H1269)</x:f>
      </x:c>
      <x:c r="J1269" s="4"/>
      <x:c r="K1269" s="4" t="str">
        <x:v>URLs de detalle page/query/country por clics. No asignan las impresiones de esta consulta a cada página.</x:v>
      </x:c>
    </x:row>
    <x:row r="1270" ht="28" customHeight="1">
      <x:c r="A1270" s="4" t="n">
        <x:v>1260</x:v>
      </x:c>
      <x:c r="B1270" s="4" t="str">
        <x:v>dónde está ubicado punta cana</x:v>
      </x:c>
      <x:c r="C1270" s="11" t="n">
        <x:v>1</x:v>
      </x:c>
      <x:c r="D1270" s="11" t="n">
        <x:v>68</x:v>
      </x:c>
      <x:c r="E1270" s="14" t="n">
        <x:v>0.014705882352941176</x:v>
      </x:c>
      <x:c r="F1270" s="12" t="n">
        <x:v>9.147058823529411</x:v>
      </x:c>
      <x:c r="G1270" s="4" t="str">
        <x:v>Sin marca literal</x:v>
      </x:c>
      <x:c r="H1270" s="11"/>
      <x:c r="I1270" s="11" t="str">
        <x:f>IF(H1270="","",C1270-H1270)</x:f>
      </x:c>
      <x:c r="J1270" s="4"/>
      <x:c r="K1270" s="4" t="str">
        <x:v>URLs de detalle page/query/country por clics. No asignan las impresiones de esta consulta a cada página.</x:v>
      </x:c>
    </x:row>
    <x:row r="1271" ht="28" customHeight="1">
      <x:c r="A1271" s="4" t="n">
        <x:v>1261</x:v>
      </x:c>
      <x:c r="B1271" s="4" t="str">
        <x:v>lobitos</x:v>
      </x:c>
      <x:c r="C1271" s="11" t="n">
        <x:v>1</x:v>
      </x:c>
      <x:c r="D1271" s="11" t="n">
        <x:v>68</x:v>
      </x:c>
      <x:c r="E1271" s="14" t="n">
        <x:v>0.014705882352941176</x:v>
      </x:c>
      <x:c r="F1271" s="12" t="n">
        <x:v>9.882352941176471</x:v>
      </x:c>
      <x:c r="G1271" s="4" t="str">
        <x:v>Sin marca literal</x:v>
      </x:c>
      <x:c r="H1271" s="11"/>
      <x:c r="I1271" s="11" t="str">
        <x:f>IF(H1271="","",C1271-H1271)</x:f>
      </x:c>
      <x:c r="J1271" s="4"/>
      <x:c r="K1271" s="4" t="str">
        <x:v>URLs de detalle page/query/country por clics. No asignan las impresiones de esta consulta a cada página.</x:v>
      </x:c>
    </x:row>
    <x:row r="1272" ht="28" customHeight="1">
      <x:c r="A1272" s="4" t="n">
        <x:v>1262</x:v>
      </x:c>
      <x:c r="B1272" s="4" t="str">
        <x:v>vuelos multidestinos</x:v>
      </x:c>
      <x:c r="C1272" s="11" t="n">
        <x:v>1</x:v>
      </x:c>
      <x:c r="D1272" s="11" t="n">
        <x:v>68</x:v>
      </x:c>
      <x:c r="E1272" s="14" t="n">
        <x:v>0.014705882352941176</x:v>
      </x:c>
      <x:c r="F1272" s="12" t="n">
        <x:v>9.264705882352942</x:v>
      </x:c>
      <x:c r="G1272" s="4" t="str">
        <x:v>Sin marca literal</x:v>
      </x:c>
      <x:c r="H1272" s="11"/>
      <x:c r="I1272" s="11" t="str">
        <x:f>IF(H1272="","",C1272-H1272)</x:f>
      </x:c>
      <x:c r="J1272" s="4"/>
      <x:c r="K1272" s="4" t="str">
        <x:v>URLs de detalle page/query/country por clics. No asignan las impresiones de esta consulta a cada página.</x:v>
      </x:c>
    </x:row>
    <x:row r="1273" ht="28" customHeight="1">
      <x:c r="A1273" s="4" t="n">
        <x:v>1263</x:v>
      </x:c>
      <x:c r="B1273" s="4" t="str">
        <x:v>arboles nativos del sur de chile</x:v>
      </x:c>
      <x:c r="C1273" s="11" t="n">
        <x:v>1</x:v>
      </x:c>
      <x:c r="D1273" s="11" t="n">
        <x:v>67</x:v>
      </x:c>
      <x:c r="E1273" s="14" t="n">
        <x:v>0.014925373134328358</x:v>
      </x:c>
      <x:c r="F1273" s="12" t="n">
        <x:v>8.388059701492537</x:v>
      </x:c>
      <x:c r="G1273" s="4" t="str">
        <x:v>Sin marca literal</x:v>
      </x:c>
      <x:c r="H1273" s="11"/>
      <x:c r="I1273" s="11" t="str">
        <x:f>IF(H1273="","",C1273-H1273)</x:f>
      </x:c>
      <x:c r="J1273" s="4"/>
      <x:c r="K1273" s="4" t="str">
        <x:v>URLs de detalle page/query/country por clics. No asignan las impresiones de esta consulta a cada página.</x:v>
      </x:c>
    </x:row>
    <x:row r="1274" ht="28" customHeight="1">
      <x:c r="A1274" s="4" t="n">
        <x:v>1264</x:v>
      </x:c>
      <x:c r="B1274" s="4" t="str">
        <x:v>ciudades del sur</x:v>
      </x:c>
      <x:c r="C1274" s="11" t="n">
        <x:v>1</x:v>
      </x:c>
      <x:c r="D1274" s="11" t="n">
        <x:v>67</x:v>
      </x:c>
      <x:c r="E1274" s="14" t="n">
        <x:v>0.014925373134328358</x:v>
      </x:c>
      <x:c r="F1274" s="12" t="n">
        <x:v>7.597014925373134</x:v>
      </x:c>
      <x:c r="G1274" s="4" t="str">
        <x:v>Sin marca literal</x:v>
      </x:c>
      <x:c r="H1274" s="11"/>
      <x:c r="I1274" s="11" t="str">
        <x:f>IF(H1274="","",C1274-H1274)</x:f>
      </x:c>
      <x:c r="J1274" s="4"/>
      <x:c r="K1274" s="4" t="str">
        <x:v>URLs de detalle page/query/country por clics. No asignan las impresiones de esta consulta a cada página.</x:v>
      </x:c>
    </x:row>
    <x:row r="1275" ht="28" customHeight="1">
      <x:c r="A1275" s="4" t="n">
        <x:v>1265</x:v>
      </x:c>
      <x:c r="B1275" s="4" t="str">
        <x:v>flora y fauna zona sur de chile</x:v>
      </x:c>
      <x:c r="C1275" s="11" t="n">
        <x:v>1</x:v>
      </x:c>
      <x:c r="D1275" s="11" t="n">
        <x:v>67</x:v>
      </x:c>
      <x:c r="E1275" s="14" t="n">
        <x:v>0.014925373134328358</x:v>
      </x:c>
      <x:c r="F1275" s="12" t="n">
        <x:v>7.059701492537314</x:v>
      </x:c>
      <x:c r="G1275" s="4" t="str">
        <x:v>Sin marca literal</x:v>
      </x:c>
      <x:c r="H1275" s="11"/>
      <x:c r="I1275" s="11" t="str">
        <x:f>IF(H1275="","",C1275-H1275)</x:f>
      </x:c>
      <x:c r="J1275" s="4"/>
      <x:c r="K1275" s="4" t="str">
        <x:v>URLs de detalle page/query/country por clics. No asignan las impresiones de esta consulta a cada página.</x:v>
      </x:c>
    </x:row>
    <x:row r="1276" ht="28" customHeight="1">
      <x:c r="A1276" s="4" t="n">
        <x:v>1266</x:v>
      </x:c>
      <x:c r="B1276" s="4" t="str">
        <x:v>hay aeropuerto en chiloe</x:v>
      </x:c>
      <x:c r="C1276" s="11" t="n">
        <x:v>1</x:v>
      </x:c>
      <x:c r="D1276" s="11" t="n">
        <x:v>67</x:v>
      </x:c>
      <x:c r="E1276" s="14" t="n">
        <x:v>0.014925373134328358</x:v>
      </x:c>
      <x:c r="F1276" s="12" t="n">
        <x:v>5.343283582089552</x:v>
      </x:c>
      <x:c r="G1276" s="4" t="str">
        <x:v>Sin marca literal</x:v>
      </x:c>
      <x:c r="H1276" s="11"/>
      <x:c r="I1276" s="11" t="str">
        <x:f>IF(H1276="","",C1276-H1276)</x:f>
      </x:c>
      <x:c r="J1276" s="4"/>
      <x:c r="K1276" s="4" t="str">
        <x:v>URLs de detalle page/query/country por clics. No asignan las impresiones de esta consulta a cada página.</x:v>
      </x:c>
    </x:row>
    <x:row r="1277" ht="28" customHeight="1">
      <x:c r="A1277" s="4" t="n">
        <x:v>1267</x:v>
      </x:c>
      <x:c r="B1277" s="4" t="str">
        <x:v>reloj de flores viña del mar</x:v>
      </x:c>
      <x:c r="C1277" s="11" t="n">
        <x:v>1</x:v>
      </x:c>
      <x:c r="D1277" s="11" t="n">
        <x:v>67</x:v>
      </x:c>
      <x:c r="E1277" s="14" t="n">
        <x:v>0.014925373134328358</x:v>
      </x:c>
      <x:c r="F1277" s="12" t="n">
        <x:v>10.746268656716419</x:v>
      </x:c>
      <x:c r="G1277" s="4" t="str">
        <x:v>Sin marca literal</x:v>
      </x:c>
      <x:c r="H1277" s="11"/>
      <x:c r="I1277" s="11" t="str">
        <x:f>IF(H1277="","",C1277-H1277)</x:f>
      </x:c>
      <x:c r="J1277" s="4"/>
      <x:c r="K1277" s="4" t="str">
        <x:v>URLs de detalle page/query/country por clics. No asignan las impresiones de esta consulta a cada página.</x:v>
      </x:c>
    </x:row>
    <x:row r="1278" ht="28" customHeight="1">
      <x:c r="A1278" s="4" t="n">
        <x:v>1268</x:v>
      </x:c>
      <x:c r="B1278" s="4" t="str">
        <x:v>rio de janeiro</x:v>
      </x:c>
      <x:c r="C1278" s="11" t="n">
        <x:v>1</x:v>
      </x:c>
      <x:c r="D1278" s="11" t="n">
        <x:v>67</x:v>
      </x:c>
      <x:c r="E1278" s="14" t="n">
        <x:v>0.014925373134328358</x:v>
      </x:c>
      <x:c r="F1278" s="12" t="n">
        <x:v>29.417910447761194</x:v>
      </x:c>
      <x:c r="G1278" s="4" t="str">
        <x:v>Sin marca literal</x:v>
      </x:c>
      <x:c r="H1278" s="11"/>
      <x:c r="I1278" s="11" t="str">
        <x:f>IF(H1278="","",C1278-H1278)</x:f>
      </x:c>
      <x:c r="J1278" s="4"/>
      <x:c r="K1278" s="4" t="str">
        <x:v>URLs de detalle page/query/country por clics. No asignan las impresiones de esta consulta a cada página.</x:v>
      </x:c>
    </x:row>
    <x:row r="1279" ht="28" customHeight="1">
      <x:c r="A1279" s="4" t="n">
        <x:v>1269</x:v>
      </x:c>
      <x:c r="B1279" s="4" t="str">
        <x:v>salvador de bahia playas</x:v>
      </x:c>
      <x:c r="C1279" s="11" t="n">
        <x:v>1</x:v>
      </x:c>
      <x:c r="D1279" s="11" t="n">
        <x:v>66</x:v>
      </x:c>
      <x:c r="E1279" s="14" t="n">
        <x:v>0.015151515151515152</x:v>
      </x:c>
      <x:c r="F1279" s="12" t="n">
        <x:v>24.46969696969697</x:v>
      </x:c>
      <x:c r="G1279" s="4" t="str">
        <x:v>Sin marca literal</x:v>
      </x:c>
      <x:c r="H1279" s="11"/>
      <x:c r="I1279" s="11" t="str">
        <x:f>IF(H1279="","",C1279-H1279)</x:f>
      </x:c>
      <x:c r="J1279" s="4"/>
      <x:c r="K1279" s="4" t="str">
        <x:v>URLs de detalle page/query/country por clics. No asignan las impresiones de esta consulta a cada página.</x:v>
      </x:c>
    </x:row>
    <x:row r="1280" ht="28" customHeight="1">
      <x:c r="A1280" s="4" t="n">
        <x:v>1270</x:v>
      </x:c>
      <x:c r="B1280" s="4" t="str">
        <x:v>se necesita pasaporte para viajar a perú desde chile</x:v>
      </x:c>
      <x:c r="C1280" s="11" t="n">
        <x:v>1</x:v>
      </x:c>
      <x:c r="D1280" s="11" t="n">
        <x:v>66</x:v>
      </x:c>
      <x:c r="E1280" s="14" t="n">
        <x:v>0.015151515151515152</x:v>
      </x:c>
      <x:c r="F1280" s="12" t="n">
        <x:v>6.651515151515151</x:v>
      </x:c>
      <x:c r="G1280" s="4" t="str">
        <x:v>Sin marca literal</x:v>
      </x:c>
      <x:c r="H1280" s="11"/>
      <x:c r="I1280" s="11" t="str">
        <x:f>IF(H1280="","",C1280-H1280)</x:f>
      </x:c>
      <x:c r="J1280" s="4"/>
      <x:c r="K1280" s="4" t="str">
        <x:v>URLs de detalle page/query/country por clics. No asignan las impresiones de esta consulta a cada página.</x:v>
      </x:c>
    </x:row>
    <x:row r="1281" ht="28" customHeight="1">
      <x:c r="A1281" s="4" t="n">
        <x:v>1271</x:v>
      </x:c>
      <x:c r="B1281" s="4" t="str">
        <x:v>sur de argentina lugares</x:v>
      </x:c>
      <x:c r="C1281" s="11" t="n">
        <x:v>1</x:v>
      </x:c>
      <x:c r="D1281" s="11" t="n">
        <x:v>66</x:v>
      </x:c>
      <x:c r="E1281" s="14" t="n">
        <x:v>0.015151515151515152</x:v>
      </x:c>
      <x:c r="F1281" s="12" t="n">
        <x:v>4.651515151515151</x:v>
      </x:c>
      <x:c r="G1281" s="4" t="str">
        <x:v>Sin marca literal</x:v>
      </x:c>
      <x:c r="H1281" s="11"/>
      <x:c r="I1281" s="11" t="str">
        <x:f>IF(H1281="","",C1281-H1281)</x:f>
      </x:c>
      <x:c r="J1281" s="4"/>
      <x:c r="K1281" s="4" t="str">
        <x:v>URLs de detalle page/query/country por clics. No asignan las impresiones de esta consulta a cada página.</x:v>
      </x:c>
    </x:row>
    <x:row r="1282" ht="28" customHeight="1">
      <x:c r="A1282" s="4" t="n">
        <x:v>1272</x:v>
      </x:c>
      <x:c r="B1282" s="4" t="str">
        <x:v>tipo enchufe argentina</x:v>
      </x:c>
      <x:c r="C1282" s="11" t="n">
        <x:v>1</x:v>
      </x:c>
      <x:c r="D1282" s="11" t="n">
        <x:v>66</x:v>
      </x:c>
      <x:c r="E1282" s="14" t="n">
        <x:v>0.015151515151515152</x:v>
      </x:c>
      <x:c r="F1282" s="12" t="n">
        <x:v>7.9393939393939394</x:v>
      </x:c>
      <x:c r="G1282" s="4" t="str">
        <x:v>Sin marca literal</x:v>
      </x:c>
      <x:c r="H1282" s="11"/>
      <x:c r="I1282" s="11" t="str">
        <x:f>IF(H1282="","",C1282-H1282)</x:f>
      </x:c>
      <x:c r="J1282" s="4"/>
      <x:c r="K1282" s="4" t="str">
        <x:v>URLs de detalle page/query/country por clics. No asignan las impresiones de esta consulta a cada página.</x:v>
      </x:c>
    </x:row>
    <x:row r="1283" ht="28" customHeight="1">
      <x:c r="A1283" s="4" t="n">
        <x:v>1273</x:v>
      </x:c>
      <x:c r="B1283" s="4" t="str">
        <x:v>a que estacion del año estamos</x:v>
      </x:c>
      <x:c r="C1283" s="11" t="n">
        <x:v>1</x:v>
      </x:c>
      <x:c r="D1283" s="11" t="n">
        <x:v>65</x:v>
      </x:c>
      <x:c r="E1283" s="14" t="n">
        <x:v>0.015384615384615385</x:v>
      </x:c>
      <x:c r="F1283" s="12" t="n">
        <x:v>4.184615384615384</x:v>
      </x:c>
      <x:c r="G1283" s="4" t="str">
        <x:v>Sin marca literal</x:v>
      </x:c>
      <x:c r="H1283" s="11"/>
      <x:c r="I1283" s="11" t="str">
        <x:f>IF(H1283="","",C1283-H1283)</x:f>
      </x:c>
      <x:c r="J1283" s="4"/>
      <x:c r="K1283" s="4" t="str">
        <x:v>URLs de detalle page/query/country por clics. No asignan las impresiones de esta consulta a cada página.</x:v>
      </x:c>
    </x:row>
    <x:row r="1284" ht="28" customHeight="1">
      <x:c r="A1284" s="4" t="n">
        <x:v>1274</x:v>
      </x:c>
      <x:c r="B1284" s="4" t="str">
        <x:v>azafata carrera chile</x:v>
      </x:c>
      <x:c r="C1284" s="11" t="n">
        <x:v>1</x:v>
      </x:c>
      <x:c r="D1284" s="11" t="n">
        <x:v>65</x:v>
      </x:c>
      <x:c r="E1284" s="14" t="n">
        <x:v>0.015384615384615385</x:v>
      </x:c>
      <x:c r="F1284" s="12" t="n">
        <x:v>9.476923076923077</x:v>
      </x:c>
      <x:c r="G1284" s="4" t="str">
        <x:v>Sin marca literal</x:v>
      </x:c>
      <x:c r="H1284" s="11"/>
      <x:c r="I1284" s="11" t="str">
        <x:f>IF(H1284="","",C1284-H1284)</x:f>
      </x:c>
      <x:c r="J1284" s="4"/>
      <x:c r="K1284" s="4" t="str">
        <x:v>URLs de detalle page/query/country por clics. No asignan las impresiones de esta consulta a cada página.</x:v>
      </x:c>
    </x:row>
    <x:row r="1285" ht="28" customHeight="1">
      <x:c r="A1285" s="4" t="n">
        <x:v>1275</x:v>
      </x:c>
      <x:c r="B1285" s="4" t="str">
        <x:v>como son las estaciones del año en chile</x:v>
      </x:c>
      <x:c r="C1285" s="11" t="n">
        <x:v>1</x:v>
      </x:c>
      <x:c r="D1285" s="11" t="n">
        <x:v>65</x:v>
      </x:c>
      <x:c r="E1285" s="14" t="n">
        <x:v>0.015384615384615385</x:v>
      </x:c>
      <x:c r="F1285" s="12" t="n">
        <x:v>4.2153846153846155</x:v>
      </x:c>
      <x:c r="G1285" s="4" t="str">
        <x:v>Sin marca literal</x:v>
      </x:c>
      <x:c r="H1285" s="11"/>
      <x:c r="I1285" s="11" t="str">
        <x:f>IF(H1285="","",C1285-H1285)</x:f>
      </x:c>
      <x:c r="J1285" s="4"/>
      <x:c r="K1285" s="4" t="str">
        <x:v>URLs de detalle page/query/country por clics. No asignan las impresiones de esta consulta a cada página.</x:v>
      </x:c>
    </x:row>
    <x:row r="1286" ht="28" customHeight="1">
      <x:c r="A1286" s="4" t="n">
        <x:v>1276</x:v>
      </x:c>
      <x:c r="B1286" s="4" t="str">
        <x:v>cuantas horas son de santiago a brasil</x:v>
      </x:c>
      <x:c r="C1286" s="11" t="n">
        <x:v>1</x:v>
      </x:c>
      <x:c r="D1286" s="11" t="n">
        <x:v>65</x:v>
      </x:c>
      <x:c r="E1286" s="14" t="n">
        <x:v>0.015384615384615385</x:v>
      </x:c>
      <x:c r="F1286" s="12" t="n">
        <x:v>1.7846153846153845</x:v>
      </x:c>
      <x:c r="G1286" s="4" t="str">
        <x:v>Sin marca literal</x:v>
      </x:c>
      <x:c r="H1286" s="11"/>
      <x:c r="I1286" s="11" t="str">
        <x:f>IF(H1286="","",C1286-H1286)</x:f>
      </x:c>
      <x:c r="J1286" s="4"/>
      <x:c r="K1286" s="4" t="str">
        <x:v>URLs de detalle page/query/country por clics. No asignan las impresiones de esta consulta a cada página.</x:v>
      </x:c>
    </x:row>
    <x:row r="1287" ht="28" customHeight="1">
      <x:c r="A1287" s="4" t="n">
        <x:v>1277</x:v>
      </x:c>
      <x:c r="B1287" s="4" t="str">
        <x:v>donde queda punta cana?</x:v>
      </x:c>
      <x:c r="C1287" s="11" t="n">
        <x:v>1</x:v>
      </x:c>
      <x:c r="D1287" s="11" t="n">
        <x:v>65</x:v>
      </x:c>
      <x:c r="E1287" s="14" t="n">
        <x:v>0.015384615384615385</x:v>
      </x:c>
      <x:c r="F1287" s="12" t="n">
        <x:v>7.892307692307693</x:v>
      </x:c>
      <x:c r="G1287" s="4" t="str">
        <x:v>Sin marca literal</x:v>
      </x:c>
      <x:c r="H1287" s="11"/>
      <x:c r="I1287" s="11" t="str">
        <x:f>IF(H1287="","",C1287-H1287)</x:f>
      </x:c>
      <x:c r="J1287" s="4"/>
      <x:c r="K1287" s="4" t="str">
        <x:v>URLs de detalle page/query/country por clics. No asignan las impresiones de esta consulta a cada página.</x:v>
      </x:c>
    </x:row>
    <x:row r="1288" ht="28" customHeight="1">
      <x:c r="A1288" s="4" t="n">
        <x:v>1278</x:v>
      </x:c>
      <x:c r="B1288" s="4" t="str">
        <x:v>sky tiene wifi en el avion</x:v>
      </x:c>
      <x:c r="C1288" s="11" t="n">
        <x:v>1</x:v>
      </x:c>
      <x:c r="D1288" s="11" t="n">
        <x:v>65</x:v>
      </x:c>
      <x:c r="E1288" s="14" t="n">
        <x:v>0.015384615384615385</x:v>
      </x:c>
      <x:c r="F1288" s="12" t="n">
        <x:v>3.769230769230769</x:v>
      </x:c>
      <x:c r="G1288" s="4" t="str">
        <x:v>Sin marca literal</x:v>
      </x:c>
      <x:c r="H1288" s="11"/>
      <x:c r="I1288" s="11" t="str">
        <x:f>IF(H1288="","",C1288-H1288)</x:f>
      </x:c>
      <x:c r="J1288" s="4"/>
      <x:c r="K1288" s="4" t="str">
        <x:v>URLs de detalle page/query/country por clics. No asignan las impresiones de esta consulta a cada página.</x:v>
      </x:c>
    </x:row>
    <x:row r="1289" ht="28" customHeight="1">
      <x:c r="A1289" s="4" t="n">
        <x:v>1279</x:v>
      </x:c>
      <x:c r="B1289" s="4" t="str">
        <x:v>arboles del sur de chile</x:v>
      </x:c>
      <x:c r="C1289" s="11" t="n">
        <x:v>1</x:v>
      </x:c>
      <x:c r="D1289" s="11" t="n">
        <x:v>64</x:v>
      </x:c>
      <x:c r="E1289" s="14" t="n">
        <x:v>0.015625</x:v>
      </x:c>
      <x:c r="F1289" s="12" t="n">
        <x:v>7.4375</x:v>
      </x:c>
      <x:c r="G1289" s="4" t="str">
        <x:v>Sin marca literal</x:v>
      </x:c>
      <x:c r="H1289" s="11"/>
      <x:c r="I1289" s="11" t="str">
        <x:f>IF(H1289="","",C1289-H1289)</x:f>
      </x:c>
      <x:c r="J1289" s="4"/>
      <x:c r="K1289" s="4" t="str">
        <x:v>URLs de detalle page/query/country por clics. No asignan las impresiones de esta consulta a cada página.</x:v>
      </x:c>
    </x:row>
    <x:row r="1290" ht="28" customHeight="1">
      <x:c r="A1290" s="4" t="n">
        <x:v>1280</x:v>
      </x:c>
      <x:c r="B1290" s="4" t="str">
        <x:v>medida mochila sky airlines</x:v>
      </x:c>
      <x:c r="C1290" s="11" t="n">
        <x:v>1</x:v>
      </x:c>
      <x:c r="D1290" s="11" t="n">
        <x:v>64</x:v>
      </x:c>
      <x:c r="E1290" s="14" t="n">
        <x:v>0.015625</x:v>
      </x:c>
      <x:c r="F1290" s="12" t="n">
        <x:v>4.65625</x:v>
      </x:c>
      <x:c r="G1290" s="4" t="str">
        <x:v>Sin marca literal</x:v>
      </x:c>
      <x:c r="H1290" s="11"/>
      <x:c r="I1290" s="11" t="str">
        <x:f>IF(H1290="","",C1290-H1290)</x:f>
      </x:c>
      <x:c r="J1290" s="4"/>
      <x:c r="K1290" s="4" t="str">
        <x:v>URLs de detalle page/query/country por clics. No asignan las impresiones de esta consulta a cada página.</x:v>
      </x:c>
    </x:row>
    <x:row r="1291" ht="28" customHeight="1">
      <x:c r="A1291" s="4" t="n">
        <x:v>1281</x:v>
      </x:c>
      <x:c r="B1291" s="4" t="str">
        <x:v>que necesito para viajar a argentina</x:v>
      </x:c>
      <x:c r="C1291" s="11" t="n">
        <x:v>1</x:v>
      </x:c>
      <x:c r="D1291" s="11" t="n">
        <x:v>64</x:v>
      </x:c>
      <x:c r="E1291" s="14" t="n">
        <x:v>0.015625</x:v>
      </x:c>
      <x:c r="F1291" s="12" t="n">
        <x:v>5.96875</x:v>
      </x:c>
      <x:c r="G1291" s="4" t="str">
        <x:v>Sin marca literal</x:v>
      </x:c>
      <x:c r="H1291" s="11"/>
      <x:c r="I1291" s="11" t="str">
        <x:f>IF(H1291="","",C1291-H1291)</x:f>
      </x:c>
      <x:c r="J1291" s="4"/>
      <x:c r="K1291" s="4" t="str">
        <x:v>URLs de detalle page/query/country por clics. No asignan las impresiones de esta consulta a cada página.</x:v>
      </x:c>
    </x:row>
    <x:row r="1292" ht="28" customHeight="1">
      <x:c r="A1292" s="4" t="n">
        <x:v>1282</x:v>
      </x:c>
      <x:c r="B1292" s="4" t="str">
        <x:v>que significa bolso de mano en sky</x:v>
      </x:c>
      <x:c r="C1292" s="11" t="n">
        <x:v>1</x:v>
      </x:c>
      <x:c r="D1292" s="11" t="n">
        <x:v>64</x:v>
      </x:c>
      <x:c r="E1292" s="14" t="n">
        <x:v>0.015625</x:v>
      </x:c>
      <x:c r="F1292" s="12" t="n">
        <x:v>4.78125</x:v>
      </x:c>
      <x:c r="G1292" s="4" t="str">
        <x:v>Sin marca literal</x:v>
      </x:c>
      <x:c r="H1292" s="11"/>
      <x:c r="I1292" s="11" t="str">
        <x:f>IF(H1292="","",C1292-H1292)</x:f>
      </x:c>
      <x:c r="J1292" s="4"/>
      <x:c r="K1292" s="4" t="str">
        <x:v>URLs de detalle page/query/country por clics. No asignan las impresiones de esta consulta a cada página.</x:v>
      </x:c>
    </x:row>
    <x:row r="1293" ht="28" customHeight="1">
      <x:c r="A1293" s="4" t="n">
        <x:v>1283</x:v>
      </x:c>
      <x:c r="B1293" s="4" t="str">
        <x:v>bus montevideo a punta del este</x:v>
      </x:c>
      <x:c r="C1293" s="11" t="n">
        <x:v>1</x:v>
      </x:c>
      <x:c r="D1293" s="11" t="n">
        <x:v>63</x:v>
      </x:c>
      <x:c r="E1293" s="14" t="n">
        <x:v>0.015873015873015872</x:v>
      </x:c>
      <x:c r="F1293" s="12" t="n">
        <x:v>7.7936507936507935</x:v>
      </x:c>
      <x:c r="G1293" s="4" t="str">
        <x:v>Sin marca literal</x:v>
      </x:c>
      <x:c r="H1293" s="11"/>
      <x:c r="I1293" s="11" t="str">
        <x:f>IF(H1293="","",C1293-H1293)</x:f>
      </x:c>
      <x:c r="J1293" s="4"/>
      <x:c r="K1293" s="4" t="str">
        <x:v>URLs de detalle page/query/country por clics. No asignan las impresiones de esta consulta a cada página.</x:v>
      </x:c>
    </x:row>
    <x:row r="1294" ht="28" customHeight="1">
      <x:c r="A1294" s="4" t="n">
        <x:v>1284</x:v>
      </x:c>
      <x:c r="B1294" s="4" t="str">
        <x:v>hay aeropuerto en temuco</x:v>
      </x:c>
      <x:c r="C1294" s="11" t="n">
        <x:v>1</x:v>
      </x:c>
      <x:c r="D1294" s="11" t="n">
        <x:v>63</x:v>
      </x:c>
      <x:c r="E1294" s="14" t="n">
        <x:v>0.015873015873015872</x:v>
      </x:c>
      <x:c r="F1294" s="12" t="n">
        <x:v>5.920634920634921</x:v>
      </x:c>
      <x:c r="G1294" s="4" t="str">
        <x:v>Sin marca literal</x:v>
      </x:c>
      <x:c r="H1294" s="11"/>
      <x:c r="I1294" s="11" t="str">
        <x:f>IF(H1294="","",C1294-H1294)</x:f>
      </x:c>
      <x:c r="J1294" s="4"/>
      <x:c r="K1294" s="4" t="str">
        <x:v>URLs de detalle page/query/country por clics. No asignan las impresiones de esta consulta a cada página.</x:v>
      </x:c>
    </x:row>
    <x:row r="1295" ht="28" customHeight="1">
      <x:c r="A1295" s="4" t="n">
        <x:v>1285</x:v>
      </x:c>
      <x:c r="B1295" s="4" t="str">
        <x:v>montevideo a punta del este distancia</x:v>
      </x:c>
      <x:c r="C1295" s="11" t="n">
        <x:v>1</x:v>
      </x:c>
      <x:c r="D1295" s="11" t="n">
        <x:v>63</x:v>
      </x:c>
      <x:c r="E1295" s="14" t="n">
        <x:v>0.015873015873015872</x:v>
      </x:c>
      <x:c r="F1295" s="12" t="n">
        <x:v>3.984126984126984</x:v>
      </x:c>
      <x:c r="G1295" s="4" t="str">
        <x:v>Sin marca literal</x:v>
      </x:c>
      <x:c r="H1295" s="11"/>
      <x:c r="I1295" s="11" t="str">
        <x:f>IF(H1295="","",C1295-H1295)</x:f>
      </x:c>
      <x:c r="J1295" s="4"/>
      <x:c r="K1295" s="4" t="str">
        <x:v>URLs de detalle page/query/country por clics. No asignan las impresiones de esta consulta a cada página.</x:v>
      </x:c>
    </x:row>
    <x:row r="1296" ht="28" customHeight="1">
      <x:c r="A1296" s="4" t="n">
        <x:v>1286</x:v>
      </x:c>
      <x:c r="B1296" s="4" t="str">
        <x:v>que no puedo llevar en el equipaje de mano</x:v>
      </x:c>
      <x:c r="C1296" s="11" t="n">
        <x:v>1</x:v>
      </x:c>
      <x:c r="D1296" s="11" t="n">
        <x:v>63</x:v>
      </x:c>
      <x:c r="E1296" s="14" t="n">
        <x:v>0.015873015873015872</x:v>
      </x:c>
      <x:c r="F1296" s="12" t="n">
        <x:v>7.015873015873016</x:v>
      </x:c>
      <x:c r="G1296" s="4" t="str">
        <x:v>Sin marca literal</x:v>
      </x:c>
      <x:c r="H1296" s="11"/>
      <x:c r="I1296" s="11" t="str">
        <x:f>IF(H1296="","",C1296-H1296)</x:f>
      </x:c>
      <x:c r="J1296" s="4"/>
      <x:c r="K1296" s="4" t="str">
        <x:v>URLs de detalle page/query/country por clics. No asignan las impresiones de esta consulta a cada página.</x:v>
      </x:c>
    </x:row>
    <x:row r="1297" ht="28" customHeight="1">
      <x:c r="A1297" s="4" t="n">
        <x:v>1287</x:v>
      </x:c>
      <x:c r="B1297" s="4" t="str">
        <x:v>requisitos para entrar a brasil</x:v>
      </x:c>
      <x:c r="C1297" s="11" t="n">
        <x:v>1</x:v>
      </x:c>
      <x:c r="D1297" s="11" t="n">
        <x:v>63</x:v>
      </x:c>
      <x:c r="E1297" s="14" t="n">
        <x:v>0.015873015873015872</x:v>
      </x:c>
      <x:c r="F1297" s="12" t="n">
        <x:v>9.142857142857142</x:v>
      </x:c>
      <x:c r="G1297" s="4" t="str">
        <x:v>Sin marca literal</x:v>
      </x:c>
      <x:c r="H1297" s="11"/>
      <x:c r="I1297" s="11" t="str">
        <x:f>IF(H1297="","",C1297-H1297)</x:f>
      </x:c>
      <x:c r="J1297" s="4"/>
      <x:c r="K1297" s="4" t="str">
        <x:v>URLs de detalle page/query/country por clics. No asignan las impresiones de esta consulta a cada página.</x:v>
      </x:c>
    </x:row>
    <x:row r="1298" ht="28" customHeight="1">
      <x:c r="A1298" s="4" t="n">
        <x:v>1288</x:v>
      </x:c>
      <x:c r="B1298" s="4" t="str">
        <x:v>sargazos en punta cana</x:v>
      </x:c>
      <x:c r="C1298" s="11" t="n">
        <x:v>1</x:v>
      </x:c>
      <x:c r="D1298" s="11" t="n">
        <x:v>63</x:v>
      </x:c>
      <x:c r="E1298" s="14" t="n">
        <x:v>0.015873015873015872</x:v>
      </x:c>
      <x:c r="F1298" s="12" t="n">
        <x:v>9.825396825396826</x:v>
      </x:c>
      <x:c r="G1298" s="4" t="str">
        <x:v>Sin marca literal</x:v>
      </x:c>
      <x:c r="H1298" s="11"/>
      <x:c r="I1298" s="11" t="str">
        <x:f>IF(H1298="","",C1298-H1298)</x:f>
      </x:c>
      <x:c r="J1298" s="4"/>
      <x:c r="K1298" s="4" t="str">
        <x:v>URLs de detalle page/query/country por clics. No asignan las impresiones de esta consulta a cada página.</x:v>
      </x:c>
    </x:row>
    <x:row r="1299" ht="28" customHeight="1">
      <x:c r="A1299" s="4" t="n">
        <x:v>1289</x:v>
      </x:c>
      <x:c r="B1299" s="4" t="str">
        <x:v>se pueden llevar perfumes en el avion</x:v>
      </x:c>
      <x:c r="C1299" s="11" t="n">
        <x:v>1</x:v>
      </x:c>
      <x:c r="D1299" s="11" t="n">
        <x:v>63</x:v>
      </x:c>
      <x:c r="E1299" s="14" t="n">
        <x:v>0.015873015873015872</x:v>
      </x:c>
      <x:c r="F1299" s="12" t="n">
        <x:v>4.507936507936508</x:v>
      </x:c>
      <x:c r="G1299" s="4" t="str">
        <x:v>Sin marca literal</x:v>
      </x:c>
      <x:c r="H1299" s="11"/>
      <x:c r="I1299" s="11" t="str">
        <x:f>IF(H1299="","",C1299-H1299)</x:f>
      </x:c>
      <x:c r="J1299" s="4"/>
      <x:c r="K1299" s="4" t="str">
        <x:v>URLs de detalle page/query/country por clics. No asignan las impresiones de esta consulta a cada página.</x:v>
      </x:c>
    </x:row>
    <x:row r="1300" ht="28" customHeight="1">
      <x:c r="A1300" s="4" t="n">
        <x:v>1290</x:v>
      </x:c>
      <x:c r="B1300" s="4" t="str">
        <x:v>centro comercial</x:v>
      </x:c>
      <x:c r="C1300" s="11" t="n">
        <x:v>1</x:v>
      </x:c>
      <x:c r="D1300" s="11" t="n">
        <x:v>62</x:v>
      </x:c>
      <x:c r="E1300" s="14" t="n">
        <x:v>0.016129032258064516</x:v>
      </x:c>
      <x:c r="F1300" s="12" t="n">
        <x:v>11.35483870967742</x:v>
      </x:c>
      <x:c r="G1300" s="4" t="str">
        <x:v>Sin marca literal</x:v>
      </x:c>
      <x:c r="H1300" s="11"/>
      <x:c r="I1300" s="11" t="str">
        <x:f>IF(H1300="","",C1300-H1300)</x:f>
      </x:c>
      <x:c r="J1300" s="4"/>
      <x:c r="K1300" s="4" t="str">
        <x:v>URLs de detalle page/query/country por clics. No asignan las impresiones de esta consulta a cada página.</x:v>
      </x:c>
    </x:row>
    <x:row r="1301" ht="28" customHeight="1">
      <x:c r="A1301" s="4" t="n">
        <x:v>1291</x:v>
      </x:c>
      <x:c r="B1301" s="4" t="str">
        <x:v>como llegar a huilo huilo en avión</x:v>
      </x:c>
      <x:c r="C1301" s="11" t="n">
        <x:v>1</x:v>
      </x:c>
      <x:c r="D1301" s="11" t="n">
        <x:v>62</x:v>
      </x:c>
      <x:c r="E1301" s="14" t="n">
        <x:v>0.016129032258064516</x:v>
      </x:c>
      <x:c r="F1301" s="12" t="n">
        <x:v>4.17741935483871</x:v>
      </x:c>
      <x:c r="G1301" s="4" t="str">
        <x:v>Sin marca literal</x:v>
      </x:c>
      <x:c r="H1301" s="11"/>
      <x:c r="I1301" s="11" t="str">
        <x:f>IF(H1301="","",C1301-H1301)</x:f>
      </x:c>
      <x:c r="J1301" s="4"/>
      <x:c r="K1301" s="4" t="str">
        <x:v>URLs de detalle page/query/country por clics. No asignan las impresiones de esta consulta a cada página.</x:v>
      </x:c>
    </x:row>
    <x:row r="1302" ht="28" customHeight="1">
      <x:c r="A1302" s="4" t="n">
        <x:v>1292</x:v>
      </x:c>
      <x:c r="B1302" s="4" t="str">
        <x:v>como se llama el aeropuerto de buenos aires argentina</x:v>
      </x:c>
      <x:c r="C1302" s="11" t="n">
        <x:v>1</x:v>
      </x:c>
      <x:c r="D1302" s="11" t="n">
        <x:v>62</x:v>
      </x:c>
      <x:c r="E1302" s="14" t="n">
        <x:v>0.016129032258064516</x:v>
      </x:c>
      <x:c r="F1302" s="12" t="n">
        <x:v>5.67741935483871</x:v>
      </x:c>
      <x:c r="G1302" s="4" t="str">
        <x:v>Sin marca literal</x:v>
      </x:c>
      <x:c r="H1302" s="11"/>
      <x:c r="I1302" s="11" t="str">
        <x:f>IF(H1302="","",C1302-H1302)</x:f>
      </x:c>
      <x:c r="J1302" s="4"/>
      <x:c r="K1302" s="4" t="str">
        <x:v>URLs de detalle page/query/country por clics. No asignan las impresiones de esta consulta a cada página.</x:v>
      </x:c>
    </x:row>
    <x:row r="1303" ht="28" customHeight="1">
      <x:c r="A1303" s="4" t="n">
        <x:v>1293</x:v>
      </x:c>
      <x:c r="B1303" s="4" t="str">
        <x:v>santiago a mendoza</x:v>
      </x:c>
      <x:c r="C1303" s="11" t="n">
        <x:v>1</x:v>
      </x:c>
      <x:c r="D1303" s="11" t="n">
        <x:v>62</x:v>
      </x:c>
      <x:c r="E1303" s="14" t="n">
        <x:v>0.016129032258064516</x:v>
      </x:c>
      <x:c r="F1303" s="12" t="n">
        <x:v>10.064516129032258</x:v>
      </x:c>
      <x:c r="G1303" s="4" t="str">
        <x:v>Sin marca literal</x:v>
      </x:c>
      <x:c r="H1303" s="11"/>
      <x:c r="I1303" s="11" t="str">
        <x:f>IF(H1303="","",C1303-H1303)</x:f>
      </x:c>
      <x:c r="J1303" s="4"/>
      <x:c r="K1303" s="4" t="str">
        <x:v>URLs de detalle page/query/country por clics. No asignan las impresiones de esta consulta a cada página.</x:v>
      </x:c>
    </x:row>
    <x:row r="1304" ht="28" customHeight="1">
      <x:c r="A1304" s="4" t="n">
        <x:v>1294</x:v>
      </x:c>
      <x:c r="B1304" s="4" t="str">
        <x:v>terminal sur santiago como llegar en metro</x:v>
      </x:c>
      <x:c r="C1304" s="11" t="n">
        <x:v>1</x:v>
      </x:c>
      <x:c r="D1304" s="11" t="n">
        <x:v>62</x:v>
      </x:c>
      <x:c r="E1304" s="14" t="n">
        <x:v>0.016129032258064516</x:v>
      </x:c>
      <x:c r="F1304" s="12" t="n">
        <x:v>6.338709677419355</x:v>
      </x:c>
      <x:c r="G1304" s="4" t="str">
        <x:v>Sin marca literal</x:v>
      </x:c>
      <x:c r="H1304" s="11"/>
      <x:c r="I1304" s="11" t="str">
        <x:f>IF(H1304="","",C1304-H1304)</x:f>
      </x:c>
      <x:c r="J1304" s="4"/>
      <x:c r="K1304" s="4" t="str">
        <x:v>URLs de detalle page/query/country por clics. No asignan las impresiones de esta consulta a cada página.</x:v>
      </x:c>
    </x:row>
    <x:row r="1305" ht="28" customHeight="1">
      <x:c r="A1305" s="4" t="n">
        <x:v>1295</x:v>
      </x:c>
      <x:c r="B1305" s="4" t="str">
        <x:v>cuanto debe pesar la maleta de cabina</x:v>
      </x:c>
      <x:c r="C1305" s="11" t="n">
        <x:v>1</x:v>
      </x:c>
      <x:c r="D1305" s="11" t="n">
        <x:v>61</x:v>
      </x:c>
      <x:c r="E1305" s="14" t="n">
        <x:v>0.01639344262295082</x:v>
      </x:c>
      <x:c r="F1305" s="12" t="n">
        <x:v>8.180327868852459</x:v>
      </x:c>
      <x:c r="G1305" s="4" t="str">
        <x:v>Sin marca literal</x:v>
      </x:c>
      <x:c r="H1305" s="11"/>
      <x:c r="I1305" s="11" t="str">
        <x:f>IF(H1305="","",C1305-H1305)</x:f>
      </x:c>
      <x:c r="J1305" s="4"/>
      <x:c r="K1305" s="4" t="str">
        <x:v>URLs de detalle page/query/country por clics. No asignan las impresiones de esta consulta a cada página.</x:v>
      </x:c>
    </x:row>
    <x:row r="1306" ht="28" customHeight="1">
      <x:c r="A1306" s="4" t="n">
        <x:v>1296</x:v>
      </x:c>
      <x:c r="B1306" s="4" t="str">
        <x:v>panoramas con niños</x:v>
      </x:c>
      <x:c r="C1306" s="11" t="n">
        <x:v>1</x:v>
      </x:c>
      <x:c r="D1306" s="11" t="n">
        <x:v>61</x:v>
      </x:c>
      <x:c r="E1306" s="14" t="n">
        <x:v>0.01639344262295082</x:v>
      </x:c>
      <x:c r="F1306" s="12" t="n">
        <x:v>9.39344262295082</x:v>
      </x:c>
      <x:c r="G1306" s="4" t="str">
        <x:v>Sin marca literal</x:v>
      </x:c>
      <x:c r="H1306" s="11"/>
      <x:c r="I1306" s="11" t="str">
        <x:f>IF(H1306="","",C1306-H1306)</x:f>
      </x:c>
      <x:c r="J1306" s="4"/>
      <x:c r="K1306" s="4" t="str">
        <x:v>URLs de detalle page/query/country por clics. No asignan las impresiones de esta consulta a cada página.</x:v>
      </x:c>
    </x:row>
    <x:row r="1307" ht="28" customHeight="1">
      <x:c r="A1307" s="4" t="n">
        <x:v>1297</x:v>
      </x:c>
      <x:c r="B1307" s="4" t="str">
        <x:v>platos tipicos</x:v>
      </x:c>
      <x:c r="C1307" s="11" t="n">
        <x:v>1</x:v>
      </x:c>
      <x:c r="D1307" s="11" t="n">
        <x:v>61</x:v>
      </x:c>
      <x:c r="E1307" s="14" t="n">
        <x:v>0.01639344262295082</x:v>
      </x:c>
      <x:c r="F1307" s="12" t="n">
        <x:v>12.131147540983607</x:v>
      </x:c>
      <x:c r="G1307" s="4" t="str">
        <x:v>Sin marca literal</x:v>
      </x:c>
      <x:c r="H1307" s="11"/>
      <x:c r="I1307" s="11" t="str">
        <x:f>IF(H1307="","",C1307-H1307)</x:f>
      </x:c>
      <x:c r="J1307" s="4"/>
      <x:c r="K1307" s="4" t="str">
        <x:v>URLs de detalle page/query/country por clics. No asignan las impresiones de esta consulta a cada página.</x:v>
      </x:c>
    </x:row>
    <x:row r="1308" ht="28" customHeight="1">
      <x:c r="A1308" s="4" t="n">
        <x:v>1298</x:v>
      </x:c>
      <x:c r="B1308" s="4" t="str">
        <x:v>santa cruz chile como llegar</x:v>
      </x:c>
      <x:c r="C1308" s="11" t="n">
        <x:v>1</x:v>
      </x:c>
      <x:c r="D1308" s="11" t="n">
        <x:v>61</x:v>
      </x:c>
      <x:c r="E1308" s="14" t="n">
        <x:v>0.01639344262295082</x:v>
      </x:c>
      <x:c r="F1308" s="12" t="n">
        <x:v>4.491803278688525</x:v>
      </x:c>
      <x:c r="G1308" s="4" t="str">
        <x:v>Sin marca literal</x:v>
      </x:c>
      <x:c r="H1308" s="11"/>
      <x:c r="I1308" s="11" t="str">
        <x:f>IF(H1308="","",C1308-H1308)</x:f>
      </x:c>
      <x:c r="J1308" s="4"/>
      <x:c r="K1308" s="4" t="str">
        <x:v>URLs de detalle page/query/country por clics. No asignan las impresiones de esta consulta a cada página.</x:v>
      </x:c>
    </x:row>
    <x:row r="1309" ht="28" customHeight="1">
      <x:c r="A1309" s="4" t="n">
        <x:v>1299</x:v>
      </x:c>
      <x:c r="B1309" s="4" t="str">
        <x:v>liquido permitido en avion</x:v>
      </x:c>
      <x:c r="C1309" s="11" t="n">
        <x:v>1</x:v>
      </x:c>
      <x:c r="D1309" s="11" t="n">
        <x:v>60</x:v>
      </x:c>
      <x:c r="E1309" s="14" t="n">
        <x:v>0.016666666666666666</x:v>
      </x:c>
      <x:c r="F1309" s="12" t="n">
        <x:v>26.65</x:v>
      </x:c>
      <x:c r="G1309" s="4" t="str">
        <x:v>Sin marca literal</x:v>
      </x:c>
      <x:c r="H1309" s="11"/>
      <x:c r="I1309" s="11" t="str">
        <x:f>IF(H1309="","",C1309-H1309)</x:f>
      </x:c>
      <x:c r="J1309" s="4"/>
      <x:c r="K1309" s="4" t="str">
        <x:v>URLs de detalle page/query/country por clics. No asignan las impresiones de esta consulta a cada página.</x:v>
      </x:c>
    </x:row>
    <x:row r="1310" ht="28" customHeight="1">
      <x:c r="A1310" s="4" t="n">
        <x:v>1300</x:v>
      </x:c>
      <x:c r="B1310" s="4" t="str">
        <x:v>meses de verano en chile</x:v>
      </x:c>
      <x:c r="C1310" s="11" t="n">
        <x:v>1</x:v>
      </x:c>
      <x:c r="D1310" s="11" t="n">
        <x:v>60</x:v>
      </x:c>
      <x:c r="E1310" s="14" t="n">
        <x:v>0.016666666666666666</x:v>
      </x:c>
      <x:c r="F1310" s="12" t="n">
        <x:v>5.25</x:v>
      </x:c>
      <x:c r="G1310" s="4" t="str">
        <x:v>Sin marca literal</x:v>
      </x:c>
      <x:c r="H1310" s="11"/>
      <x:c r="I1310" s="11" t="str">
        <x:f>IF(H1310="","",C1310-H1310)</x:f>
      </x:c>
      <x:c r="J1310" s="4"/>
      <x:c r="K1310" s="4" t="str">
        <x:v>URLs de detalle page/query/country por clics. No asignan las impresiones de esta consulta a cada página.</x:v>
      </x:c>
    </x:row>
    <x:row r="1311" ht="28" customHeight="1">
      <x:c r="A1311" s="4" t="n">
        <x:v>1301</x:v>
      </x:c>
      <x:c r="B1311" s="4" t="str">
        <x:v>sky airlines grupos</x:v>
      </x:c>
      <x:c r="C1311" s="11" t="n">
        <x:v>1</x:v>
      </x:c>
      <x:c r="D1311" s="11" t="n">
        <x:v>60</x:v>
      </x:c>
      <x:c r="E1311" s="14" t="n">
        <x:v>0.016666666666666666</x:v>
      </x:c>
      <x:c r="F1311" s="12" t="n">
        <x:v>4.483333333333333</x:v>
      </x:c>
      <x:c r="G1311" s="4" t="str">
        <x:v>Sin marca literal</x:v>
      </x:c>
      <x:c r="H1311" s="11"/>
      <x:c r="I1311" s="11" t="str">
        <x:f>IF(H1311="","",C1311-H1311)</x:f>
      </x:c>
      <x:c r="J1311" s="4"/>
      <x:c r="K1311" s="4" t="str">
        <x:v>URLs de detalle page/query/country por clics. No asignan las impresiones de esta consulta a cada página.</x:v>
      </x:c>
    </x:row>
    <x:row r="1312" ht="28" customHeight="1">
      <x:c r="A1312" s="4" t="n">
        <x:v>1302</x:v>
      </x:c>
      <x:c r="B1312" s="4" t="str">
        <x:v>skyplus platino</x:v>
      </x:c>
      <x:c r="C1312" s="11" t="n">
        <x:v>1</x:v>
      </x:c>
      <x:c r="D1312" s="11" t="n">
        <x:v>60</x:v>
      </x:c>
      <x:c r="E1312" s="14" t="n">
        <x:v>0.016666666666666666</x:v>
      </x:c>
      <x:c r="F1312" s="12" t="n">
        <x:v>6.533333333333333</x:v>
      </x:c>
      <x:c r="G1312" s="4" t="str">
        <x:v>Sin marca literal</x:v>
      </x:c>
      <x:c r="H1312" s="11"/>
      <x:c r="I1312" s="11" t="str">
        <x:f>IF(H1312="","",C1312-H1312)</x:f>
      </x:c>
      <x:c r="J1312" s="4"/>
      <x:c r="K1312" s="4" t="str">
        <x:v>URLs de detalle page/query/country por clics. No asignan las impresiones de esta consulta a cada página.</x:v>
      </x:c>
    </x:row>
    <x:row r="1313" ht="28" customHeight="1">
      <x:c r="A1313" s="4" t="n">
        <x:v>1303</x:v>
      </x:c>
      <x:c r="B1313" s="4" t="str">
        <x:v>termas del sol donde queda</x:v>
      </x:c>
      <x:c r="C1313" s="11" t="n">
        <x:v>1</x:v>
      </x:c>
      <x:c r="D1313" s="11" t="n">
        <x:v>60</x:v>
      </x:c>
      <x:c r="E1313" s="14" t="n">
        <x:v>0.016666666666666666</x:v>
      </x:c>
      <x:c r="F1313" s="12" t="n">
        <x:v>6.8</x:v>
      </x:c>
      <x:c r="G1313" s="4" t="str">
        <x:v>Sin marca literal</x:v>
      </x:c>
      <x:c r="H1313" s="11"/>
      <x:c r="I1313" s="11" t="str">
        <x:f>IF(H1313="","",C1313-H1313)</x:f>
      </x:c>
      <x:c r="J1313" s="4"/>
      <x:c r="K1313" s="4" t="str">
        <x:v>URLs de detalle page/query/country por clics. No asignan las impresiones de esta consulta a cada página.</x:v>
      </x:c>
    </x:row>
    <x:row r="1314" ht="28" customHeight="1">
      <x:c r="A1314" s="4" t="n">
        <x:v>1304</x:v>
      </x:c>
      <x:c r="B1314" s="4" t="str">
        <x:v>tradiciones de argentina</x:v>
      </x:c>
      <x:c r="C1314" s="11" t="n">
        <x:v>1</x:v>
      </x:c>
      <x:c r="D1314" s="11" t="n">
        <x:v>60</x:v>
      </x:c>
      <x:c r="E1314" s="14" t="n">
        <x:v>0.016666666666666666</x:v>
      </x:c>
      <x:c r="F1314" s="12" t="n">
        <x:v>9.633333333333333</x:v>
      </x:c>
      <x:c r="G1314" s="4" t="str">
        <x:v>Sin marca literal</x:v>
      </x:c>
      <x:c r="H1314" s="11"/>
      <x:c r="I1314" s="11" t="str">
        <x:f>IF(H1314="","",C1314-H1314)</x:f>
      </x:c>
      <x:c r="J1314" s="4"/>
      <x:c r="K1314" s="4" t="str">
        <x:v>URLs de detalle page/query/country por clics. No asignan las impresiones de esta consulta a cada página.</x:v>
      </x:c>
    </x:row>
    <x:row r="1315" ht="28" customHeight="1">
      <x:c r="A1315" s="4" t="n">
        <x:v>1305</x:v>
      </x:c>
      <x:c r="B1315" s="4" t="str">
        <x:v>cuantas horas son de santiago a pucon</x:v>
      </x:c>
      <x:c r="C1315" s="11" t="n">
        <x:v>1</x:v>
      </x:c>
      <x:c r="D1315" s="11" t="n">
        <x:v>59</x:v>
      </x:c>
      <x:c r="E1315" s="14" t="n">
        <x:v>0.01694915254237288</x:v>
      </x:c>
      <x:c r="F1315" s="12" t="n">
        <x:v>4.864406779661017</x:v>
      </x:c>
      <x:c r="G1315" s="4" t="str">
        <x:v>Sin marca literal</x:v>
      </x:c>
      <x:c r="H1315" s="11"/>
      <x:c r="I1315" s="11" t="str">
        <x:f>IF(H1315="","",C1315-H1315)</x:f>
      </x:c>
      <x:c r="J1315" s="4"/>
      <x:c r="K1315" s="4" t="str">
        <x:v>URLs de detalle page/query/country por clics. No asignan las impresiones de esta consulta a cada página.</x:v>
      </x:c>
    </x:row>
    <x:row r="1316" ht="28" customHeight="1">
      <x:c r="A1316" s="4" t="n">
        <x:v>1306</x:v>
      </x:c>
      <x:c r="B1316" s="4" t="str">
        <x:v>florianopolis distancia rio de janeiro</x:v>
      </x:c>
      <x:c r="C1316" s="11" t="n">
        <x:v>1</x:v>
      </x:c>
      <x:c r="D1316" s="11" t="n">
        <x:v>59</x:v>
      </x:c>
      <x:c r="E1316" s="14" t="n">
        <x:v>0.01694915254237288</x:v>
      </x:c>
      <x:c r="F1316" s="12" t="n">
        <x:v>3.9661016949152543</x:v>
      </x:c>
      <x:c r="G1316" s="4" t="str">
        <x:v>Sin marca literal</x:v>
      </x:c>
      <x:c r="H1316" s="11"/>
      <x:c r="I1316" s="11" t="str">
        <x:f>IF(H1316="","",C1316-H1316)</x:f>
      </x:c>
      <x:c r="J1316" s="4"/>
      <x:c r="K1316" s="4" t="str">
        <x:v>URLs de detalle page/query/country por clics. No asignan las impresiones de esta consulta a cada página.</x:v>
      </x:c>
    </x:row>
    <x:row r="1317" ht="28" customHeight="1">
      <x:c r="A1317" s="4" t="n">
        <x:v>1307</x:v>
      </x:c>
      <x:c r="B1317" s="4" t="str">
        <x:v>puedo llevar alcohol en equipaje de mano</x:v>
      </x:c>
      <x:c r="C1317" s="11" t="n">
        <x:v>1</x:v>
      </x:c>
      <x:c r="D1317" s="11" t="n">
        <x:v>59</x:v>
      </x:c>
      <x:c r="E1317" s="14" t="n">
        <x:v>0.01694915254237288</x:v>
      </x:c>
      <x:c r="F1317" s="12" t="n">
        <x:v>4.813559322033898</x:v>
      </x:c>
      <x:c r="G1317" s="4" t="str">
        <x:v>Sin marca literal</x:v>
      </x:c>
      <x:c r="H1317" s="11"/>
      <x:c r="I1317" s="11" t="str">
        <x:f>IF(H1317="","",C1317-H1317)</x:f>
      </x:c>
      <x:c r="J1317" s="4"/>
      <x:c r="K1317" s="4" t="str">
        <x:v>URLs de detalle page/query/country por clics. No asignan las impresiones de esta consulta a cada página.</x:v>
      </x:c>
    </x:row>
    <x:row r="1318" ht="28" customHeight="1">
      <x:c r="A1318" s="4" t="n">
        <x:v>1308</x:v>
      </x:c>
      <x:c r="B1318" s="4" t="str">
        <x:v>que tipo de enchufe usan en argentina</x:v>
      </x:c>
      <x:c r="C1318" s="11" t="n">
        <x:v>1</x:v>
      </x:c>
      <x:c r="D1318" s="11" t="n">
        <x:v>59</x:v>
      </x:c>
      <x:c r="E1318" s="14" t="n">
        <x:v>0.01694915254237288</x:v>
      </x:c>
      <x:c r="F1318" s="12" t="n">
        <x:v>6.9491525423728815</x:v>
      </x:c>
      <x:c r="G1318" s="4" t="str">
        <x:v>Sin marca literal</x:v>
      </x:c>
      <x:c r="H1318" s="11"/>
      <x:c r="I1318" s="11" t="str">
        <x:f>IF(H1318="","",C1318-H1318)</x:f>
      </x:c>
      <x:c r="J1318" s="4"/>
      <x:c r="K1318" s="4" t="str">
        <x:v>URLs de detalle page/query/country por clics. No asignan las impresiones de esta consulta a cada página.</x:v>
      </x:c>
    </x:row>
    <x:row r="1319" ht="28" customHeight="1">
      <x:c r="A1319" s="4" t="n">
        <x:v>1309</x:v>
      </x:c>
      <x:c r="B1319" s="4" t="str">
        <x:v>caminito la boca</x:v>
      </x:c>
      <x:c r="C1319" s="11" t="n">
        <x:v>1</x:v>
      </x:c>
      <x:c r="D1319" s="11" t="n">
        <x:v>58</x:v>
      </x:c>
      <x:c r="E1319" s="14" t="n">
        <x:v>0.017241379310344827</x:v>
      </x:c>
      <x:c r="F1319" s="12" t="n">
        <x:v>9.327586206896552</x:v>
      </x:c>
      <x:c r="G1319" s="4" t="str">
        <x:v>Sin marca literal</x:v>
      </x:c>
      <x:c r="H1319" s="11"/>
      <x:c r="I1319" s="11" t="str">
        <x:f>IF(H1319="","",C1319-H1319)</x:f>
      </x:c>
      <x:c r="J1319" s="4"/>
      <x:c r="K1319" s="4" t="str">
        <x:v>URLs de detalle page/query/country por clics. No asignan las impresiones de esta consulta a cada página.</x:v>
      </x:c>
    </x:row>
    <x:row r="1320" ht="28" customHeight="1">
      <x:c r="A1320" s="4" t="n">
        <x:v>1310</x:v>
      </x:c>
      <x:c r="B1320" s="4" t="str">
        <x:v>duracion vuelo santiago lima</x:v>
      </x:c>
      <x:c r="C1320" s="11" t="n">
        <x:v>1</x:v>
      </x:c>
      <x:c r="D1320" s="11" t="n">
        <x:v>58</x:v>
      </x:c>
      <x:c r="E1320" s="14" t="n">
        <x:v>0.017241379310344827</x:v>
      </x:c>
      <x:c r="F1320" s="12" t="n">
        <x:v>3.8275862068965516</x:v>
      </x:c>
      <x:c r="G1320" s="4" t="str">
        <x:v>Sin marca literal</x:v>
      </x:c>
      <x:c r="H1320" s="11"/>
      <x:c r="I1320" s="11" t="str">
        <x:f>IF(H1320="","",C1320-H1320)</x:f>
      </x:c>
      <x:c r="J1320" s="4"/>
      <x:c r="K1320" s="4" t="str">
        <x:v>URLs de detalle page/query/country por clics. No asignan las impresiones de esta consulta a cada página.</x:v>
      </x:c>
    </x:row>
    <x:row r="1321" ht="28" customHeight="1">
      <x:c r="A1321" s="4" t="n">
        <x:v>1311</x:v>
      </x:c>
      <x:c r="B1321" s="4" t="str">
        <x:v>lugares baratos para viajar</x:v>
      </x:c>
      <x:c r="C1321" s="11" t="n">
        <x:v>1</x:v>
      </x:c>
      <x:c r="D1321" s="11" t="n">
        <x:v>58</x:v>
      </x:c>
      <x:c r="E1321" s="14" t="n">
        <x:v>0.017241379310344827</x:v>
      </x:c>
      <x:c r="F1321" s="12" t="n">
        <x:v>4.810344827586206</x:v>
      </x:c>
      <x:c r="G1321" s="4" t="str">
        <x:v>Sin marca literal</x:v>
      </x:c>
      <x:c r="H1321" s="11"/>
      <x:c r="I1321" s="11" t="str">
        <x:f>IF(H1321="","",C1321-H1321)</x:f>
      </x:c>
      <x:c r="J1321" s="4"/>
      <x:c r="K1321" s="4" t="str">
        <x:v>URLs de detalle page/query/country por clics. No asignan las impresiones de esta consulta a cada página.</x:v>
      </x:c>
    </x:row>
    <x:row r="1322" ht="28" customHeight="1">
      <x:c r="A1322" s="4" t="n">
        <x:v>1312</x:v>
      </x:c>
      <x:c r="B1322" s="4" t="str">
        <x:v>qué hacer en llanquihue</x:v>
      </x:c>
      <x:c r="C1322" s="11" t="n">
        <x:v>1</x:v>
      </x:c>
      <x:c r="D1322" s="11" t="n">
        <x:v>58</x:v>
      </x:c>
      <x:c r="E1322" s="14" t="n">
        <x:v>0.017241379310344827</x:v>
      </x:c>
      <x:c r="F1322" s="12" t="n">
        <x:v>13.741379310344827</x:v>
      </x:c>
      <x:c r="G1322" s="4" t="str">
        <x:v>Sin marca literal</x:v>
      </x:c>
      <x:c r="H1322" s="11"/>
      <x:c r="I1322" s="11" t="str">
        <x:f>IF(H1322="","",C1322-H1322)</x:f>
      </x:c>
      <x:c r="J1322" s="4"/>
      <x:c r="K1322" s="4" t="str">
        <x:v>URLs de detalle page/query/country por clics. No asignan las impresiones de esta consulta a cada página.</x:v>
      </x:c>
    </x:row>
    <x:row r="1323" ht="28" customHeight="1">
      <x:c r="A1323" s="4" t="n">
        <x:v>1313</x:v>
      </x:c>
      <x:c r="B1323" s="4" t="str">
        <x:v>sky cancelar vuelo</x:v>
      </x:c>
      <x:c r="C1323" s="11" t="n">
        <x:v>1</x:v>
      </x:c>
      <x:c r="D1323" s="11" t="n">
        <x:v>58</x:v>
      </x:c>
      <x:c r="E1323" s="14" t="n">
        <x:v>0.017241379310344827</x:v>
      </x:c>
      <x:c r="F1323" s="12" t="n">
        <x:v>5.931034482758621</x:v>
      </x:c>
      <x:c r="G1323" s="4" t="str">
        <x:v>Sin marca literal</x:v>
      </x:c>
      <x:c r="H1323" s="11"/>
      <x:c r="I1323" s="11" t="str">
        <x:f>IF(H1323="","",C1323-H1323)</x:f>
      </x:c>
      <x:c r="J1323" s="4"/>
      <x:c r="K1323" s="4" t="str">
        <x:v>URLs de detalle page/query/country por clics. No asignan las impresiones de esta consulta a cada página.</x:v>
      </x:c>
    </x:row>
    <x:row r="1324" ht="28" customHeight="1">
      <x:c r="A1324" s="4" t="n">
        <x:v>1314</x:v>
      </x:c>
      <x:c r="B1324" s="4" t="str">
        <x:v>bailes de chile tipicos</x:v>
      </x:c>
      <x:c r="C1324" s="11" t="n">
        <x:v>1</x:v>
      </x:c>
      <x:c r="D1324" s="11" t="n">
        <x:v>57</x:v>
      </x:c>
      <x:c r="E1324" s="14" t="n">
        <x:v>0.017543859649122806</x:v>
      </x:c>
      <x:c r="F1324" s="12" t="n">
        <x:v>7.964912280701754</x:v>
      </x:c>
      <x:c r="G1324" s="4" t="str">
        <x:v>Sin marca literal</x:v>
      </x:c>
      <x:c r="H1324" s="11"/>
      <x:c r="I1324" s="11" t="str">
        <x:f>IF(H1324="","",C1324-H1324)</x:f>
      </x:c>
      <x:c r="J1324" s="4"/>
      <x:c r="K1324" s="4" t="str">
        <x:v>URLs de detalle page/query/country por clics. No asignan las impresiones de esta consulta a cada página.</x:v>
      </x:c>
    </x:row>
    <x:row r="1325" ht="28" customHeight="1">
      <x:c r="A1325" s="4" t="n">
        <x:v>1315</x:v>
      </x:c>
      <x:c r="B1325" s="4" t="str">
        <x:v>cerro de la cruz punta arenas</x:v>
      </x:c>
      <x:c r="C1325" s="11" t="n">
        <x:v>1</x:v>
      </x:c>
      <x:c r="D1325" s="11" t="n">
        <x:v>57</x:v>
      </x:c>
      <x:c r="E1325" s="14" t="n">
        <x:v>0.017543859649122806</x:v>
      </x:c>
      <x:c r="F1325" s="12" t="n">
        <x:v>8.824561403508772</x:v>
      </x:c>
      <x:c r="G1325" s="4" t="str">
        <x:v>Sin marca literal</x:v>
      </x:c>
      <x:c r="H1325" s="11"/>
      <x:c r="I1325" s="11" t="str">
        <x:f>IF(H1325="","",C1325-H1325)</x:f>
      </x:c>
      <x:c r="J1325" s="4"/>
      <x:c r="K1325" s="4" t="str">
        <x:v>URLs de detalle page/query/country por clics. No asignan las impresiones de esta consulta a cada página.</x:v>
      </x:c>
    </x:row>
    <x:row r="1326" ht="28" customHeight="1">
      <x:c r="A1326" s="4" t="n">
        <x:v>1316</x:v>
      </x:c>
      <x:c r="B1326" s="4" t="str">
        <x:v>dunas en chile</x:v>
      </x:c>
      <x:c r="C1326" s="11" t="n">
        <x:v>1</x:v>
      </x:c>
      <x:c r="D1326" s="11" t="n">
        <x:v>57</x:v>
      </x:c>
      <x:c r="E1326" s="14" t="n">
        <x:v>0.017543859649122806</x:v>
      </x:c>
      <x:c r="F1326" s="12" t="n">
        <x:v>8.596491228070175</x:v>
      </x:c>
      <x:c r="G1326" s="4" t="str">
        <x:v>Sin marca literal</x:v>
      </x:c>
      <x:c r="H1326" s="11"/>
      <x:c r="I1326" s="11" t="str">
        <x:f>IF(H1326="","",C1326-H1326)</x:f>
      </x:c>
      <x:c r="J1326" s="4"/>
      <x:c r="K1326" s="4" t="str">
        <x:v>URLs de detalle page/query/country por clics. No asignan las impresiones de esta consulta a cada página.</x:v>
      </x:c>
    </x:row>
    <x:row r="1327" ht="28" customHeight="1">
      <x:c r="A1327" s="4" t="n">
        <x:v>1317</x:v>
      </x:c>
      <x:c r="B1327" s="4" t="str">
        <x:v>en chile hay nieve</x:v>
      </x:c>
      <x:c r="C1327" s="11" t="n">
        <x:v>1</x:v>
      </x:c>
      <x:c r="D1327" s="11" t="n">
        <x:v>57</x:v>
      </x:c>
      <x:c r="E1327" s="14" t="n">
        <x:v>0.017543859649122806</x:v>
      </x:c>
      <x:c r="F1327" s="12" t="n">
        <x:v>15.666666666666666</x:v>
      </x:c>
      <x:c r="G1327" s="4" t="str">
        <x:v>Sin marca literal</x:v>
      </x:c>
      <x:c r="H1327" s="11"/>
      <x:c r="I1327" s="11" t="str">
        <x:f>IF(H1327="","",C1327-H1327)</x:f>
      </x:c>
      <x:c r="J1327" s="4"/>
      <x:c r="K1327" s="4" t="str">
        <x:v>URLs de detalle page/query/country por clics. No asignan las impresiones de esta consulta a cada página.</x:v>
      </x:c>
    </x:row>
    <x:row r="1328" ht="28" customHeight="1">
      <x:c r="A1328" s="4" t="n">
        <x:v>1318</x:v>
      </x:c>
      <x:c r="B1328" s="4" t="str">
        <x:v>mall en mendoza</x:v>
      </x:c>
      <x:c r="C1328" s="11" t="n">
        <x:v>1</x:v>
      </x:c>
      <x:c r="D1328" s="11" t="n">
        <x:v>57</x:v>
      </x:c>
      <x:c r="E1328" s="14" t="n">
        <x:v>0.017543859649122806</x:v>
      </x:c>
      <x:c r="F1328" s="12" t="n">
        <x:v>7.631578947368421</x:v>
      </x:c>
      <x:c r="G1328" s="4" t="str">
        <x:v>Sin marca literal</x:v>
      </x:c>
      <x:c r="H1328" s="11"/>
      <x:c r="I1328" s="11" t="str">
        <x:f>IF(H1328="","",C1328-H1328)</x:f>
      </x:c>
      <x:c r="J1328" s="4"/>
      <x:c r="K1328" s="4" t="str">
        <x:v>URLs de detalle page/query/country por clics. No asignan las impresiones de esta consulta a cada página.</x:v>
      </x:c>
    </x:row>
    <x:row r="1329" ht="28" customHeight="1">
      <x:c r="A1329" s="4" t="n">
        <x:v>1319</x:v>
      </x:c>
      <x:c r="B1329" s="4" t="str">
        <x:v>salvador de bahia clima</x:v>
      </x:c>
      <x:c r="C1329" s="11" t="n">
        <x:v>1</x:v>
      </x:c>
      <x:c r="D1329" s="11" t="n">
        <x:v>57</x:v>
      </x:c>
      <x:c r="E1329" s="14" t="n">
        <x:v>0.017543859649122806</x:v>
      </x:c>
      <x:c r="F1329" s="12" t="n">
        <x:v>7.368421052631579</x:v>
      </x:c>
      <x:c r="G1329" s="4" t="str">
        <x:v>Sin marca literal</x:v>
      </x:c>
      <x:c r="H1329" s="11"/>
      <x:c r="I1329" s="11" t="str">
        <x:f>IF(H1329="","",C1329-H1329)</x:f>
      </x:c>
      <x:c r="J1329" s="4"/>
      <x:c r="K1329" s="4" t="str">
        <x:v>URLs de detalle page/query/country por clics. No asignan las impresiones de esta consulta a cada página.</x:v>
      </x:c>
    </x:row>
    <x:row r="1330" ht="28" customHeight="1">
      <x:c r="A1330" s="4" t="n">
        <x:v>1320</x:v>
      </x:c>
      <x:c r="B1330" s="4" t="str">
        <x:v>sky plus beneficios</x:v>
      </x:c>
      <x:c r="C1330" s="11" t="n">
        <x:v>1</x:v>
      </x:c>
      <x:c r="D1330" s="11" t="n">
        <x:v>57</x:v>
      </x:c>
      <x:c r="E1330" s="14" t="n">
        <x:v>0.017543859649122806</x:v>
      </x:c>
      <x:c r="F1330" s="12" t="n">
        <x:v>3.8421052631578947</x:v>
      </x:c>
      <x:c r="G1330" s="4" t="str">
        <x:v>Sin marca literal</x:v>
      </x:c>
      <x:c r="H1330" s="11"/>
      <x:c r="I1330" s="11" t="str">
        <x:f>IF(H1330="","",C1330-H1330)</x:f>
      </x:c>
      <x:c r="J1330" s="4"/>
      <x:c r="K1330" s="4" t="str">
        <x:v>URLs de detalle page/query/country por clics. No asignan las impresiones de esta consulta a cada página.</x:v>
      </x:c>
    </x:row>
    <x:row r="1331" ht="28" customHeight="1">
      <x:c r="A1331" s="4" t="n">
        <x:v>1321</x:v>
      </x:c>
      <x:c r="B1331" s="4" t="str">
        <x:v>volcan en puerto montt</x:v>
      </x:c>
      <x:c r="C1331" s="11" t="n">
        <x:v>1</x:v>
      </x:c>
      <x:c r="D1331" s="11" t="n">
        <x:v>57</x:v>
      </x:c>
      <x:c r="E1331" s="14" t="n">
        <x:v>0.017543859649122806</x:v>
      </x:c>
      <x:c r="F1331" s="12" t="n">
        <x:v>4.842105263157895</x:v>
      </x:c>
      <x:c r="G1331" s="4" t="str">
        <x:v>Sin marca literal</x:v>
      </x:c>
      <x:c r="H1331" s="11"/>
      <x:c r="I1331" s="11" t="str">
        <x:f>IF(H1331="","",C1331-H1331)</x:f>
      </x:c>
      <x:c r="J1331" s="4"/>
      <x:c r="K1331" s="4" t="str">
        <x:v>URLs de detalle page/query/country por clics. No asignan las impresiones de esta consulta a cada página.</x:v>
      </x:c>
    </x:row>
    <x:row r="1332" ht="28" customHeight="1">
      <x:c r="A1332" s="4" t="n">
        <x:v>1322</x:v>
      </x:c>
      <x:c r="B1332" s="4" t="str">
        <x:v>asistente de vuelo carrera</x:v>
      </x:c>
      <x:c r="C1332" s="11" t="n">
        <x:v>1</x:v>
      </x:c>
      <x:c r="D1332" s="11" t="n">
        <x:v>56</x:v>
      </x:c>
      <x:c r="E1332" s="14" t="n">
        <x:v>0.017857142857142856</x:v>
      </x:c>
      <x:c r="F1332" s="12" t="n">
        <x:v>7.607142857142857</x:v>
      </x:c>
      <x:c r="G1332" s="4" t="str">
        <x:v>Sin marca literal</x:v>
      </x:c>
      <x:c r="H1332" s="11"/>
      <x:c r="I1332" s="11" t="str">
        <x:f>IF(H1332="","",C1332-H1332)</x:f>
      </x:c>
      <x:c r="J1332" s="4"/>
      <x:c r="K1332" s="4" t="str">
        <x:v>URLs de detalle page/query/country por clics. No asignan las impresiones de esta consulta a cada página.</x:v>
      </x:c>
    </x:row>
    <x:row r="1333" ht="28" customHeight="1">
      <x:c r="A1333" s="4" t="n">
        <x:v>1323</x:v>
      </x:c>
      <x:c r="B1333" s="4" t="str">
        <x:v>coyhaique</x:v>
      </x:c>
      <x:c r="C1333" s="11" t="n">
        <x:v>1</x:v>
      </x:c>
      <x:c r="D1333" s="11" t="n">
        <x:v>56</x:v>
      </x:c>
      <x:c r="E1333" s="14" t="n">
        <x:v>0.017857142857142856</x:v>
      </x:c>
      <x:c r="F1333" s="12" t="n">
        <x:v>9.375</x:v>
      </x:c>
      <x:c r="G1333" s="4" t="str">
        <x:v>Sin marca literal</x:v>
      </x:c>
      <x:c r="H1333" s="11"/>
      <x:c r="I1333" s="11" t="str">
        <x:f>IF(H1333="","",C1333-H1333)</x:f>
      </x:c>
      <x:c r="J1333" s="4"/>
      <x:c r="K1333" s="4" t="str">
        <x:v>URLs de detalle page/query/country por clics. No asignan las impresiones de esta consulta a cada página.</x:v>
      </x:c>
    </x:row>
    <x:row r="1334" ht="28" customHeight="1">
      <x:c r="A1334" s="4" t="n">
        <x:v>1324</x:v>
      </x:c>
      <x:c r="B1334" s="4" t="str">
        <x:v>cuándo se acaba el invierno en chile</x:v>
      </x:c>
      <x:c r="C1334" s="11" t="n">
        <x:v>1</x:v>
      </x:c>
      <x:c r="D1334" s="11" t="n">
        <x:v>56</x:v>
      </x:c>
      <x:c r="E1334" s="14" t="n">
        <x:v>0.017857142857142856</x:v>
      </x:c>
      <x:c r="F1334" s="12" t="n">
        <x:v>9.785714285714286</x:v>
      </x:c>
      <x:c r="G1334" s="4" t="str">
        <x:v>Sin marca literal</x:v>
      </x:c>
      <x:c r="H1334" s="11"/>
      <x:c r="I1334" s="11" t="str">
        <x:f>IF(H1334="","",C1334-H1334)</x:f>
      </x:c>
      <x:c r="J1334" s="4"/>
      <x:c r="K1334" s="4" t="str">
        <x:v>URLs de detalle page/query/country por clics. No asignan las impresiones de esta consulta a cada página.</x:v>
      </x:c>
    </x:row>
    <x:row r="1335" ht="28" customHeight="1">
      <x:c r="A1335" s="4" t="n">
        <x:v>1325</x:v>
      </x:c>
      <x:c r="B1335" s="4" t="str">
        <x:v>que hacer en porto alegre</x:v>
      </x:c>
      <x:c r="C1335" s="11" t="n">
        <x:v>1</x:v>
      </x:c>
      <x:c r="D1335" s="11" t="n">
        <x:v>56</x:v>
      </x:c>
      <x:c r="E1335" s="14" t="n">
        <x:v>0.017857142857142856</x:v>
      </x:c>
      <x:c r="F1335" s="12" t="n">
        <x:v>14.5</x:v>
      </x:c>
      <x:c r="G1335" s="4" t="str">
        <x:v>Sin marca literal</x:v>
      </x:c>
      <x:c r="H1335" s="11"/>
      <x:c r="I1335" s="11" t="str">
        <x:f>IF(H1335="","",C1335-H1335)</x:f>
      </x:c>
      <x:c r="J1335" s="4"/>
      <x:c r="K1335" s="4" t="str">
        <x:v>URLs de detalle page/query/country por clics. No asignan las impresiones de esta consulta a cada página.</x:v>
      </x:c>
    </x:row>
    <x:row r="1336" ht="28" customHeight="1">
      <x:c r="A1336" s="4" t="n">
        <x:v>1326</x:v>
      </x:c>
      <x:c r="B1336" s="4" t="str">
        <x:v>sky numero de contacto</x:v>
      </x:c>
      <x:c r="C1336" s="11" t="n">
        <x:v>1</x:v>
      </x:c>
      <x:c r="D1336" s="11" t="n">
        <x:v>56</x:v>
      </x:c>
      <x:c r="E1336" s="14" t="n">
        <x:v>0.017857142857142856</x:v>
      </x:c>
      <x:c r="F1336" s="12" t="n">
        <x:v>9.339285714285714</x:v>
      </x:c>
      <x:c r="G1336" s="4" t="str">
        <x:v>Sin marca literal</x:v>
      </x:c>
      <x:c r="H1336" s="11"/>
      <x:c r="I1336" s="11" t="str">
        <x:f>IF(H1336="","",C1336-H1336)</x:f>
      </x:c>
      <x:c r="J1336" s="4"/>
      <x:c r="K1336" s="4" t="str">
        <x:v>URLs de detalle page/query/country por clics. No asignan las impresiones de esta consulta a cada página.</x:v>
      </x:c>
    </x:row>
    <x:row r="1337" ht="28" customHeight="1">
      <x:c r="A1337" s="4" t="n">
        <x:v>1327</x:v>
      </x:c>
      <x:c r="B1337" s="4" t="str">
        <x:v>cambiar vuelos sky</x:v>
      </x:c>
      <x:c r="C1337" s="11" t="n">
        <x:v>1</x:v>
      </x:c>
      <x:c r="D1337" s="11" t="n">
        <x:v>55</x:v>
      </x:c>
      <x:c r="E1337" s="14" t="n">
        <x:v>0.01818181818181818</x:v>
      </x:c>
      <x:c r="F1337" s="12" t="n">
        <x:v>5.090909090909091</x:v>
      </x:c>
      <x:c r="G1337" s="4" t="str">
        <x:v>Sin marca literal</x:v>
      </x:c>
      <x:c r="H1337" s="11"/>
      <x:c r="I1337" s="11" t="str">
        <x:f>IF(H1337="","",C1337-H1337)</x:f>
      </x:c>
      <x:c r="J1337" s="4"/>
      <x:c r="K1337" s="4" t="str">
        <x:v>URLs de detalle page/query/country por clics. No asignan las impresiones de esta consulta a cada página.</x:v>
      </x:c>
    </x:row>
    <x:row r="1338" ht="28" customHeight="1">
      <x:c r="A1338" s="4" t="n">
        <x:v>1328</x:v>
      </x:c>
      <x:c r="B1338" s="4" t="str">
        <x:v>comida de lima</x:v>
      </x:c>
      <x:c r="C1338" s="11" t="n">
        <x:v>1</x:v>
      </x:c>
      <x:c r="D1338" s="11" t="n">
        <x:v>55</x:v>
      </x:c>
      <x:c r="E1338" s="14" t="n">
        <x:v>0.01818181818181818</x:v>
      </x:c>
      <x:c r="F1338" s="12" t="n">
        <x:v>2.490909090909091</x:v>
      </x:c>
      <x:c r="G1338" s="4" t="str">
        <x:v>Sin marca literal</x:v>
      </x:c>
      <x:c r="H1338" s="11"/>
      <x:c r="I1338" s="11" t="str">
        <x:f>IF(H1338="","",C1338-H1338)</x:f>
      </x:c>
      <x:c r="J1338" s="4"/>
      <x:c r="K1338" s="4" t="str">
        <x:v>URLs de detalle page/query/country por clics. No asignan las impresiones de esta consulta a cada página.</x:v>
      </x:c>
    </x:row>
    <x:row r="1339" ht="28" customHeight="1">
      <x:c r="A1339" s="4" t="n">
        <x:v>1329</x:v>
      </x:c>
      <x:c r="B1339" s="4" t="str">
        <x:v>como comprar equipaje en sky chile</x:v>
      </x:c>
      <x:c r="C1339" s="11" t="n">
        <x:v>1</x:v>
      </x:c>
      <x:c r="D1339" s="11" t="n">
        <x:v>55</x:v>
      </x:c>
      <x:c r="E1339" s="14" t="n">
        <x:v>0.01818181818181818</x:v>
      </x:c>
      <x:c r="F1339" s="12" t="n">
        <x:v>4.618181818181818</x:v>
      </x:c>
      <x:c r="G1339" s="4" t="str">
        <x:v>Sin marca literal</x:v>
      </x:c>
      <x:c r="H1339" s="11"/>
      <x:c r="I1339" s="11" t="str">
        <x:f>IF(H1339="","",C1339-H1339)</x:f>
      </x:c>
      <x:c r="J1339" s="4"/>
      <x:c r="K1339" s="4" t="str">
        <x:v>URLs de detalle page/query/country por clics. No asignan las impresiones de esta consulta a cada página.</x:v>
      </x:c>
    </x:row>
    <x:row r="1340" ht="28" customHeight="1">
      <x:c r="A1340" s="4" t="n">
        <x:v>1330</x:v>
      </x:c>
      <x:c r="B1340" s="4" t="str">
        <x:v>donde se ubica punta cana</x:v>
      </x:c>
      <x:c r="C1340" s="11" t="n">
        <x:v>1</x:v>
      </x:c>
      <x:c r="D1340" s="11" t="n">
        <x:v>55</x:v>
      </x:c>
      <x:c r="E1340" s="14" t="n">
        <x:v>0.01818181818181818</x:v>
      </x:c>
      <x:c r="F1340" s="12" t="n">
        <x:v>9.036363636363637</x:v>
      </x:c>
      <x:c r="G1340" s="4" t="str">
        <x:v>Sin marca literal</x:v>
      </x:c>
      <x:c r="H1340" s="11"/>
      <x:c r="I1340" s="11" t="str">
        <x:f>IF(H1340="","",C1340-H1340)</x:f>
      </x:c>
      <x:c r="J1340" s="4"/>
      <x:c r="K1340" s="4" t="str">
        <x:v>URLs de detalle page/query/country por clics. No asignan las impresiones de esta consulta a cada página.</x:v>
      </x:c>
    </x:row>
    <x:row r="1341" ht="28" customHeight="1">
      <x:c r="A1341" s="4" t="n">
        <x:v>1331</x:v>
      </x:c>
      <x:c r="B1341" s="4" t="str">
        <x:v>medidas de articulo personal sky</x:v>
      </x:c>
      <x:c r="C1341" s="11" t="n">
        <x:v>1</x:v>
      </x:c>
      <x:c r="D1341" s="11" t="n">
        <x:v>55</x:v>
      </x:c>
      <x:c r="E1341" s="14" t="n">
        <x:v>0.01818181818181818</x:v>
      </x:c>
      <x:c r="F1341" s="12" t="n">
        <x:v>4.345454545454546</x:v>
      </x:c>
      <x:c r="G1341" s="4" t="str">
        <x:v>Sin marca literal</x:v>
      </x:c>
      <x:c r="H1341" s="11"/>
      <x:c r="I1341" s="11" t="str">
        <x:f>IF(H1341="","",C1341-H1341)</x:f>
      </x:c>
      <x:c r="J1341" s="4"/>
      <x:c r="K1341" s="4" t="str">
        <x:v>URLs de detalle page/query/country por clics. No asignan las impresiones de esta consulta a cada página.</x:v>
      </x:c>
    </x:row>
    <x:row r="1342" ht="28" customHeight="1">
      <x:c r="A1342" s="4" t="n">
        <x:v>1332</x:v>
      </x:c>
      <x:c r="B1342" s="4" t="str">
        <x:v>que dias es mas barato comprar vuelos</x:v>
      </x:c>
      <x:c r="C1342" s="11" t="n">
        <x:v>1</x:v>
      </x:c>
      <x:c r="D1342" s="11" t="n">
        <x:v>55</x:v>
      </x:c>
      <x:c r="E1342" s="14" t="n">
        <x:v>0.01818181818181818</x:v>
      </x:c>
      <x:c r="F1342" s="12" t="n">
        <x:v>6.4363636363636365</x:v>
      </x:c>
      <x:c r="G1342" s="4" t="str">
        <x:v>Sin marca literal</x:v>
      </x:c>
      <x:c r="H1342" s="11"/>
      <x:c r="I1342" s="11" t="str">
        <x:f>IF(H1342="","",C1342-H1342)</x:f>
      </x:c>
      <x:c r="J1342" s="4"/>
      <x:c r="K1342" s="4" t="str">
        <x:v>URLs de detalle page/query/country por clics. No asignan las impresiones de esta consulta a cada página.</x:v>
      </x:c>
    </x:row>
    <x:row r="1343" ht="28" customHeight="1">
      <x:c r="A1343" s="4" t="n">
        <x:v>1333</x:v>
      </x:c>
      <x:c r="B1343" s="4" t="str">
        <x:v>que medicamentos puedo llevar en el avión sin receta</x:v>
      </x:c>
      <x:c r="C1343" s="11" t="n">
        <x:v>1</x:v>
      </x:c>
      <x:c r="D1343" s="11" t="n">
        <x:v>55</x:v>
      </x:c>
      <x:c r="E1343" s="14" t="n">
        <x:v>0.01818181818181818</x:v>
      </x:c>
      <x:c r="F1343" s="12" t="n">
        <x:v>9.436363636363636</x:v>
      </x:c>
      <x:c r="G1343" s="4" t="str">
        <x:v>Sin marca literal</x:v>
      </x:c>
      <x:c r="H1343" s="11"/>
      <x:c r="I1343" s="11" t="str">
        <x:f>IF(H1343="","",C1343-H1343)</x:f>
      </x:c>
      <x:c r="J1343" s="4"/>
      <x:c r="K1343" s="4" t="str">
        <x:v>URLs de detalle page/query/country por clics. No asignan las impresiones de esta consulta a cada página.</x:v>
      </x:c>
    </x:row>
    <x:row r="1344" ht="28" customHeight="1">
      <x:c r="A1344" s="4" t="n">
        <x:v>1334</x:v>
      </x:c>
      <x:c r="B1344" s="4" t="str">
        <x:v>santo domingo a punta cana</x:v>
      </x:c>
      <x:c r="C1344" s="11" t="n">
        <x:v>1</x:v>
      </x:c>
      <x:c r="D1344" s="11" t="n">
        <x:v>55</x:v>
      </x:c>
      <x:c r="E1344" s="14" t="n">
        <x:v>0.01818181818181818</x:v>
      </x:c>
      <x:c r="F1344" s="12" t="n">
        <x:v>13.163636363636364</x:v>
      </x:c>
      <x:c r="G1344" s="4" t="str">
        <x:v>Sin marca literal</x:v>
      </x:c>
      <x:c r="H1344" s="11"/>
      <x:c r="I1344" s="11" t="str">
        <x:f>IF(H1344="","",C1344-H1344)</x:f>
      </x:c>
      <x:c r="J1344" s="4"/>
      <x:c r="K1344" s="4" t="str">
        <x:v>URLs de detalle page/query/country por clics. No asignan las impresiones de esta consulta a cada página.</x:v>
      </x:c>
    </x:row>
    <x:row r="1345" ht="28" customHeight="1">
      <x:c r="A1345" s="4" t="n">
        <x:v>1335</x:v>
      </x:c>
      <x:c r="B1345" s="4" t="str">
        <x:v>hay auroras boreales en chile</x:v>
      </x:c>
      <x:c r="C1345" s="11" t="n">
        <x:v>1</x:v>
      </x:c>
      <x:c r="D1345" s="11" t="n">
        <x:v>54</x:v>
      </x:c>
      <x:c r="E1345" s="14" t="n">
        <x:v>0.018518518518518517</x:v>
      </x:c>
      <x:c r="F1345" s="12" t="n">
        <x:v>3.425925925925926</x:v>
      </x:c>
      <x:c r="G1345" s="4" t="str">
        <x:v>Sin marca literal</x:v>
      </x:c>
      <x:c r="H1345" s="11"/>
      <x:c r="I1345" s="11" t="str">
        <x:f>IF(H1345="","",C1345-H1345)</x:f>
      </x:c>
      <x:c r="J1345" s="4"/>
      <x:c r="K1345" s="4" t="str">
        <x:v>URLs de detalle page/query/country por clics. No asignan las impresiones de esta consulta a cada página.</x:v>
      </x:c>
    </x:row>
    <x:row r="1346" ht="28" customHeight="1">
      <x:c r="A1346" s="4" t="n">
        <x:v>1336</x:v>
      </x:c>
      <x:c r="B1346" s="4" t="str">
        <x:v>hoteles para niños en punta cana</x:v>
      </x:c>
      <x:c r="C1346" s="11" t="n">
        <x:v>1</x:v>
      </x:c>
      <x:c r="D1346" s="11" t="n">
        <x:v>54</x:v>
      </x:c>
      <x:c r="E1346" s="14" t="n">
        <x:v>0.018518518518518517</x:v>
      </x:c>
      <x:c r="F1346" s="12" t="n">
        <x:v>13.555555555555555</x:v>
      </x:c>
      <x:c r="G1346" s="4" t="str">
        <x:v>Sin marca literal</x:v>
      </x:c>
      <x:c r="H1346" s="11"/>
      <x:c r="I1346" s="11" t="str">
        <x:f>IF(H1346="","",C1346-H1346)</x:f>
      </x:c>
      <x:c r="J1346" s="4"/>
      <x:c r="K1346" s="4" t="str">
        <x:v>URLs de detalle page/query/country por clics. No asignan las impresiones de esta consulta a cada página.</x:v>
      </x:c>
    </x:row>
    <x:row r="1347" ht="28" customHeight="1">
      <x:c r="A1347" s="4" t="n">
        <x:v>1337</x:v>
      </x:c>
      <x:c r="B1347" s="4" t="str">
        <x:v>que vacunas necesito para viajar a brasil</x:v>
      </x:c>
      <x:c r="C1347" s="11" t="n">
        <x:v>1</x:v>
      </x:c>
      <x:c r="D1347" s="11" t="n">
        <x:v>54</x:v>
      </x:c>
      <x:c r="E1347" s="14" t="n">
        <x:v>0.018518518518518517</x:v>
      </x:c>
      <x:c r="F1347" s="12" t="n">
        <x:v>13.685185185185185</x:v>
      </x:c>
      <x:c r="G1347" s="4" t="str">
        <x:v>Sin marca literal</x:v>
      </x:c>
      <x:c r="H1347" s="11"/>
      <x:c r="I1347" s="11" t="str">
        <x:f>IF(H1347="","",C1347-H1347)</x:f>
      </x:c>
      <x:c r="J1347" s="4"/>
      <x:c r="K1347" s="4" t="str">
        <x:v>URLs de detalle page/query/country por clics. No asignan las impresiones de esta consulta a cada página.</x:v>
      </x:c>
    </x:row>
    <x:row r="1348" ht="28" customHeight="1">
      <x:c r="A1348" s="4" t="n">
        <x:v>1338</x:v>
      </x:c>
      <x:c r="B1348" s="4" t="str">
        <x:v>búzios brasil donde queda</x:v>
      </x:c>
      <x:c r="C1348" s="11" t="n">
        <x:v>1</x:v>
      </x:c>
      <x:c r="D1348" s="11" t="n">
        <x:v>53</x:v>
      </x:c>
      <x:c r="E1348" s="14" t="n">
        <x:v>0.018867924528301886</x:v>
      </x:c>
      <x:c r="F1348" s="12" t="n">
        <x:v>7.39622641509434</x:v>
      </x:c>
      <x:c r="G1348" s="4" t="str">
        <x:v>Sin marca literal</x:v>
      </x:c>
      <x:c r="H1348" s="11"/>
      <x:c r="I1348" s="11" t="str">
        <x:f>IF(H1348="","",C1348-H1348)</x:f>
      </x:c>
      <x:c r="J1348" s="4"/>
      <x:c r="K1348" s="4" t="str">
        <x:v>URLs de detalle page/query/country por clics. No asignan las impresiones de esta consulta a cada página.</x:v>
      </x:c>
    </x:row>
    <x:row r="1349" ht="28" customHeight="1">
      <x:c r="A1349" s="4" t="n">
        <x:v>1339</x:v>
      </x:c>
      <x:c r="B1349" s="4" t="str">
        <x:v>check-in sky en español</x:v>
      </x:c>
      <x:c r="C1349" s="11" t="n">
        <x:v>1</x:v>
      </x:c>
      <x:c r="D1349" s="11" t="n">
        <x:v>53</x:v>
      </x:c>
      <x:c r="E1349" s="14" t="n">
        <x:v>0.018867924528301886</x:v>
      </x:c>
      <x:c r="F1349" s="12" t="n">
        <x:v>9.11320754716981</x:v>
      </x:c>
      <x:c r="G1349" s="4" t="str">
        <x:v>Sin marca literal</x:v>
      </x:c>
      <x:c r="H1349" s="11"/>
      <x:c r="I1349" s="11" t="str">
        <x:f>IF(H1349="","",C1349-H1349)</x:f>
      </x:c>
      <x:c r="J1349" s="4"/>
      <x:c r="K1349" s="4" t="str">
        <x:v>URLs de detalle page/query/country por clics. No asignan las impresiones de esta consulta a cada página.</x:v>
      </x:c>
    </x:row>
    <x:row r="1350" ht="28" customHeight="1">
      <x:c r="A1350" s="4" t="n">
        <x:v>1340</x:v>
      </x:c>
      <x:c r="B1350" s="4" t="str">
        <x:v>cuando es mas barato comprar pasajes de avion</x:v>
      </x:c>
      <x:c r="C1350" s="11" t="n">
        <x:v>1</x:v>
      </x:c>
      <x:c r="D1350" s="11" t="n">
        <x:v>53</x:v>
      </x:c>
      <x:c r="E1350" s="14" t="n">
        <x:v>0.018867924528301886</x:v>
      </x:c>
      <x:c r="F1350" s="12" t="n">
        <x:v>3.2641509433962264</x:v>
      </x:c>
      <x:c r="G1350" s="4" t="str">
        <x:v>Sin marca literal</x:v>
      </x:c>
      <x:c r="H1350" s="11"/>
      <x:c r="I1350" s="11" t="str">
        <x:f>IF(H1350="","",C1350-H1350)</x:f>
      </x:c>
      <x:c r="J1350" s="4"/>
      <x:c r="K1350" s="4" t="str">
        <x:v>URLs de detalle page/query/country por clics. No asignan las impresiones de esta consulta a cada página.</x:v>
      </x:c>
    </x:row>
    <x:row r="1351" ht="28" customHeight="1">
      <x:c r="A1351" s="4" t="n">
        <x:v>1341</x:v>
      </x:c>
      <x:c r="B1351" s="4" t="str">
        <x:v>donde esta beto carrero</x:v>
      </x:c>
      <x:c r="C1351" s="11" t="n">
        <x:v>1</x:v>
      </x:c>
      <x:c r="D1351" s="11" t="n">
        <x:v>53</x:v>
      </x:c>
      <x:c r="E1351" s="14" t="n">
        <x:v>0.018867924528301886</x:v>
      </x:c>
      <x:c r="F1351" s="12" t="n">
        <x:v>6.283018867924528</x:v>
      </x:c>
      <x:c r="G1351" s="4" t="str">
        <x:v>Sin marca literal</x:v>
      </x:c>
      <x:c r="H1351" s="11"/>
      <x:c r="I1351" s="11" t="str">
        <x:f>IF(H1351="","",C1351-H1351)</x:f>
      </x:c>
      <x:c r="J1351" s="4"/>
      <x:c r="K1351" s="4" t="str">
        <x:v>URLs de detalle page/query/country por clics. No asignan las impresiones de esta consulta a cada página.</x:v>
      </x:c>
    </x:row>
    <x:row r="1352" ht="28" customHeight="1">
      <x:c r="A1352" s="4" t="n">
        <x:v>1342</x:v>
      </x:c>
      <x:c r="B1352" s="4" t="str">
        <x:v>petropolis brasil</x:v>
      </x:c>
      <x:c r="C1352" s="11" t="n">
        <x:v>1</x:v>
      </x:c>
      <x:c r="D1352" s="11" t="n">
        <x:v>53</x:v>
      </x:c>
      <x:c r="E1352" s="14" t="n">
        <x:v>0.018867924528301886</x:v>
      </x:c>
      <x:c r="F1352" s="12" t="n">
        <x:v>12.924528301886792</x:v>
      </x:c>
      <x:c r="G1352" s="4" t="str">
        <x:v>Sin marca literal</x:v>
      </x:c>
      <x:c r="H1352" s="11"/>
      <x:c r="I1352" s="11" t="str">
        <x:f>IF(H1352="","",C1352-H1352)</x:f>
      </x:c>
      <x:c r="J1352" s="4"/>
      <x:c r="K1352" s="4" t="str">
        <x:v>URLs de detalle page/query/country por clics. No asignan las impresiones de esta consulta a cada página.</x:v>
      </x:c>
    </x:row>
    <x:row r="1353" ht="28" customHeight="1">
      <x:c r="A1353" s="4" t="n">
        <x:v>1343</x:v>
      </x:c>
      <x:c r="B1353" s="4" t="str">
        <x:v>reloj de flores</x:v>
      </x:c>
      <x:c r="C1353" s="11" t="n">
        <x:v>1</x:v>
      </x:c>
      <x:c r="D1353" s="11" t="n">
        <x:v>53</x:v>
      </x:c>
      <x:c r="E1353" s="14" t="n">
        <x:v>0.018867924528301886</x:v>
      </x:c>
      <x:c r="F1353" s="12" t="n">
        <x:v>12.20754716981132</x:v>
      </x:c>
      <x:c r="G1353" s="4" t="str">
        <x:v>Sin marca literal</x:v>
      </x:c>
      <x:c r="H1353" s="11"/>
      <x:c r="I1353" s="11" t="str">
        <x:f>IF(H1353="","",C1353-H1353)</x:f>
      </x:c>
      <x:c r="J1353" s="4"/>
      <x:c r="K1353" s="4" t="str">
        <x:v>URLs de detalle page/query/country por clics. No asignan las impresiones de esta consulta a cada página.</x:v>
      </x:c>
    </x:row>
    <x:row r="1354" ht="28" customHeight="1">
      <x:c r="A1354" s="4" t="n">
        <x:v>1344</x:v>
      </x:c>
      <x:c r="B1354" s="4" t="str">
        <x:v>tipo enchufe en peru</x:v>
      </x:c>
      <x:c r="C1354" s="11" t="n">
        <x:v>1</x:v>
      </x:c>
      <x:c r="D1354" s="11" t="n">
        <x:v>53</x:v>
      </x:c>
      <x:c r="E1354" s="14" t="n">
        <x:v>0.018867924528301886</x:v>
      </x:c>
      <x:c r="F1354" s="12" t="n">
        <x:v>8.339622641509434</x:v>
      </x:c>
      <x:c r="G1354" s="4" t="str">
        <x:v>Sin marca literal</x:v>
      </x:c>
      <x:c r="H1354" s="11"/>
      <x:c r="I1354" s="11" t="str">
        <x:f>IF(H1354="","",C1354-H1354)</x:f>
      </x:c>
      <x:c r="J1354" s="4"/>
      <x:c r="K1354" s="4" t="str">
        <x:v>URLs de detalle page/query/country por clics. No asignan las impresiones de esta consulta a cada página.</x:v>
      </x:c>
    </x:row>
    <x:row r="1355" ht="28" customHeight="1">
      <x:c r="A1355" s="4" t="n">
        <x:v>1345</x:v>
      </x:c>
      <x:c r="B1355" s="4" t="str">
        <x:v>como llegar de montevideo a punta del este</x:v>
      </x:c>
      <x:c r="C1355" s="11" t="n">
        <x:v>1</x:v>
      </x:c>
      <x:c r="D1355" s="11" t="n">
        <x:v>52</x:v>
      </x:c>
      <x:c r="E1355" s="14" t="n">
        <x:v>0.019230769230769232</x:v>
      </x:c>
      <x:c r="F1355" s="12" t="n">
        <x:v>3.7115384615384617</x:v>
      </x:c>
      <x:c r="G1355" s="4" t="str">
        <x:v>Sin marca literal</x:v>
      </x:c>
      <x:c r="H1355" s="11"/>
      <x:c r="I1355" s="11" t="str">
        <x:f>IF(H1355="","",C1355-H1355)</x:f>
      </x:c>
      <x:c r="J1355" s="4"/>
      <x:c r="K1355" s="4" t="str">
        <x:v>URLs de detalle page/query/country por clics. No asignan las impresiones de esta consulta a cada página.</x:v>
      </x:c>
    </x:row>
    <x:row r="1356" ht="28" customHeight="1">
      <x:c r="A1356" s="4" t="n">
        <x:v>1346</x:v>
      </x:c>
      <x:c r="B1356" s="4" t="str">
        <x:v>cuantos ml puedes llevar en el avion</x:v>
      </x:c>
      <x:c r="C1356" s="11" t="n">
        <x:v>1</x:v>
      </x:c>
      <x:c r="D1356" s="11" t="n">
        <x:v>52</x:v>
      </x:c>
      <x:c r="E1356" s="14" t="n">
        <x:v>0.019230769230769232</x:v>
      </x:c>
      <x:c r="F1356" s="12" t="n">
        <x:v>15.192307692307692</x:v>
      </x:c>
      <x:c r="G1356" s="4" t="str">
        <x:v>Sin marca literal</x:v>
      </x:c>
      <x:c r="H1356" s="11"/>
      <x:c r="I1356" s="11" t="str">
        <x:f>IF(H1356="","",C1356-H1356)</x:f>
      </x:c>
      <x:c r="J1356" s="4"/>
      <x:c r="K1356" s="4" t="str">
        <x:v>URLs de detalle page/query/country por clics. No asignan las impresiones de esta consulta a cada página.</x:v>
      </x:c>
    </x:row>
    <x:row r="1357" ht="28" customHeight="1">
      <x:c r="A1357" s="4" t="n">
        <x:v>1347</x:v>
      </x:c>
      <x:c r="B1357" s="4" t="str">
        <x:v>membresia sky plus</x:v>
      </x:c>
      <x:c r="C1357" s="11" t="n">
        <x:v>1</x:v>
      </x:c>
      <x:c r="D1357" s="11" t="n">
        <x:v>52</x:v>
      </x:c>
      <x:c r="E1357" s="14" t="n">
        <x:v>0.019230769230769232</x:v>
      </x:c>
      <x:c r="F1357" s="12" t="n">
        <x:v>4.269230769230769</x:v>
      </x:c>
      <x:c r="G1357" s="4" t="str">
        <x:v>Sin marca literal</x:v>
      </x:c>
      <x:c r="H1357" s="11"/>
      <x:c r="I1357" s="11" t="str">
        <x:f>IF(H1357="","",C1357-H1357)</x:f>
      </x:c>
      <x:c r="J1357" s="4"/>
      <x:c r="K1357" s="4" t="str">
        <x:v>URLs de detalle page/query/country por clics. No asignan las impresiones de esta consulta a cada página.</x:v>
      </x:c>
    </x:row>
    <x:row r="1358" ht="28" customHeight="1">
      <x:c r="A1358" s="4" t="n">
        <x:v>1348</x:v>
      </x:c>
      <x:c r="B1358" s="4" t="str">
        <x:v>música tradicional de brasil</x:v>
      </x:c>
      <x:c r="C1358" s="11" t="n">
        <x:v>1</x:v>
      </x:c>
      <x:c r="D1358" s="11" t="n">
        <x:v>52</x:v>
      </x:c>
      <x:c r="E1358" s="14" t="n">
        <x:v>0.019230769230769232</x:v>
      </x:c>
      <x:c r="F1358" s="12" t="n">
        <x:v>2.769230769230769</x:v>
      </x:c>
      <x:c r="G1358" s="4" t="str">
        <x:v>Sin marca literal</x:v>
      </x:c>
      <x:c r="H1358" s="11"/>
      <x:c r="I1358" s="11" t="str">
        <x:f>IF(H1358="","",C1358-H1358)</x:f>
      </x:c>
      <x:c r="J1358" s="4"/>
      <x:c r="K1358" s="4" t="str">
        <x:v>URLs de detalle page/query/country por clics. No asignan las impresiones de esta consulta a cada página.</x:v>
      </x:c>
    </x:row>
    <x:row r="1359" ht="28" customHeight="1">
      <x:c r="A1359" s="4" t="n">
        <x:v>1349</x:v>
      </x:c>
      <x:c r="B1359" s="4" t="str">
        <x:v>punta sal donde es</x:v>
      </x:c>
      <x:c r="C1359" s="11" t="n">
        <x:v>1</x:v>
      </x:c>
      <x:c r="D1359" s="11" t="n">
        <x:v>52</x:v>
      </x:c>
      <x:c r="E1359" s="14" t="n">
        <x:v>0.019230769230769232</x:v>
      </x:c>
      <x:c r="F1359" s="12" t="n">
        <x:v>4.961538461538462</x:v>
      </x:c>
      <x:c r="G1359" s="4" t="str">
        <x:v>Sin marca literal</x:v>
      </x:c>
      <x:c r="H1359" s="11"/>
      <x:c r="I1359" s="11" t="str">
        <x:f>IF(H1359="","",C1359-H1359)</x:f>
      </x:c>
      <x:c r="J1359" s="4"/>
      <x:c r="K1359" s="4" t="str">
        <x:v>URLs de detalle page/query/country por clics. No asignan las impresiones de esta consulta a cada página.</x:v>
      </x:c>
    </x:row>
    <x:row r="1360" ht="28" customHeight="1">
      <x:c r="A1360" s="4" t="n">
        <x:v>1350</x:v>
      </x:c>
      <x:c r="B1360" s="4" t="str">
        <x:v>que comer en lima</x:v>
      </x:c>
      <x:c r="C1360" s="11" t="n">
        <x:v>1</x:v>
      </x:c>
      <x:c r="D1360" s="11" t="n">
        <x:v>52</x:v>
      </x:c>
      <x:c r="E1360" s="14" t="n">
        <x:v>0.019230769230769232</x:v>
      </x:c>
      <x:c r="F1360" s="12" t="n">
        <x:v>6.980769230769231</x:v>
      </x:c>
      <x:c r="G1360" s="4" t="str">
        <x:v>Sin marca literal</x:v>
      </x:c>
      <x:c r="H1360" s="11"/>
      <x:c r="I1360" s="11" t="str">
        <x:f>IF(H1360="","",C1360-H1360)</x:f>
      </x:c>
      <x:c r="J1360" s="4"/>
      <x:c r="K1360" s="4" t="str">
        <x:v>URLs de detalle page/query/country por clics. No asignan las impresiones de esta consulta a cada página.</x:v>
      </x:c>
    </x:row>
    <x:row r="1361" ht="28" customHeight="1">
      <x:c r="A1361" s="4" t="n">
        <x:v>1351</x:v>
      </x:c>
      <x:c r="B1361" s="4" t="str">
        <x:v>que significa equipaje documentado</x:v>
      </x:c>
      <x:c r="C1361" s="11" t="n">
        <x:v>1</x:v>
      </x:c>
      <x:c r="D1361" s="11" t="n">
        <x:v>52</x:v>
      </x:c>
      <x:c r="E1361" s="14" t="n">
        <x:v>0.019230769230769232</x:v>
      </x:c>
      <x:c r="F1361" s="12" t="n">
        <x:v>4.519230769230769</x:v>
      </x:c>
      <x:c r="G1361" s="4" t="str">
        <x:v>Sin marca literal</x:v>
      </x:c>
      <x:c r="H1361" s="11"/>
      <x:c r="I1361" s="11" t="str">
        <x:f>IF(H1361="","",C1361-H1361)</x:f>
      </x:c>
      <x:c r="J1361" s="4"/>
      <x:c r="K1361" s="4" t="str">
        <x:v>URLs de detalle page/query/country por clics. No asignan las impresiones de esta consulta a cada página.</x:v>
      </x:c>
    </x:row>
    <x:row r="1362" ht="28" customHeight="1">
      <x:c r="A1362" s="4" t="n">
        <x:v>1352</x:v>
      </x:c>
      <x:c r="B1362" s="4" t="str">
        <x:v>sky agregar maleta</x:v>
      </x:c>
      <x:c r="C1362" s="11" t="n">
        <x:v>1</x:v>
      </x:c>
      <x:c r="D1362" s="11" t="n">
        <x:v>52</x:v>
      </x:c>
      <x:c r="E1362" s="14" t="n">
        <x:v>0.019230769230769232</x:v>
      </x:c>
      <x:c r="F1362" s="12" t="n">
        <x:v>7.326923076923077</x:v>
      </x:c>
      <x:c r="G1362" s="4" t="str">
        <x:v>Sin marca literal</x:v>
      </x:c>
      <x:c r="H1362" s="11"/>
      <x:c r="I1362" s="11" t="str">
        <x:f>IF(H1362="","",C1362-H1362)</x:f>
      </x:c>
      <x:c r="J1362" s="4"/>
      <x:c r="K1362" s="4" t="str">
        <x:v>URLs de detalle page/query/country por clics. No asignan las impresiones de esta consulta a cada página.</x:v>
      </x:c>
    </x:row>
    <x:row r="1363" ht="28" customHeight="1">
      <x:c r="A1363" s="4" t="n">
        <x:v>1353</x:v>
      </x:c>
      <x:c r="B1363" s="4" t="str">
        <x:v>aeropuerto sur de chile</x:v>
      </x:c>
      <x:c r="C1363" s="11" t="n">
        <x:v>1</x:v>
      </x:c>
      <x:c r="D1363" s="11" t="n">
        <x:v>51</x:v>
      </x:c>
      <x:c r="E1363" s="14" t="n">
        <x:v>0.0196078431372549</x:v>
      </x:c>
      <x:c r="F1363" s="12" t="n">
        <x:v>2.4901960784313726</x:v>
      </x:c>
      <x:c r="G1363" s="4" t="str">
        <x:v>Sin marca literal</x:v>
      </x:c>
      <x:c r="H1363" s="11"/>
      <x:c r="I1363" s="11" t="str">
        <x:f>IF(H1363="","",C1363-H1363)</x:f>
      </x:c>
      <x:c r="J1363" s="4"/>
      <x:c r="K1363" s="4" t="str">
        <x:v>URLs de detalle page/query/country por clics. No asignan las impresiones de esta consulta a cada página.</x:v>
      </x:c>
    </x:row>
    <x:row r="1364" ht="28" customHeight="1">
      <x:c r="A1364" s="4" t="n">
        <x:v>1354</x:v>
      </x:c>
      <x:c r="B1364" s="4" t="str">
        <x:v>alto bonito</x:v>
      </x:c>
      <x:c r="C1364" s="11" t="n">
        <x:v>1</x:v>
      </x:c>
      <x:c r="D1364" s="11" t="n">
        <x:v>51</x:v>
      </x:c>
      <x:c r="E1364" s="14" t="n">
        <x:v>0.0196078431372549</x:v>
      </x:c>
      <x:c r="F1364" s="12" t="n">
        <x:v>7.549019607843137</x:v>
      </x:c>
      <x:c r="G1364" s="4" t="str">
        <x:v>Sin marca literal</x:v>
      </x:c>
      <x:c r="H1364" s="11"/>
      <x:c r="I1364" s="11" t="str">
        <x:f>IF(H1364="","",C1364-H1364)</x:f>
      </x:c>
      <x:c r="J1364" s="4"/>
      <x:c r="K1364" s="4" t="str">
        <x:v>URLs de detalle page/query/country por clics. No asignan las impresiones de esta consulta a cada página.</x:v>
      </x:c>
    </x:row>
    <x:row r="1365" ht="28" customHeight="1">
      <x:c r="A1365" s="4" t="n">
        <x:v>1355</x:v>
      </x:c>
      <x:c r="B1365" s="4" t="str">
        <x:v>caribe occidental</x:v>
      </x:c>
      <x:c r="C1365" s="11" t="n">
        <x:v>1</x:v>
      </x:c>
      <x:c r="D1365" s="11" t="n">
        <x:v>51</x:v>
      </x:c>
      <x:c r="E1365" s="14" t="n">
        <x:v>0.0196078431372549</x:v>
      </x:c>
      <x:c r="F1365" s="12" t="n">
        <x:v>8.549019607843137</x:v>
      </x:c>
      <x:c r="G1365" s="4" t="str">
        <x:v>Sin marca literal</x:v>
      </x:c>
      <x:c r="H1365" s="11"/>
      <x:c r="I1365" s="11" t="str">
        <x:f>IF(H1365="","",C1365-H1365)</x:f>
      </x:c>
      <x:c r="J1365" s="4"/>
      <x:c r="K1365" s="4" t="str">
        <x:v>URLs de detalle page/query/country por clics. No asignan las impresiones de esta consulta a cada página.</x:v>
      </x:c>
    </x:row>
    <x:row r="1366" ht="28" customHeight="1">
      <x:c r="A1366" s="4" t="n">
        <x:v>1356</x:v>
      </x:c>
      <x:c r="B1366" s="4" t="str">
        <x:v>comidas tipicas de rio de janeiro</x:v>
      </x:c>
      <x:c r="C1366" s="11" t="n">
        <x:v>1</x:v>
      </x:c>
      <x:c r="D1366" s="11" t="n">
        <x:v>51</x:v>
      </x:c>
      <x:c r="E1366" s="14" t="n">
        <x:v>0.0196078431372549</x:v>
      </x:c>
      <x:c r="F1366" s="12" t="n">
        <x:v>5.8431372549019605</x:v>
      </x:c>
      <x:c r="G1366" s="4" t="str">
        <x:v>Sin marca literal</x:v>
      </x:c>
      <x:c r="H1366" s="11"/>
      <x:c r="I1366" s="11" t="str">
        <x:f>IF(H1366="","",C1366-H1366)</x:f>
      </x:c>
      <x:c r="J1366" s="4"/>
      <x:c r="K1366" s="4" t="str">
        <x:v>URLs de detalle page/query/country por clics. No asignan las impresiones de esta consulta a cada página.</x:v>
      </x:c>
    </x:row>
    <x:row r="1367" ht="28" customHeight="1">
      <x:c r="A1367" s="4" t="n">
        <x:v>1357</x:v>
      </x:c>
      <x:c r="B1367" s="4" t="str">
        <x:v>distancia punta del este a montevideo</x:v>
      </x:c>
      <x:c r="C1367" s="11" t="n">
        <x:v>1</x:v>
      </x:c>
      <x:c r="D1367" s="11" t="n">
        <x:v>51</x:v>
      </x:c>
      <x:c r="E1367" s="14" t="n">
        <x:v>0.0196078431372549</x:v>
      </x:c>
      <x:c r="F1367" s="12" t="n">
        <x:v>5.529411764705882</x:v>
      </x:c>
      <x:c r="G1367" s="4" t="str">
        <x:v>Sin marca literal</x:v>
      </x:c>
      <x:c r="H1367" s="11"/>
      <x:c r="I1367" s="11" t="str">
        <x:f>IF(H1367="","",C1367-H1367)</x:f>
      </x:c>
      <x:c r="J1367" s="4"/>
      <x:c r="K1367" s="4" t="str">
        <x:v>URLs de detalle page/query/country por clics. No asignan las impresiones de esta consulta a cada página.</x:v>
      </x:c>
    </x:row>
    <x:row r="1368" ht="28" customHeight="1">
      <x:c r="A1368" s="4" t="n">
        <x:v>1358</x:v>
      </x:c>
      <x:c r="B1368" s="4" t="str">
        <x:v>baile nacional de perú</x:v>
      </x:c>
      <x:c r="C1368" s="11" t="n">
        <x:v>1</x:v>
      </x:c>
      <x:c r="D1368" s="11" t="n">
        <x:v>50</x:v>
      </x:c>
      <x:c r="E1368" s="14" t="n">
        <x:v>0.02</x:v>
      </x:c>
      <x:c r="F1368" s="12" t="n">
        <x:v>2.52</x:v>
      </x:c>
      <x:c r="G1368" s="4" t="str">
        <x:v>Sin marca literal</x:v>
      </x:c>
      <x:c r="H1368" s="11"/>
      <x:c r="I1368" s="11" t="str">
        <x:f>IF(H1368="","",C1368-H1368)</x:f>
      </x:c>
      <x:c r="J1368" s="4"/>
      <x:c r="K1368" s="4" t="str">
        <x:v>URLs de detalle page/query/country por clics. No asignan las impresiones de esta consulta a cada página.</x:v>
      </x:c>
    </x:row>
    <x:row r="1369" ht="28" customHeight="1">
      <x:c r="A1369" s="4" t="n">
        <x:v>1359</x:v>
      </x:c>
      <x:c r="B1369" s="4" t="str">
        <x:v>cristo petrolero talara</x:v>
      </x:c>
      <x:c r="C1369" s="11" t="n">
        <x:v>1</x:v>
      </x:c>
      <x:c r="D1369" s="11" t="n">
        <x:v>50</x:v>
      </x:c>
      <x:c r="E1369" s="14" t="n">
        <x:v>0.02</x:v>
      </x:c>
      <x:c r="F1369" s="12" t="n">
        <x:v>4.48</x:v>
      </x:c>
      <x:c r="G1369" s="4" t="str">
        <x:v>Sin marca literal</x:v>
      </x:c>
      <x:c r="H1369" s="11"/>
      <x:c r="I1369" s="11" t="str">
        <x:f>IF(H1369="","",C1369-H1369)</x:f>
      </x:c>
      <x:c r="J1369" s="4"/>
      <x:c r="K1369" s="4" t="str">
        <x:v>URLs de detalle page/query/country por clics. No asignan las impresiones de esta consulta a cada página.</x:v>
      </x:c>
    </x:row>
    <x:row r="1370" ht="28" customHeight="1">
      <x:c r="A1370" s="4" t="n">
        <x:v>1360</x:v>
      </x:c>
      <x:c r="B1370" s="4" t="str">
        <x:v>cual es la temporada baja en punta cana</x:v>
      </x:c>
      <x:c r="C1370" s="11" t="n">
        <x:v>1</x:v>
      </x:c>
      <x:c r="D1370" s="11" t="n">
        <x:v>50</x:v>
      </x:c>
      <x:c r="E1370" s="14" t="n">
        <x:v>0.02</x:v>
      </x:c>
      <x:c r="F1370" s="12" t="n">
        <x:v>9.76</x:v>
      </x:c>
      <x:c r="G1370" s="4" t="str">
        <x:v>Sin marca literal</x:v>
      </x:c>
      <x:c r="H1370" s="11"/>
      <x:c r="I1370" s="11" t="str">
        <x:f>IF(H1370="","",C1370-H1370)</x:f>
      </x:c>
      <x:c r="J1370" s="4"/>
      <x:c r="K1370" s="4" t="str">
        <x:v>URLs de detalle page/query/country por clics. No asignan las impresiones de esta consulta a cada página.</x:v>
      </x:c>
    </x:row>
    <x:row r="1371" ht="28" customHeight="1">
      <x:c r="A1371" s="4" t="n">
        <x:v>1361</x:v>
      </x:c>
      <x:c r="B1371" s="4" t="str">
        <x:v>panoramas para niños de 10 años en santiago</x:v>
      </x:c>
      <x:c r="C1371" s="11" t="n">
        <x:v>1</x:v>
      </x:c>
      <x:c r="D1371" s="11" t="n">
        <x:v>50</x:v>
      </x:c>
      <x:c r="E1371" s="14" t="n">
        <x:v>0.02</x:v>
      </x:c>
      <x:c r="F1371" s="12" t="n">
        <x:v>9.14</x:v>
      </x:c>
      <x:c r="G1371" s="4" t="str">
        <x:v>Sin marca literal</x:v>
      </x:c>
      <x:c r="H1371" s="11"/>
      <x:c r="I1371" s="11" t="str">
        <x:f>IF(H1371="","",C1371-H1371)</x:f>
      </x:c>
      <x:c r="J1371" s="4"/>
      <x:c r="K1371" s="4" t="str">
        <x:v>URLs de detalle page/query/country por clics. No asignan las impresiones de esta consulta a cada página.</x:v>
      </x:c>
    </x:row>
    <x:row r="1372" ht="28" customHeight="1">
      <x:c r="A1372" s="4" t="n">
        <x:v>1362</x:v>
      </x:c>
      <x:c r="B1372" s="4" t="str">
        <x:v>que distancia hay de punta cana a santo domingo</x:v>
      </x:c>
      <x:c r="C1372" s="11" t="n">
        <x:v>1</x:v>
      </x:c>
      <x:c r="D1372" s="11" t="n">
        <x:v>50</x:v>
      </x:c>
      <x:c r="E1372" s="14" t="n">
        <x:v>0.02</x:v>
      </x:c>
      <x:c r="F1372" s="12" t="n">
        <x:v>6.98</x:v>
      </x:c>
      <x:c r="G1372" s="4" t="str">
        <x:v>Sin marca literal</x:v>
      </x:c>
      <x:c r="H1372" s="11"/>
      <x:c r="I1372" s="11" t="str">
        <x:f>IF(H1372="","",C1372-H1372)</x:f>
      </x:c>
      <x:c r="J1372" s="4"/>
      <x:c r="K1372" s="4" t="str">
        <x:v>URLs de detalle page/query/country por clics. No asignan las impresiones de esta consulta a cada página.</x:v>
      </x:c>
    </x:row>
    <x:row r="1373" ht="28" customHeight="1">
      <x:c r="A1373" s="4" t="n">
        <x:v>1363</x:v>
      </x:c>
      <x:c r="B1373" s="4" t="str">
        <x:v>sky cyber 2026</x:v>
      </x:c>
      <x:c r="C1373" s="11" t="n">
        <x:v>1</x:v>
      </x:c>
      <x:c r="D1373" s="11" t="n">
        <x:v>50</x:v>
      </x:c>
      <x:c r="E1373" s="14" t="n">
        <x:v>0.02</x:v>
      </x:c>
      <x:c r="F1373" s="12" t="n">
        <x:v>5.3</x:v>
      </x:c>
      <x:c r="G1373" s="4" t="str">
        <x:v>Sin marca literal</x:v>
      </x:c>
      <x:c r="H1373" s="11"/>
      <x:c r="I1373" s="11" t="str">
        <x:f>IF(H1373="","",C1373-H1373)</x:f>
      </x:c>
      <x:c r="J1373" s="4"/>
      <x:c r="K1373" s="4" t="str">
        <x:v>URLs de detalle page/query/country por clics. No asignan las impresiones de esta consulta a cada página.</x:v>
      </x:c>
    </x:row>
    <x:row r="1374" ht="28" customHeight="1">
      <x:c r="A1374" s="4" t="n">
        <x:v>1364</x:v>
      </x:c>
      <x:c r="B1374" s="4" t="str">
        <x:v>comidas tipicas 18 septiembre</x:v>
      </x:c>
      <x:c r="C1374" s="11" t="n">
        <x:v>1</x:v>
      </x:c>
      <x:c r="D1374" s="11" t="n">
        <x:v>49</x:v>
      </x:c>
      <x:c r="E1374" s="14" t="n">
        <x:v>0.02040816326530612</x:v>
      </x:c>
      <x:c r="F1374" s="12" t="n">
        <x:v>4.142857142857142</x:v>
      </x:c>
      <x:c r="G1374" s="4" t="str">
        <x:v>Sin marca literal</x:v>
      </x:c>
      <x:c r="H1374" s="11"/>
      <x:c r="I1374" s="11" t="str">
        <x:f>IF(H1374="","",C1374-H1374)</x:f>
      </x:c>
      <x:c r="J1374" s="4"/>
      <x:c r="K1374" s="4" t="str">
        <x:v>URLs de detalle page/query/country por clics. No asignan las impresiones de esta consulta a cada página.</x:v>
      </x:c>
    </x:row>
    <x:row r="1375" ht="28" customHeight="1">
      <x:c r="A1375" s="4" t="n">
        <x:v>1365</x:v>
      </x:c>
      <x:c r="B1375" s="4" t="str">
        <x:v>donde comprar recuerdos en cancun</x:v>
      </x:c>
      <x:c r="C1375" s="11" t="n">
        <x:v>1</x:v>
      </x:c>
      <x:c r="D1375" s="11" t="n">
        <x:v>49</x:v>
      </x:c>
      <x:c r="E1375" s="14" t="n">
        <x:v>0.02040816326530612</x:v>
      </x:c>
      <x:c r="F1375" s="12" t="n">
        <x:v>4.918367346938775</x:v>
      </x:c>
      <x:c r="G1375" s="4" t="str">
        <x:v>Sin marca literal</x:v>
      </x:c>
      <x:c r="H1375" s="11"/>
      <x:c r="I1375" s="11" t="str">
        <x:f>IF(H1375="","",C1375-H1375)</x:f>
      </x:c>
      <x:c r="J1375" s="4"/>
      <x:c r="K1375" s="4" t="str">
        <x:v>URLs de detalle page/query/country por clics. No asignan las impresiones de esta consulta a cada página.</x:v>
      </x:c>
    </x:row>
    <x:row r="1376" ht="28" customHeight="1">
      <x:c r="A1376" s="4" t="n">
        <x:v>1366</x:v>
      </x:c>
      <x:c r="B1376" s="4" t="str">
        <x:v>equipaje en bodega sky</x:v>
      </x:c>
      <x:c r="C1376" s="11" t="n">
        <x:v>1</x:v>
      </x:c>
      <x:c r="D1376" s="11" t="n">
        <x:v>49</x:v>
      </x:c>
      <x:c r="E1376" s="14" t="n">
        <x:v>0.02040816326530612</x:v>
      </x:c>
      <x:c r="F1376" s="12" t="n">
        <x:v>2.571428571428571</x:v>
      </x:c>
      <x:c r="G1376" s="4" t="str">
        <x:v>Contiene marca</x:v>
      </x:c>
      <x:c r="H1376" s="11" t="n">
        <x:v>10</x:v>
      </x:c>
      <x:c r="I1376" s="11" t="n">
        <x:f>IF(H1376="","",C1376-H1376)</x:f>
        <x:v>-9</x:v>
      </x:c>
      <x:c r="J1376" s="4" t="str">
        <x:v>https://blog.skyairline.com/que-es-el-equipaje-documentado/ (1 clics)</x:v>
      </x:c>
      <x:c r="K1376" s="4" t="str">
        <x:v>URLs de detalle page/query/country por clics. No asignan las impresiones de esta consulta a cada página.</x:v>
      </x:c>
    </x:row>
    <x:row r="1377" ht="28" customHeight="1">
      <x:c r="A1377" s="4" t="n">
        <x:v>1367</x:v>
      </x:c>
      <x:c r="B1377" s="4" t="str">
        <x:v>hostal definicion</x:v>
      </x:c>
      <x:c r="C1377" s="11" t="n">
        <x:v>1</x:v>
      </x:c>
      <x:c r="D1377" s="11" t="n">
        <x:v>49</x:v>
      </x:c>
      <x:c r="E1377" s="14" t="n">
        <x:v>0.02040816326530612</x:v>
      </x:c>
      <x:c r="F1377" s="12" t="n">
        <x:v>6.795918367346939</x:v>
      </x:c>
      <x:c r="G1377" s="4" t="str">
        <x:v>Sin marca literal</x:v>
      </x:c>
      <x:c r="H1377" s="11"/>
      <x:c r="I1377" s="11" t="str">
        <x:f>IF(H1377="","",C1377-H1377)</x:f>
      </x:c>
      <x:c r="J1377" s="4"/>
      <x:c r="K1377" s="4" t="str">
        <x:v>URLs de detalle page/query/country por clics. No asignan las impresiones de esta consulta a cada página.</x:v>
      </x:c>
    </x:row>
    <x:row r="1378" ht="28" customHeight="1">
      <x:c r="A1378" s="4" t="n">
        <x:v>1368</x:v>
      </x:c>
      <x:c r="B1378" s="4" t="str">
        <x:v>mitos</x:v>
      </x:c>
      <x:c r="C1378" s="11" t="n">
        <x:v>1</x:v>
      </x:c>
      <x:c r="D1378" s="11" t="n">
        <x:v>49</x:v>
      </x:c>
      <x:c r="E1378" s="14" t="n">
        <x:v>0.02040816326530612</x:v>
      </x:c>
      <x:c r="F1378" s="12" t="n">
        <x:v>7.938775510204081</x:v>
      </x:c>
      <x:c r="G1378" s="4" t="str">
        <x:v>Sin marca literal</x:v>
      </x:c>
      <x:c r="H1378" s="11"/>
      <x:c r="I1378" s="11" t="str">
        <x:f>IF(H1378="","",C1378-H1378)</x:f>
      </x:c>
      <x:c r="J1378" s="4"/>
      <x:c r="K1378" s="4" t="str">
        <x:v>URLs de detalle page/query/country por clics. No asignan las impresiones de esta consulta a cada página.</x:v>
      </x:c>
    </x:row>
    <x:row r="1379" ht="28" customHeight="1">
      <x:c r="A1379" s="4" t="n">
        <x:v>1369</x:v>
      </x:c>
      <x:c r="B1379" s="4" t="str">
        <x:v>para viajar a peru se necesita pasaporte</x:v>
      </x:c>
      <x:c r="C1379" s="11" t="n">
        <x:v>1</x:v>
      </x:c>
      <x:c r="D1379" s="11" t="n">
        <x:v>49</x:v>
      </x:c>
      <x:c r="E1379" s="14" t="n">
        <x:v>0.02040816326530612</x:v>
      </x:c>
      <x:c r="F1379" s="12" t="n">
        <x:v>7.448979591836735</x:v>
      </x:c>
      <x:c r="G1379" s="4" t="str">
        <x:v>Sin marca literal</x:v>
      </x:c>
      <x:c r="H1379" s="11"/>
      <x:c r="I1379" s="11" t="str">
        <x:f>IF(H1379="","",C1379-H1379)</x:f>
      </x:c>
      <x:c r="J1379" s="4"/>
      <x:c r="K1379" s="4" t="str">
        <x:v>URLs de detalle page/query/country por clics. No asignan las impresiones de esta consulta a cada página.</x:v>
      </x:c>
    </x:row>
    <x:row r="1380" ht="28" customHeight="1">
      <x:c r="A1380" s="4" t="n">
        <x:v>1370</x:v>
      </x:c>
      <x:c r="B1380" s="4" t="str">
        <x:v>que necesito para viajar a brasil desde chile</x:v>
      </x:c>
      <x:c r="C1380" s="11" t="n">
        <x:v>1</x:v>
      </x:c>
      <x:c r="D1380" s="11" t="n">
        <x:v>49</x:v>
      </x:c>
      <x:c r="E1380" s="14" t="n">
        <x:v>0.02040816326530612</x:v>
      </x:c>
      <x:c r="F1380" s="12" t="n">
        <x:v>3.836734693877551</x:v>
      </x:c>
      <x:c r="G1380" s="4" t="str">
        <x:v>Sin marca literal</x:v>
      </x:c>
      <x:c r="H1380" s="11"/>
      <x:c r="I1380" s="11" t="str">
        <x:f>IF(H1380="","",C1380-H1380)</x:f>
      </x:c>
      <x:c r="J1380" s="4"/>
      <x:c r="K1380" s="4" t="str">
        <x:v>URLs de detalle page/query/country por clics. No asignan las impresiones de esta consulta a cada página.</x:v>
      </x:c>
    </x:row>
    <x:row r="1381" ht="28" customHeight="1">
      <x:c r="A1381" s="4" t="n">
        <x:v>1371</x:v>
      </x:c>
      <x:c r="B1381" s="4" t="str">
        <x:v>servicio al cliente sky</x:v>
      </x:c>
      <x:c r="C1381" s="11" t="n">
        <x:v>1</x:v>
      </x:c>
      <x:c r="D1381" s="11" t="n">
        <x:v>49</x:v>
      </x:c>
      <x:c r="E1381" s="14" t="n">
        <x:v>0.02040816326530612</x:v>
      </x:c>
      <x:c r="F1381" s="12" t="n">
        <x:v>7.591836734693878</x:v>
      </x:c>
      <x:c r="G1381" s="4" t="str">
        <x:v>Sin marca literal</x:v>
      </x:c>
      <x:c r="H1381" s="11"/>
      <x:c r="I1381" s="11" t="str">
        <x:f>IF(H1381="","",C1381-H1381)</x:f>
      </x:c>
      <x:c r="J1381" s="4"/>
      <x:c r="K1381" s="4" t="str">
        <x:v>URLs de detalle page/query/country por clics. No asignan las impresiones de esta consulta a cada página.</x:v>
      </x:c>
    </x:row>
    <x:row r="1382" ht="28" customHeight="1">
      <x:c r="A1382" s="4" t="n">
        <x:v>1372</x:v>
      </x:c>
      <x:c r="B1382" s="4" t="str">
        <x:v>sky airline app</x:v>
      </x:c>
      <x:c r="C1382" s="11" t="n">
        <x:v>1</x:v>
      </x:c>
      <x:c r="D1382" s="11" t="n">
        <x:v>49</x:v>
      </x:c>
      <x:c r="E1382" s="14" t="n">
        <x:v>0.02040816326530612</x:v>
      </x:c>
      <x:c r="F1382" s="12" t="n">
        <x:v>6.959183673469388</x:v>
      </x:c>
      <x:c r="G1382" s="4" t="str">
        <x:v>Sin marca literal</x:v>
      </x:c>
      <x:c r="H1382" s="11"/>
      <x:c r="I1382" s="11" t="str">
        <x:f>IF(H1382="","",C1382-H1382)</x:f>
      </x:c>
      <x:c r="J1382" s="4"/>
      <x:c r="K1382" s="4" t="str">
        <x:v>URLs de detalle page/query/country por clics. No asignan las impresiones de esta consulta a cada página.</x:v>
      </x:c>
    </x:row>
    <x:row r="1383" ht="28" customHeight="1">
      <x:c r="A1383" s="4" t="n">
        <x:v>1373</x:v>
      </x:c>
      <x:c r="B1383" s="4" t="str">
        <x:v>tamaño equipaje de mano</x:v>
      </x:c>
      <x:c r="C1383" s="11" t="n">
        <x:v>1</x:v>
      </x:c>
      <x:c r="D1383" s="11" t="n">
        <x:v>49</x:v>
      </x:c>
      <x:c r="E1383" s="14" t="n">
        <x:v>0.02040816326530612</x:v>
      </x:c>
      <x:c r="F1383" s="12" t="n">
        <x:v>9.448979591836734</x:v>
      </x:c>
      <x:c r="G1383" s="4" t="str">
        <x:v>Sin marca literal</x:v>
      </x:c>
      <x:c r="H1383" s="11"/>
      <x:c r="I1383" s="11" t="str">
        <x:f>IF(H1383="","",C1383-H1383)</x:f>
      </x:c>
      <x:c r="J1383" s="4"/>
      <x:c r="K1383" s="4" t="str">
        <x:v>URLs de detalle page/query/country por clics. No asignan las impresiones de esta consulta a cada página.</x:v>
      </x:c>
    </x:row>
    <x:row r="1384" ht="28" customHeight="1">
      <x:c r="A1384" s="4" t="n">
        <x:v>1374</x:v>
      </x:c>
      <x:c r="B1384" s="4" t="str">
        <x:v>en qué estacion estamos chile</x:v>
      </x:c>
      <x:c r="C1384" s="11" t="n">
        <x:v>1</x:v>
      </x:c>
      <x:c r="D1384" s="11" t="n">
        <x:v>48</x:v>
      </x:c>
      <x:c r="E1384" s="14" t="n">
        <x:v>0.020833333333333332</x:v>
      </x:c>
      <x:c r="F1384" s="12" t="n">
        <x:v>3.4166666666666665</x:v>
      </x:c>
      <x:c r="G1384" s="4" t="str">
        <x:v>Sin marca literal</x:v>
      </x:c>
      <x:c r="H1384" s="11"/>
      <x:c r="I1384" s="11" t="str">
        <x:f>IF(H1384="","",C1384-H1384)</x:f>
      </x:c>
      <x:c r="J1384" s="4"/>
      <x:c r="K1384" s="4" t="str">
        <x:v>URLs de detalle page/query/country por clics. No asignan las impresiones de esta consulta a cada página.</x:v>
      </x:c>
    </x:row>
    <x:row r="1385" ht="28" customHeight="1">
      <x:c r="A1385" s="4" t="n">
        <x:v>1375</x:v>
      </x:c>
      <x:c r="B1385" s="4" t="str">
        <x:v>los niños de 2 años pagan pasaje en avion</x:v>
      </x:c>
      <x:c r="C1385" s="11" t="n">
        <x:v>1</x:v>
      </x:c>
      <x:c r="D1385" s="11" t="n">
        <x:v>48</x:v>
      </x:c>
      <x:c r="E1385" s="14" t="n">
        <x:v>0.020833333333333332</x:v>
      </x:c>
      <x:c r="F1385" s="12" t="n">
        <x:v>3.2291666666666665</x:v>
      </x:c>
      <x:c r="G1385" s="4" t="str">
        <x:v>Sin marca literal</x:v>
      </x:c>
      <x:c r="H1385" s="11"/>
      <x:c r="I1385" s="11" t="str">
        <x:f>IF(H1385="","",C1385-H1385)</x:f>
      </x:c>
      <x:c r="J1385" s="4"/>
      <x:c r="K1385" s="4" t="str">
        <x:v>URLs de detalle page/query/country por clics. No asignan las impresiones de esta consulta a cada página.</x:v>
      </x:c>
    </x:row>
    <x:row r="1386" ht="28" customHeight="1">
      <x:c r="A1386" s="4" t="n">
        <x:v>1376</x:v>
      </x:c>
      <x:c r="B1386" s="4" t="str">
        <x:v>parque ibirapuera sao paulo</x:v>
      </x:c>
      <x:c r="C1386" s="11" t="n">
        <x:v>1</x:v>
      </x:c>
      <x:c r="D1386" s="11" t="n">
        <x:v>48</x:v>
      </x:c>
      <x:c r="E1386" s="14" t="n">
        <x:v>0.020833333333333332</x:v>
      </x:c>
      <x:c r="F1386" s="12" t="n">
        <x:v>10.895833333333334</x:v>
      </x:c>
      <x:c r="G1386" s="4" t="str">
        <x:v>Sin marca literal</x:v>
      </x:c>
      <x:c r="H1386" s="11"/>
      <x:c r="I1386" s="11" t="str">
        <x:f>IF(H1386="","",C1386-H1386)</x:f>
      </x:c>
      <x:c r="J1386" s="4"/>
      <x:c r="K1386" s="4" t="str">
        <x:v>URLs de detalle page/query/country por clics. No asignan las impresiones de esta consulta a cada página.</x:v>
      </x:c>
    </x:row>
    <x:row r="1387" ht="28" customHeight="1">
      <x:c r="A1387" s="4" t="n">
        <x:v>1377</x:v>
      </x:c>
      <x:c r="B1387" s="4" t="str">
        <x:v>praia da rosa</x:v>
      </x:c>
      <x:c r="C1387" s="11" t="n">
        <x:v>1</x:v>
      </x:c>
      <x:c r="D1387" s="11" t="n">
        <x:v>48</x:v>
      </x:c>
      <x:c r="E1387" s="14" t="n">
        <x:v>0.020833333333333332</x:v>
      </x:c>
      <x:c r="F1387" s="12" t="n">
        <x:v>10.145833333333334</x:v>
      </x:c>
      <x:c r="G1387" s="4" t="str">
        <x:v>Sin marca literal</x:v>
      </x:c>
      <x:c r="H1387" s="11"/>
      <x:c r="I1387" s="11" t="str">
        <x:f>IF(H1387="","",C1387-H1387)</x:f>
      </x:c>
      <x:c r="J1387" s="4"/>
      <x:c r="K1387" s="4" t="str">
        <x:v>URLs de detalle page/query/country por clics. No asignan las impresiones de esta consulta a cada página.</x:v>
      </x:c>
    </x:row>
    <x:row r="1388" ht="28" customHeight="1">
      <x:c r="A1388" s="4" t="n">
        <x:v>1378</x:v>
      </x:c>
      <x:c r="B1388" s="4" t="str">
        <x:v>sky cambio de pasajero</x:v>
      </x:c>
      <x:c r="C1388" s="11" t="n">
        <x:v>1</x:v>
      </x:c>
      <x:c r="D1388" s="11" t="n">
        <x:v>48</x:v>
      </x:c>
      <x:c r="E1388" s="14" t="n">
        <x:v>0.020833333333333332</x:v>
      </x:c>
      <x:c r="F1388" s="12" t="n">
        <x:v>4.5625</x:v>
      </x:c>
      <x:c r="G1388" s="4" t="str">
        <x:v>Sin marca literal</x:v>
      </x:c>
      <x:c r="H1388" s="11"/>
      <x:c r="I1388" s="11" t="str">
        <x:f>IF(H1388="","",C1388-H1388)</x:f>
      </x:c>
      <x:c r="J1388" s="4"/>
      <x:c r="K1388" s="4" t="str">
        <x:v>URLs de detalle page/query/country por clics. No asignan las impresiones de esta consulta a cada página.</x:v>
      </x:c>
    </x:row>
    <x:row r="1389" ht="28" customHeight="1">
      <x:c r="A1389" s="4" t="n">
        <x:v>1379</x:v>
      </x:c>
      <x:c r="B1389" s="4" t="str">
        <x:v>cuántos aeropuertos tiene buenos aires</x:v>
      </x:c>
      <x:c r="C1389" s="11" t="n">
        <x:v>1</x:v>
      </x:c>
      <x:c r="D1389" s="11" t="n">
        <x:v>47</x:v>
      </x:c>
      <x:c r="E1389" s="14" t="n">
        <x:v>0.02127659574468085</x:v>
      </x:c>
      <x:c r="F1389" s="12" t="n">
        <x:v>2.425531914893617</x:v>
      </x:c>
      <x:c r="G1389" s="4" t="str">
        <x:v>Sin marca literal</x:v>
      </x:c>
      <x:c r="H1389" s="11"/>
      <x:c r="I1389" s="11" t="str">
        <x:f>IF(H1389="","",C1389-H1389)</x:f>
      </x:c>
      <x:c r="J1389" s="4"/>
      <x:c r="K1389" s="4" t="str">
        <x:v>URLs de detalle page/query/country por clics. No asignan las impresiones de esta consulta a cada página.</x:v>
      </x:c>
    </x:row>
    <x:row r="1390" ht="28" customHeight="1">
      <x:c r="A1390" s="4" t="n">
        <x:v>1380</x:v>
      </x:c>
      <x:c r="B1390" s="4" t="str">
        <x:v>de punta cana a santo domingo cuantas horas son</x:v>
      </x:c>
      <x:c r="C1390" s="11" t="n">
        <x:v>1</x:v>
      </x:c>
      <x:c r="D1390" s="11" t="n">
        <x:v>47</x:v>
      </x:c>
      <x:c r="E1390" s="14" t="n">
        <x:v>0.02127659574468085</x:v>
      </x:c>
      <x:c r="F1390" s="12" t="n">
        <x:v>5.851063829787234</x:v>
      </x:c>
      <x:c r="G1390" s="4" t="str">
        <x:v>Sin marca literal</x:v>
      </x:c>
      <x:c r="H1390" s="11"/>
      <x:c r="I1390" s="11" t="str">
        <x:f>IF(H1390="","",C1390-H1390)</x:f>
      </x:c>
      <x:c r="J1390" s="4"/>
      <x:c r="K1390" s="4" t="str">
        <x:v>URLs de detalle page/query/country por clics. No asignan las impresiones de esta consulta a cada página.</x:v>
      </x:c>
    </x:row>
    <x:row r="1391" ht="28" customHeight="1">
      <x:c r="A1391" s="4" t="n">
        <x:v>1381</x:v>
      </x:c>
      <x:c r="B1391" s="4" t="str">
        <x:v>distancia de rio a florianopolis</x:v>
      </x:c>
      <x:c r="C1391" s="11" t="n">
        <x:v>1</x:v>
      </x:c>
      <x:c r="D1391" s="11" t="n">
        <x:v>47</x:v>
      </x:c>
      <x:c r="E1391" s="14" t="n">
        <x:v>0.02127659574468085</x:v>
      </x:c>
      <x:c r="F1391" s="12" t="n">
        <x:v>2.9787234042553195</x:v>
      </x:c>
      <x:c r="G1391" s="4" t="str">
        <x:v>Sin marca literal</x:v>
      </x:c>
      <x:c r="H1391" s="11"/>
      <x:c r="I1391" s="11" t="str">
        <x:f>IF(H1391="","",C1391-H1391)</x:f>
      </x:c>
      <x:c r="J1391" s="4"/>
      <x:c r="K1391" s="4" t="str">
        <x:v>URLs de detalle page/query/country por clics. No asignan las impresiones de esta consulta a cada página.</x:v>
      </x:c>
    </x:row>
    <x:row r="1392" ht="28" customHeight="1">
      <x:c r="A1392" s="4" t="n">
        <x:v>1382</x:v>
      </x:c>
      <x:c r="B1392" s="4" t="str">
        <x:v>hoteles todo incluido chile</x:v>
      </x:c>
      <x:c r="C1392" s="11" t="n">
        <x:v>1</x:v>
      </x:c>
      <x:c r="D1392" s="11" t="n">
        <x:v>47</x:v>
      </x:c>
      <x:c r="E1392" s="14" t="n">
        <x:v>0.02127659574468085</x:v>
      </x:c>
      <x:c r="F1392" s="12" t="n">
        <x:v>12.382978723404255</x:v>
      </x:c>
      <x:c r="G1392" s="4" t="str">
        <x:v>Sin marca literal</x:v>
      </x:c>
      <x:c r="H1392" s="11"/>
      <x:c r="I1392" s="11" t="str">
        <x:f>IF(H1392="","",C1392-H1392)</x:f>
      </x:c>
      <x:c r="J1392" s="4"/>
      <x:c r="K1392" s="4" t="str">
        <x:v>URLs de detalle page/query/country por clics. No asignan las impresiones de esta consulta a cada página.</x:v>
      </x:c>
    </x:row>
    <x:row r="1393" ht="28" customHeight="1">
      <x:c r="A1393" s="4" t="n">
        <x:v>1383</x:v>
      </x:c>
      <x:c r="B1393" s="4" t="str">
        <x:v>lugares con nieve en chile</x:v>
      </x:c>
      <x:c r="C1393" s="11" t="n">
        <x:v>1</x:v>
      </x:c>
      <x:c r="D1393" s="11" t="n">
        <x:v>47</x:v>
      </x:c>
      <x:c r="E1393" s="14" t="n">
        <x:v>0.02127659574468085</x:v>
      </x:c>
      <x:c r="F1393" s="12" t="n">
        <x:v>10.51063829787234</x:v>
      </x:c>
      <x:c r="G1393" s="4" t="str">
        <x:v>Sin marca literal</x:v>
      </x:c>
      <x:c r="H1393" s="11"/>
      <x:c r="I1393" s="11" t="str">
        <x:f>IF(H1393="","",C1393-H1393)</x:f>
      </x:c>
      <x:c r="J1393" s="4"/>
      <x:c r="K1393" s="4" t="str">
        <x:v>URLs de detalle page/query/country por clics. No asignan las impresiones de esta consulta a cada página.</x:v>
      </x:c>
    </x:row>
    <x:row r="1394" ht="28" customHeight="1">
      <x:c r="A1394" s="4" t="n">
        <x:v>1384</x:v>
      </x:c>
      <x:c r="B1394" s="4" t="str">
        <x:v>pozos azules uruguay valor entrada</x:v>
      </x:c>
      <x:c r="C1394" s="11" t="n">
        <x:v>1</x:v>
      </x:c>
      <x:c r="D1394" s="11" t="n">
        <x:v>47</x:v>
      </x:c>
      <x:c r="E1394" s="14" t="n">
        <x:v>0.02127659574468085</x:v>
      </x:c>
      <x:c r="F1394" s="12" t="n">
        <x:v>4.468085106382979</x:v>
      </x:c>
      <x:c r="G1394" s="4" t="str">
        <x:v>Sin marca literal</x:v>
      </x:c>
      <x:c r="H1394" s="11"/>
      <x:c r="I1394" s="11" t="str">
        <x:f>IF(H1394="","",C1394-H1394)</x:f>
      </x:c>
      <x:c r="J1394" s="4"/>
      <x:c r="K1394" s="4" t="str">
        <x:v>URLs de detalle page/query/country por clics. No asignan las impresiones de esta consulta a cada página.</x:v>
      </x:c>
    </x:row>
    <x:row r="1395" ht="28" customHeight="1">
      <x:c r="A1395" s="4" t="n">
        <x:v>1385</x:v>
      </x:c>
      <x:c r="B1395" s="4" t="str">
        <x:v>quemchi chiloe</x:v>
      </x:c>
      <x:c r="C1395" s="11" t="n">
        <x:v>1</x:v>
      </x:c>
      <x:c r="D1395" s="11" t="n">
        <x:v>47</x:v>
      </x:c>
      <x:c r="E1395" s="14" t="n">
        <x:v>0.02127659574468085</x:v>
      </x:c>
      <x:c r="F1395" s="12" t="n">
        <x:v>12.48936170212766</x:v>
      </x:c>
      <x:c r="G1395" s="4" t="str">
        <x:v>Sin marca literal</x:v>
      </x:c>
      <x:c r="H1395" s="11"/>
      <x:c r="I1395" s="11" t="str">
        <x:f>IF(H1395="","",C1395-H1395)</x:f>
      </x:c>
      <x:c r="J1395" s="4"/>
      <x:c r="K1395" s="4" t="str">
        <x:v>URLs de detalle page/query/country por clics. No asignan las impresiones de esta consulta a cada página.</x:v>
      </x:c>
    </x:row>
    <x:row r="1396" ht="28" customHeight="1">
      <x:c r="A1396" s="4" t="n">
        <x:v>1386</x:v>
      </x:c>
      <x:c r="B1396" s="4" t="str">
        <x:v>aplicación sky</x:v>
      </x:c>
      <x:c r="C1396" s="11" t="n">
        <x:v>1</x:v>
      </x:c>
      <x:c r="D1396" s="11" t="n">
        <x:v>46</x:v>
      </x:c>
      <x:c r="E1396" s="14" t="n">
        <x:v>0.021739130434782608</x:v>
      </x:c>
      <x:c r="F1396" s="12" t="n">
        <x:v>6.978260869565218</x:v>
      </x:c>
      <x:c r="G1396" s="4" t="str">
        <x:v>Sin marca literal</x:v>
      </x:c>
      <x:c r="H1396" s="11"/>
      <x:c r="I1396" s="11" t="str">
        <x:f>IF(H1396="","",C1396-H1396)</x:f>
      </x:c>
      <x:c r="J1396" s="4"/>
      <x:c r="K1396" s="4" t="str">
        <x:v>URLs de detalle page/query/country por clics. No asignan las impresiones de esta consulta a cada página.</x:v>
      </x:c>
    </x:row>
    <x:row r="1397" ht="28" customHeight="1">
      <x:c r="A1397" s="4" t="n">
        <x:v>1387</x:v>
      </x:c>
      <x:c r="B1397" s="4" t="str">
        <x:v>choripan buenos aires</x:v>
      </x:c>
      <x:c r="C1397" s="11" t="n">
        <x:v>1</x:v>
      </x:c>
      <x:c r="D1397" s="11" t="n">
        <x:v>46</x:v>
      </x:c>
      <x:c r="E1397" s="14" t="n">
        <x:v>0.021739130434782608</x:v>
      </x:c>
      <x:c r="F1397" s="12" t="n">
        <x:v>17</x:v>
      </x:c>
      <x:c r="G1397" s="4" t="str">
        <x:v>Sin marca literal</x:v>
      </x:c>
      <x:c r="H1397" s="11"/>
      <x:c r="I1397" s="11" t="str">
        <x:f>IF(H1397="","",C1397-H1397)</x:f>
      </x:c>
      <x:c r="J1397" s="4"/>
      <x:c r="K1397" s="4" t="str">
        <x:v>URLs de detalle page/query/country por clics. No asignan las impresiones de esta consulta a cada página.</x:v>
      </x:c>
    </x:row>
    <x:row r="1398" ht="28" customHeight="1">
      <x:c r="A1398" s="4" t="n">
        <x:v>1388</x:v>
      </x:c>
      <x:c r="B1398" s="4" t="str">
        <x:v>estamos en otoño o primavera</x:v>
      </x:c>
      <x:c r="C1398" s="11" t="n">
        <x:v>1</x:v>
      </x:c>
      <x:c r="D1398" s="11" t="n">
        <x:v>46</x:v>
      </x:c>
      <x:c r="E1398" s="14" t="n">
        <x:v>0.021739130434782608</x:v>
      </x:c>
      <x:c r="F1398" s="12" t="n">
        <x:v>7.326086956521739</x:v>
      </x:c>
      <x:c r="G1398" s="4" t="str">
        <x:v>Sin marca literal</x:v>
      </x:c>
      <x:c r="H1398" s="11"/>
      <x:c r="I1398" s="11" t="str">
        <x:f>IF(H1398="","",C1398-H1398)</x:f>
      </x:c>
      <x:c r="J1398" s="4"/>
      <x:c r="K1398" s="4" t="str">
        <x:v>URLs de detalle page/query/country por clics. No asignan las impresiones de esta consulta a cada página.</x:v>
      </x:c>
    </x:row>
    <x:row r="1399" ht="28" customHeight="1">
      <x:c r="A1399" s="4" t="n">
        <x:v>1389</x:v>
      </x:c>
      <x:c r="B1399" s="4" t="str">
        <x:v>mano del desierto</x:v>
      </x:c>
      <x:c r="C1399" s="11" t="n">
        <x:v>1</x:v>
      </x:c>
      <x:c r="D1399" s="11" t="n">
        <x:v>46</x:v>
      </x:c>
      <x:c r="E1399" s="14" t="n">
        <x:v>0.021739130434782608</x:v>
      </x:c>
      <x:c r="F1399" s="12" t="n">
        <x:v>11.108695652173912</x:v>
      </x:c>
      <x:c r="G1399" s="4" t="str">
        <x:v>Sin marca literal</x:v>
      </x:c>
      <x:c r="H1399" s="11"/>
      <x:c r="I1399" s="11" t="str">
        <x:f>IF(H1399="","",C1399-H1399)</x:f>
      </x:c>
      <x:c r="J1399" s="4"/>
      <x:c r="K1399" s="4" t="str">
        <x:v>URLs de detalle page/query/country por clics. No asignan las impresiones de esta consulta a cada página.</x:v>
      </x:c>
    </x:row>
    <x:row r="1400" ht="28" customHeight="1">
      <x:c r="A1400" s="4" t="n">
        <x:v>1390</x:v>
      </x:c>
      <x:c r="B1400" s="4" t="str">
        <x:v>musica chilena tradicional</x:v>
      </x:c>
      <x:c r="C1400" s="11" t="n">
        <x:v>1</x:v>
      </x:c>
      <x:c r="D1400" s="11" t="n">
        <x:v>46</x:v>
      </x:c>
      <x:c r="E1400" s="14" t="n">
        <x:v>0.021739130434782608</x:v>
      </x:c>
      <x:c r="F1400" s="12" t="n">
        <x:v>6.065217391304348</x:v>
      </x:c>
      <x:c r="G1400" s="4" t="str">
        <x:v>Sin marca literal</x:v>
      </x:c>
      <x:c r="H1400" s="11"/>
      <x:c r="I1400" s="11" t="str">
        <x:f>IF(H1400="","",C1400-H1400)</x:f>
      </x:c>
      <x:c r="J1400" s="4"/>
      <x:c r="K1400" s="4" t="str">
        <x:v>URLs de detalle page/query/country por clics. No asignan las impresiones de esta consulta a cada página.</x:v>
      </x:c>
    </x:row>
    <x:row r="1401" ht="28" customHeight="1">
      <x:c r="A1401" s="4" t="n">
        <x:v>1391</x:v>
      </x:c>
      <x:c r="B1401" s="4" t="str">
        <x:v>música tradicional de chile</x:v>
      </x:c>
      <x:c r="C1401" s="11" t="n">
        <x:v>1</x:v>
      </x:c>
      <x:c r="D1401" s="11" t="n">
        <x:v>46</x:v>
      </x:c>
      <x:c r="E1401" s="14" t="n">
        <x:v>0.021739130434782608</x:v>
      </x:c>
      <x:c r="F1401" s="12" t="n">
        <x:v>8.173913043478262</x:v>
      </x:c>
      <x:c r="G1401" s="4" t="str">
        <x:v>Sin marca literal</x:v>
      </x:c>
      <x:c r="H1401" s="11"/>
      <x:c r="I1401" s="11" t="str">
        <x:f>IF(H1401="","",C1401-H1401)</x:f>
      </x:c>
      <x:c r="J1401" s="4"/>
      <x:c r="K1401" s="4" t="str">
        <x:v>URLs de detalle page/query/country por clics. No asignan las impresiones de esta consulta a cada página.</x:v>
      </x:c>
    </x:row>
    <x:row r="1402" ht="28" customHeight="1">
      <x:c r="A1402" s="4" t="n">
        <x:v>1392</x:v>
      </x:c>
      <x:c r="B1402" s="4" t="str">
        <x:v>tambopata</x:v>
      </x:c>
      <x:c r="C1402" s="11" t="n">
        <x:v>1</x:v>
      </x:c>
      <x:c r="D1402" s="11" t="n">
        <x:v>46</x:v>
      </x:c>
      <x:c r="E1402" s="14" t="n">
        <x:v>0.021739130434782608</x:v>
      </x:c>
      <x:c r="F1402" s="12" t="n">
        <x:v>3.6739130434782608</x:v>
      </x:c>
      <x:c r="G1402" s="4" t="str">
        <x:v>Sin marca literal</x:v>
      </x:c>
      <x:c r="H1402" s="11"/>
      <x:c r="I1402" s="11" t="str">
        <x:f>IF(H1402="","",C1402-H1402)</x:f>
      </x:c>
      <x:c r="J1402" s="4"/>
      <x:c r="K1402" s="4" t="str">
        <x:v>URLs de detalle page/query/country por clics. No asignan las impresiones de esta consulta a cada página.</x:v>
      </x:c>
    </x:row>
    <x:row r="1403" ht="28" customHeight="1">
      <x:c r="A1403" s="4" t="n">
        <x:v>1393</x:v>
      </x:c>
      <x:c r="B1403" s="4" t="str">
        <x:v>tomacorriente en argentina</x:v>
      </x:c>
      <x:c r="C1403" s="11" t="n">
        <x:v>1</x:v>
      </x:c>
      <x:c r="D1403" s="11" t="n">
        <x:v>46</x:v>
      </x:c>
      <x:c r="E1403" s="14" t="n">
        <x:v>0.021739130434782608</x:v>
      </x:c>
      <x:c r="F1403" s="12" t="n">
        <x:v>6.369565217391305</x:v>
      </x:c>
      <x:c r="G1403" s="4" t="str">
        <x:v>Sin marca literal</x:v>
      </x:c>
      <x:c r="H1403" s="11"/>
      <x:c r="I1403" s="11" t="str">
        <x:f>IF(H1403="","",C1403-H1403)</x:f>
      </x:c>
      <x:c r="J1403" s="4"/>
      <x:c r="K1403" s="4" t="str">
        <x:v>URLs de detalle page/query/country por clics. No asignan las impresiones de esta consulta a cada página.</x:v>
      </x:c>
    </x:row>
    <x:row r="1404" ht="28" customHeight="1">
      <x:c r="A1404" s="4" t="n">
        <x:v>1394</x:v>
      </x:c>
      <x:c r="B1404" s="4" t="str">
        <x:v>clima de la zona norte</x:v>
      </x:c>
      <x:c r="C1404" s="11" t="n">
        <x:v>1</x:v>
      </x:c>
      <x:c r="D1404" s="11" t="n">
        <x:v>45</x:v>
      </x:c>
      <x:c r="E1404" s="14" t="n">
        <x:v>0.022222222222222223</x:v>
      </x:c>
      <x:c r="F1404" s="12" t="n">
        <x:v>2.177777777777778</x:v>
      </x:c>
      <x:c r="G1404" s="4" t="str">
        <x:v>Sin marca literal</x:v>
      </x:c>
      <x:c r="H1404" s="11"/>
      <x:c r="I1404" s="11" t="str">
        <x:f>IF(H1404="","",C1404-H1404)</x:f>
      </x:c>
      <x:c r="J1404" s="4"/>
      <x:c r="K1404" s="4" t="str">
        <x:v>URLs de detalle page/query/country por clics. No asignan las impresiones de esta consulta a cada página.</x:v>
      </x:c>
    </x:row>
    <x:row r="1405" ht="28" customHeight="1">
      <x:c r="A1405" s="4" t="n">
        <x:v>1395</x:v>
      </x:c>
      <x:c r="B1405" s="4" t="str">
        <x:v>destinos para viajar con niños en sudamérica</x:v>
      </x:c>
      <x:c r="C1405" s="11" t="n">
        <x:v>1</x:v>
      </x:c>
      <x:c r="D1405" s="11" t="n">
        <x:v>45</x:v>
      </x:c>
      <x:c r="E1405" s="14" t="n">
        <x:v>0.022222222222222223</x:v>
      </x:c>
      <x:c r="F1405" s="12" t="n">
        <x:v>3.511111111111111</x:v>
      </x:c>
      <x:c r="G1405" s="4" t="str">
        <x:v>Sin marca literal</x:v>
      </x:c>
      <x:c r="H1405" s="11"/>
      <x:c r="I1405" s="11" t="str">
        <x:f>IF(H1405="","",C1405-H1405)</x:f>
      </x:c>
      <x:c r="J1405" s="4"/>
      <x:c r="K1405" s="4" t="str">
        <x:v>URLs de detalle page/query/country por clics. No asignan las impresiones de esta consulta a cada página.</x:v>
      </x:c>
    </x:row>
    <x:row r="1406" ht="28" customHeight="1">
      <x:c r="A1406" s="4" t="n">
        <x:v>1396</x:v>
      </x:c>
      <x:c r="B1406" s="4" t="str">
        <x:v>en dónde queda punta cana</x:v>
      </x:c>
      <x:c r="C1406" s="11" t="n">
        <x:v>1</x:v>
      </x:c>
      <x:c r="D1406" s="11" t="n">
        <x:v>45</x:v>
      </x:c>
      <x:c r="E1406" s="14" t="n">
        <x:v>0.022222222222222223</x:v>
      </x:c>
      <x:c r="F1406" s="12" t="n">
        <x:v>8.844444444444445</x:v>
      </x:c>
      <x:c r="G1406" s="4" t="str">
        <x:v>Sin marca literal</x:v>
      </x:c>
      <x:c r="H1406" s="11"/>
      <x:c r="I1406" s="11" t="str">
        <x:f>IF(H1406="","",C1406-H1406)</x:f>
      </x:c>
      <x:c r="J1406" s="4"/>
      <x:c r="K1406" s="4" t="str">
        <x:v>URLs de detalle page/query/country por clics. No asignan las impresiones de esta consulta a cada página.</x:v>
      </x:c>
    </x:row>
    <x:row r="1407" ht="28" customHeight="1">
      <x:c r="A1407" s="4" t="n">
        <x:v>1397</x:v>
      </x:c>
      <x:c r="B1407" s="4" t="str">
        <x:v>en septiembre que estacion del año es</x:v>
      </x:c>
      <x:c r="C1407" s="11" t="n">
        <x:v>1</x:v>
      </x:c>
      <x:c r="D1407" s="11" t="n">
        <x:v>45</x:v>
      </x:c>
      <x:c r="E1407" s="14" t="n">
        <x:v>0.022222222222222223</x:v>
      </x:c>
      <x:c r="F1407" s="12" t="n">
        <x:v>4.5777777777777775</x:v>
      </x:c>
      <x:c r="G1407" s="4" t="str">
        <x:v>Sin marca literal</x:v>
      </x:c>
      <x:c r="H1407" s="11"/>
      <x:c r="I1407" s="11" t="str">
        <x:f>IF(H1407="","",C1407-H1407)</x:f>
      </x:c>
      <x:c r="J1407" s="4"/>
      <x:c r="K1407" s="4" t="str">
        <x:v>URLs de detalle page/query/country por clics. No asignan las impresiones de esta consulta a cada página.</x:v>
      </x:c>
    </x:row>
    <x:row r="1408" ht="28" customHeight="1">
      <x:c r="A1408" s="4" t="n">
        <x:v>1398</x:v>
      </x:c>
      <x:c r="B1408" s="4" t="str">
        <x:v>lugares turisticos de talara</x:v>
      </x:c>
      <x:c r="C1408" s="11" t="n">
        <x:v>1</x:v>
      </x:c>
      <x:c r="D1408" s="11" t="n">
        <x:v>45</x:v>
      </x:c>
      <x:c r="E1408" s="14" t="n">
        <x:v>0.022222222222222223</x:v>
      </x:c>
      <x:c r="F1408" s="12" t="n">
        <x:v>7.022222222222222</x:v>
      </x:c>
      <x:c r="G1408" s="4" t="str">
        <x:v>Sin marca literal</x:v>
      </x:c>
      <x:c r="H1408" s="11"/>
      <x:c r="I1408" s="11" t="str">
        <x:f>IF(H1408="","",C1408-H1408)</x:f>
      </x:c>
      <x:c r="J1408" s="4"/>
      <x:c r="K1408" s="4" t="str">
        <x:v>URLs de detalle page/query/country por clics. No asignan las impresiones de esta consulta a cada página.</x:v>
      </x:c>
    </x:row>
    <x:row r="1409" ht="28" customHeight="1">
      <x:c r="A1409" s="4" t="n">
        <x:v>1399</x:v>
      </x:c>
      <x:c r="B1409" s="4" t="str">
        <x:v>parques osorno</x:v>
      </x:c>
      <x:c r="C1409" s="11" t="n">
        <x:v>1</x:v>
      </x:c>
      <x:c r="D1409" s="11" t="n">
        <x:v>45</x:v>
      </x:c>
      <x:c r="E1409" s="14" t="n">
        <x:v>0.022222222222222223</x:v>
      </x:c>
      <x:c r="F1409" s="12" t="n">
        <x:v>4.844444444444445</x:v>
      </x:c>
      <x:c r="G1409" s="4" t="str">
        <x:v>Sin marca literal</x:v>
      </x:c>
      <x:c r="H1409" s="11"/>
      <x:c r="I1409" s="11" t="str">
        <x:f>IF(H1409="","",C1409-H1409)</x:f>
      </x:c>
      <x:c r="J1409" s="4"/>
      <x:c r="K1409" s="4" t="str">
        <x:v>URLs de detalle page/query/country por clics. No asignan las impresiones de esta consulta a cada página.</x:v>
      </x:c>
    </x:row>
    <x:row r="1410" ht="28" customHeight="1">
      <x:c r="A1410" s="4" t="n">
        <x:v>1400</x:v>
      </x:c>
      <x:c r="B1410" s="4" t="str">
        <x:v>platos típicos de jauja</x:v>
      </x:c>
      <x:c r="C1410" s="11" t="n">
        <x:v>1</x:v>
      </x:c>
      <x:c r="D1410" s="11" t="n">
        <x:v>45</x:v>
      </x:c>
      <x:c r="E1410" s="14" t="n">
        <x:v>0.022222222222222223</x:v>
      </x:c>
      <x:c r="F1410" s="12" t="n">
        <x:v>3.533333333333333</x:v>
      </x:c>
      <x:c r="G1410" s="4" t="str">
        <x:v>Sin marca literal</x:v>
      </x:c>
      <x:c r="H1410" s="11"/>
      <x:c r="I1410" s="11" t="str">
        <x:f>IF(H1410="","",C1410-H1410)</x:f>
      </x:c>
      <x:c r="J1410" s="4"/>
      <x:c r="K1410" s="4" t="str">
        <x:v>URLs de detalle page/query/country por clics. No asignan las impresiones de esta consulta a cada página.</x:v>
      </x:c>
    </x:row>
    <x:row r="1411" ht="28" customHeight="1">
      <x:c r="A1411" s="4" t="n">
        <x:v>1401</x:v>
      </x:c>
      <x:c r="B1411" s="4" t="str">
        <x:v>ruinas de tunanmarca</x:v>
      </x:c>
      <x:c r="C1411" s="11" t="n">
        <x:v>1</x:v>
      </x:c>
      <x:c r="D1411" s="11" t="n">
        <x:v>45</x:v>
      </x:c>
      <x:c r="E1411" s="14" t="n">
        <x:v>0.022222222222222223</x:v>
      </x:c>
      <x:c r="F1411" s="12" t="n">
        <x:v>8.177777777777777</x:v>
      </x:c>
      <x:c r="G1411" s="4" t="str">
        <x:v>Sin marca literal</x:v>
      </x:c>
      <x:c r="H1411" s="11"/>
      <x:c r="I1411" s="11" t="str">
        <x:f>IF(H1411="","",C1411-H1411)</x:f>
      </x:c>
      <x:c r="J1411" s="4"/>
      <x:c r="K1411" s="4" t="str">
        <x:v>URLs de detalle page/query/country por clics. No asignan las impresiones de esta consulta a cada página.</x:v>
      </x:c>
    </x:row>
    <x:row r="1412" ht="28" customHeight="1">
      <x:c r="A1412" s="4" t="n">
        <x:v>1402</x:v>
      </x:c>
      <x:c r="B1412" s="4" t="str">
        <x:v>sky comprar equipaje</x:v>
      </x:c>
      <x:c r="C1412" s="11" t="n">
        <x:v>1</x:v>
      </x:c>
      <x:c r="D1412" s="11" t="n">
        <x:v>45</x:v>
      </x:c>
      <x:c r="E1412" s="14" t="n">
        <x:v>0.022222222222222223</x:v>
      </x:c>
      <x:c r="F1412" s="12" t="n">
        <x:v>5.622222222222222</x:v>
      </x:c>
      <x:c r="G1412" s="4" t="str">
        <x:v>Sin marca literal</x:v>
      </x:c>
      <x:c r="H1412" s="11"/>
      <x:c r="I1412" s="11" t="str">
        <x:f>IF(H1412="","",C1412-H1412)</x:f>
      </x:c>
      <x:c r="J1412" s="4"/>
      <x:c r="K1412" s="4" t="str">
        <x:v>URLs de detalle page/query/country por clics. No asignan las impresiones de esta consulta a cada página.</x:v>
      </x:c>
    </x:row>
    <x:row r="1413" ht="28" customHeight="1">
      <x:c r="A1413" s="4" t="n">
        <x:v>1403</x:v>
      </x:c>
      <x:c r="B1413" s="4" t="str">
        <x:v>cuantos aeropuertos tiene buenos aires argentina</x:v>
      </x:c>
      <x:c r="C1413" s="11" t="n">
        <x:v>1</x:v>
      </x:c>
      <x:c r="D1413" s="11" t="n">
        <x:v>44</x:v>
      </x:c>
      <x:c r="E1413" s="14" t="n">
        <x:v>0.022727272727272728</x:v>
      </x:c>
      <x:c r="F1413" s="12" t="n">
        <x:v>1.0681818181818181</x:v>
      </x:c>
      <x:c r="G1413" s="4" t="str">
        <x:v>Sin marca literal</x:v>
      </x:c>
      <x:c r="H1413" s="11"/>
      <x:c r="I1413" s="11" t="str">
        <x:f>IF(H1413="","",C1413-H1413)</x:f>
      </x:c>
      <x:c r="J1413" s="4"/>
      <x:c r="K1413" s="4" t="str">
        <x:v>URLs de detalle page/query/country por clics. No asignan las impresiones de esta consulta a cada página.</x:v>
      </x:c>
    </x:row>
    <x:row r="1414" ht="28" customHeight="1">
      <x:c r="A1414" s="4" t="n">
        <x:v>1404</x:v>
      </x:c>
      <x:c r="B1414" s="4" t="str">
        <x:v>lago ranco donde queda</x:v>
      </x:c>
      <x:c r="C1414" s="11" t="n">
        <x:v>1</x:v>
      </x:c>
      <x:c r="D1414" s="11" t="n">
        <x:v>44</x:v>
      </x:c>
      <x:c r="E1414" s="14" t="n">
        <x:v>0.022727272727272728</x:v>
      </x:c>
      <x:c r="F1414" s="12" t="n">
        <x:v>10.045454545454545</x:v>
      </x:c>
      <x:c r="G1414" s="4" t="str">
        <x:v>Sin marca literal</x:v>
      </x:c>
      <x:c r="H1414" s="11"/>
      <x:c r="I1414" s="11" t="str">
        <x:f>IF(H1414="","",C1414-H1414)</x:f>
      </x:c>
      <x:c r="J1414" s="4"/>
      <x:c r="K1414" s="4" t="str">
        <x:v>URLs de detalle page/query/country por clics. No asignan las impresiones de esta consulta a cada página.</x:v>
      </x:c>
    </x:row>
    <x:row r="1415" ht="28" customHeight="1">
      <x:c r="A1415" s="4" t="n">
        <x:v>1405</x:v>
      </x:c>
      <x:c r="B1415" s="4" t="str">
        <x:v>lugares baratos para viajar desde chile</x:v>
      </x:c>
      <x:c r="C1415" s="11" t="n">
        <x:v>1</x:v>
      </x:c>
      <x:c r="D1415" s="11" t="n">
        <x:v>44</x:v>
      </x:c>
      <x:c r="E1415" s="14" t="n">
        <x:v>0.022727272727272728</x:v>
      </x:c>
      <x:c r="F1415" s="12" t="n">
        <x:v>3.7954545454545454</x:v>
      </x:c>
      <x:c r="G1415" s="4" t="str">
        <x:v>Sin marca literal</x:v>
      </x:c>
      <x:c r="H1415" s="11"/>
      <x:c r="I1415" s="11" t="str">
        <x:f>IF(H1415="","",C1415-H1415)</x:f>
      </x:c>
      <x:c r="J1415" s="4"/>
      <x:c r="K1415" s="4" t="str">
        <x:v>URLs de detalle page/query/country por clics. No asignan las impresiones de esta consulta a cada página.</x:v>
      </x:c>
    </x:row>
    <x:row r="1416" ht="28" customHeight="1">
      <x:c r="A1416" s="4" t="n">
        <x:v>1406</x:v>
      </x:c>
      <x:c r="B1416" s="4" t="str">
        <x:v>lugares turísticos del sur de argentina</x:v>
      </x:c>
      <x:c r="C1416" s="11" t="n">
        <x:v>1</x:v>
      </x:c>
      <x:c r="D1416" s="11" t="n">
        <x:v>44</x:v>
      </x:c>
      <x:c r="E1416" s="14" t="n">
        <x:v>0.022727272727272728</x:v>
      </x:c>
      <x:c r="F1416" s="12" t="n">
        <x:v>2.8636363636363633</x:v>
      </x:c>
      <x:c r="G1416" s="4" t="str">
        <x:v>Sin marca literal</x:v>
      </x:c>
      <x:c r="H1416" s="11"/>
      <x:c r="I1416" s="11" t="str">
        <x:f>IF(H1416="","",C1416-H1416)</x:f>
      </x:c>
      <x:c r="J1416" s="4"/>
      <x:c r="K1416" s="4" t="str">
        <x:v>URLs de detalle page/query/country por clics. No asignan las impresiones de esta consulta a cada página.</x:v>
      </x:c>
    </x:row>
    <x:row r="1417" ht="28" customHeight="1">
      <x:c r="A1417" s="4" t="n">
        <x:v>1407</x:v>
      </x:c>
      <x:c r="B1417" s="4" t="str">
        <x:v>playa más cercana a santiago</x:v>
      </x:c>
      <x:c r="C1417" s="11" t="n">
        <x:v>1</x:v>
      </x:c>
      <x:c r="D1417" s="11" t="n">
        <x:v>44</x:v>
      </x:c>
      <x:c r="E1417" s="14" t="n">
        <x:v>0.022727272727272728</x:v>
      </x:c>
      <x:c r="F1417" s="12" t="n">
        <x:v>9.772727272727273</x:v>
      </x:c>
      <x:c r="G1417" s="4" t="str">
        <x:v>Sin marca literal</x:v>
      </x:c>
      <x:c r="H1417" s="11"/>
      <x:c r="I1417" s="11" t="str">
        <x:f>IF(H1417="","",C1417-H1417)</x:f>
      </x:c>
      <x:c r="J1417" s="4"/>
      <x:c r="K1417" s="4" t="str">
        <x:v>URLs de detalle page/query/country por clics. No asignan las impresiones de esta consulta a cada página.</x:v>
      </x:c>
    </x:row>
    <x:row r="1418" ht="28" customHeight="1">
      <x:c r="A1418" s="4" t="n">
        <x:v>1408</x:v>
      </x:c>
      <x:c r="B1418" s="4" t="str">
        <x:v>que comer en lima peru</x:v>
      </x:c>
      <x:c r="C1418" s="11" t="n">
        <x:v>1</x:v>
      </x:c>
      <x:c r="D1418" s="11" t="n">
        <x:v>44</x:v>
      </x:c>
      <x:c r="E1418" s="14" t="n">
        <x:v>0.022727272727272728</x:v>
      </x:c>
      <x:c r="F1418" s="12" t="n">
        <x:v>6.659090909090909</x:v>
      </x:c>
      <x:c r="G1418" s="4" t="str">
        <x:v>Sin marca literal</x:v>
      </x:c>
      <x:c r="H1418" s="11"/>
      <x:c r="I1418" s="11" t="str">
        <x:f>IF(H1418="","",C1418-H1418)</x:f>
      </x:c>
      <x:c r="J1418" s="4"/>
      <x:c r="K1418" s="4" t="str">
        <x:v>URLs de detalle page/query/country por clics. No asignan las impresiones de esta consulta a cada página.</x:v>
      </x:c>
    </x:row>
    <x:row r="1419" ht="28" customHeight="1">
      <x:c r="A1419" s="4" t="n">
        <x:v>1409</x:v>
      </x:c>
      <x:c r="B1419" s="4" t="str">
        <x:v>bebidas peruanas</x:v>
      </x:c>
      <x:c r="C1419" s="11" t="n">
        <x:v>1</x:v>
      </x:c>
      <x:c r="D1419" s="11" t="n">
        <x:v>43</x:v>
      </x:c>
      <x:c r="E1419" s="14" t="n">
        <x:v>0.023255813953488372</x:v>
      </x:c>
      <x:c r="F1419" s="12" t="n">
        <x:v>15.581395348837209</x:v>
      </x:c>
      <x:c r="G1419" s="4" t="str">
        <x:v>Sin marca literal</x:v>
      </x:c>
      <x:c r="H1419" s="11"/>
      <x:c r="I1419" s="11" t="str">
        <x:f>IF(H1419="","",C1419-H1419)</x:f>
      </x:c>
      <x:c r="J1419" s="4"/>
      <x:c r="K1419" s="4" t="str">
        <x:v>URLs de detalle page/query/country por clics. No asignan las impresiones de esta consulta a cada página.</x:v>
      </x:c>
    </x:row>
    <x:row r="1420" ht="28" customHeight="1">
      <x:c r="A1420" s="4" t="n">
        <x:v>1410</x:v>
      </x:c>
      <x:c r="B1420" s="4" t="str">
        <x:v>brasil</x:v>
      </x:c>
      <x:c r="C1420" s="11" t="n">
        <x:v>1</x:v>
      </x:c>
      <x:c r="D1420" s="11" t="n">
        <x:v>43</x:v>
      </x:c>
      <x:c r="E1420" s="14" t="n">
        <x:v>0.023255813953488372</x:v>
      </x:c>
      <x:c r="F1420" s="12" t="n">
        <x:v>4.511627906976744</x:v>
      </x:c>
      <x:c r="G1420" s="4" t="str">
        <x:v>Sin marca literal</x:v>
      </x:c>
      <x:c r="H1420" s="11"/>
      <x:c r="I1420" s="11" t="str">
        <x:f>IF(H1420="","",C1420-H1420)</x:f>
      </x:c>
      <x:c r="J1420" s="4"/>
      <x:c r="K1420" s="4" t="str">
        <x:v>URLs de detalle page/query/country por clics. No asignan las impresiones de esta consulta a cada página.</x:v>
      </x:c>
    </x:row>
    <x:row r="1421" ht="28" customHeight="1">
      <x:c r="A1421" s="4" t="n">
        <x:v>1411</x:v>
      </x:c>
      <x:c r="B1421" s="4" t="str">
        <x:v>como llegar a rancagua en auto</x:v>
      </x:c>
      <x:c r="C1421" s="11" t="n">
        <x:v>1</x:v>
      </x:c>
      <x:c r="D1421" s="11" t="n">
        <x:v>43</x:v>
      </x:c>
      <x:c r="E1421" s="14" t="n">
        <x:v>0.023255813953488372</x:v>
      </x:c>
      <x:c r="F1421" s="12" t="n">
        <x:v>6.534883720930233</x:v>
      </x:c>
      <x:c r="G1421" s="4" t="str">
        <x:v>Sin marca literal</x:v>
      </x:c>
      <x:c r="H1421" s="11"/>
      <x:c r="I1421" s="11" t="str">
        <x:f>IF(H1421="","",C1421-H1421)</x:f>
      </x:c>
      <x:c r="J1421" s="4"/>
      <x:c r="K1421" s="4" t="str">
        <x:v>URLs de detalle page/query/country por clics. No asignan las impresiones de esta consulta a cada página.</x:v>
      </x:c>
    </x:row>
    <x:row r="1422" ht="28" customHeight="1">
      <x:c r="A1422" s="4" t="n">
        <x:v>1412</x:v>
      </x:c>
      <x:c r="B1422" s="4" t="str">
        <x:v>donde queda angra dos reis</x:v>
      </x:c>
      <x:c r="C1422" s="11" t="n">
        <x:v>1</x:v>
      </x:c>
      <x:c r="D1422" s="11" t="n">
        <x:v>43</x:v>
      </x:c>
      <x:c r="E1422" s="14" t="n">
        <x:v>0.023255813953488372</x:v>
      </x:c>
      <x:c r="F1422" s="12" t="n">
        <x:v>8.720930232558139</x:v>
      </x:c>
      <x:c r="G1422" s="4" t="str">
        <x:v>Sin marca literal</x:v>
      </x:c>
      <x:c r="H1422" s="11"/>
      <x:c r="I1422" s="11" t="str">
        <x:f>IF(H1422="","",C1422-H1422)</x:f>
      </x:c>
      <x:c r="J1422" s="4"/>
      <x:c r="K1422" s="4" t="str">
        <x:v>URLs de detalle page/query/country por clics. No asignan las impresiones de esta consulta a cada página.</x:v>
      </x:c>
    </x:row>
    <x:row r="1423" ht="28" customHeight="1">
      <x:c r="A1423" s="4" t="n">
        <x:v>1413</x:v>
      </x:c>
      <x:c r="B1423" s="4" t="str">
        <x:v>en que comuna queda el estadio nacional</x:v>
      </x:c>
      <x:c r="C1423" s="11" t="n">
        <x:v>1</x:v>
      </x:c>
      <x:c r="D1423" s="11" t="n">
        <x:v>43</x:v>
      </x:c>
      <x:c r="E1423" s="14" t="n">
        <x:v>0.023255813953488372</x:v>
      </x:c>
      <x:c r="F1423" s="12" t="n">
        <x:v>8.25581395348837</x:v>
      </x:c>
      <x:c r="G1423" s="4" t="str">
        <x:v>Sin marca literal</x:v>
      </x:c>
      <x:c r="H1423" s="11"/>
      <x:c r="I1423" s="11" t="str">
        <x:f>IF(H1423="","",C1423-H1423)</x:f>
      </x:c>
      <x:c r="J1423" s="4"/>
      <x:c r="K1423" s="4" t="str">
        <x:v>URLs de detalle page/query/country por clics. No asignan las impresiones de esta consulta a cada página.</x:v>
      </x:c>
    </x:row>
    <x:row r="1424" ht="28" customHeight="1">
      <x:c r="A1424" s="4" t="n">
        <x:v>1414</x:v>
      </x:c>
      <x:c r="B1424" s="4" t="str">
        <x:v>epoca de sargazo en playa del carmen</x:v>
      </x:c>
      <x:c r="C1424" s="11" t="n">
        <x:v>1</x:v>
      </x:c>
      <x:c r="D1424" s="11" t="n">
        <x:v>43</x:v>
      </x:c>
      <x:c r="E1424" s="14" t="n">
        <x:v>0.023255813953488372</x:v>
      </x:c>
      <x:c r="F1424" s="12" t="n">
        <x:v>2.162790697674419</x:v>
      </x:c>
      <x:c r="G1424" s="4" t="str">
        <x:v>Sin marca literal</x:v>
      </x:c>
      <x:c r="H1424" s="11"/>
      <x:c r="I1424" s="11" t="str">
        <x:f>IF(H1424="","",C1424-H1424)</x:f>
      </x:c>
      <x:c r="J1424" s="4"/>
      <x:c r="K1424" s="4" t="str">
        <x:v>URLs de detalle page/query/country por clics. No asignan las impresiones de esta consulta a cada página.</x:v>
      </x:c>
    </x:row>
    <x:row r="1425" ht="28" customHeight="1">
      <x:c r="A1425" s="4" t="n">
        <x:v>1415</x:v>
      </x:c>
      <x:c r="B1425" s="4" t="str">
        <x:v>millas sky</x:v>
      </x:c>
      <x:c r="C1425" s="11" t="n">
        <x:v>1</x:v>
      </x:c>
      <x:c r="D1425" s="11" t="n">
        <x:v>43</x:v>
      </x:c>
      <x:c r="E1425" s="14" t="n">
        <x:v>0.023255813953488372</x:v>
      </x:c>
      <x:c r="F1425" s="12" t="n">
        <x:v>4.720930232558139</x:v>
      </x:c>
      <x:c r="G1425" s="4" t="str">
        <x:v>Sin marca literal</x:v>
      </x:c>
      <x:c r="H1425" s="11"/>
      <x:c r="I1425" s="11" t="str">
        <x:f>IF(H1425="","",C1425-H1425)</x:f>
      </x:c>
      <x:c r="J1425" s="4"/>
      <x:c r="K1425" s="4" t="str">
        <x:v>URLs de detalle page/query/country por clics. No asignan las impresiones de esta consulta a cada página.</x:v>
      </x:c>
    </x:row>
    <x:row r="1426" ht="28" customHeight="1">
      <x:c r="A1426" s="4" t="n">
        <x:v>1416</x:v>
      </x:c>
      <x:c r="B1426" s="4" t="str">
        <x:v>palabras en portugues brasil</x:v>
      </x:c>
      <x:c r="C1426" s="11" t="n">
        <x:v>1</x:v>
      </x:c>
      <x:c r="D1426" s="11" t="n">
        <x:v>43</x:v>
      </x:c>
      <x:c r="E1426" s="14" t="n">
        <x:v>0.023255813953488372</x:v>
      </x:c>
      <x:c r="F1426" s="12" t="n">
        <x:v>7.883720930232558</x:v>
      </x:c>
      <x:c r="G1426" s="4" t="str">
        <x:v>Sin marca literal</x:v>
      </x:c>
      <x:c r="H1426" s="11"/>
      <x:c r="I1426" s="11" t="str">
        <x:f>IF(H1426="","",C1426-H1426)</x:f>
      </x:c>
      <x:c r="J1426" s="4"/>
      <x:c r="K1426" s="4" t="str">
        <x:v>URLs de detalle page/query/country por clics. No asignan las impresiones de esta consulta a cada página.</x:v>
      </x:c>
    </x:row>
    <x:row r="1427" ht="28" customHeight="1">
      <x:c r="A1427" s="4" t="n">
        <x:v>1417</x:v>
      </x:c>
      <x:c r="B1427" s="4" t="str">
        <x:v>que hacer en sao paulo</x:v>
      </x:c>
      <x:c r="C1427" s="11" t="n">
        <x:v>1</x:v>
      </x:c>
      <x:c r="D1427" s="11" t="n">
        <x:v>43</x:v>
      </x:c>
      <x:c r="E1427" s="14" t="n">
        <x:v>0.023255813953488372</x:v>
      </x:c>
      <x:c r="F1427" s="12" t="n">
        <x:v>11.953488372093023</x:v>
      </x:c>
      <x:c r="G1427" s="4" t="str">
        <x:v>Sin marca literal</x:v>
      </x:c>
      <x:c r="H1427" s="11"/>
      <x:c r="I1427" s="11" t="str">
        <x:f>IF(H1427="","",C1427-H1427)</x:f>
      </x:c>
      <x:c r="J1427" s="4"/>
      <x:c r="K1427" s="4" t="str">
        <x:v>URLs de detalle page/query/country por clics. No asignan las impresiones de esta consulta a cada página.</x:v>
      </x:c>
    </x:row>
    <x:row r="1428" ht="28" customHeight="1">
      <x:c r="A1428" s="4" t="n">
        <x:v>1418</x:v>
      </x:c>
      <x:c r="B1428" s="4" t="str">
        <x:v>aeropuerto en el sur de chile</x:v>
      </x:c>
      <x:c r="C1428" s="11" t="n">
        <x:v>1</x:v>
      </x:c>
      <x:c r="D1428" s="11" t="n">
        <x:v>42</x:v>
      </x:c>
      <x:c r="E1428" s="14" t="n">
        <x:v>0.023809523809523808</x:v>
      </x:c>
      <x:c r="F1428" s="12" t="n">
        <x:v>3.642857142857143</x:v>
      </x:c>
      <x:c r="G1428" s="4" t="str">
        <x:v>Sin marca literal</x:v>
      </x:c>
      <x:c r="H1428" s="11"/>
      <x:c r="I1428" s="11" t="str">
        <x:f>IF(H1428="","",C1428-H1428)</x:f>
      </x:c>
      <x:c r="J1428" s="4"/>
      <x:c r="K1428" s="4" t="str">
        <x:v>URLs de detalle page/query/country por clics. No asignan las impresiones de esta consulta a cada página.</x:v>
      </x:c>
    </x:row>
    <x:row r="1429" ht="28" customHeight="1">
      <x:c r="A1429" s="4" t="n">
        <x:v>1419</x:v>
      </x:c>
      <x:c r="B1429" s="4" t="str">
        <x:v>aeropuertos de argentina buenos aires</x:v>
      </x:c>
      <x:c r="C1429" s="11" t="n">
        <x:v>1</x:v>
      </x:c>
      <x:c r="D1429" s="11" t="n">
        <x:v>42</x:v>
      </x:c>
      <x:c r="E1429" s="14" t="n">
        <x:v>0.023809523809523808</x:v>
      </x:c>
      <x:c r="F1429" s="12" t="n">
        <x:v>5.857142857142857</x:v>
      </x:c>
      <x:c r="G1429" s="4" t="str">
        <x:v>Sin marca literal</x:v>
      </x:c>
      <x:c r="H1429" s="11"/>
      <x:c r="I1429" s="11" t="str">
        <x:f>IF(H1429="","",C1429-H1429)</x:f>
      </x:c>
      <x:c r="J1429" s="4"/>
      <x:c r="K1429" s="4" t="str">
        <x:v>URLs de detalle page/query/country por clics. No asignan las impresiones de esta consulta a cada página.</x:v>
      </x:c>
    </x:row>
    <x:row r="1430" ht="28" customHeight="1">
      <x:c r="A1430" s="4" t="n">
        <x:v>1420</x:v>
      </x:c>
      <x:c r="B1430" s="4" t="str">
        <x:v>cambio de vuelo</x:v>
      </x:c>
      <x:c r="C1430" s="11" t="n">
        <x:v>1</x:v>
      </x:c>
      <x:c r="D1430" s="11" t="n">
        <x:v>42</x:v>
      </x:c>
      <x:c r="E1430" s="14" t="n">
        <x:v>0.023809523809523808</x:v>
      </x:c>
      <x:c r="F1430" s="12" t="n">
        <x:v>12.952380952380953</x:v>
      </x:c>
      <x:c r="G1430" s="4" t="str">
        <x:v>Sin marca literal</x:v>
      </x:c>
      <x:c r="H1430" s="11"/>
      <x:c r="I1430" s="11" t="str">
        <x:f>IF(H1430="","",C1430-H1430)</x:f>
      </x:c>
      <x:c r="J1430" s="4"/>
      <x:c r="K1430" s="4" t="str">
        <x:v>URLs de detalle page/query/country por clics. No asignan las impresiones de esta consulta a cada página.</x:v>
      </x:c>
    </x:row>
    <x:row r="1431" ht="28" customHeight="1">
      <x:c r="A1431" s="4" t="n">
        <x:v>1421</x:v>
      </x:c>
      <x:c r="B1431" s="4" t="str">
        <x:v>cuanto se demora un vuelo de chile a brasil</x:v>
      </x:c>
      <x:c r="C1431" s="11" t="n">
        <x:v>1</x:v>
      </x:c>
      <x:c r="D1431" s="11" t="n">
        <x:v>42</x:v>
      </x:c>
      <x:c r="E1431" s="14" t="n">
        <x:v>0.023809523809523808</x:v>
      </x:c>
      <x:c r="F1431" s="12" t="n">
        <x:v>1.9523809523809523</x:v>
      </x:c>
      <x:c r="G1431" s="4" t="str">
        <x:v>Sin marca literal</x:v>
      </x:c>
      <x:c r="H1431" s="11"/>
      <x:c r="I1431" s="11" t="str">
        <x:f>IF(H1431="","",C1431-H1431)</x:f>
      </x:c>
      <x:c r="J1431" s="4"/>
      <x:c r="K1431" s="4" t="str">
        <x:v>URLs de detalle page/query/country por clics. No asignan las impresiones de esta consulta a cada página.</x:v>
      </x:c>
    </x:row>
    <x:row r="1432" ht="28" customHeight="1">
      <x:c r="A1432" s="4" t="n">
        <x:v>1422</x:v>
      </x:c>
      <x:c r="B1432" s="4" t="str">
        <x:v>paisaje del sur</x:v>
      </x:c>
      <x:c r="C1432" s="11" t="n">
        <x:v>1</x:v>
      </x:c>
      <x:c r="D1432" s="11" t="n">
        <x:v>42</x:v>
      </x:c>
      <x:c r="E1432" s="14" t="n">
        <x:v>0.023809523809523808</x:v>
      </x:c>
      <x:c r="F1432" s="12" t="n">
        <x:v>2.1904761904761907</x:v>
      </x:c>
      <x:c r="G1432" s="4" t="str">
        <x:v>Sin marca literal</x:v>
      </x:c>
      <x:c r="H1432" s="11"/>
      <x:c r="I1432" s="11" t="str">
        <x:f>IF(H1432="","",C1432-H1432)</x:f>
      </x:c>
      <x:c r="J1432" s="4"/>
      <x:c r="K1432" s="4" t="str">
        <x:v>URLs de detalle page/query/country por clics. No asignan las impresiones de esta consulta a cada página.</x:v>
      </x:c>
    </x:row>
    <x:row r="1433" ht="28" customHeight="1">
      <x:c r="A1433" s="4" t="n">
        <x:v>1423</x:v>
      </x:c>
      <x:c r="B1433" s="4" t="str">
        <x:v>se puede llevar botella de agua en el avion</x:v>
      </x:c>
      <x:c r="C1433" s="11" t="n">
        <x:v>1</x:v>
      </x:c>
      <x:c r="D1433" s="11" t="n">
        <x:v>42</x:v>
      </x:c>
      <x:c r="E1433" s="14" t="n">
        <x:v>0.023809523809523808</x:v>
      </x:c>
      <x:c r="F1433" s="12" t="n">
        <x:v>4.523809523809524</x:v>
      </x:c>
      <x:c r="G1433" s="4" t="str">
        <x:v>Sin marca literal</x:v>
      </x:c>
      <x:c r="H1433" s="11"/>
      <x:c r="I1433" s="11" t="str">
        <x:f>IF(H1433="","",C1433-H1433)</x:f>
      </x:c>
      <x:c r="J1433" s="4"/>
      <x:c r="K1433" s="4" t="str">
        <x:v>URLs de detalle page/query/country por clics. No asignan las impresiones de esta consulta a cada página.</x:v>
      </x:c>
    </x:row>
    <x:row r="1434" ht="28" customHeight="1">
      <x:c r="A1434" s="4" t="n">
        <x:v>1424</x:v>
      </x:c>
      <x:c r="B1434" s="4" t="str">
        <x:v>terminal sur que metro es</x:v>
      </x:c>
      <x:c r="C1434" s="11" t="n">
        <x:v>1</x:v>
      </x:c>
      <x:c r="D1434" s="11" t="n">
        <x:v>42</x:v>
      </x:c>
      <x:c r="E1434" s="14" t="n">
        <x:v>0.023809523809523808</x:v>
      </x:c>
      <x:c r="F1434" s="12" t="n">
        <x:v>7.428571428571429</x:v>
      </x:c>
      <x:c r="G1434" s="4" t="str">
        <x:v>Sin marca literal</x:v>
      </x:c>
      <x:c r="H1434" s="11"/>
      <x:c r="I1434" s="11" t="str">
        <x:f>IF(H1434="","",C1434-H1434)</x:f>
      </x:c>
      <x:c r="J1434" s="4"/>
      <x:c r="K1434" s="4" t="str">
        <x:v>URLs de detalle page/query/country por clics. No asignan las impresiones de esta consulta a cada página.</x:v>
      </x:c>
    </x:row>
    <x:row r="1435" ht="28" customHeight="1">
      <x:c r="A1435" s="4" t="n">
        <x:v>1425</x:v>
      </x:c>
      <x:c r="B1435" s="4" t="str">
        <x:v>tipo de enchufes en peru</x:v>
      </x:c>
      <x:c r="C1435" s="11" t="n">
        <x:v>1</x:v>
      </x:c>
      <x:c r="D1435" s="11" t="n">
        <x:v>42</x:v>
      </x:c>
      <x:c r="E1435" s="14" t="n">
        <x:v>0.023809523809523808</x:v>
      </x:c>
      <x:c r="F1435" s="12" t="n">
        <x:v>6.809523809523809</x:v>
      </x:c>
      <x:c r="G1435" s="4" t="str">
        <x:v>Sin marca literal</x:v>
      </x:c>
      <x:c r="H1435" s="11"/>
      <x:c r="I1435" s="11" t="str">
        <x:f>IF(H1435="","",C1435-H1435)</x:f>
      </x:c>
      <x:c r="J1435" s="4"/>
      <x:c r="K1435" s="4" t="str">
        <x:v>URLs de detalle page/query/country por clics. No asignan las impresiones de esta consulta a cada página.</x:v>
      </x:c>
    </x:row>
    <x:row r="1436" ht="28" customHeight="1">
      <x:c r="A1436" s="4" t="n">
        <x:v>1426</x:v>
      </x:c>
      <x:c r="B1436" s="4" t="str">
        <x:v>aeropuerto principal de buenos aires</x:v>
      </x:c>
      <x:c r="C1436" s="11" t="n">
        <x:v>1</x:v>
      </x:c>
      <x:c r="D1436" s="11" t="n">
        <x:v>41</x:v>
      </x:c>
      <x:c r="E1436" s="14" t="n">
        <x:v>0.024390243902439025</x:v>
      </x:c>
      <x:c r="F1436" s="12" t="n">
        <x:v>4.585365853658537</x:v>
      </x:c>
      <x:c r="G1436" s="4" t="str">
        <x:v>Sin marca literal</x:v>
      </x:c>
      <x:c r="H1436" s="11"/>
      <x:c r="I1436" s="11" t="str">
        <x:f>IF(H1436="","",C1436-H1436)</x:f>
      </x:c>
      <x:c r="J1436" s="4"/>
      <x:c r="K1436" s="4" t="str">
        <x:v>URLs de detalle page/query/country por clics. No asignan las impresiones de esta consulta a cada página.</x:v>
      </x:c>
    </x:row>
    <x:row r="1437" ht="28" customHeight="1">
      <x:c r="A1437" s="4" t="n">
        <x:v>1427</x:v>
      </x:c>
      <x:c r="B1437" s="4" t="str">
        <x:v>como llegar a bacalar</x:v>
      </x:c>
      <x:c r="C1437" s="11" t="n">
        <x:v>1</x:v>
      </x:c>
      <x:c r="D1437" s="11" t="n">
        <x:v>41</x:v>
      </x:c>
      <x:c r="E1437" s="14" t="n">
        <x:v>0.024390243902439025</x:v>
      </x:c>
      <x:c r="F1437" s="12" t="n">
        <x:v>9.78048780487805</x:v>
      </x:c>
      <x:c r="G1437" s="4" t="str">
        <x:v>Sin marca literal</x:v>
      </x:c>
      <x:c r="H1437" s="11"/>
      <x:c r="I1437" s="11" t="str">
        <x:f>IF(H1437="","",C1437-H1437)</x:f>
      </x:c>
      <x:c r="J1437" s="4"/>
      <x:c r="K1437" s="4" t="str">
        <x:v>URLs de detalle page/query/country por clics. No asignan las impresiones de esta consulta a cada página.</x:v>
      </x:c>
    </x:row>
    <x:row r="1438" ht="28" customHeight="1">
      <x:c r="A1438" s="4" t="n">
        <x:v>1428</x:v>
      </x:c>
      <x:c r="B1438" s="4" t="str">
        <x:v>fecha de las estaciones del año en chile</x:v>
      </x:c>
      <x:c r="C1438" s="11" t="n">
        <x:v>1</x:v>
      </x:c>
      <x:c r="D1438" s="11" t="n">
        <x:v>41</x:v>
      </x:c>
      <x:c r="E1438" s="14" t="n">
        <x:v>0.024390243902439025</x:v>
      </x:c>
      <x:c r="F1438" s="12" t="n">
        <x:v>3.707317073170732</x:v>
      </x:c>
      <x:c r="G1438" s="4" t="str">
        <x:v>Sin marca literal</x:v>
      </x:c>
      <x:c r="H1438" s="11"/>
      <x:c r="I1438" s="11" t="str">
        <x:f>IF(H1438="","",C1438-H1438)</x:f>
      </x:c>
      <x:c r="J1438" s="4"/>
      <x:c r="K1438" s="4" t="str">
        <x:v>URLs de detalle page/query/country por clics. No asignan las impresiones de esta consulta a cada página.</x:v>
      </x:c>
    </x:row>
    <x:row r="1439" ht="28" customHeight="1">
      <x:c r="A1439" s="4" t="n">
        <x:v>1429</x:v>
      </x:c>
      <x:c r="B1439" s="4" t="str">
        <x:v>paisaje zona sur de chile</x:v>
      </x:c>
      <x:c r="C1439" s="11" t="n">
        <x:v>1</x:v>
      </x:c>
      <x:c r="D1439" s="11" t="n">
        <x:v>41</x:v>
      </x:c>
      <x:c r="E1439" s="14" t="n">
        <x:v>0.024390243902439025</x:v>
      </x:c>
      <x:c r="F1439" s="12" t="n">
        <x:v>1.3170731707317074</x:v>
      </x:c>
      <x:c r="G1439" s="4" t="str">
        <x:v>Sin marca literal</x:v>
      </x:c>
      <x:c r="H1439" s="11"/>
      <x:c r="I1439" s="11" t="str">
        <x:f>IF(H1439="","",C1439-H1439)</x:f>
      </x:c>
      <x:c r="J1439" s="4"/>
      <x:c r="K1439" s="4" t="str">
        <x:v>URLs de detalle page/query/country por clics. No asignan las impresiones de esta consulta a cada página.</x:v>
      </x:c>
    </x:row>
    <x:row r="1440" ht="28" customHeight="1">
      <x:c r="A1440" s="4" t="n">
        <x:v>1430</x:v>
      </x:c>
      <x:c r="B1440" s="4" t="str">
        <x:v>parque nacional huascaran</x:v>
      </x:c>
      <x:c r="C1440" s="11" t="n">
        <x:v>1</x:v>
      </x:c>
      <x:c r="D1440" s="11" t="n">
        <x:v>41</x:v>
      </x:c>
      <x:c r="E1440" s="14" t="n">
        <x:v>0.024390243902439025</x:v>
      </x:c>
      <x:c r="F1440" s="12" t="n">
        <x:v>12.926829268292684</x:v>
      </x:c>
      <x:c r="G1440" s="4" t="str">
        <x:v>Sin marca literal</x:v>
      </x:c>
      <x:c r="H1440" s="11"/>
      <x:c r="I1440" s="11" t="str">
        <x:f>IF(H1440="","",C1440-H1440)</x:f>
      </x:c>
      <x:c r="J1440" s="4"/>
      <x:c r="K1440" s="4" t="str">
        <x:v>URLs de detalle page/query/country por clics. No asignan las impresiones de esta consulta a cada página.</x:v>
      </x:c>
    </x:row>
    <x:row r="1441" ht="28" customHeight="1">
      <x:c r="A1441" s="4" t="n">
        <x:v>1431</x:v>
      </x:c>
      <x:c r="B1441" s="4" t="str">
        <x:v>que hacer en hornopiren</x:v>
      </x:c>
      <x:c r="C1441" s="11" t="n">
        <x:v>1</x:v>
      </x:c>
      <x:c r="D1441" s="11" t="n">
        <x:v>41</x:v>
      </x:c>
      <x:c r="E1441" s="14" t="n">
        <x:v>0.024390243902439025</x:v>
      </x:c>
      <x:c r="F1441" s="12" t="n">
        <x:v>9.512195121951219</x:v>
      </x:c>
      <x:c r="G1441" s="4" t="str">
        <x:v>Sin marca literal</x:v>
      </x:c>
      <x:c r="H1441" s="11"/>
      <x:c r="I1441" s="11" t="str">
        <x:f>IF(H1441="","",C1441-H1441)</x:f>
      </x:c>
      <x:c r="J1441" s="4"/>
      <x:c r="K1441" s="4" t="str">
        <x:v>URLs de detalle page/query/country por clics. No asignan las impresiones de esta consulta a cada página.</x:v>
      </x:c>
    </x:row>
    <x:row r="1442" ht="28" customHeight="1">
      <x:c r="A1442" s="4" t="n">
        <x:v>1432</x:v>
      </x:c>
      <x:c r="B1442" s="4" t="str">
        <x:v>se pueden cambiar los pasajes de avion</x:v>
      </x:c>
      <x:c r="C1442" s="11" t="n">
        <x:v>1</x:v>
      </x:c>
      <x:c r="D1442" s="11" t="n">
        <x:v>41</x:v>
      </x:c>
      <x:c r="E1442" s="14" t="n">
        <x:v>0.024390243902439025</x:v>
      </x:c>
      <x:c r="F1442" s="12" t="n">
        <x:v>5.878048780487805</x:v>
      </x:c>
      <x:c r="G1442" s="4" t="str">
        <x:v>Sin marca literal</x:v>
      </x:c>
      <x:c r="H1442" s="11"/>
      <x:c r="I1442" s="11" t="str">
        <x:f>IF(H1442="","",C1442-H1442)</x:f>
      </x:c>
      <x:c r="J1442" s="4"/>
      <x:c r="K1442" s="4" t="str">
        <x:v>URLs de detalle page/query/country por clics. No asignan las impresiones de esta consulta a cada página.</x:v>
      </x:c>
    </x:row>
    <x:row r="1443" ht="28" customHeight="1">
      <x:c r="A1443" s="4" t="n">
        <x:v>1433</x:v>
      </x:c>
      <x:c r="B1443" s="4" t="str">
        <x:v>sky peliculas</x:v>
      </x:c>
      <x:c r="C1443" s="11" t="n">
        <x:v>1</x:v>
      </x:c>
      <x:c r="D1443" s="11" t="n">
        <x:v>41</x:v>
      </x:c>
      <x:c r="E1443" s="14" t="n">
        <x:v>0.024390243902439025</x:v>
      </x:c>
      <x:c r="F1443" s="12" t="n">
        <x:v>6.951219512195122</x:v>
      </x:c>
      <x:c r="G1443" s="4" t="str">
        <x:v>Sin marca literal</x:v>
      </x:c>
      <x:c r="H1443" s="11"/>
      <x:c r="I1443" s="11" t="str">
        <x:f>IF(H1443="","",C1443-H1443)</x:f>
      </x:c>
      <x:c r="J1443" s="4"/>
      <x:c r="K1443" s="4" t="str">
        <x:v>URLs de detalle page/query/country por clics. No asignan las impresiones de esta consulta a cada página.</x:v>
      </x:c>
    </x:row>
    <x:row r="1444" ht="28" customHeight="1">
      <x:c r="A1444" s="4" t="n">
        <x:v>1434</x:v>
      </x:c>
      <x:c r="B1444" s="4" t="str">
        <x:v>sky plus registrarse</x:v>
      </x:c>
      <x:c r="C1444" s="11" t="n">
        <x:v>1</x:v>
      </x:c>
      <x:c r="D1444" s="11" t="n">
        <x:v>41</x:v>
      </x:c>
      <x:c r="E1444" s="14" t="n">
        <x:v>0.024390243902439025</x:v>
      </x:c>
      <x:c r="F1444" s="12" t="n">
        <x:v>5.7317073170731705</x:v>
      </x:c>
      <x:c r="G1444" s="4" t="str">
        <x:v>Sin marca literal</x:v>
      </x:c>
      <x:c r="H1444" s="11"/>
      <x:c r="I1444" s="11" t="str">
        <x:f>IF(H1444="","",C1444-H1444)</x:f>
      </x:c>
      <x:c r="J1444" s="4"/>
      <x:c r="K1444" s="4" t="str">
        <x:v>URLs de detalle page/query/country por clics. No asignan las impresiones de esta consulta a cada página.</x:v>
      </x:c>
    </x:row>
    <x:row r="1445" ht="28" customHeight="1">
      <x:c r="A1445" s="4" t="n">
        <x:v>1435</x:v>
      </x:c>
      <x:c r="B1445" s="4" t="str">
        <x:v>sky terminal 1 o 2</x:v>
      </x:c>
      <x:c r="C1445" s="11" t="n">
        <x:v>1</x:v>
      </x:c>
      <x:c r="D1445" s="11" t="n">
        <x:v>41</x:v>
      </x:c>
      <x:c r="E1445" s="14" t="n">
        <x:v>0.024390243902439025</x:v>
      </x:c>
      <x:c r="F1445" s="12" t="n">
        <x:v>7.2926829268292686</x:v>
      </x:c>
      <x:c r="G1445" s="4" t="str">
        <x:v>Sin marca literal</x:v>
      </x:c>
      <x:c r="H1445" s="11"/>
      <x:c r="I1445" s="11" t="str">
        <x:f>IF(H1445="","",C1445-H1445)</x:f>
      </x:c>
      <x:c r="J1445" s="4"/>
      <x:c r="K1445" s="4" t="str">
        <x:v>URLs de detalle page/query/country por clics. No asignan las impresiones de esta consulta a cada página.</x:v>
      </x:c>
    </x:row>
    <x:row r="1446" ht="28" customHeight="1">
      <x:c r="A1446" s="4" t="n">
        <x:v>1436</x:v>
      </x:c>
      <x:c r="B1446" s="4" t="str">
        <x:v>articulos prohibidos en equipaje de mano</x:v>
      </x:c>
      <x:c r="C1446" s="11" t="n">
        <x:v>1</x:v>
      </x:c>
      <x:c r="D1446" s="11" t="n">
        <x:v>40</x:v>
      </x:c>
      <x:c r="E1446" s="14" t="n">
        <x:v>0.025</x:v>
      </x:c>
      <x:c r="F1446" s="12" t="n">
        <x:v>8.55</x:v>
      </x:c>
      <x:c r="G1446" s="4" t="str">
        <x:v>Sin marca literal</x:v>
      </x:c>
      <x:c r="H1446" s="11"/>
      <x:c r="I1446" s="11" t="str">
        <x:f>IF(H1446="","",C1446-H1446)</x:f>
      </x:c>
      <x:c r="J1446" s="4"/>
      <x:c r="K1446" s="4" t="str">
        <x:v>URLs de detalle page/query/country por clics. No asignan las impresiones de esta consulta a cada página.</x:v>
      </x:c>
    </x:row>
    <x:row r="1447" ht="28" customHeight="1">
      <x:c r="A1447" s="4" t="n">
        <x:v>1437</x:v>
      </x:c>
      <x:c r="B1447" s="4" t="str">
        <x:v>como llegar a camboriu</x:v>
      </x:c>
      <x:c r="C1447" s="11" t="n">
        <x:v>1</x:v>
      </x:c>
      <x:c r="D1447" s="11" t="n">
        <x:v>40</x:v>
      </x:c>
      <x:c r="E1447" s="14" t="n">
        <x:v>0.025</x:v>
      </x:c>
      <x:c r="F1447" s="12" t="n">
        <x:v>5.075</x:v>
      </x:c>
      <x:c r="G1447" s="4" t="str">
        <x:v>Sin marca literal</x:v>
      </x:c>
      <x:c r="H1447" s="11"/>
      <x:c r="I1447" s="11" t="str">
        <x:f>IF(H1447="","",C1447-H1447)</x:f>
      </x:c>
      <x:c r="J1447" s="4"/>
      <x:c r="K1447" s="4" t="str">
        <x:v>URLs de detalle page/query/country por clics. No asignan las impresiones de esta consulta a cada página.</x:v>
      </x:c>
    </x:row>
    <x:row r="1448" ht="28" customHeight="1">
      <x:c r="A1448" s="4" t="n">
        <x:v>1438</x:v>
      </x:c>
      <x:c r="B1448" s="4" t="str">
        <x:v>como llegar al aeropuerto de temuco</x:v>
      </x:c>
      <x:c r="C1448" s="11" t="n">
        <x:v>1</x:v>
      </x:c>
      <x:c r="D1448" s="11" t="n">
        <x:v>40</x:v>
      </x:c>
      <x:c r="E1448" s="14" t="n">
        <x:v>0.025</x:v>
      </x:c>
      <x:c r="F1448" s="12" t="n">
        <x:v>5.775</x:v>
      </x:c>
      <x:c r="G1448" s="4" t="str">
        <x:v>Sin marca literal</x:v>
      </x:c>
      <x:c r="H1448" s="11"/>
      <x:c r="I1448" s="11" t="str">
        <x:f>IF(H1448="","",C1448-H1448)</x:f>
      </x:c>
      <x:c r="J1448" s="4"/>
      <x:c r="K1448" s="4" t="str">
        <x:v>URLs de detalle page/query/country por clics. No asignan las impresiones de esta consulta a cada página.</x:v>
      </x:c>
    </x:row>
    <x:row r="1449" ht="28" customHeight="1">
      <x:c r="A1449" s="4" t="n">
        <x:v>1439</x:v>
      </x:c>
      <x:c r="B1449" s="4" t="str">
        <x:v>equipaje de bodega</x:v>
      </x:c>
      <x:c r="C1449" s="11" t="n">
        <x:v>1</x:v>
      </x:c>
      <x:c r="D1449" s="11" t="n">
        <x:v>40</x:v>
      </x:c>
      <x:c r="E1449" s="14" t="n">
        <x:v>0.025</x:v>
      </x:c>
      <x:c r="F1449" s="12" t="n">
        <x:v>4.35</x:v>
      </x:c>
      <x:c r="G1449" s="4" t="str">
        <x:v>Sin marca literal</x:v>
      </x:c>
      <x:c r="H1449" s="11"/>
      <x:c r="I1449" s="11" t="str">
        <x:f>IF(H1449="","",C1449-H1449)</x:f>
      </x:c>
      <x:c r="J1449" s="4"/>
      <x:c r="K1449" s="4" t="str">
        <x:v>URLs de detalle page/query/country por clics. No asignan las impresiones de esta consulta a cada página.</x:v>
      </x:c>
    </x:row>
    <x:row r="1450" ht="28" customHeight="1">
      <x:c r="A1450" s="4" t="n">
        <x:v>1440</x:v>
      </x:c>
      <x:c r="B1450" s="4" t="str">
        <x:v>paisaje chiloe</x:v>
      </x:c>
      <x:c r="C1450" s="11" t="n">
        <x:v>1</x:v>
      </x:c>
      <x:c r="D1450" s="11" t="n">
        <x:v>40</x:v>
      </x:c>
      <x:c r="E1450" s="14" t="n">
        <x:v>0.025</x:v>
      </x:c>
      <x:c r="F1450" s="12" t="n">
        <x:v>6.025</x:v>
      </x:c>
      <x:c r="G1450" s="4" t="str">
        <x:v>Sin marca literal</x:v>
      </x:c>
      <x:c r="H1450" s="11"/>
      <x:c r="I1450" s="11" t="str">
        <x:f>IF(H1450="","",C1450-H1450)</x:f>
      </x:c>
      <x:c r="J1450" s="4"/>
      <x:c r="K1450" s="4" t="str">
        <x:v>URLs de detalle page/query/country por clics. No asignan las impresiones de esta consulta a cada página.</x:v>
      </x:c>
    </x:row>
    <x:row r="1451" ht="28" customHeight="1">
      <x:c r="A1451" s="4" t="n">
        <x:v>1441</x:v>
      </x:c>
      <x:c r="B1451" s="4" t="str">
        <x:v>temporada en chile</x:v>
      </x:c>
      <x:c r="C1451" s="11" t="n">
        <x:v>1</x:v>
      </x:c>
      <x:c r="D1451" s="11" t="n">
        <x:v>40</x:v>
      </x:c>
      <x:c r="E1451" s="14" t="n">
        <x:v>0.025</x:v>
      </x:c>
      <x:c r="F1451" s="12" t="n">
        <x:v>3.725</x:v>
      </x:c>
      <x:c r="G1451" s="4" t="str">
        <x:v>Sin marca literal</x:v>
      </x:c>
      <x:c r="H1451" s="11"/>
      <x:c r="I1451" s="11" t="str">
        <x:f>IF(H1451="","",C1451-H1451)</x:f>
      </x:c>
      <x:c r="J1451" s="4"/>
      <x:c r="K1451" s="4" t="str">
        <x:v>URLs de detalle page/query/country por clics. No asignan las impresiones de esta consulta a cada página.</x:v>
      </x:c>
    </x:row>
    <x:row r="1452" ht="28" customHeight="1">
      <x:c r="A1452" s="4" t="n">
        <x:v>1442</x:v>
      </x:c>
      <x:c r="B1452" s="4" t="str">
        <x:v>costa paulista</x:v>
      </x:c>
      <x:c r="C1452" s="11" t="n">
        <x:v>1</x:v>
      </x:c>
      <x:c r="D1452" s="11" t="n">
        <x:v>39</x:v>
      </x:c>
      <x:c r="E1452" s="14" t="n">
        <x:v>0.02564102564102564</x:v>
      </x:c>
      <x:c r="F1452" s="12" t="n">
        <x:v>4.153846153846153</x:v>
      </x:c>
      <x:c r="G1452" s="4" t="str">
        <x:v>Sin marca literal</x:v>
      </x:c>
      <x:c r="H1452" s="11"/>
      <x:c r="I1452" s="11" t="str">
        <x:f>IF(H1452="","",C1452-H1452)</x:f>
      </x:c>
      <x:c r="J1452" s="4"/>
      <x:c r="K1452" s="4" t="str">
        <x:v>URLs de detalle page/query/country por clics. No asignan las impresiones de esta consulta a cada página.</x:v>
      </x:c>
    </x:row>
    <x:row r="1453" ht="28" customHeight="1">
      <x:c r="A1453" s="4" t="n">
        <x:v>1443</x:v>
      </x:c>
      <x:c r="B1453" s="4" t="str">
        <x:v>en q epoca del año estamos</x:v>
      </x:c>
      <x:c r="C1453" s="11" t="n">
        <x:v>1</x:v>
      </x:c>
      <x:c r="D1453" s="11" t="n">
        <x:v>39</x:v>
      </x:c>
      <x:c r="E1453" s="14" t="n">
        <x:v>0.02564102564102564</x:v>
      </x:c>
      <x:c r="F1453" s="12" t="n">
        <x:v>4.923076923076923</x:v>
      </x:c>
      <x:c r="G1453" s="4" t="str">
        <x:v>Sin marca literal</x:v>
      </x:c>
      <x:c r="H1453" s="11"/>
      <x:c r="I1453" s="11" t="str">
        <x:f>IF(H1453="","",C1453-H1453)</x:f>
      </x:c>
      <x:c r="J1453" s="4"/>
      <x:c r="K1453" s="4" t="str">
        <x:v>URLs de detalle page/query/country por clics. No asignan las impresiones de esta consulta a cada página.</x:v>
      </x:c>
    </x:row>
    <x:row r="1454" ht="28" customHeight="1">
      <x:c r="A1454" s="4" t="n">
        <x:v>1444</x:v>
      </x:c>
      <x:c r="B1454" s="4" t="str">
        <x:v>panoramas niños</x:v>
      </x:c>
      <x:c r="C1454" s="11" t="n">
        <x:v>1</x:v>
      </x:c>
      <x:c r="D1454" s="11" t="n">
        <x:v>39</x:v>
      </x:c>
      <x:c r="E1454" s="14" t="n">
        <x:v>0.02564102564102564</x:v>
      </x:c>
      <x:c r="F1454" s="12" t="n">
        <x:v>7.461538461538462</x:v>
      </x:c>
      <x:c r="G1454" s="4" t="str">
        <x:v>Sin marca literal</x:v>
      </x:c>
      <x:c r="H1454" s="11"/>
      <x:c r="I1454" s="11" t="str">
        <x:f>IF(H1454="","",C1454-H1454)</x:f>
      </x:c>
      <x:c r="J1454" s="4"/>
      <x:c r="K1454" s="4" t="str">
        <x:v>URLs de detalle page/query/country por clics. No asignan las impresiones de esta consulta a cada página.</x:v>
      </x:c>
    </x:row>
    <x:row r="1455" ht="28" customHeight="1">
      <x:c r="A1455" s="4" t="n">
        <x:v>1445</x:v>
      </x:c>
      <x:c r="B1455" s="4" t="str">
        <x:v>plato tipico lima</x:v>
      </x:c>
      <x:c r="C1455" s="11" t="n">
        <x:v>1</x:v>
      </x:c>
      <x:c r="D1455" s="11" t="n">
        <x:v>39</x:v>
      </x:c>
      <x:c r="E1455" s="14" t="n">
        <x:v>0.02564102564102564</x:v>
      </x:c>
      <x:c r="F1455" s="12" t="n">
        <x:v>2.3846153846153846</x:v>
      </x:c>
      <x:c r="G1455" s="4" t="str">
        <x:v>Sin marca literal</x:v>
      </x:c>
      <x:c r="H1455" s="11"/>
      <x:c r="I1455" s="11" t="str">
        <x:f>IF(H1455="","",C1455-H1455)</x:f>
      </x:c>
      <x:c r="J1455" s="4"/>
      <x:c r="K1455" s="4" t="str">
        <x:v>URLs de detalle page/query/country por clics. No asignan las impresiones de esta consulta a cada página.</x:v>
      </x:c>
    </x:row>
    <x:row r="1456" ht="28" customHeight="1">
      <x:c r="A1456" s="4" t="n">
        <x:v>1446</x:v>
      </x:c>
      <x:c r="B1456" s="4" t="str">
        <x:v>requisitos para viajar a argentina desde chile</x:v>
      </x:c>
      <x:c r="C1456" s="11" t="n">
        <x:v>1</x:v>
      </x:c>
      <x:c r="D1456" s="11" t="n">
        <x:v>39</x:v>
      </x:c>
      <x:c r="E1456" s="14" t="n">
        <x:v>0.02564102564102564</x:v>
      </x:c>
      <x:c r="F1456" s="12" t="n">
        <x:v>5.948717948717949</x:v>
      </x:c>
      <x:c r="G1456" s="4" t="str">
        <x:v>Sin marca literal</x:v>
      </x:c>
      <x:c r="H1456" s="11"/>
      <x:c r="I1456" s="11" t="str">
        <x:f>IF(H1456="","",C1456-H1456)</x:f>
      </x:c>
      <x:c r="J1456" s="4"/>
      <x:c r="K1456" s="4" t="str">
        <x:v>URLs de detalle page/query/country por clics. No asignan las impresiones de esta consulta a cada página.</x:v>
      </x:c>
    </x:row>
    <x:row r="1457" ht="28" customHeight="1">
      <x:c r="A1457" s="4" t="n">
        <x:v>1447</x:v>
      </x:c>
      <x:c r="B1457" s="4" t="str">
        <x:v>salvador de bahía</x:v>
      </x:c>
      <x:c r="C1457" s="11" t="n">
        <x:v>1</x:v>
      </x:c>
      <x:c r="D1457" s="11" t="n">
        <x:v>39</x:v>
      </x:c>
      <x:c r="E1457" s="14" t="n">
        <x:v>0.02564102564102564</x:v>
      </x:c>
      <x:c r="F1457" s="12" t="n">
        <x:v>26.794871794871796</x:v>
      </x:c>
      <x:c r="G1457" s="4" t="str">
        <x:v>Sin marca literal</x:v>
      </x:c>
      <x:c r="H1457" s="11"/>
      <x:c r="I1457" s="11" t="str">
        <x:f>IF(H1457="","",C1457-H1457)</x:f>
      </x:c>
      <x:c r="J1457" s="4"/>
      <x:c r="K1457" s="4" t="str">
        <x:v>URLs de detalle page/query/country por clics. No asignan las impresiones de esta consulta a cada página.</x:v>
      </x:c>
    </x:row>
    <x:row r="1458" ht="28" customHeight="1">
      <x:c r="A1458" s="4" t="n">
        <x:v>1448</x:v>
      </x:c>
      <x:c r="B1458" s="4" t="str">
        <x:v>sky como cambiar fecha de vuelo</x:v>
      </x:c>
      <x:c r="C1458" s="11" t="n">
        <x:v>1</x:v>
      </x:c>
      <x:c r="D1458" s="11" t="n">
        <x:v>39</x:v>
      </x:c>
      <x:c r="E1458" s="14" t="n">
        <x:v>0.02564102564102564</x:v>
      </x:c>
      <x:c r="F1458" s="12" t="n">
        <x:v>5.051282051282051</x:v>
      </x:c>
      <x:c r="G1458" s="4" t="str">
        <x:v>Sin marca literal</x:v>
      </x:c>
      <x:c r="H1458" s="11"/>
      <x:c r="I1458" s="11" t="str">
        <x:f>IF(H1458="","",C1458-H1458)</x:f>
      </x:c>
      <x:c r="J1458" s="4"/>
      <x:c r="K1458" s="4" t="str">
        <x:v>URLs de detalle page/query/country por clics. No asignan las impresiones de esta consulta a cada página.</x:v>
      </x:c>
    </x:row>
    <x:row r="1459" ht="28" customHeight="1">
      <x:c r="A1459" s="4" t="n">
        <x:v>1449</x:v>
      </x:c>
      <x:c r="B1459" s="4" t="str">
        <x:v>sky vuelos nacionales</x:v>
      </x:c>
      <x:c r="C1459" s="11" t="n">
        <x:v>1</x:v>
      </x:c>
      <x:c r="D1459" s="11" t="n">
        <x:v>39</x:v>
      </x:c>
      <x:c r="E1459" s="14" t="n">
        <x:v>0.02564102564102564</x:v>
      </x:c>
      <x:c r="F1459" s="12" t="n">
        <x:v>10.897435897435898</x:v>
      </x:c>
      <x:c r="G1459" s="4" t="str">
        <x:v>Sin marca literal</x:v>
      </x:c>
      <x:c r="H1459" s="11"/>
      <x:c r="I1459" s="11" t="str">
        <x:f>IF(H1459="","",C1459-H1459)</x:f>
      </x:c>
      <x:c r="J1459" s="4"/>
      <x:c r="K1459" s="4" t="str">
        <x:v>URLs de detalle page/query/country por clics. No asignan las impresiones de esta consulta a cada página.</x:v>
      </x:c>
    </x:row>
    <x:row r="1460" ht="28" customHeight="1">
      <x:c r="A1460" s="4" t="n">
        <x:v>1450</x:v>
      </x:c>
      <x:c r="B1460" s="4" t="str">
        <x:v>termas del flaco precios 2026</x:v>
      </x:c>
      <x:c r="C1460" s="11" t="n">
        <x:v>1</x:v>
      </x:c>
      <x:c r="D1460" s="11" t="n">
        <x:v>39</x:v>
      </x:c>
      <x:c r="E1460" s="14" t="n">
        <x:v>0.02564102564102564</x:v>
      </x:c>
      <x:c r="F1460" s="12" t="n">
        <x:v>8.051282051282051</x:v>
      </x:c>
      <x:c r="G1460" s="4" t="str">
        <x:v>Sin marca literal</x:v>
      </x:c>
      <x:c r="H1460" s="11"/>
      <x:c r="I1460" s="11" t="str">
        <x:f>IF(H1460="","",C1460-H1460)</x:f>
      </x:c>
      <x:c r="J1460" s="4"/>
      <x:c r="K1460" s="4" t="str">
        <x:v>URLs de detalle page/query/country por clics. No asignan las impresiones de esta consulta a cada página.</x:v>
      </x:c>
    </x:row>
    <x:row r="1461" ht="28" customHeight="1">
      <x:c r="A1461" s="4" t="n">
        <x:v>1451</x:v>
      </x:c>
      <x:c r="B1461" s="4" t="str">
        <x:v>tomacorrientes en argentina</x:v>
      </x:c>
      <x:c r="C1461" s="11" t="n">
        <x:v>1</x:v>
      </x:c>
      <x:c r="D1461" s="11" t="n">
        <x:v>39</x:v>
      </x:c>
      <x:c r="E1461" s="14" t="n">
        <x:v>0.02564102564102564</x:v>
      </x:c>
      <x:c r="F1461" s="12" t="n">
        <x:v>5.256410256410256</x:v>
      </x:c>
      <x:c r="G1461" s="4" t="str">
        <x:v>Sin marca literal</x:v>
      </x:c>
      <x:c r="H1461" s="11"/>
      <x:c r="I1461" s="11" t="str">
        <x:f>IF(H1461="","",C1461-H1461)</x:f>
      </x:c>
      <x:c r="J1461" s="4"/>
      <x:c r="K1461" s="4" t="str">
        <x:v>URLs de detalle page/query/country por clics. No asignan las impresiones de esta consulta a cada página.</x:v>
      </x:c>
    </x:row>
    <x:row r="1462" ht="28" customHeight="1">
      <x:c r="A1462" s="4" t="n">
        <x:v>1452</x:v>
      </x:c>
      <x:c r="B1462" s="4" t="str">
        <x:v>aeropuerto chiloe castro</x:v>
      </x:c>
      <x:c r="C1462" s="11" t="n">
        <x:v>1</x:v>
      </x:c>
      <x:c r="D1462" s="11" t="n">
        <x:v>38</x:v>
      </x:c>
      <x:c r="E1462" s="14" t="n">
        <x:v>0.02631578947368421</x:v>
      </x:c>
      <x:c r="F1462" s="12" t="n">
        <x:v>3.736842105263158</x:v>
      </x:c>
      <x:c r="G1462" s="4" t="str">
        <x:v>Sin marca literal</x:v>
      </x:c>
      <x:c r="H1462" s="11"/>
      <x:c r="I1462" s="11" t="str">
        <x:f>IF(H1462="","",C1462-H1462)</x:f>
      </x:c>
      <x:c r="J1462" s="4"/>
      <x:c r="K1462" s="4" t="str">
        <x:v>URLs de detalle page/query/country por clics. No asignan las impresiones de esta consulta a cada página.</x:v>
      </x:c>
    </x:row>
    <x:row r="1463" ht="28" customHeight="1">
      <x:c r="A1463" s="4" t="n">
        <x:v>1453</x:v>
      </x:c>
      <x:c r="B1463" s="4" t="str">
        <x:v>aeropuertos en argentina buenos aires</x:v>
      </x:c>
      <x:c r="C1463" s="11" t="n">
        <x:v>1</x:v>
      </x:c>
      <x:c r="D1463" s="11" t="n">
        <x:v>38</x:v>
      </x:c>
      <x:c r="E1463" s="14" t="n">
        <x:v>0.02631578947368421</x:v>
      </x:c>
      <x:c r="F1463" s="12" t="n">
        <x:v>3.4210526315789473</x:v>
      </x:c>
      <x:c r="G1463" s="4" t="str">
        <x:v>Sin marca literal</x:v>
      </x:c>
      <x:c r="H1463" s="11"/>
      <x:c r="I1463" s="11" t="str">
        <x:f>IF(H1463="","",C1463-H1463)</x:f>
      </x:c>
      <x:c r="J1463" s="4"/>
      <x:c r="K1463" s="4" t="str">
        <x:v>URLs de detalle page/query/country por clics. No asignan las impresiones de esta consulta a cada página.</x:v>
      </x:c>
    </x:row>
    <x:row r="1464" ht="28" customHeight="1">
      <x:c r="A1464" s="4" t="n">
        <x:v>1454</x:v>
      </x:c>
      <x:c r="B1464" s="4" t="str">
        <x:v>comida típica 18 de septiembre</x:v>
      </x:c>
      <x:c r="C1464" s="11" t="n">
        <x:v>1</x:v>
      </x:c>
      <x:c r="D1464" s="11" t="n">
        <x:v>38</x:v>
      </x:c>
      <x:c r="E1464" s="14" t="n">
        <x:v>0.02631578947368421</x:v>
      </x:c>
      <x:c r="F1464" s="12" t="n">
        <x:v>6.2894736842105265</x:v>
      </x:c>
      <x:c r="G1464" s="4" t="str">
        <x:v>Sin marca literal</x:v>
      </x:c>
      <x:c r="H1464" s="11"/>
      <x:c r="I1464" s="11" t="str">
        <x:f>IF(H1464="","",C1464-H1464)</x:f>
      </x:c>
      <x:c r="J1464" s="4"/>
      <x:c r="K1464" s="4" t="str">
        <x:v>URLs de detalle page/query/country por clics. No asignan las impresiones de esta consulta a cada página.</x:v>
      </x:c>
    </x:row>
    <x:row r="1465" ht="28" customHeight="1">
      <x:c r="A1465" s="4" t="n">
        <x:v>1455</x:v>
      </x:c>
      <x:c r="B1465" s="4" t="str">
        <x:v>comidas típicas de fiestas patrias chile</x:v>
      </x:c>
      <x:c r="C1465" s="11" t="n">
        <x:v>1</x:v>
      </x:c>
      <x:c r="D1465" s="11" t="n">
        <x:v>38</x:v>
      </x:c>
      <x:c r="E1465" s="14" t="n">
        <x:v>0.02631578947368421</x:v>
      </x:c>
      <x:c r="F1465" s="12" t="n">
        <x:v>7.342105263157895</x:v>
      </x:c>
      <x:c r="G1465" s="4" t="str">
        <x:v>Sin marca literal</x:v>
      </x:c>
      <x:c r="H1465" s="11"/>
      <x:c r="I1465" s="11" t="str">
        <x:f>IF(H1465="","",C1465-H1465)</x:f>
      </x:c>
      <x:c r="J1465" s="4"/>
      <x:c r="K1465" s="4" t="str">
        <x:v>URLs de detalle page/query/country por clics. No asignan las impresiones de esta consulta a cada página.</x:v>
      </x:c>
    </x:row>
    <x:row r="1466" ht="28" customHeight="1">
      <x:c r="A1466" s="4" t="n">
        <x:v>1456</x:v>
      </x:c>
      <x:c r="B1466" s="4" t="str">
        <x:v>cuantas horas es de lima a ayacucho en bus</x:v>
      </x:c>
      <x:c r="C1466" s="11" t="n">
        <x:v>1</x:v>
      </x:c>
      <x:c r="D1466" s="11" t="n">
        <x:v>38</x:v>
      </x:c>
      <x:c r="E1466" s="14" t="n">
        <x:v>0.02631578947368421</x:v>
      </x:c>
      <x:c r="F1466" s="12" t="n">
        <x:v>7.2105263157894735</x:v>
      </x:c>
      <x:c r="G1466" s="4" t="str">
        <x:v>Sin marca literal</x:v>
      </x:c>
      <x:c r="H1466" s="11"/>
      <x:c r="I1466" s="11" t="str">
        <x:f>IF(H1466="","",C1466-H1466)</x:f>
      </x:c>
      <x:c r="J1466" s="4"/>
      <x:c r="K1466" s="4" t="str">
        <x:v>URLs de detalle page/query/country por clics. No asignan las impresiones de esta consulta a cada página.</x:v>
      </x:c>
    </x:row>
    <x:row r="1467" ht="28" customHeight="1">
      <x:c r="A1467" s="4" t="n">
        <x:v>1457</x:v>
      </x:c>
      <x:c r="B1467" s="4" t="str">
        <x:v>cuanto gana una azafata en chile</x:v>
      </x:c>
      <x:c r="C1467" s="11" t="n">
        <x:v>1</x:v>
      </x:c>
      <x:c r="D1467" s="11" t="n">
        <x:v>38</x:v>
      </x:c>
      <x:c r="E1467" s="14" t="n">
        <x:v>0.02631578947368421</x:v>
      </x:c>
      <x:c r="F1467" s="12" t="n">
        <x:v>4.368421052631579</x:v>
      </x:c>
      <x:c r="G1467" s="4" t="str">
        <x:v>Sin marca literal</x:v>
      </x:c>
      <x:c r="H1467" s="11"/>
      <x:c r="I1467" s="11" t="str">
        <x:f>IF(H1467="","",C1467-H1467)</x:f>
      </x:c>
      <x:c r="J1467" s="4"/>
      <x:c r="K1467" s="4" t="str">
        <x:v>URLs de detalle page/query/country por clics. No asignan las impresiones de esta consulta a cada página.</x:v>
      </x:c>
    </x:row>
    <x:row r="1468" ht="28" customHeight="1">
      <x:c r="A1468" s="4" t="n">
        <x:v>1458</x:v>
      </x:c>
      <x:c r="B1468" s="4" t="str">
        <x:v>distancia de santiago a mendoza en bus</x:v>
      </x:c>
      <x:c r="C1468" s="11" t="n">
        <x:v>1</x:v>
      </x:c>
      <x:c r="D1468" s="11" t="n">
        <x:v>38</x:v>
      </x:c>
      <x:c r="E1468" s="14" t="n">
        <x:v>0.02631578947368421</x:v>
      </x:c>
      <x:c r="F1468" s="12" t="n">
        <x:v>4.921052631578947</x:v>
      </x:c>
      <x:c r="G1468" s="4" t="str">
        <x:v>Sin marca literal</x:v>
      </x:c>
      <x:c r="H1468" s="11"/>
      <x:c r="I1468" s="11" t="str">
        <x:f>IF(H1468="","",C1468-H1468)</x:f>
      </x:c>
      <x:c r="J1468" s="4"/>
      <x:c r="K1468" s="4" t="str">
        <x:v>URLs de detalle page/query/country por clics. No asignan las impresiones de esta consulta a cada página.</x:v>
      </x:c>
    </x:row>
    <x:row r="1469" ht="28" customHeight="1">
      <x:c r="A1469" s="4" t="n">
        <x:v>1459</x:v>
      </x:c>
      <x:c r="B1469" s="4" t="str">
        <x:v>para ir a peru se necesita pasaporte</x:v>
      </x:c>
      <x:c r="C1469" s="11" t="n">
        <x:v>1</x:v>
      </x:c>
      <x:c r="D1469" s="11" t="n">
        <x:v>38</x:v>
      </x:c>
      <x:c r="E1469" s="14" t="n">
        <x:v>0.02631578947368421</x:v>
      </x:c>
      <x:c r="F1469" s="12" t="n">
        <x:v>5.947368421052632</x:v>
      </x:c>
      <x:c r="G1469" s="4" t="str">
        <x:v>Sin marca literal</x:v>
      </x:c>
      <x:c r="H1469" s="11"/>
      <x:c r="I1469" s="11" t="str">
        <x:f>IF(H1469="","",C1469-H1469)</x:f>
      </x:c>
      <x:c r="J1469" s="4"/>
      <x:c r="K1469" s="4" t="str">
        <x:v>URLs de detalle page/query/country por clics. No asignan las impresiones de esta consulta a cada página.</x:v>
      </x:c>
    </x:row>
    <x:row r="1470" ht="28" customHeight="1">
      <x:c r="A1470" s="4" t="n">
        <x:v>1460</x:v>
      </x:c>
      <x:c r="B1470" s="4" t="str">
        <x:v>praia de canasvieiras</x:v>
      </x:c>
      <x:c r="C1470" s="11" t="n">
        <x:v>1</x:v>
      </x:c>
      <x:c r="D1470" s="11" t="n">
        <x:v>38</x:v>
      </x:c>
      <x:c r="E1470" s="14" t="n">
        <x:v>0.02631578947368421</x:v>
      </x:c>
      <x:c r="F1470" s="12" t="n">
        <x:v>6.368421052631579</x:v>
      </x:c>
      <x:c r="G1470" s="4" t="str">
        <x:v>Sin marca literal</x:v>
      </x:c>
      <x:c r="H1470" s="11"/>
      <x:c r="I1470" s="11" t="str">
        <x:f>IF(H1470="","",C1470-H1470)</x:f>
      </x:c>
      <x:c r="J1470" s="4"/>
      <x:c r="K1470" s="4" t="str">
        <x:v>URLs de detalle page/query/country por clics. No asignan las impresiones de esta consulta a cada página.</x:v>
      </x:c>
    </x:row>
    <x:row r="1471" ht="28" customHeight="1">
      <x:c r="A1471" s="4" t="n">
        <x:v>1461</x:v>
      </x:c>
      <x:c r="B1471" s="4" t="str">
        <x:v>que documentos necesito para viajar a brasil</x:v>
      </x:c>
      <x:c r="C1471" s="11" t="n">
        <x:v>1</x:v>
      </x:c>
      <x:c r="D1471" s="11" t="n">
        <x:v>38</x:v>
      </x:c>
      <x:c r="E1471" s="14" t="n">
        <x:v>0.02631578947368421</x:v>
      </x:c>
      <x:c r="F1471" s="12" t="n">
        <x:v>5.2894736842105265</x:v>
      </x:c>
      <x:c r="G1471" s="4" t="str">
        <x:v>Sin marca literal</x:v>
      </x:c>
      <x:c r="H1471" s="11"/>
      <x:c r="I1471" s="11" t="str">
        <x:f>IF(H1471="","",C1471-H1471)</x:f>
      </x:c>
      <x:c r="J1471" s="4"/>
      <x:c r="K1471" s="4" t="str">
        <x:v>URLs de detalle page/query/country por clics. No asignan las impresiones de esta consulta a cada página.</x:v>
      </x:c>
    </x:row>
    <x:row r="1472" ht="28" customHeight="1">
      <x:c r="A1472" s="4" t="n">
        <x:v>1462</x:v>
      </x:c>
      <x:c r="B1472" s="4" t="str">
        <x:v>que no se puede llevar en el equipaje de bodega</x:v>
      </x:c>
      <x:c r="C1472" s="11" t="n">
        <x:v>1</x:v>
      </x:c>
      <x:c r="D1472" s="11" t="n">
        <x:v>38</x:v>
      </x:c>
      <x:c r="E1472" s="14" t="n">
        <x:v>0.02631578947368421</x:v>
      </x:c>
      <x:c r="F1472" s="12" t="n">
        <x:v>9.394736842105264</x:v>
      </x:c>
      <x:c r="G1472" s="4" t="str">
        <x:v>Sin marca literal</x:v>
      </x:c>
      <x:c r="H1472" s="11"/>
      <x:c r="I1472" s="11" t="str">
        <x:f>IF(H1472="","",C1472-H1472)</x:f>
      </x:c>
      <x:c r="J1472" s="4"/>
      <x:c r="K1472" s="4" t="str">
        <x:v>URLs de detalle page/query/country por clics. No asignan las impresiones de esta consulta a cada página.</x:v>
      </x:c>
    </x:row>
    <x:row r="1473" ht="28" customHeight="1">
      <x:c r="A1473" s="4" t="n">
        <x:v>1463</x:v>
      </x:c>
      <x:c r="B1473" s="4" t="str">
        <x:v>sky airlines equipaje precio chile</x:v>
      </x:c>
      <x:c r="C1473" s="11" t="n">
        <x:v>1</x:v>
      </x:c>
      <x:c r="D1473" s="11" t="n">
        <x:v>38</x:v>
      </x:c>
      <x:c r="E1473" s="14" t="n">
        <x:v>0.02631578947368421</x:v>
      </x:c>
      <x:c r="F1473" s="12" t="n">
        <x:v>4.868421052631579</x:v>
      </x:c>
      <x:c r="G1473" s="4" t="str">
        <x:v>Sin marca literal</x:v>
      </x:c>
      <x:c r="H1473" s="11"/>
      <x:c r="I1473" s="11" t="str">
        <x:f>IF(H1473="","",C1473-H1473)</x:f>
      </x:c>
      <x:c r="J1473" s="4"/>
      <x:c r="K1473" s="4" t="str">
        <x:v>URLs de detalle page/query/country por clics. No asignan las impresiones de esta consulta a cada página.</x:v>
      </x:c>
    </x:row>
    <x:row r="1474" ht="28" customHeight="1">
      <x:c r="A1474" s="4" t="n">
        <x:v>1464</x:v>
      </x:c>
      <x:c r="B1474" s="4" t="str">
        <x:v>tiempo</x:v>
      </x:c>
      <x:c r="C1474" s="11" t="n">
        <x:v>1</x:v>
      </x:c>
      <x:c r="D1474" s="11" t="n">
        <x:v>38</x:v>
      </x:c>
      <x:c r="E1474" s="14" t="n">
        <x:v>0.02631578947368421</x:v>
      </x:c>
      <x:c r="F1474" s="12" t="n">
        <x:v>3.8684210526315788</x:v>
      </x:c>
      <x:c r="G1474" s="4" t="str">
        <x:v>Sin marca literal</x:v>
      </x:c>
      <x:c r="H1474" s="11"/>
      <x:c r="I1474" s="11" t="str">
        <x:f>IF(H1474="","",C1474-H1474)</x:f>
      </x:c>
      <x:c r="J1474" s="4"/>
      <x:c r="K1474" s="4" t="str">
        <x:v>URLs de detalle page/query/country por clics. No asignan las impresiones de esta consulta a cada página.</x:v>
      </x:c>
    </x:row>
    <x:row r="1475" ht="28" customHeight="1">
      <x:c r="A1475" s="4" t="n">
        <x:v>1465</x:v>
      </x:c>
      <x:c r="B1475" s="4" t="str">
        <x:v>centros comerciales miami</x:v>
      </x:c>
      <x:c r="C1475" s="11" t="n">
        <x:v>1</x:v>
      </x:c>
      <x:c r="D1475" s="11" t="n">
        <x:v>37</x:v>
      </x:c>
      <x:c r="E1475" s="14" t="n">
        <x:v>0.02702702702702703</x:v>
      </x:c>
      <x:c r="F1475" s="12" t="n">
        <x:v>10.35135135135135</x:v>
      </x:c>
      <x:c r="G1475" s="4" t="str">
        <x:v>Sin marca literal</x:v>
      </x:c>
      <x:c r="H1475" s="11"/>
      <x:c r="I1475" s="11" t="str">
        <x:f>IF(H1475="","",C1475-H1475)</x:f>
      </x:c>
      <x:c r="J1475" s="4"/>
      <x:c r="K1475" s="4" t="str">
        <x:v>URLs de detalle page/query/country por clics. No asignan las impresiones de esta consulta a cada página.</x:v>
      </x:c>
    </x:row>
    <x:row r="1476" ht="28" customHeight="1">
      <x:c r="A1476" s="4" t="n">
        <x:v>1466</x:v>
      </x:c>
      <x:c r="B1476" s="4" t="str">
        <x:v>comidas tipicas lima</x:v>
      </x:c>
      <x:c r="C1476" s="11" t="n">
        <x:v>1</x:v>
      </x:c>
      <x:c r="D1476" s="11" t="n">
        <x:v>37</x:v>
      </x:c>
      <x:c r="E1476" s="14" t="n">
        <x:v>0.02702702702702703</x:v>
      </x:c>
      <x:c r="F1476" s="12" t="n">
        <x:v>1.4054054054054055</x:v>
      </x:c>
      <x:c r="G1476" s="4" t="str">
        <x:v>Sin marca literal</x:v>
      </x:c>
      <x:c r="H1476" s="11"/>
      <x:c r="I1476" s="11" t="str">
        <x:f>IF(H1476="","",C1476-H1476)</x:f>
      </x:c>
      <x:c r="J1476" s="4"/>
      <x:c r="K1476" s="4" t="str">
        <x:v>URLs de detalle page/query/country por clics. No asignan las impresiones de esta consulta a cada página.</x:v>
      </x:c>
    </x:row>
    <x:row r="1477" ht="28" customHeight="1">
      <x:c r="A1477" s="4" t="n">
        <x:v>1467</x:v>
      </x:c>
      <x:c r="B1477" s="4" t="str">
        <x:v>como ser azafata de vuelo en chile</x:v>
      </x:c>
      <x:c r="C1477" s="11" t="n">
        <x:v>1</x:v>
      </x:c>
      <x:c r="D1477" s="11" t="n">
        <x:v>37</x:v>
      </x:c>
      <x:c r="E1477" s="14" t="n">
        <x:v>0.02702702702702703</x:v>
      </x:c>
      <x:c r="F1477" s="12" t="n">
        <x:v>7.1891891891891895</x:v>
      </x:c>
      <x:c r="G1477" s="4" t="str">
        <x:v>Sin marca literal</x:v>
      </x:c>
      <x:c r="H1477" s="11"/>
      <x:c r="I1477" s="11" t="str">
        <x:f>IF(H1477="","",C1477-H1477)</x:f>
      </x:c>
      <x:c r="J1477" s="4"/>
      <x:c r="K1477" s="4" t="str">
        <x:v>URLs de detalle page/query/country por clics. No asignan las impresiones de esta consulta a cada página.</x:v>
      </x:c>
    </x:row>
    <x:row r="1478" ht="28" customHeight="1">
      <x:c r="A1478" s="4" t="n">
        <x:v>1468</x:v>
      </x:c>
      <x:c r="B1478" s="4" t="str">
        <x:v>desde que edad pagan los niños en avion</x:v>
      </x:c>
      <x:c r="C1478" s="11" t="n">
        <x:v>1</x:v>
      </x:c>
      <x:c r="D1478" s="11" t="n">
        <x:v>37</x:v>
      </x:c>
      <x:c r="E1478" s="14" t="n">
        <x:v>0.02702702702702703</x:v>
      </x:c>
      <x:c r="F1478" s="12" t="n">
        <x:v>4.324324324324325</x:v>
      </x:c>
      <x:c r="G1478" s="4" t="str">
        <x:v>Sin marca literal</x:v>
      </x:c>
      <x:c r="H1478" s="11"/>
      <x:c r="I1478" s="11" t="str">
        <x:f>IF(H1478="","",C1478-H1478)</x:f>
      </x:c>
      <x:c r="J1478" s="4"/>
      <x:c r="K1478" s="4" t="str">
        <x:v>URLs de detalle page/query/country por clics. No asignan las impresiones de esta consulta a cada página.</x:v>
      </x:c>
    </x:row>
    <x:row r="1479" ht="28" customHeight="1">
      <x:c r="A1479" s="4" t="n">
        <x:v>1469</x:v>
      </x:c>
      <x:c r="B1479" s="4" t="str">
        <x:v>distancia de montevideo a punta del este en auto</x:v>
      </x:c>
      <x:c r="C1479" s="11" t="n">
        <x:v>1</x:v>
      </x:c>
      <x:c r="D1479" s="11" t="n">
        <x:v>37</x:v>
      </x:c>
      <x:c r="E1479" s="14" t="n">
        <x:v>0.02702702702702703</x:v>
      </x:c>
      <x:c r="F1479" s="12" t="n">
        <x:v>5.972972972972973</x:v>
      </x:c>
      <x:c r="G1479" s="4" t="str">
        <x:v>Sin marca literal</x:v>
      </x:c>
      <x:c r="H1479" s="11"/>
      <x:c r="I1479" s="11" t="str">
        <x:f>IF(H1479="","",C1479-H1479)</x:f>
      </x:c>
      <x:c r="J1479" s="4"/>
      <x:c r="K1479" s="4" t="str">
        <x:v>URLs de detalle page/query/country por clics. No asignan las impresiones de esta consulta a cada página.</x:v>
      </x:c>
    </x:row>
    <x:row r="1480" ht="28" customHeight="1">
      <x:c r="A1480" s="4" t="n">
        <x:v>1470</x:v>
      </x:c>
      <x:c r="B1480" s="4" t="str">
        <x:v>enchufes de peru</x:v>
      </x:c>
      <x:c r="C1480" s="11" t="n">
        <x:v>1</x:v>
      </x:c>
      <x:c r="D1480" s="11" t="n">
        <x:v>37</x:v>
      </x:c>
      <x:c r="E1480" s="14" t="n">
        <x:v>0.02702702702702703</x:v>
      </x:c>
      <x:c r="F1480" s="12" t="n">
        <x:v>8.783783783783784</x:v>
      </x:c>
      <x:c r="G1480" s="4" t="str">
        <x:v>Sin marca literal</x:v>
      </x:c>
      <x:c r="H1480" s="11"/>
      <x:c r="I1480" s="11" t="str">
        <x:f>IF(H1480="","",C1480-H1480)</x:f>
      </x:c>
      <x:c r="J1480" s="4"/>
      <x:c r="K1480" s="4" t="str">
        <x:v>URLs de detalle page/query/country por clics. No asignan las impresiones de esta consulta a cada página.</x:v>
      </x:c>
    </x:row>
    <x:row r="1481" ht="28" customHeight="1">
      <x:c r="A1481" s="4" t="n">
        <x:v>1471</x:v>
      </x:c>
      <x:c r="B1481" s="4" t="str">
        <x:v>estaciones en chile por meses</x:v>
      </x:c>
      <x:c r="C1481" s="11" t="n">
        <x:v>1</x:v>
      </x:c>
      <x:c r="D1481" s="11" t="n">
        <x:v>37</x:v>
      </x:c>
      <x:c r="E1481" s="14" t="n">
        <x:v>0.02702702702702703</x:v>
      </x:c>
      <x:c r="F1481" s="12" t="n">
        <x:v>4.756756756756756</x:v>
      </x:c>
      <x:c r="G1481" s="4" t="str">
        <x:v>Sin marca literal</x:v>
      </x:c>
      <x:c r="H1481" s="11"/>
      <x:c r="I1481" s="11" t="str">
        <x:f>IF(H1481="","",C1481-H1481)</x:f>
      </x:c>
      <x:c r="J1481" s="4"/>
      <x:c r="K1481" s="4" t="str">
        <x:v>URLs de detalle page/query/country por clics. No asignan las impresiones de esta consulta a cada página.</x:v>
      </x:c>
    </x:row>
    <x:row r="1482" ht="28" customHeight="1">
      <x:c r="A1482" s="4" t="n">
        <x:v>1472</x:v>
      </x:c>
      <x:c r="B1482" s="4" t="str">
        <x:v>la boca caminito</x:v>
      </x:c>
      <x:c r="C1482" s="11" t="n">
        <x:v>1</x:v>
      </x:c>
      <x:c r="D1482" s="11" t="n">
        <x:v>37</x:v>
      </x:c>
      <x:c r="E1482" s="14" t="n">
        <x:v>0.02702702702702703</x:v>
      </x:c>
      <x:c r="F1482" s="12" t="n">
        <x:v>10.567567567567568</x:v>
      </x:c>
      <x:c r="G1482" s="4" t="str">
        <x:v>Sin marca literal</x:v>
      </x:c>
      <x:c r="H1482" s="11"/>
      <x:c r="I1482" s="11" t="str">
        <x:f>IF(H1482="","",C1482-H1482)</x:f>
      </x:c>
      <x:c r="J1482" s="4"/>
      <x:c r="K1482" s="4" t="str">
        <x:v>URLs de detalle page/query/country por clics. No asignan las impresiones de esta consulta a cada página.</x:v>
      </x:c>
    </x:row>
    <x:row r="1483" ht="28" customHeight="1">
      <x:c r="A1483" s="4" t="n">
        <x:v>1473</x:v>
      </x:c>
      <x:c r="B1483" s="4" t="str">
        <x:v>mejor epoca para ir a cancun</x:v>
      </x:c>
      <x:c r="C1483" s="11" t="n">
        <x:v>1</x:v>
      </x:c>
      <x:c r="D1483" s="11" t="n">
        <x:v>37</x:v>
      </x:c>
      <x:c r="E1483" s="14" t="n">
        <x:v>0.02702702702702703</x:v>
      </x:c>
      <x:c r="F1483" s="12" t="n">
        <x:v>7.891891891891892</x:v>
      </x:c>
      <x:c r="G1483" s="4" t="str">
        <x:v>Sin marca literal</x:v>
      </x:c>
      <x:c r="H1483" s="11"/>
      <x:c r="I1483" s="11" t="str">
        <x:f>IF(H1483="","",C1483-H1483)</x:f>
      </x:c>
      <x:c r="J1483" s="4"/>
      <x:c r="K1483" s="4" t="str">
        <x:v>URLs de detalle page/query/country por clics. No asignan las impresiones de esta consulta a cada página.</x:v>
      </x:c>
    </x:row>
    <x:row r="1484" ht="28" customHeight="1">
      <x:c r="A1484" s="4" t="n">
        <x:v>1474</x:v>
      </x:c>
      <x:c r="B1484" s="4" t="str">
        <x:v>música tradicional chilena</x:v>
      </x:c>
      <x:c r="C1484" s="11" t="n">
        <x:v>1</x:v>
      </x:c>
      <x:c r="D1484" s="11" t="n">
        <x:v>37</x:v>
      </x:c>
      <x:c r="E1484" s="14" t="n">
        <x:v>0.02702702702702703</x:v>
      </x:c>
      <x:c r="F1484" s="12" t="n">
        <x:v>8.35135135135135</x:v>
      </x:c>
      <x:c r="G1484" s="4" t="str">
        <x:v>Sin marca literal</x:v>
      </x:c>
      <x:c r="H1484" s="11"/>
      <x:c r="I1484" s="11" t="str">
        <x:f>IF(H1484="","",C1484-H1484)</x:f>
      </x:c>
      <x:c r="J1484" s="4"/>
      <x:c r="K1484" s="4" t="str">
        <x:v>URLs de detalle page/query/country por clics. No asignan las impresiones de esta consulta a cada página.</x:v>
      </x:c>
    </x:row>
    <x:row r="1485" ht="28" customHeight="1">
      <x:c r="A1485" s="4" t="n">
        <x:v>1475</x:v>
      </x:c>
      <x:c r="B1485" s="4" t="str">
        <x:v>puerto montt puerto varas</x:v>
      </x:c>
      <x:c r="C1485" s="11" t="n">
        <x:v>1</x:v>
      </x:c>
      <x:c r="D1485" s="11" t="n">
        <x:v>37</x:v>
      </x:c>
      <x:c r="E1485" s="14" t="n">
        <x:v>0.02702702702702703</x:v>
      </x:c>
      <x:c r="F1485" s="12" t="n">
        <x:v>9.35135135135135</x:v>
      </x:c>
      <x:c r="G1485" s="4" t="str">
        <x:v>Sin marca literal</x:v>
      </x:c>
      <x:c r="H1485" s="11"/>
      <x:c r="I1485" s="11" t="str">
        <x:f>IF(H1485="","",C1485-H1485)</x:f>
      </x:c>
      <x:c r="J1485" s="4"/>
      <x:c r="K1485" s="4" t="str">
        <x:v>URLs de detalle page/query/country por clics. No asignan las impresiones de esta consulta a cada página.</x:v>
      </x:c>
    </x:row>
    <x:row r="1486" ht="28" customHeight="1">
      <x:c r="A1486" s="4" t="n">
        <x:v>1476</x:v>
      </x:c>
      <x:c r="B1486" s="4" t="str">
        <x:v>que temporada es en chile ahora</x:v>
      </x:c>
      <x:c r="C1486" s="11" t="n">
        <x:v>1</x:v>
      </x:c>
      <x:c r="D1486" s="11" t="n">
        <x:v>37</x:v>
      </x:c>
      <x:c r="E1486" s="14" t="n">
        <x:v>0.02702702702702703</x:v>
      </x:c>
      <x:c r="F1486" s="12" t="n">
        <x:v>3.810810810810811</x:v>
      </x:c>
      <x:c r="G1486" s="4" t="str">
        <x:v>Sin marca literal</x:v>
      </x:c>
      <x:c r="H1486" s="11"/>
      <x:c r="I1486" s="11" t="str">
        <x:f>IF(H1486="","",C1486-H1486)</x:f>
      </x:c>
      <x:c r="J1486" s="4"/>
      <x:c r="K1486" s="4" t="str">
        <x:v>URLs de detalle page/query/country por clics. No asignan las impresiones de esta consulta a cada página.</x:v>
      </x:c>
    </x:row>
    <x:row r="1487" ht="28" customHeight="1">
      <x:c r="A1487" s="4" t="n">
        <x:v>1477</x:v>
      </x:c>
      <x:c r="B1487" s="4" t="str">
        <x:v>se puede llevar encrespador en el avion</x:v>
      </x:c>
      <x:c r="C1487" s="11" t="n">
        <x:v>1</x:v>
      </x:c>
      <x:c r="D1487" s="11" t="n">
        <x:v>37</x:v>
      </x:c>
      <x:c r="E1487" s="14" t="n">
        <x:v>0.02702702702702703</x:v>
      </x:c>
      <x:c r="F1487" s="12" t="n">
        <x:v>2.6486486486486487</x:v>
      </x:c>
      <x:c r="G1487" s="4" t="str">
        <x:v>Sin marca literal</x:v>
      </x:c>
      <x:c r="H1487" s="11"/>
      <x:c r="I1487" s="11" t="str">
        <x:f>IF(H1487="","",C1487-H1487)</x:f>
      </x:c>
      <x:c r="J1487" s="4"/>
      <x:c r="K1487" s="4" t="str">
        <x:v>URLs de detalle page/query/country por clics. No asignan las impresiones de esta consulta a cada página.</x:v>
      </x:c>
    </x:row>
    <x:row r="1488" ht="28" customHeight="1">
      <x:c r="A1488" s="4" t="n">
        <x:v>1478</x:v>
      </x:c>
      <x:c r="B1488" s="4" t="str">
        <x:v>se puede llevar pasta de dientes en el avión</x:v>
      </x:c>
      <x:c r="C1488" s="11" t="n">
        <x:v>1</x:v>
      </x:c>
      <x:c r="D1488" s="11" t="n">
        <x:v>37</x:v>
      </x:c>
      <x:c r="E1488" s="14" t="n">
        <x:v>0.02702702702702703</x:v>
      </x:c>
      <x:c r="F1488" s="12" t="n">
        <x:v>5.351351351351352</x:v>
      </x:c>
      <x:c r="G1488" s="4" t="str">
        <x:v>Sin marca literal</x:v>
      </x:c>
      <x:c r="H1488" s="11"/>
      <x:c r="I1488" s="11" t="str">
        <x:f>IF(H1488="","",C1488-H1488)</x:f>
      </x:c>
      <x:c r="J1488" s="4"/>
      <x:c r="K1488" s="4" t="str">
        <x:v>URLs de detalle page/query/country por clics. No asignan las impresiones de esta consulta a cada página.</x:v>
      </x:c>
    </x:row>
    <x:row r="1489" ht="28" customHeight="1">
      <x:c r="A1489" s="4" t="n">
        <x:v>1479</x:v>
      </x:c>
      <x:c r="B1489" s="4" t="str">
        <x:v>selva</x:v>
      </x:c>
      <x:c r="C1489" s="11" t="n">
        <x:v>1</x:v>
      </x:c>
      <x:c r="D1489" s="11" t="n">
        <x:v>37</x:v>
      </x:c>
      <x:c r="E1489" s="14" t="n">
        <x:v>0.02702702702702703</x:v>
      </x:c>
      <x:c r="F1489" s="12" t="n">
        <x:v>7.4324324324324325</x:v>
      </x:c>
      <x:c r="G1489" s="4" t="str">
        <x:v>Sin marca literal</x:v>
      </x:c>
      <x:c r="H1489" s="11"/>
      <x:c r="I1489" s="11" t="str">
        <x:f>IF(H1489="","",C1489-H1489)</x:f>
      </x:c>
      <x:c r="J1489" s="4"/>
      <x:c r="K1489" s="4" t="str">
        <x:v>URLs de detalle page/query/country por clics. No asignan las impresiones de esta consulta a cada página.</x:v>
      </x:c>
    </x:row>
    <x:row r="1490" ht="28" customHeight="1">
      <x:c r="A1490" s="4" t="n">
        <x:v>1480</x:v>
      </x:c>
      <x:c r="B1490" s="4" t="str">
        <x:v>viaje a mendoza en bus</x:v>
      </x:c>
      <x:c r="C1490" s="11" t="n">
        <x:v>1</x:v>
      </x:c>
      <x:c r="D1490" s="11" t="n">
        <x:v>37</x:v>
      </x:c>
      <x:c r="E1490" s="14" t="n">
        <x:v>0.02702702702702703</x:v>
      </x:c>
      <x:c r="F1490" s="12" t="n">
        <x:v>9.594594594594595</x:v>
      </x:c>
      <x:c r="G1490" s="4" t="str">
        <x:v>Sin marca literal</x:v>
      </x:c>
      <x:c r="H1490" s="11"/>
      <x:c r="I1490" s="11" t="str">
        <x:f>IF(H1490="","",C1490-H1490)</x:f>
      </x:c>
      <x:c r="J1490" s="4"/>
      <x:c r="K1490" s="4" t="str">
        <x:v>URLs de detalle page/query/country por clics. No asignan las impresiones de esta consulta a cada página.</x:v>
      </x:c>
    </x:row>
    <x:row r="1491" ht="28" customHeight="1">
      <x:c r="A1491" s="4" t="n">
        <x:v>1481</x:v>
      </x:c>
      <x:c r="B1491" s="4" t="str">
        <x:v>a320neo</x:v>
      </x:c>
      <x:c r="C1491" s="11" t="n">
        <x:v>1</x:v>
      </x:c>
      <x:c r="D1491" s="11" t="n">
        <x:v>36</x:v>
      </x:c>
      <x:c r="E1491" s="14" t="n">
        <x:v>0.027777777777777776</x:v>
      </x:c>
      <x:c r="F1491" s="12" t="n">
        <x:v>13.86111111111111</x:v>
      </x:c>
      <x:c r="G1491" s="4" t="str">
        <x:v>Sin marca literal</x:v>
      </x:c>
      <x:c r="H1491" s="11"/>
      <x:c r="I1491" s="11" t="str">
        <x:f>IF(H1491="","",C1491-H1491)</x:f>
      </x:c>
      <x:c r="J1491" s="4"/>
      <x:c r="K1491" s="4" t="str">
        <x:v>URLs de detalle page/query/country por clics. No asignan las impresiones de esta consulta a cada página.</x:v>
      </x:c>
    </x:row>
    <x:row r="1492" ht="28" customHeight="1">
      <x:c r="A1492" s="4" t="n">
        <x:v>1482</x:v>
      </x:c>
      <x:c r="B1492" s="4" t="str">
        <x:v>aerolínea sky</x:v>
      </x:c>
      <x:c r="C1492" s="11" t="n">
        <x:v>1</x:v>
      </x:c>
      <x:c r="D1492" s="11" t="n">
        <x:v>36</x:v>
      </x:c>
      <x:c r="E1492" s="14" t="n">
        <x:v>0.027777777777777776</x:v>
      </x:c>
      <x:c r="F1492" s="12" t="n">
        <x:v>3.5277777777777777</x:v>
      </x:c>
      <x:c r="G1492" s="4" t="str">
        <x:v>Sin marca literal</x:v>
      </x:c>
      <x:c r="H1492" s="11"/>
      <x:c r="I1492" s="11" t="str">
        <x:f>IF(H1492="","",C1492-H1492)</x:f>
      </x:c>
      <x:c r="J1492" s="4"/>
      <x:c r="K1492" s="4" t="str">
        <x:v>URLs de detalle page/query/country por clics. No asignan las impresiones de esta consulta a cada página.</x:v>
      </x:c>
    </x:row>
    <x:row r="1493" ht="28" customHeight="1">
      <x:c r="A1493" s="4" t="n">
        <x:v>1483</x:v>
      </x:c>
      <x:c r="B1493" s="4" t="str">
        <x:v>cabo frío</x:v>
      </x:c>
      <x:c r="C1493" s="11" t="n">
        <x:v>1</x:v>
      </x:c>
      <x:c r="D1493" s="11" t="n">
        <x:v>36</x:v>
      </x:c>
      <x:c r="E1493" s="14" t="n">
        <x:v>0.027777777777777776</x:v>
      </x:c>
      <x:c r="F1493" s="12" t="n">
        <x:v>11.555555555555555</x:v>
      </x:c>
      <x:c r="G1493" s="4" t="str">
        <x:v>Sin marca literal</x:v>
      </x:c>
      <x:c r="H1493" s="11"/>
      <x:c r="I1493" s="11" t="str">
        <x:f>IF(H1493="","",C1493-H1493)</x:f>
      </x:c>
      <x:c r="J1493" s="4"/>
      <x:c r="K1493" s="4" t="str">
        <x:v>URLs de detalle page/query/country por clics. No asignan las impresiones de esta consulta a cada página.</x:v>
      </x:c>
    </x:row>
    <x:row r="1494" ht="28" customHeight="1">
      <x:c r="A1494" s="4" t="n">
        <x:v>1484</x:v>
      </x:c>
      <x:c r="B1494" s="4" t="str">
        <x:v>cambiar pasaje en sky</x:v>
      </x:c>
      <x:c r="C1494" s="11" t="n">
        <x:v>1</x:v>
      </x:c>
      <x:c r="D1494" s="11" t="n">
        <x:v>36</x:v>
      </x:c>
      <x:c r="E1494" s="14" t="n">
        <x:v>0.027777777777777776</x:v>
      </x:c>
      <x:c r="F1494" s="12" t="n">
        <x:v>5.111111111111111</x:v>
      </x:c>
      <x:c r="G1494" s="4" t="str">
        <x:v>Sin marca literal</x:v>
      </x:c>
      <x:c r="H1494" s="11"/>
      <x:c r="I1494" s="11" t="str">
        <x:f>IF(H1494="","",C1494-H1494)</x:f>
      </x:c>
      <x:c r="J1494" s="4"/>
      <x:c r="K1494" s="4" t="str">
        <x:v>URLs de detalle page/query/country por clics. No asignan las impresiones de esta consulta a cada página.</x:v>
      </x:c>
    </x:row>
    <x:row r="1495" ht="28" customHeight="1">
      <x:c r="A1495" s="4" t="n">
        <x:v>1485</x:v>
      </x:c>
      <x:c r="B1495" s="4" t="str">
        <x:v>centro comercial en miami</x:v>
      </x:c>
      <x:c r="C1495" s="11" t="n">
        <x:v>1</x:v>
      </x:c>
      <x:c r="D1495" s="11" t="n">
        <x:v>36</x:v>
      </x:c>
      <x:c r="E1495" s="14" t="n">
        <x:v>0.027777777777777776</x:v>
      </x:c>
      <x:c r="F1495" s="12" t="n">
        <x:v>11.222222222222221</x:v>
      </x:c>
      <x:c r="G1495" s="4" t="str">
        <x:v>Sin marca literal</x:v>
      </x:c>
      <x:c r="H1495" s="11"/>
      <x:c r="I1495" s="11" t="str">
        <x:f>IF(H1495="","",C1495-H1495)</x:f>
      </x:c>
      <x:c r="J1495" s="4"/>
      <x:c r="K1495" s="4" t="str">
        <x:v>URLs de detalle page/query/country por clics. No asignan las impresiones de esta consulta a cada página.</x:v>
      </x:c>
    </x:row>
    <x:row r="1496" ht="28" customHeight="1">
      <x:c r="A1496" s="4" t="n">
        <x:v>1486</x:v>
      </x:c>
      <x:c r="B1496" s="4" t="str">
        <x:v>ciudad cerca de rio de janeiro</x:v>
      </x:c>
      <x:c r="C1496" s="11" t="n">
        <x:v>1</x:v>
      </x:c>
      <x:c r="D1496" s="11" t="n">
        <x:v>36</x:v>
      </x:c>
      <x:c r="E1496" s="14" t="n">
        <x:v>0.027777777777777776</x:v>
      </x:c>
      <x:c r="F1496" s="12" t="n">
        <x:v>2.138888888888889</x:v>
      </x:c>
      <x:c r="G1496" s="4" t="str">
        <x:v>Sin marca literal</x:v>
      </x:c>
      <x:c r="H1496" s="11"/>
      <x:c r="I1496" s="11" t="str">
        <x:f>IF(H1496="","",C1496-H1496)</x:f>
      </x:c>
      <x:c r="J1496" s="4"/>
      <x:c r="K1496" s="4" t="str">
        <x:v>URLs de detalle page/query/country por clics. No asignan las impresiones de esta consulta a cada página.</x:v>
      </x:c>
    </x:row>
    <x:row r="1497" ht="28" customHeight="1">
      <x:c r="A1497" s="4" t="n">
        <x:v>1487</x:v>
      </x:c>
      <x:c r="B1497" s="4" t="str">
        <x:v>como hacer una maleta de 23 kg</x:v>
      </x:c>
      <x:c r="C1497" s="11" t="n">
        <x:v>1</x:v>
      </x:c>
      <x:c r="D1497" s="11" t="n">
        <x:v>36</x:v>
      </x:c>
      <x:c r="E1497" s="14" t="n">
        <x:v>0.027777777777777776</x:v>
      </x:c>
      <x:c r="F1497" s="12" t="n">
        <x:v>9.88888888888889</x:v>
      </x:c>
      <x:c r="G1497" s="4" t="str">
        <x:v>Sin marca literal</x:v>
      </x:c>
      <x:c r="H1497" s="11"/>
      <x:c r="I1497" s="11" t="str">
        <x:f>IF(H1497="","",C1497-H1497)</x:f>
      </x:c>
      <x:c r="J1497" s="4"/>
      <x:c r="K1497" s="4" t="str">
        <x:v>URLs de detalle page/query/country por clics. No asignan las impresiones de esta consulta a cada página.</x:v>
      </x:c>
    </x:row>
    <x:row r="1498" ht="28" customHeight="1">
      <x:c r="A1498" s="4" t="n">
        <x:v>1488</x:v>
      </x:c>
      <x:c r="B1498" s="4" t="str">
        <x:v>como ir a machu picchu</x:v>
      </x:c>
      <x:c r="C1498" s="11" t="n">
        <x:v>1</x:v>
      </x:c>
      <x:c r="D1498" s="11" t="n">
        <x:v>36</x:v>
      </x:c>
      <x:c r="E1498" s="14" t="n">
        <x:v>0.027777777777777776</x:v>
      </x:c>
      <x:c r="F1498" s="12" t="n">
        <x:v>3.611111111111111</x:v>
      </x:c>
      <x:c r="G1498" s="4" t="str">
        <x:v>Sin marca literal</x:v>
      </x:c>
      <x:c r="H1498" s="11"/>
      <x:c r="I1498" s="11" t="str">
        <x:f>IF(H1498="","",C1498-H1498)</x:f>
      </x:c>
      <x:c r="J1498" s="4"/>
      <x:c r="K1498" s="4" t="str">
        <x:v>URLs de detalle page/query/country por clics. No asignan las impresiones de esta consulta a cada página.</x:v>
      </x:c>
    </x:row>
    <x:row r="1499" ht="28" customHeight="1">
      <x:c r="A1499" s="4" t="n">
        <x:v>1489</x:v>
      </x:c>
      <x:c r="B1499" s="4" t="str">
        <x:v>cómo se llaman los aeropuertos de buenos aires</x:v>
      </x:c>
      <x:c r="C1499" s="11" t="n">
        <x:v>1</x:v>
      </x:c>
      <x:c r="D1499" s="11" t="n">
        <x:v>36</x:v>
      </x:c>
      <x:c r="E1499" s="14" t="n">
        <x:v>0.027777777777777776</x:v>
      </x:c>
      <x:c r="F1499" s="12" t="n">
        <x:v>6.305555555555555</x:v>
      </x:c>
      <x:c r="G1499" s="4" t="str">
        <x:v>Sin marca literal</x:v>
      </x:c>
      <x:c r="H1499" s="11"/>
      <x:c r="I1499" s="11" t="str">
        <x:f>IF(H1499="","",C1499-H1499)</x:f>
      </x:c>
      <x:c r="J1499" s="4"/>
      <x:c r="K1499" s="4" t="str">
        <x:v>URLs de detalle page/query/country por clics. No asignan las impresiones de esta consulta a cada página.</x:v>
      </x:c>
    </x:row>
    <x:row r="1500" ht="28" customHeight="1">
      <x:c r="A1500" s="4" t="n">
        <x:v>1490</x:v>
      </x:c>
      <x:c r="B1500" s="4" t="str">
        <x:v>liquidos en avion</x:v>
      </x:c>
      <x:c r="C1500" s="11" t="n">
        <x:v>1</x:v>
      </x:c>
      <x:c r="D1500" s="11" t="n">
        <x:v>36</x:v>
      </x:c>
      <x:c r="E1500" s="14" t="n">
        <x:v>0.027777777777777776</x:v>
      </x:c>
      <x:c r="F1500" s="12" t="n">
        <x:v>13.25</x:v>
      </x:c>
      <x:c r="G1500" s="4" t="str">
        <x:v>Sin marca literal</x:v>
      </x:c>
      <x:c r="H1500" s="11"/>
      <x:c r="I1500" s="11" t="str">
        <x:f>IF(H1500="","",C1500-H1500)</x:f>
      </x:c>
      <x:c r="J1500" s="4"/>
      <x:c r="K1500" s="4" t="str">
        <x:v>URLs de detalle page/query/country por clics. No asignan las impresiones de esta consulta a cada página.</x:v>
      </x:c>
    </x:row>
    <x:row r="1501" ht="28" customHeight="1">
      <x:c r="A1501" s="4" t="n">
        <x:v>1491</x:v>
      </x:c>
      <x:c r="B1501" s="4" t="str">
        <x:v>para ir a cancun se necesita pasaporte</x:v>
      </x:c>
      <x:c r="C1501" s="11" t="n">
        <x:v>1</x:v>
      </x:c>
      <x:c r="D1501" s="11" t="n">
        <x:v>36</x:v>
      </x:c>
      <x:c r="E1501" s="14" t="n">
        <x:v>0.027777777777777776</x:v>
      </x:c>
      <x:c r="F1501" s="12" t="n">
        <x:v>4.166666666666666</x:v>
      </x:c>
      <x:c r="G1501" s="4" t="str">
        <x:v>Sin marca literal</x:v>
      </x:c>
      <x:c r="H1501" s="11"/>
      <x:c r="I1501" s="11" t="str">
        <x:f>IF(H1501="","",C1501-H1501)</x:f>
      </x:c>
      <x:c r="J1501" s="4"/>
      <x:c r="K1501" s="4" t="str">
        <x:v>URLs de detalle page/query/country por clics. No asignan las impresiones de esta consulta a cada página.</x:v>
      </x:c>
    </x:row>
    <x:row r="1502" ht="28" customHeight="1">
      <x:c r="A1502" s="4" t="n">
        <x:v>1492</x:v>
      </x:c>
      <x:c r="B1502" s="4" t="str">
        <x:v>parque de agua miami</x:v>
      </x:c>
      <x:c r="C1502" s="11" t="n">
        <x:v>1</x:v>
      </x:c>
      <x:c r="D1502" s="11" t="n">
        <x:v>36</x:v>
      </x:c>
      <x:c r="E1502" s="14" t="n">
        <x:v>0.027777777777777776</x:v>
      </x:c>
      <x:c r="F1502" s="12" t="n">
        <x:v>11</x:v>
      </x:c>
      <x:c r="G1502" s="4" t="str">
        <x:v>Sin marca literal</x:v>
      </x:c>
      <x:c r="H1502" s="11"/>
      <x:c r="I1502" s="11" t="str">
        <x:f>IF(H1502="","",C1502-H1502)</x:f>
      </x:c>
      <x:c r="J1502" s="4"/>
      <x:c r="K1502" s="4" t="str">
        <x:v>URLs de detalle page/query/country por clics. No asignan las impresiones de esta consulta a cada página.</x:v>
      </x:c>
    </x:row>
    <x:row r="1503" ht="28" customHeight="1">
      <x:c r="A1503" s="4" t="n">
        <x:v>1493</x:v>
      </x:c>
      <x:c r="B1503" s="4" t="str">
        <x:v>que es la bitacora</x:v>
      </x:c>
      <x:c r="C1503" s="11" t="n">
        <x:v>1</x:v>
      </x:c>
      <x:c r="D1503" s="11" t="n">
        <x:v>36</x:v>
      </x:c>
      <x:c r="E1503" s="14" t="n">
        <x:v>0.027777777777777776</x:v>
      </x:c>
      <x:c r="F1503" s="12" t="n">
        <x:v>8.472222222222221</x:v>
      </x:c>
      <x:c r="G1503" s="4" t="str">
        <x:v>Sin marca literal</x:v>
      </x:c>
      <x:c r="H1503" s="11"/>
      <x:c r="I1503" s="11" t="str">
        <x:f>IF(H1503="","",C1503-H1503)</x:f>
      </x:c>
      <x:c r="J1503" s="4"/>
      <x:c r="K1503" s="4" t="str">
        <x:v>URLs de detalle page/query/country por clics. No asignan las impresiones de esta consulta a cada página.</x:v>
      </x:c>
    </x:row>
    <x:row r="1504" ht="28" customHeight="1">
      <x:c r="A1504" s="4" t="n">
        <x:v>1494</x:v>
      </x:c>
      <x:c r="B1504" s="4" t="str">
        <x:v>que es un hostal en chile</x:v>
      </x:c>
      <x:c r="C1504" s="11" t="n">
        <x:v>1</x:v>
      </x:c>
      <x:c r="D1504" s="11" t="n">
        <x:v>36</x:v>
      </x:c>
      <x:c r="E1504" s="14" t="n">
        <x:v>0.027777777777777776</x:v>
      </x:c>
      <x:c r="F1504" s="12" t="n">
        <x:v>3.1944444444444446</x:v>
      </x:c>
      <x:c r="G1504" s="4" t="str">
        <x:v>Sin marca literal</x:v>
      </x:c>
      <x:c r="H1504" s="11"/>
      <x:c r="I1504" s="11" t="str">
        <x:f>IF(H1504="","",C1504-H1504)</x:f>
      </x:c>
      <x:c r="J1504" s="4"/>
      <x:c r="K1504" s="4" t="str">
        <x:v>URLs de detalle page/query/country por clics. No asignan las impresiones de esta consulta a cada página.</x:v>
      </x:c>
    </x:row>
    <x:row r="1505" ht="28" customHeight="1">
      <x:c r="A1505" s="4" t="n">
        <x:v>1495</x:v>
      </x:c>
      <x:c r="B1505" s="4" t="str">
        <x:v>que necesito para viajar a mexico desde chile</x:v>
      </x:c>
      <x:c r="C1505" s="11" t="n">
        <x:v>1</x:v>
      </x:c>
      <x:c r="D1505" s="11" t="n">
        <x:v>36</x:v>
      </x:c>
      <x:c r="E1505" s="14" t="n">
        <x:v>0.027777777777777776</x:v>
      </x:c>
      <x:c r="F1505" s="12" t="n">
        <x:v>5.111111111111111</x:v>
      </x:c>
      <x:c r="G1505" s="4" t="str">
        <x:v>Sin marca literal</x:v>
      </x:c>
      <x:c r="H1505" s="11"/>
      <x:c r="I1505" s="11" t="str">
        <x:f>IF(H1505="","",C1505-H1505)</x:f>
      </x:c>
      <x:c r="J1505" s="4"/>
      <x:c r="K1505" s="4" t="str">
        <x:v>URLs de detalle page/query/country por clics. No asignan las impresiones de esta consulta a cada página.</x:v>
      </x:c>
    </x:row>
    <x:row r="1506" ht="28" customHeight="1">
      <x:c r="A1506" s="4" t="n">
        <x:v>1496</x:v>
      </x:c>
      <x:c r="B1506" s="4" t="str">
        <x:v>sky paquetes turisticos</x:v>
      </x:c>
      <x:c r="C1506" s="11" t="n">
        <x:v>1</x:v>
      </x:c>
      <x:c r="D1506" s="11" t="n">
        <x:v>36</x:v>
      </x:c>
      <x:c r="E1506" s="14" t="n">
        <x:v>0.027777777777777776</x:v>
      </x:c>
      <x:c r="F1506" s="12" t="n">
        <x:v>7.472222222222222</x:v>
      </x:c>
      <x:c r="G1506" s="4" t="str">
        <x:v>Sin marca literal</x:v>
      </x:c>
      <x:c r="H1506" s="11"/>
      <x:c r="I1506" s="11" t="str">
        <x:f>IF(H1506="","",C1506-H1506)</x:f>
      </x:c>
      <x:c r="J1506" s="4"/>
      <x:c r="K1506" s="4" t="str">
        <x:v>URLs de detalle page/query/country por clics. No asignan las impresiones de esta consulta a cada página.</x:v>
      </x:c>
    </x:row>
    <x:row r="1507" ht="28" customHeight="1">
      <x:c r="A1507" s="4" t="n">
        <x:v>1497</x:v>
      </x:c>
      <x:c r="B1507" s="4" t="str">
        <x:v>skyairline empresas</x:v>
      </x:c>
      <x:c r="C1507" s="11" t="n">
        <x:v>1</x:v>
      </x:c>
      <x:c r="D1507" s="11" t="n">
        <x:v>36</x:v>
      </x:c>
      <x:c r="E1507" s="14" t="n">
        <x:v>0.027777777777777776</x:v>
      </x:c>
      <x:c r="F1507" s="12" t="n">
        <x:v>6.305555555555555</x:v>
      </x:c>
      <x:c r="G1507" s="4" t="str">
        <x:v>Sin marca literal</x:v>
      </x:c>
      <x:c r="H1507" s="11"/>
      <x:c r="I1507" s="11" t="str">
        <x:f>IF(H1507="","",C1507-H1507)</x:f>
      </x:c>
      <x:c r="J1507" s="4"/>
      <x:c r="K1507" s="4" t="str">
        <x:v>URLs de detalle page/query/country por clics. No asignan las impresiones de esta consulta a cada página.</x:v>
      </x:c>
    </x:row>
    <x:row r="1508" ht="28" customHeight="1">
      <x:c r="A1508" s="4" t="n">
        <x:v>1498</x:v>
      </x:c>
      <x:c r="B1508" s="4" t="str">
        <x:v>tarifa light sky que incluye</x:v>
      </x:c>
      <x:c r="C1508" s="11" t="n">
        <x:v>1</x:v>
      </x:c>
      <x:c r="D1508" s="11" t="n">
        <x:v>36</x:v>
      </x:c>
      <x:c r="E1508" s="14" t="n">
        <x:v>0.027777777777777776</x:v>
      </x:c>
      <x:c r="F1508" s="12" t="n">
        <x:v>5.277777777777778</x:v>
      </x:c>
      <x:c r="G1508" s="4" t="str">
        <x:v>Sin marca literal</x:v>
      </x:c>
      <x:c r="H1508" s="11"/>
      <x:c r="I1508" s="11" t="str">
        <x:f>IF(H1508="","",C1508-H1508)</x:f>
      </x:c>
      <x:c r="J1508" s="4"/>
      <x:c r="K1508" s="4" t="str">
        <x:v>URLs de detalle page/query/country por clics. No asignan las impresiones de esta consulta a cada página.</x:v>
      </x:c>
    </x:row>
    <x:row r="1509" ht="28" customHeight="1">
      <x:c r="A1509" s="4" t="n">
        <x:v>1499</x:v>
      </x:c>
      <x:c r="B1509" s="4" t="str">
        <x:v>avion comercial velocidad</x:v>
      </x:c>
      <x:c r="C1509" s="11" t="n">
        <x:v>1</x:v>
      </x:c>
      <x:c r="D1509" s="11" t="n">
        <x:v>35</x:v>
      </x:c>
      <x:c r="E1509" s="14" t="n">
        <x:v>0.02857142857142857</x:v>
      </x:c>
      <x:c r="F1509" s="12" t="n">
        <x:v>8.342857142857142</x:v>
      </x:c>
      <x:c r="G1509" s="4" t="str">
        <x:v>Sin marca literal</x:v>
      </x:c>
      <x:c r="H1509" s="11"/>
      <x:c r="I1509" s="11" t="str">
        <x:f>IF(H1509="","",C1509-H1509)</x:f>
      </x:c>
      <x:c r="J1509" s="4"/>
      <x:c r="K1509" s="4" t="str">
        <x:v>URLs de detalle page/query/country por clics. No asignan las impresiones de esta consulta a cada página.</x:v>
      </x:c>
    </x:row>
    <x:row r="1510" ht="28" customHeight="1">
      <x:c r="A1510" s="4" t="n">
        <x:v>1500</x:v>
      </x:c>
      <x:c r="B1510" s="4" t="str">
        <x:v>categorias sky plus</x:v>
      </x:c>
      <x:c r="C1510" s="11" t="n">
        <x:v>1</x:v>
      </x:c>
      <x:c r="D1510" s="11" t="n">
        <x:v>35</x:v>
      </x:c>
      <x:c r="E1510" s="14" t="n">
        <x:v>0.02857142857142857</x:v>
      </x:c>
      <x:c r="F1510" s="12" t="n">
        <x:v>4.628571428571428</x:v>
      </x:c>
      <x:c r="G1510" s="4" t="str">
        <x:v>Sin marca literal</x:v>
      </x:c>
      <x:c r="H1510" s="11"/>
      <x:c r="I1510" s="11" t="str">
        <x:f>IF(H1510="","",C1510-H1510)</x:f>
      </x:c>
      <x:c r="J1510" s="4"/>
      <x:c r="K1510" s="4" t="str">
        <x:v>URLs de detalle page/query/country por clics. No asignan las impresiones de esta consulta a cada página.</x:v>
      </x:c>
    </x:row>
    <x:row r="1511" ht="28" customHeight="1">
      <x:c r="A1511" s="4" t="n">
        <x:v>1501</x:v>
      </x:c>
      <x:c r="B1511" s="4" t="str">
        <x:v>chile a perú en avión tiempo</x:v>
      </x:c>
      <x:c r="C1511" s="11" t="n">
        <x:v>1</x:v>
      </x:c>
      <x:c r="D1511" s="11" t="n">
        <x:v>35</x:v>
      </x:c>
      <x:c r="E1511" s="14" t="n">
        <x:v>0.02857142857142857</x:v>
      </x:c>
      <x:c r="F1511" s="12" t="n">
        <x:v>3.657142857142857</x:v>
      </x:c>
      <x:c r="G1511" s="4" t="str">
        <x:v>Sin marca literal</x:v>
      </x:c>
      <x:c r="H1511" s="11"/>
      <x:c r="I1511" s="11" t="str">
        <x:f>IF(H1511="","",C1511-H1511)</x:f>
      </x:c>
      <x:c r="J1511" s="4"/>
      <x:c r="K1511" s="4" t="str">
        <x:v>URLs de detalle page/query/country por clics. No asignan las impresiones de esta consulta a cada página.</x:v>
      </x:c>
    </x:row>
    <x:row r="1512" ht="28" customHeight="1">
      <x:c r="A1512" s="4" t="n">
        <x:v>1502</x:v>
      </x:c>
      <x:c r="B1512" s="4" t="str">
        <x:v>como hago mi check in en sky</x:v>
      </x:c>
      <x:c r="C1512" s="11" t="n">
        <x:v>1</x:v>
      </x:c>
      <x:c r="D1512" s="11" t="n">
        <x:v>35</x:v>
      </x:c>
      <x:c r="E1512" s="14" t="n">
        <x:v>0.02857142857142857</x:v>
      </x:c>
      <x:c r="F1512" s="12" t="n">
        <x:v>6.914285714285715</x:v>
      </x:c>
      <x:c r="G1512" s="4" t="str">
        <x:v>Sin marca literal</x:v>
      </x:c>
      <x:c r="H1512" s="11"/>
      <x:c r="I1512" s="11" t="str">
        <x:f>IF(H1512="","",C1512-H1512)</x:f>
      </x:c>
      <x:c r="J1512" s="4"/>
      <x:c r="K1512" s="4" t="str">
        <x:v>URLs de detalle page/query/country por clics. No asignan las impresiones de esta consulta a cada página.</x:v>
      </x:c>
    </x:row>
    <x:row r="1513" ht="28" customHeight="1">
      <x:c r="A1513" s="4" t="n">
        <x:v>1503</x:v>
      </x:c>
      <x:c r="B1513" s="4" t="str">
        <x:v>como viajar con un perro en avion</x:v>
      </x:c>
      <x:c r="C1513" s="11" t="n">
        <x:v>1</x:v>
      </x:c>
      <x:c r="D1513" s="11" t="n">
        <x:v>35</x:v>
      </x:c>
      <x:c r="E1513" s="14" t="n">
        <x:v>0.02857142857142857</x:v>
      </x:c>
      <x:c r="F1513" s="12" t="n">
        <x:v>8.057142857142857</x:v>
      </x:c>
      <x:c r="G1513" s="4" t="str">
        <x:v>Sin marca literal</x:v>
      </x:c>
      <x:c r="H1513" s="11"/>
      <x:c r="I1513" s="11" t="str">
        <x:f>IF(H1513="","",C1513-H1513)</x:f>
      </x:c>
      <x:c r="J1513" s="4"/>
      <x:c r="K1513" s="4" t="str">
        <x:v>URLs de detalle page/query/country por clics. No asignan las impresiones de esta consulta a cada página.</x:v>
      </x:c>
    </x:row>
    <x:row r="1514" ht="28" customHeight="1">
      <x:c r="A1514" s="4" t="n">
        <x:v>1504</x:v>
      </x:c>
      <x:c r="B1514" s="4" t="str">
        <x:v>cuantas horas de chile a brasil</x:v>
      </x:c>
      <x:c r="C1514" s="11" t="n">
        <x:v>1</x:v>
      </x:c>
      <x:c r="D1514" s="11" t="n">
        <x:v>35</x:v>
      </x:c>
      <x:c r="E1514" s="14" t="n">
        <x:v>0.02857142857142857</x:v>
      </x:c>
      <x:c r="F1514" s="12" t="n">
        <x:v>3</x:v>
      </x:c>
      <x:c r="G1514" s="4" t="str">
        <x:v>Sin marca literal</x:v>
      </x:c>
      <x:c r="H1514" s="11"/>
      <x:c r="I1514" s="11" t="str">
        <x:f>IF(H1514="","",C1514-H1514)</x:f>
      </x:c>
      <x:c r="J1514" s="4"/>
      <x:c r="K1514" s="4" t="str">
        <x:v>URLs de detalle page/query/country por clics. No asignan las impresiones de esta consulta a cada página.</x:v>
      </x:c>
    </x:row>
    <x:row r="1515" ht="28" customHeight="1">
      <x:c r="A1515" s="4" t="n">
        <x:v>1505</x:v>
      </x:c>
      <x:c r="B1515" s="4" t="str">
        <x:v>cuanto se demora de chile a brasil en avion</x:v>
      </x:c>
      <x:c r="C1515" s="11" t="n">
        <x:v>1</x:v>
      </x:c>
      <x:c r="D1515" s="11" t="n">
        <x:v>35</x:v>
      </x:c>
      <x:c r="E1515" s="14" t="n">
        <x:v>0.02857142857142857</x:v>
      </x:c>
      <x:c r="F1515" s="12" t="n">
        <x:v>1.9142857142857141</x:v>
      </x:c>
      <x:c r="G1515" s="4" t="str">
        <x:v>Sin marca literal</x:v>
      </x:c>
      <x:c r="H1515" s="11"/>
      <x:c r="I1515" s="11" t="str">
        <x:f>IF(H1515="","",C1515-H1515)</x:f>
      </x:c>
      <x:c r="J1515" s="4"/>
      <x:c r="K1515" s="4" t="str">
        <x:v>URLs de detalle page/query/country por clics. No asignan las impresiones de esta consulta a cada página.</x:v>
      </x:c>
    </x:row>
    <x:row r="1516" ht="28" customHeight="1">
      <x:c r="A1516" s="4" t="n">
        <x:v>1506</x:v>
      </x:c>
      <x:c r="B1516" s="4" t="str">
        <x:v>cómo llegar a coyhaique</x:v>
      </x:c>
      <x:c r="C1516" s="11" t="n">
        <x:v>1</x:v>
      </x:c>
      <x:c r="D1516" s="11" t="n">
        <x:v>35</x:v>
      </x:c>
      <x:c r="E1516" s="14" t="n">
        <x:v>0.02857142857142857</x:v>
      </x:c>
      <x:c r="F1516" s="12" t="n">
        <x:v>3.085714285714286</x:v>
      </x:c>
      <x:c r="G1516" s="4" t="str">
        <x:v>Sin marca literal</x:v>
      </x:c>
      <x:c r="H1516" s="11"/>
      <x:c r="I1516" s="11" t="str">
        <x:f>IF(H1516="","",C1516-H1516)</x:f>
      </x:c>
      <x:c r="J1516" s="4"/>
      <x:c r="K1516" s="4" t="str">
        <x:v>URLs de detalle page/query/country por clics. No asignan las impresiones de esta consulta a cada página.</x:v>
      </x:c>
    </x:row>
    <x:row r="1517" ht="28" customHeight="1">
      <x:c r="A1517" s="4" t="n">
        <x:v>1507</x:v>
      </x:c>
      <x:c r="B1517" s="4" t="str">
        <x:v>lugares de nieve en chile</x:v>
      </x:c>
      <x:c r="C1517" s="11" t="n">
        <x:v>1</x:v>
      </x:c>
      <x:c r="D1517" s="11" t="n">
        <x:v>35</x:v>
      </x:c>
      <x:c r="E1517" s="14" t="n">
        <x:v>0.02857142857142857</x:v>
      </x:c>
      <x:c r="F1517" s="12" t="n">
        <x:v>4.371428571428572</x:v>
      </x:c>
      <x:c r="G1517" s="4" t="str">
        <x:v>Sin marca literal</x:v>
      </x:c>
      <x:c r="H1517" s="11"/>
      <x:c r="I1517" s="11" t="str">
        <x:f>IF(H1517="","",C1517-H1517)</x:f>
      </x:c>
      <x:c r="J1517" s="4"/>
      <x:c r="K1517" s="4" t="str">
        <x:v>URLs de detalle page/query/country por clics. No asignan las impresiones de esta consulta a cada página.</x:v>
      </x:c>
    </x:row>
    <x:row r="1518" ht="28" customHeight="1">
      <x:c r="A1518" s="4" t="n">
        <x:v>1508</x:v>
      </x:c>
      <x:c r="B1518" s="4" t="str">
        <x:v>para que es el check in</x:v>
      </x:c>
      <x:c r="C1518" s="11" t="n">
        <x:v>1</x:v>
      </x:c>
      <x:c r="D1518" s="11" t="n">
        <x:v>35</x:v>
      </x:c>
      <x:c r="E1518" s="14" t="n">
        <x:v>0.02857142857142857</x:v>
      </x:c>
      <x:c r="F1518" s="12" t="n">
        <x:v>5.885714285714286</x:v>
      </x:c>
      <x:c r="G1518" s="4" t="str">
        <x:v>Sin marca literal</x:v>
      </x:c>
      <x:c r="H1518" s="11"/>
      <x:c r="I1518" s="11" t="str">
        <x:f>IF(H1518="","",C1518-H1518)</x:f>
      </x:c>
      <x:c r="J1518" s="4"/>
      <x:c r="K1518" s="4" t="str">
        <x:v>URLs de detalle page/query/country por clics. No asignan las impresiones de esta consulta a cada página.</x:v>
      </x:c>
    </x:row>
    <x:row r="1519" ht="28" customHeight="1">
      <x:c r="A1519" s="4" t="n">
        <x:v>1509</x:v>
      </x:c>
      <x:c r="B1519" s="4" t="str">
        <x:v>peso equipaje de mano</x:v>
      </x:c>
      <x:c r="C1519" s="11" t="n">
        <x:v>1</x:v>
      </x:c>
      <x:c r="D1519" s="11" t="n">
        <x:v>35</x:v>
      </x:c>
      <x:c r="E1519" s="14" t="n">
        <x:v>0.02857142857142857</x:v>
      </x:c>
      <x:c r="F1519" s="12" t="n">
        <x:v>7.628571428571429</x:v>
      </x:c>
      <x:c r="G1519" s="4" t="str">
        <x:v>Sin marca literal</x:v>
      </x:c>
      <x:c r="H1519" s="11"/>
      <x:c r="I1519" s="11" t="str">
        <x:f>IF(H1519="","",C1519-H1519)</x:f>
      </x:c>
      <x:c r="J1519" s="4"/>
      <x:c r="K1519" s="4" t="str">
        <x:v>URLs de detalle page/query/country por clics. No asignan las impresiones de esta consulta a cada página.</x:v>
      </x:c>
    </x:row>
    <x:row r="1520" ht="28" customHeight="1">
      <x:c r="A1520" s="4" t="n">
        <x:v>1510</x:v>
      </x:c>
      <x:c r="B1520" s="4" t="str">
        <x:v>playa de copacabana</x:v>
      </x:c>
      <x:c r="C1520" s="11" t="n">
        <x:v>1</x:v>
      </x:c>
      <x:c r="D1520" s="11" t="n">
        <x:v>35</x:v>
      </x:c>
      <x:c r="E1520" s="14" t="n">
        <x:v>0.02857142857142857</x:v>
      </x:c>
      <x:c r="F1520" s="12" t="n">
        <x:v>13.257142857142858</x:v>
      </x:c>
      <x:c r="G1520" s="4" t="str">
        <x:v>Sin marca literal</x:v>
      </x:c>
      <x:c r="H1520" s="11"/>
      <x:c r="I1520" s="11" t="str">
        <x:f>IF(H1520="","",C1520-H1520)</x:f>
      </x:c>
      <x:c r="J1520" s="4"/>
      <x:c r="K1520" s="4" t="str">
        <x:v>URLs de detalle page/query/country por clics. No asignan las impresiones de esta consulta a cada página.</x:v>
      </x:c>
    </x:row>
    <x:row r="1521" ht="28" customHeight="1">
      <x:c r="A1521" s="4" t="n">
        <x:v>1511</x:v>
      </x:c>
      <x:c r="B1521" s="4" t="str">
        <x:v>requisitos para ingresar a argentina</x:v>
      </x:c>
      <x:c r="C1521" s="11" t="n">
        <x:v>1</x:v>
      </x:c>
      <x:c r="D1521" s="11" t="n">
        <x:v>35</x:v>
      </x:c>
      <x:c r="E1521" s="14" t="n">
        <x:v>0.02857142857142857</x:v>
      </x:c>
      <x:c r="F1521" s="12" t="n">
        <x:v>8.914285714285715</x:v>
      </x:c>
      <x:c r="G1521" s="4" t="str">
        <x:v>Sin marca literal</x:v>
      </x:c>
      <x:c r="H1521" s="11"/>
      <x:c r="I1521" s="11" t="str">
        <x:f>IF(H1521="","",C1521-H1521)</x:f>
      </x:c>
      <x:c r="J1521" s="4"/>
      <x:c r="K1521" s="4" t="str">
        <x:v>URLs de detalle page/query/country por clics. No asignan las impresiones de esta consulta a cada página.</x:v>
      </x:c>
    </x:row>
    <x:row r="1522" ht="28" customHeight="1">
      <x:c r="A1522" s="4" t="n">
        <x:v>1512</x:v>
      </x:c>
      <x:c r="B1522" s="4" t="str">
        <x:v>selva peruana ciudades</x:v>
      </x:c>
      <x:c r="C1522" s="11" t="n">
        <x:v>1</x:v>
      </x:c>
      <x:c r="D1522" s="11" t="n">
        <x:v>35</x:v>
      </x:c>
      <x:c r="E1522" s="14" t="n">
        <x:v>0.02857142857142857</x:v>
      </x:c>
      <x:c r="F1522" s="12" t="n">
        <x:v>6.2</x:v>
      </x:c>
      <x:c r="G1522" s="4" t="str">
        <x:v>Sin marca literal</x:v>
      </x:c>
      <x:c r="H1522" s="11"/>
      <x:c r="I1522" s="11" t="str">
        <x:f>IF(H1522="","",C1522-H1522)</x:f>
      </x:c>
      <x:c r="J1522" s="4"/>
      <x:c r="K1522" s="4" t="str">
        <x:v>URLs de detalle page/query/country por clics. No asignan las impresiones de esta consulta a cada página.</x:v>
      </x:c>
    </x:row>
    <x:row r="1523" ht="28" customHeight="1">
      <x:c r="A1523" s="4" t="n">
        <x:v>1513</x:v>
      </x:c>
      <x:c r="B1523" s="4" t="str">
        <x:v>zofri iquique tiendas</x:v>
      </x:c>
      <x:c r="C1523" s="11" t="n">
        <x:v>1</x:v>
      </x:c>
      <x:c r="D1523" s="11" t="n">
        <x:v>35</x:v>
      </x:c>
      <x:c r="E1523" s="14" t="n">
        <x:v>0.02857142857142857</x:v>
      </x:c>
      <x:c r="F1523" s="12" t="n">
        <x:v>8.028571428571428</x:v>
      </x:c>
      <x:c r="G1523" s="4" t="str">
        <x:v>Sin marca literal</x:v>
      </x:c>
      <x:c r="H1523" s="11"/>
      <x:c r="I1523" s="11" t="str">
        <x:f>IF(H1523="","",C1523-H1523)</x:f>
      </x:c>
      <x:c r="J1523" s="4"/>
      <x:c r="K1523" s="4" t="str">
        <x:v>URLs de detalle page/query/country por clics. No asignan las impresiones de esta consulta a cada página.</x:v>
      </x:c>
    </x:row>
    <x:row r="1524" ht="28" customHeight="1">
      <x:c r="A1524" s="4" t="n">
        <x:v>1514</x:v>
      </x:c>
      <x:c r="B1524" s="4" t="str">
        <x:v>chile aurora boreal</x:v>
      </x:c>
      <x:c r="C1524" s="11" t="n">
        <x:v>1</x:v>
      </x:c>
      <x:c r="D1524" s="11" t="n">
        <x:v>34</x:v>
      </x:c>
      <x:c r="E1524" s="14" t="n">
        <x:v>0.029411764705882353</x:v>
      </x:c>
      <x:c r="F1524" s="12" t="n">
        <x:v>7.676470588235294</x:v>
      </x:c>
      <x:c r="G1524" s="4" t="str">
        <x:v>Sin marca literal</x:v>
      </x:c>
      <x:c r="H1524" s="11"/>
      <x:c r="I1524" s="11" t="str">
        <x:f>IF(H1524="","",C1524-H1524)</x:f>
      </x:c>
      <x:c r="J1524" s="4"/>
      <x:c r="K1524" s="4" t="str">
        <x:v>URLs de detalle page/query/country por clics. No asignan las impresiones de esta consulta a cada página.</x:v>
      </x:c>
    </x:row>
    <x:row r="1525" ht="28" customHeight="1">
      <x:c r="A1525" s="4" t="n">
        <x:v>1515</x:v>
      </x:c>
      <x:c r="B1525" s="4" t="str">
        <x:v>distancia entre santiago y mendoza en avión</x:v>
      </x:c>
      <x:c r="C1525" s="11" t="n">
        <x:v>1</x:v>
      </x:c>
      <x:c r="D1525" s="11" t="n">
        <x:v>34</x:v>
      </x:c>
      <x:c r="E1525" s="14" t="n">
        <x:v>0.029411764705882353</x:v>
      </x:c>
      <x:c r="F1525" s="12" t="n">
        <x:v>3.264705882352941</x:v>
      </x:c>
      <x:c r="G1525" s="4" t="str">
        <x:v>Sin marca literal</x:v>
      </x:c>
      <x:c r="H1525" s="11"/>
      <x:c r="I1525" s="11" t="str">
        <x:f>IF(H1525="","",C1525-H1525)</x:f>
      </x:c>
      <x:c r="J1525" s="4"/>
      <x:c r="K1525" s="4" t="str">
        <x:v>URLs de detalle page/query/country por clics. No asignan las impresiones de esta consulta a cada página.</x:v>
      </x:c>
    </x:row>
    <x:row r="1526" ht="28" customHeight="1">
      <x:c r="A1526" s="4" t="n">
        <x:v>1516</x:v>
      </x:c>
      <x:c r="B1526" s="4" t="str">
        <x:v>donde queda buzios mapa</x:v>
      </x:c>
      <x:c r="C1526" s="11" t="n">
        <x:v>1</x:v>
      </x:c>
      <x:c r="D1526" s="11" t="n">
        <x:v>34</x:v>
      </x:c>
      <x:c r="E1526" s="14" t="n">
        <x:v>0.029411764705882353</x:v>
      </x:c>
      <x:c r="F1526" s="12" t="n">
        <x:v>6.264705882352941</x:v>
      </x:c>
      <x:c r="G1526" s="4" t="str">
        <x:v>Sin marca literal</x:v>
      </x:c>
      <x:c r="H1526" s="11"/>
      <x:c r="I1526" s="11" t="str">
        <x:f>IF(H1526="","",C1526-H1526)</x:f>
      </x:c>
      <x:c r="J1526" s="4"/>
      <x:c r="K1526" s="4" t="str">
        <x:v>URLs de detalle page/query/country por clics. No asignan las impresiones de esta consulta a cada página.</x:v>
      </x:c>
    </x:row>
    <x:row r="1527" ht="28" customHeight="1">
      <x:c r="A1527" s="4" t="n">
        <x:v>1517</x:v>
      </x:c>
      <x:c r="B1527" s="4" t="str">
        <x:v>fecha estaciones del año chile</x:v>
      </x:c>
      <x:c r="C1527" s="11" t="n">
        <x:v>1</x:v>
      </x:c>
      <x:c r="D1527" s="11" t="n">
        <x:v>34</x:v>
      </x:c>
      <x:c r="E1527" s="14" t="n">
        <x:v>0.029411764705882353</x:v>
      </x:c>
      <x:c r="F1527" s="12" t="n">
        <x:v>3.911764705882353</x:v>
      </x:c>
      <x:c r="G1527" s="4" t="str">
        <x:v>Sin marca literal</x:v>
      </x:c>
      <x:c r="H1527" s="11"/>
      <x:c r="I1527" s="11" t="str">
        <x:f>IF(H1527="","",C1527-H1527)</x:f>
      </x:c>
      <x:c r="J1527" s="4"/>
      <x:c r="K1527" s="4" t="str">
        <x:v>URLs de detalle page/query/country por clics. No asignan las impresiones de esta consulta a cada página.</x:v>
      </x:c>
    </x:row>
    <x:row r="1528" ht="28" customHeight="1">
      <x:c r="A1528" s="4" t="n">
        <x:v>1518</x:v>
      </x:c>
      <x:c r="B1528" s="4" t="str">
        <x:v>fechas para viajar a tarapoto</x:v>
      </x:c>
      <x:c r="C1528" s="11" t="n">
        <x:v>1</x:v>
      </x:c>
      <x:c r="D1528" s="11" t="n">
        <x:v>34</x:v>
      </x:c>
      <x:c r="E1528" s="14" t="n">
        <x:v>0.029411764705882353</x:v>
      </x:c>
      <x:c r="F1528" s="12" t="n">
        <x:v>4.5</x:v>
      </x:c>
      <x:c r="G1528" s="4" t="str">
        <x:v>Sin marca literal</x:v>
      </x:c>
      <x:c r="H1528" s="11"/>
      <x:c r="I1528" s="11" t="str">
        <x:f>IF(H1528="","",C1528-H1528)</x:f>
      </x:c>
      <x:c r="J1528" s="4"/>
      <x:c r="K1528" s="4" t="str">
        <x:v>URLs de detalle page/query/country por clics. No asignan las impresiones de esta consulta a cada página.</x:v>
      </x:c>
    </x:row>
    <x:row r="1529" ht="28" customHeight="1">
      <x:c r="A1529" s="4" t="n">
        <x:v>1519</x:v>
      </x:c>
      <x:c r="B1529" s="4" t="str">
        <x:v>isla de los monos iquitos</x:v>
      </x:c>
      <x:c r="C1529" s="11" t="n">
        <x:v>1</x:v>
      </x:c>
      <x:c r="D1529" s="11" t="n">
        <x:v>34</x:v>
      </x:c>
      <x:c r="E1529" s="14" t="n">
        <x:v>0.029411764705882353</x:v>
      </x:c>
      <x:c r="F1529" s="12" t="n">
        <x:v>13.647058823529411</x:v>
      </x:c>
      <x:c r="G1529" s="4" t="str">
        <x:v>Sin marca literal</x:v>
      </x:c>
      <x:c r="H1529" s="11"/>
      <x:c r="I1529" s="11" t="str">
        <x:f>IF(H1529="","",C1529-H1529)</x:f>
      </x:c>
      <x:c r="J1529" s="4"/>
      <x:c r="K1529" s="4" t="str">
        <x:v>URLs de detalle page/query/country por clics. No asignan las impresiones de esta consulta a cada página.</x:v>
      </x:c>
    </x:row>
    <x:row r="1530" ht="28" customHeight="1">
      <x:c r="A1530" s="4" t="n">
        <x:v>1520</x:v>
      </x:c>
      <x:c r="B1530" s="4" t="str">
        <x:v>mejor epoca para viajar a cancun</x:v>
      </x:c>
      <x:c r="C1530" s="11" t="n">
        <x:v>1</x:v>
      </x:c>
      <x:c r="D1530" s="11" t="n">
        <x:v>34</x:v>
      </x:c>
      <x:c r="E1530" s="14" t="n">
        <x:v>0.029411764705882353</x:v>
      </x:c>
      <x:c r="F1530" s="12" t="n">
        <x:v>33</x:v>
      </x:c>
      <x:c r="G1530" s="4" t="str">
        <x:v>Sin marca literal</x:v>
      </x:c>
      <x:c r="H1530" s="11"/>
      <x:c r="I1530" s="11" t="str">
        <x:f>IF(H1530="","",C1530-H1530)</x:f>
      </x:c>
      <x:c r="J1530" s="4"/>
      <x:c r="K1530" s="4" t="str">
        <x:v>URLs de detalle page/query/country por clics. No asignan las impresiones de esta consulta a cada página.</x:v>
      </x:c>
    </x:row>
    <x:row r="1531" ht="28" customHeight="1">
      <x:c r="A1531" s="4" t="n">
        <x:v>1521</x:v>
      </x:c>
      <x:c r="B1531" s="4" t="str">
        <x:v>mejores fechas para ir a punta cana</x:v>
      </x:c>
      <x:c r="C1531" s="11" t="n">
        <x:v>1</x:v>
      </x:c>
      <x:c r="D1531" s="11" t="n">
        <x:v>34</x:v>
      </x:c>
      <x:c r="E1531" s="14" t="n">
        <x:v>0.029411764705882353</x:v>
      </x:c>
      <x:c r="F1531" s="12" t="n">
        <x:v>9.852941176470589</x:v>
      </x:c>
      <x:c r="G1531" s="4" t="str">
        <x:v>Sin marca literal</x:v>
      </x:c>
      <x:c r="H1531" s="11"/>
      <x:c r="I1531" s="11" t="str">
        <x:f>IF(H1531="","",C1531-H1531)</x:f>
      </x:c>
      <x:c r="J1531" s="4"/>
      <x:c r="K1531" s="4" t="str">
        <x:v>URLs de detalle page/query/country por clics. No asignan las impresiones de esta consulta a cada página.</x:v>
      </x:c>
    </x:row>
    <x:row r="1532" ht="28" customHeight="1">
      <x:c r="A1532" s="4" t="n">
        <x:v>1522</x:v>
      </x:c>
      <x:c r="B1532" s="4" t="str">
        <x:v>musica típica de brasil</x:v>
      </x:c>
      <x:c r="C1532" s="11" t="n">
        <x:v>1</x:v>
      </x:c>
      <x:c r="D1532" s="11" t="n">
        <x:v>34</x:v>
      </x:c>
      <x:c r="E1532" s="14" t="n">
        <x:v>0.029411764705882353</x:v>
      </x:c>
      <x:c r="F1532" s="12" t="n">
        <x:v>2</x:v>
      </x:c>
      <x:c r="G1532" s="4" t="str">
        <x:v>Sin marca literal</x:v>
      </x:c>
      <x:c r="H1532" s="11"/>
      <x:c r="I1532" s="11" t="str">
        <x:f>IF(H1532="","",C1532-H1532)</x:f>
      </x:c>
      <x:c r="J1532" s="4"/>
      <x:c r="K1532" s="4" t="str">
        <x:v>URLs de detalle page/query/country por clics. No asignan las impresiones de esta consulta a cada página.</x:v>
      </x:c>
    </x:row>
    <x:row r="1533" ht="28" customHeight="1">
      <x:c r="A1533" s="4" t="n">
        <x:v>1523</x:v>
      </x:c>
      <x:c r="B1533" s="4" t="str">
        <x:v>pueblo originario del norte de chile</x:v>
      </x:c>
      <x:c r="C1533" s="11" t="n">
        <x:v>1</x:v>
      </x:c>
      <x:c r="D1533" s="11" t="n">
        <x:v>34</x:v>
      </x:c>
      <x:c r="E1533" s="14" t="n">
        <x:v>0.029411764705882353</x:v>
      </x:c>
      <x:c r="F1533" s="12" t="n">
        <x:v>7.029411764705882</x:v>
      </x:c>
      <x:c r="G1533" s="4" t="str">
        <x:v>Sin marca literal</x:v>
      </x:c>
      <x:c r="H1533" s="11"/>
      <x:c r="I1533" s="11" t="str">
        <x:f>IF(H1533="","",C1533-H1533)</x:f>
      </x:c>
      <x:c r="J1533" s="4"/>
      <x:c r="K1533" s="4" t="str">
        <x:v>URLs de detalle page/query/country por clics. No asignan las impresiones de esta consulta a cada página.</x:v>
      </x:c>
    </x:row>
    <x:row r="1534" ht="28" customHeight="1">
      <x:c r="A1534" s="4" t="n">
        <x:v>1524</x:v>
      </x:c>
      <x:c r="B1534" s="4" t="str">
        <x:v>que aeropuerto de buenos aires esta mas cerca del centro</x:v>
      </x:c>
      <x:c r="C1534" s="11" t="n">
        <x:v>1</x:v>
      </x:c>
      <x:c r="D1534" s="11" t="n">
        <x:v>34</x:v>
      </x:c>
      <x:c r="E1534" s="14" t="n">
        <x:v>0.029411764705882353</x:v>
      </x:c>
      <x:c r="F1534" s="12" t="n">
        <x:v>2.3235294117647056</x:v>
      </x:c>
      <x:c r="G1534" s="4" t="str">
        <x:v>Sin marca literal</x:v>
      </x:c>
      <x:c r="H1534" s="11"/>
      <x:c r="I1534" s="11" t="str">
        <x:f>IF(H1534="","",C1534-H1534)</x:f>
      </x:c>
      <x:c r="J1534" s="4"/>
      <x:c r="K1534" s="4" t="str">
        <x:v>URLs de detalle page/query/country por clics. No asignan las impresiones de esta consulta a cada página.</x:v>
      </x:c>
    </x:row>
    <x:row r="1535" ht="28" customHeight="1">
      <x:c r="A1535" s="4" t="n">
        <x:v>1525</x:v>
      </x:c>
      <x:c r="B1535" s="4" t="str">
        <x:v>requisitos para ir a brasil desde chile</x:v>
      </x:c>
      <x:c r="C1535" s="11" t="n">
        <x:v>1</x:v>
      </x:c>
      <x:c r="D1535" s="11" t="n">
        <x:v>34</x:v>
      </x:c>
      <x:c r="E1535" s="14" t="n">
        <x:v>0.029411764705882353</x:v>
      </x:c>
      <x:c r="F1535" s="12" t="n">
        <x:v>3.5</x:v>
      </x:c>
      <x:c r="G1535" s="4" t="str">
        <x:v>Sin marca literal</x:v>
      </x:c>
      <x:c r="H1535" s="11"/>
      <x:c r="I1535" s="11" t="str">
        <x:f>IF(H1535="","",C1535-H1535)</x:f>
      </x:c>
      <x:c r="J1535" s="4"/>
      <x:c r="K1535" s="4" t="str">
        <x:v>URLs de detalle page/query/country por clics. No asignan las impresiones de esta consulta a cada página.</x:v>
      </x:c>
    </x:row>
    <x:row r="1536" ht="28" customHeight="1">
      <x:c r="A1536" s="4" t="n">
        <x:v>1526</x:v>
      </x:c>
      <x:c r="B1536" s="4" t="str">
        <x:v>septiembre en chile que estacion es</x:v>
      </x:c>
      <x:c r="C1536" s="11" t="n">
        <x:v>1</x:v>
      </x:c>
      <x:c r="D1536" s="11" t="n">
        <x:v>34</x:v>
      </x:c>
      <x:c r="E1536" s="14" t="n">
        <x:v>0.029411764705882353</x:v>
      </x:c>
      <x:c r="F1536" s="12" t="n">
        <x:v>3.5588235294117645</x:v>
      </x:c>
      <x:c r="G1536" s="4" t="str">
        <x:v>Sin marca literal</x:v>
      </x:c>
      <x:c r="H1536" s="11"/>
      <x:c r="I1536" s="11" t="str">
        <x:f>IF(H1536="","",C1536-H1536)</x:f>
      </x:c>
      <x:c r="J1536" s="4"/>
      <x:c r="K1536" s="4" t="str">
        <x:v>URLs de detalle page/query/country por clics. No asignan las impresiones de esta consulta a cada página.</x:v>
      </x:c>
    </x:row>
    <x:row r="1537" ht="28" customHeight="1">
      <x:c r="A1537" s="4" t="n">
        <x:v>1527</x:v>
      </x:c>
      <x:c r="B1537" s="4" t="str">
        <x:v>vacuna fiebre amarilla para viajar a brasil</x:v>
      </x:c>
      <x:c r="C1537" s="11" t="n">
        <x:v>1</x:v>
      </x:c>
      <x:c r="D1537" s="11" t="n">
        <x:v>34</x:v>
      </x:c>
      <x:c r="E1537" s="14" t="n">
        <x:v>0.029411764705882353</x:v>
      </x:c>
      <x:c r="F1537" s="12" t="n">
        <x:v>9.676470588235293</x:v>
      </x:c>
      <x:c r="G1537" s="4" t="str">
        <x:v>Sin marca literal</x:v>
      </x:c>
      <x:c r="H1537" s="11"/>
      <x:c r="I1537" s="11" t="str">
        <x:f>IF(H1537="","",C1537-H1537)</x:f>
      </x:c>
      <x:c r="J1537" s="4"/>
      <x:c r="K1537" s="4" t="str">
        <x:v>URLs de detalle page/query/country por clics. No asignan las impresiones de esta consulta a cada página.</x:v>
      </x:c>
    </x:row>
    <x:row r="1538" ht="28" customHeight="1">
      <x:c r="A1538" s="4" t="n">
        <x:v>1528</x:v>
      </x:c>
      <x:c r="B1538" s="4" t="str">
        <x:v>vuelo nacional</x:v>
      </x:c>
      <x:c r="C1538" s="11" t="n">
        <x:v>1</x:v>
      </x:c>
      <x:c r="D1538" s="11" t="n">
        <x:v>34</x:v>
      </x:c>
      <x:c r="E1538" s="14" t="n">
        <x:v>0.029411764705882353</x:v>
      </x:c>
      <x:c r="F1538" s="12" t="n">
        <x:v>3.4411764705882355</x:v>
      </x:c>
      <x:c r="G1538" s="4" t="str">
        <x:v>Sin marca literal</x:v>
      </x:c>
      <x:c r="H1538" s="11"/>
      <x:c r="I1538" s="11" t="str">
        <x:f>IF(H1538="","",C1538-H1538)</x:f>
      </x:c>
      <x:c r="J1538" s="4"/>
      <x:c r="K1538" s="4" t="str">
        <x:v>URLs de detalle page/query/country por clics. No asignan las impresiones de esta consulta a cada página.</x:v>
      </x:c>
    </x:row>
    <x:row r="1539" ht="28" customHeight="1">
      <x:c r="A1539" s="4" t="n">
        <x:v>1529</x:v>
      </x:c>
      <x:c r="B1539" s="4" t="str">
        <x:v>azafata chile</x:v>
      </x:c>
      <x:c r="C1539" s="11" t="n">
        <x:v>1</x:v>
      </x:c>
      <x:c r="D1539" s="11" t="n">
        <x:v>33</x:v>
      </x:c>
      <x:c r="E1539" s="14" t="n">
        <x:v>0.030303030303030304</x:v>
      </x:c>
      <x:c r="F1539" s="12" t="n">
        <x:v>11.878787878787879</x:v>
      </x:c>
      <x:c r="G1539" s="4" t="str">
        <x:v>Sin marca literal</x:v>
      </x:c>
      <x:c r="H1539" s="11"/>
      <x:c r="I1539" s="11" t="str">
        <x:f>IF(H1539="","",C1539-H1539)</x:f>
      </x:c>
      <x:c r="J1539" s="4"/>
      <x:c r="K1539" s="4" t="str">
        <x:v>URLs de detalle page/query/country por clics. No asignan las impresiones de esta consulta a cada página.</x:v>
      </x:c>
    </x:row>
    <x:row r="1540" ht="28" customHeight="1">
      <x:c r="A1540" s="4" t="n">
        <x:v>1530</x:v>
      </x:c>
      <x:c r="B1540" s="4" t="str">
        <x:v>bolso mano sky medidas</x:v>
      </x:c>
      <x:c r="C1540" s="11" t="n">
        <x:v>1</x:v>
      </x:c>
      <x:c r="D1540" s="11" t="n">
        <x:v>33</x:v>
      </x:c>
      <x:c r="E1540" s="14" t="n">
        <x:v>0.030303030303030304</x:v>
      </x:c>
      <x:c r="F1540" s="12" t="n">
        <x:v>2.4242424242424243</x:v>
      </x:c>
      <x:c r="G1540" s="4" t="str">
        <x:v>Sin marca literal</x:v>
      </x:c>
      <x:c r="H1540" s="11"/>
      <x:c r="I1540" s="11" t="str">
        <x:f>IF(H1540="","",C1540-H1540)</x:f>
      </x:c>
      <x:c r="J1540" s="4"/>
      <x:c r="K1540" s="4" t="str">
        <x:v>URLs de detalle page/query/country por clics. No asignan las impresiones de esta consulta a cada página.</x:v>
      </x:c>
    </x:row>
    <x:row r="1541" ht="28" customHeight="1">
      <x:c r="A1541" s="4" t="n">
        <x:v>1531</x:v>
      </x:c>
      <x:c r="B1541" s="4" t="str">
        <x:v>comida típica de rio de janeiro</x:v>
      </x:c>
      <x:c r="C1541" s="11" t="n">
        <x:v>1</x:v>
      </x:c>
      <x:c r="D1541" s="11" t="n">
        <x:v>33</x:v>
      </x:c>
      <x:c r="E1541" s="14" t="n">
        <x:v>0.030303030303030304</x:v>
      </x:c>
      <x:c r="F1541" s="12" t="n">
        <x:v>5</x:v>
      </x:c>
      <x:c r="G1541" s="4" t="str">
        <x:v>Sin marca literal</x:v>
      </x:c>
      <x:c r="H1541" s="11"/>
      <x:c r="I1541" s="11" t="str">
        <x:f>IF(H1541="","",C1541-H1541)</x:f>
      </x:c>
      <x:c r="J1541" s="4"/>
      <x:c r="K1541" s="4" t="str">
        <x:v>URLs de detalle page/query/country por clics. No asignan las impresiones de esta consulta a cada página.</x:v>
      </x:c>
    </x:row>
    <x:row r="1542" ht="28" customHeight="1">
      <x:c r="A1542" s="4" t="n">
        <x:v>1532</x:v>
      </x:c>
      <x:c r="B1542" s="4" t="str">
        <x:v>cuanto es de puerto montt a puerto varas</x:v>
      </x:c>
      <x:c r="C1542" s="11" t="n">
        <x:v>1</x:v>
      </x:c>
      <x:c r="D1542" s="11" t="n">
        <x:v>33</x:v>
      </x:c>
      <x:c r="E1542" s="14" t="n">
        <x:v>0.030303030303030304</x:v>
      </x:c>
      <x:c r="F1542" s="12" t="n">
        <x:v>7.454545454545454</x:v>
      </x:c>
      <x:c r="G1542" s="4" t="str">
        <x:v>Sin marca literal</x:v>
      </x:c>
      <x:c r="H1542" s="11"/>
      <x:c r="I1542" s="11" t="str">
        <x:f>IF(H1542="","",C1542-H1542)</x:f>
      </x:c>
      <x:c r="J1542" s="4"/>
      <x:c r="K1542" s="4" t="str">
        <x:v>URLs de detalle page/query/country por clics. No asignan las impresiones de esta consulta a cada página.</x:v>
      </x:c>
    </x:row>
    <x:row r="1543" ht="28" customHeight="1">
      <x:c r="A1543" s="4" t="n">
        <x:v>1533</x:v>
      </x:c>
      <x:c r="B1543" s="4" t="str">
        <x:v>cuantos aeropuerto hay en buenos aires</x:v>
      </x:c>
      <x:c r="C1543" s="11" t="n">
        <x:v>1</x:v>
      </x:c>
      <x:c r="D1543" s="11" t="n">
        <x:v>33</x:v>
      </x:c>
      <x:c r="E1543" s="14" t="n">
        <x:v>0.030303030303030304</x:v>
      </x:c>
      <x:c r="F1543" s="12" t="n">
        <x:v>3.696969696969697</x:v>
      </x:c>
      <x:c r="G1543" s="4" t="str">
        <x:v>Sin marca literal</x:v>
      </x:c>
      <x:c r="H1543" s="11"/>
      <x:c r="I1543" s="11" t="str">
        <x:f>IF(H1543="","",C1543-H1543)</x:f>
      </x:c>
      <x:c r="J1543" s="4"/>
      <x:c r="K1543" s="4" t="str">
        <x:v>URLs de detalle page/query/country por clics. No asignan las impresiones de esta consulta a cada página.</x:v>
      </x:c>
    </x:row>
    <x:row r="1544" ht="28" customHeight="1">
      <x:c r="A1544" s="4" t="n">
        <x:v>1534</x:v>
      </x:c>
      <x:c r="B1544" s="4" t="str">
        <x:v>cuantos ml permiten en el avion</x:v>
      </x:c>
      <x:c r="C1544" s="11" t="n">
        <x:v>1</x:v>
      </x:c>
      <x:c r="D1544" s="11" t="n">
        <x:v>33</x:v>
      </x:c>
      <x:c r="E1544" s="14" t="n">
        <x:v>0.030303030303030304</x:v>
      </x:c>
      <x:c r="F1544" s="12" t="n">
        <x:v>4.878787878787879</x:v>
      </x:c>
      <x:c r="G1544" s="4" t="str">
        <x:v>Sin marca literal</x:v>
      </x:c>
      <x:c r="H1544" s="11"/>
      <x:c r="I1544" s="11" t="str">
        <x:f>IF(H1544="","",C1544-H1544)</x:f>
      </x:c>
      <x:c r="J1544" s="4"/>
      <x:c r="K1544" s="4" t="str">
        <x:v>URLs de detalle page/query/country por clics. No asignan las impresiones de esta consulta a cada página.</x:v>
      </x:c>
    </x:row>
    <x:row r="1545" ht="28" customHeight="1">
      <x:c r="A1545" s="4" t="n">
        <x:v>1535</x:v>
      </x:c>
      <x:c r="B1545" s="4" t="str">
        <x:v>direccion estadio nacional</x:v>
      </x:c>
      <x:c r="C1545" s="11" t="n">
        <x:v>1</x:v>
      </x:c>
      <x:c r="D1545" s="11" t="n">
        <x:v>33</x:v>
      </x:c>
      <x:c r="E1545" s="14" t="n">
        <x:v>0.030303030303030304</x:v>
      </x:c>
      <x:c r="F1545" s="12" t="n">
        <x:v>1</x:v>
      </x:c>
      <x:c r="G1545" s="4" t="str">
        <x:v>Sin marca literal</x:v>
      </x:c>
      <x:c r="H1545" s="11"/>
      <x:c r="I1545" s="11" t="str">
        <x:f>IF(H1545="","",C1545-H1545)</x:f>
      </x:c>
      <x:c r="J1545" s="4"/>
      <x:c r="K1545" s="4" t="str">
        <x:v>URLs de detalle page/query/country por clics. No asignan las impresiones de esta consulta a cada página.</x:v>
      </x:c>
    </x:row>
    <x:row r="1546" ht="28" customHeight="1">
      <x:c r="A1546" s="4" t="n">
        <x:v>1536</x:v>
      </x:c>
      <x:c r="B1546" s="4" t="str">
        <x:v>documentos para viajar a argentina</x:v>
      </x:c>
      <x:c r="C1546" s="11" t="n">
        <x:v>1</x:v>
      </x:c>
      <x:c r="D1546" s="11" t="n">
        <x:v>33</x:v>
      </x:c>
      <x:c r="E1546" s="14" t="n">
        <x:v>0.030303030303030304</x:v>
      </x:c>
      <x:c r="F1546" s="12" t="n">
        <x:v>7.606060606060606</x:v>
      </x:c>
      <x:c r="G1546" s="4" t="str">
        <x:v>Sin marca literal</x:v>
      </x:c>
      <x:c r="H1546" s="11"/>
      <x:c r="I1546" s="11" t="str">
        <x:f>IF(H1546="","",C1546-H1546)</x:f>
      </x:c>
      <x:c r="J1546" s="4"/>
      <x:c r="K1546" s="4" t="str">
        <x:v>URLs de detalle page/query/country por clics. No asignan las impresiones de esta consulta a cada página.</x:v>
      </x:c>
    </x:row>
    <x:row r="1547" ht="28" customHeight="1">
      <x:c r="A1547" s="4" t="n">
        <x:v>1537</x:v>
      </x:c>
      <x:c r="B1547" s="4" t="str">
        <x:v>florianópolis brasil</x:v>
      </x:c>
      <x:c r="C1547" s="11" t="n">
        <x:v>1</x:v>
      </x:c>
      <x:c r="D1547" s="11" t="n">
        <x:v>33</x:v>
      </x:c>
      <x:c r="E1547" s="14" t="n">
        <x:v>0.030303030303030304</x:v>
      </x:c>
      <x:c r="F1547" s="12" t="n">
        <x:v>17.727272727272727</x:v>
      </x:c>
      <x:c r="G1547" s="4" t="str">
        <x:v>Sin marca literal</x:v>
      </x:c>
      <x:c r="H1547" s="11"/>
      <x:c r="I1547" s="11" t="str">
        <x:f>IF(H1547="","",C1547-H1547)</x:f>
      </x:c>
      <x:c r="J1547" s="4"/>
      <x:c r="K1547" s="4" t="str">
        <x:v>URLs de detalle page/query/country por clics. No asignan las impresiones de esta consulta a cada página.</x:v>
      </x:c>
    </x:row>
    <x:row r="1548" ht="28" customHeight="1">
      <x:c r="A1548" s="4" t="n">
        <x:v>1538</x:v>
      </x:c>
      <x:c r="B1548" s="4" t="str">
        <x:v>frutas de chile y sus nombres</x:v>
      </x:c>
      <x:c r="C1548" s="11" t="n">
        <x:v>1</x:v>
      </x:c>
      <x:c r="D1548" s="11" t="n">
        <x:v>33</x:v>
      </x:c>
      <x:c r="E1548" s="14" t="n">
        <x:v>0.030303030303030304</x:v>
      </x:c>
      <x:c r="F1548" s="12" t="n">
        <x:v>8.666666666666668</x:v>
      </x:c>
      <x:c r="G1548" s="4" t="str">
        <x:v>Sin marca literal</x:v>
      </x:c>
      <x:c r="H1548" s="11"/>
      <x:c r="I1548" s="11" t="str">
        <x:f>IF(H1548="","",C1548-H1548)</x:f>
      </x:c>
      <x:c r="J1548" s="4"/>
      <x:c r="K1548" s="4" t="str">
        <x:v>URLs de detalle page/query/country por clics. No asignan las impresiones de esta consulta a cada página.</x:v>
      </x:c>
    </x:row>
    <x:row r="1549" ht="28" customHeight="1">
      <x:c r="A1549" s="4" t="n">
        <x:v>1539</x:v>
      </x:c>
      <x:c r="B1549" s="4" t="str">
        <x:v>mocopulli</x:v>
      </x:c>
      <x:c r="C1549" s="11" t="n">
        <x:v>1</x:v>
      </x:c>
      <x:c r="D1549" s="11" t="n">
        <x:v>33</x:v>
      </x:c>
      <x:c r="E1549" s="14" t="n">
        <x:v>0.030303030303030304</x:v>
      </x:c>
      <x:c r="F1549" s="12" t="n">
        <x:v>8.818181818181818</x:v>
      </x:c>
      <x:c r="G1549" s="4" t="str">
        <x:v>Sin marca literal</x:v>
      </x:c>
      <x:c r="H1549" s="11"/>
      <x:c r="I1549" s="11" t="str">
        <x:f>IF(H1549="","",C1549-H1549)</x:f>
      </x:c>
      <x:c r="J1549" s="4"/>
      <x:c r="K1549" s="4" t="str">
        <x:v>URLs de detalle page/query/country por clics. No asignan las impresiones de esta consulta a cada página.</x:v>
      </x:c>
    </x:row>
    <x:row r="1550" ht="28" customHeight="1">
      <x:c r="A1550" s="4" t="n">
        <x:v>1540</x:v>
      </x:c>
      <x:c r="B1550" s="4" t="str">
        <x:v>museos en iquique</x:v>
      </x:c>
      <x:c r="C1550" s="11" t="n">
        <x:v>1</x:v>
      </x:c>
      <x:c r="D1550" s="11" t="n">
        <x:v>33</x:v>
      </x:c>
      <x:c r="E1550" s="14" t="n">
        <x:v>0.030303030303030304</x:v>
      </x:c>
      <x:c r="F1550" s="12" t="n">
        <x:v>9.424242424242424</x:v>
      </x:c>
      <x:c r="G1550" s="4" t="str">
        <x:v>Sin marca literal</x:v>
      </x:c>
      <x:c r="H1550" s="11"/>
      <x:c r="I1550" s="11" t="str">
        <x:f>IF(H1550="","",C1550-H1550)</x:f>
      </x:c>
      <x:c r="J1550" s="4"/>
      <x:c r="K1550" s="4" t="str">
        <x:v>URLs de detalle page/query/country por clics. No asignan las impresiones de esta consulta a cada página.</x:v>
      </x:c>
    </x:row>
    <x:row r="1551" ht="28" customHeight="1">
      <x:c r="A1551" s="4" t="n">
        <x:v>1541</x:v>
      </x:c>
      <x:c r="B1551" s="4" t="str">
        <x:v>que es bitacora de viaje</x:v>
      </x:c>
      <x:c r="C1551" s="11" t="n">
        <x:v>1</x:v>
      </x:c>
      <x:c r="D1551" s="11" t="n">
        <x:v>33</x:v>
      </x:c>
      <x:c r="E1551" s="14" t="n">
        <x:v>0.030303030303030304</x:v>
      </x:c>
      <x:c r="F1551" s="12" t="n">
        <x:v>4.272727272727273</x:v>
      </x:c>
      <x:c r="G1551" s="4" t="str">
        <x:v>Sin marca literal</x:v>
      </x:c>
      <x:c r="H1551" s="11"/>
      <x:c r="I1551" s="11" t="str">
        <x:f>IF(H1551="","",C1551-H1551)</x:f>
      </x:c>
      <x:c r="J1551" s="4"/>
      <x:c r="K1551" s="4" t="str">
        <x:v>URLs de detalle page/query/country por clics. No asignan las impresiones de esta consulta a cada página.</x:v>
      </x:c>
    </x:row>
    <x:row r="1552" ht="28" customHeight="1">
      <x:c r="A1552" s="4" t="n">
        <x:v>1542</x:v>
      </x:c>
      <x:c r="B1552" s="4" t="str">
        <x:v>sky puerta de embarque</x:v>
      </x:c>
      <x:c r="C1552" s="11" t="n">
        <x:v>1</x:v>
      </x:c>
      <x:c r="D1552" s="11" t="n">
        <x:v>33</x:v>
      </x:c>
      <x:c r="E1552" s="14" t="n">
        <x:v>0.030303030303030304</x:v>
      </x:c>
      <x:c r="F1552" s="12" t="n">
        <x:v>8.454545454545453</x:v>
      </x:c>
      <x:c r="G1552" s="4" t="str">
        <x:v>Sin marca literal</x:v>
      </x:c>
      <x:c r="H1552" s="11"/>
      <x:c r="I1552" s="11" t="str">
        <x:f>IF(H1552="","",C1552-H1552)</x:f>
      </x:c>
      <x:c r="J1552" s="4"/>
      <x:c r="K1552" s="4" t="str">
        <x:v>URLs de detalle page/query/country por clics. No asignan las impresiones de esta consulta a cada página.</x:v>
      </x:c>
    </x:row>
    <x:row r="1553" ht="28" customHeight="1">
      <x:c r="A1553" s="4" t="n">
        <x:v>1543</x:v>
      </x:c>
      <x:c r="B1553" s="4" t="str">
        <x:v>tarifa max flex sky</x:v>
      </x:c>
      <x:c r="C1553" s="11" t="n">
        <x:v>1</x:v>
      </x:c>
      <x:c r="D1553" s="11" t="n">
        <x:v>33</x:v>
      </x:c>
      <x:c r="E1553" s="14" t="n">
        <x:v>0.030303030303030304</x:v>
      </x:c>
      <x:c r="F1553" s="12" t="n">
        <x:v>6.878787878787879</x:v>
      </x:c>
      <x:c r="G1553" s="4" t="str">
        <x:v>Sin marca literal</x:v>
      </x:c>
      <x:c r="H1553" s="11"/>
      <x:c r="I1553" s="11" t="str">
        <x:f>IF(H1553="","",C1553-H1553)</x:f>
      </x:c>
      <x:c r="J1553" s="4"/>
      <x:c r="K1553" s="4" t="str">
        <x:v>URLs de detalle page/query/country por clics. No asignan las impresiones de esta consulta a cada página.</x:v>
      </x:c>
    </x:row>
    <x:row r="1554" ht="28" customHeight="1">
      <x:c r="A1554" s="4" t="n">
        <x:v>1544</x:v>
      </x:c>
      <x:c r="B1554" s="4" t="str">
        <x:v>zona sur de chile clima</x:v>
      </x:c>
      <x:c r="C1554" s="11" t="n">
        <x:v>1</x:v>
      </x:c>
      <x:c r="D1554" s="11" t="n">
        <x:v>33</x:v>
      </x:c>
      <x:c r="E1554" s="14" t="n">
        <x:v>0.030303030303030304</x:v>
      </x:c>
      <x:c r="F1554" s="12" t="n">
        <x:v>9.878787878787879</x:v>
      </x:c>
      <x:c r="G1554" s="4" t="str">
        <x:v>Sin marca literal</x:v>
      </x:c>
      <x:c r="H1554" s="11"/>
      <x:c r="I1554" s="11" t="str">
        <x:f>IF(H1554="","",C1554-H1554)</x:f>
      </x:c>
      <x:c r="J1554" s="4"/>
      <x:c r="K1554" s="4" t="str">
        <x:v>URLs de detalle page/query/country por clics. No asignan las impresiones de esta consulta a cada página.</x:v>
      </x:c>
    </x:row>
    <x:row r="1555" ht="28" customHeight="1">
      <x:c r="A1555" s="4" t="n">
        <x:v>1545</x:v>
      </x:c>
      <x:c r="B1555" s="4" t="str">
        <x:v>10 lugares turísticos de américa</x:v>
      </x:c>
      <x:c r="C1555" s="11" t="n">
        <x:v>1</x:v>
      </x:c>
      <x:c r="D1555" s="11" t="n">
        <x:v>32</x:v>
      </x:c>
      <x:c r="E1555" s="14" t="n">
        <x:v>0.03125</x:v>
      </x:c>
      <x:c r="F1555" s="12" t="n">
        <x:v>3.59375</x:v>
      </x:c>
      <x:c r="G1555" s="4" t="str">
        <x:v>Sin marca literal</x:v>
      </x:c>
      <x:c r="H1555" s="11"/>
      <x:c r="I1555" s="11" t="str">
        <x:f>IF(H1555="","",C1555-H1555)</x:f>
      </x:c>
      <x:c r="J1555" s="4"/>
      <x:c r="K1555" s="4" t="str">
        <x:v>URLs de detalle page/query/country por clics. No asignan las impresiones de esta consulta a cada página.</x:v>
      </x:c>
    </x:row>
    <x:row r="1556" ht="28" customHeight="1">
      <x:c r="A1556" s="4" t="n">
        <x:v>1546</x:v>
      </x:c>
      <x:c r="B1556" s="4" t="str">
        <x:v>aeropuerto mas cercano a huilo huilo</x:v>
      </x:c>
      <x:c r="C1556" s="11" t="n">
        <x:v>1</x:v>
      </x:c>
      <x:c r="D1556" s="11" t="n">
        <x:v>32</x:v>
      </x:c>
      <x:c r="E1556" s="14" t="n">
        <x:v>0.03125</x:v>
      </x:c>
      <x:c r="F1556" s="12" t="n">
        <x:v>4</x:v>
      </x:c>
      <x:c r="G1556" s="4" t="str">
        <x:v>Sin marca literal</x:v>
      </x:c>
      <x:c r="H1556" s="11"/>
      <x:c r="I1556" s="11" t="str">
        <x:f>IF(H1556="","",C1556-H1556)</x:f>
      </x:c>
      <x:c r="J1556" s="4"/>
      <x:c r="K1556" s="4" t="str">
        <x:v>URLs de detalle page/query/country por clics. No asignan las impresiones de esta consulta a cada página.</x:v>
      </x:c>
    </x:row>
    <x:row r="1557" ht="28" customHeight="1">
      <x:c r="A1557" s="4" t="n">
        <x:v>1547</x:v>
      </x:c>
      <x:c r="B1557" s="4" t="str">
        <x:v>aviones sky airlines por dentro</x:v>
      </x:c>
      <x:c r="C1557" s="11" t="n">
        <x:v>1</x:v>
      </x:c>
      <x:c r="D1557" s="11" t="n">
        <x:v>32</x:v>
      </x:c>
      <x:c r="E1557" s="14" t="n">
        <x:v>0.03125</x:v>
      </x:c>
      <x:c r="F1557" s="12" t="n">
        <x:v>2.03125</x:v>
      </x:c>
      <x:c r="G1557" s="4" t="str">
        <x:v>Sin marca literal</x:v>
      </x:c>
      <x:c r="H1557" s="11"/>
      <x:c r="I1557" s="11" t="str">
        <x:f>IF(H1557="","",C1557-H1557)</x:f>
      </x:c>
      <x:c r="J1557" s="4"/>
      <x:c r="K1557" s="4" t="str">
        <x:v>URLs de detalle page/query/country por clics. No asignan las impresiones de esta consulta a cada página.</x:v>
      </x:c>
    </x:row>
    <x:row r="1558" ht="28" customHeight="1">
      <x:c r="A1558" s="4" t="n">
        <x:v>1548</x:v>
      </x:c>
      <x:c r="B1558" s="4" t="str">
        <x:v>baile nacional peruano</x:v>
      </x:c>
      <x:c r="C1558" s="11" t="n">
        <x:v>1</x:v>
      </x:c>
      <x:c r="D1558" s="11" t="n">
        <x:v>32</x:v>
      </x:c>
      <x:c r="E1558" s="14" t="n">
        <x:v>0.03125</x:v>
      </x:c>
      <x:c r="F1558" s="12" t="n">
        <x:v>2.5</x:v>
      </x:c>
      <x:c r="G1558" s="4" t="str">
        <x:v>Sin marca literal</x:v>
      </x:c>
      <x:c r="H1558" s="11"/>
      <x:c r="I1558" s="11" t="str">
        <x:f>IF(H1558="","",C1558-H1558)</x:f>
      </x:c>
      <x:c r="J1558" s="4"/>
      <x:c r="K1558" s="4" t="str">
        <x:v>URLs de detalle page/query/country por clics. No asignan las impresiones de esta consulta a cada página.</x:v>
      </x:c>
    </x:row>
    <x:row r="1559" ht="28" customHeight="1">
      <x:c r="A1559" s="4" t="n">
        <x:v>1549</x:v>
      </x:c>
      <x:c r="B1559" s="4" t="str">
        <x:v>bailes que se bailan en chile</x:v>
      </x:c>
      <x:c r="C1559" s="11" t="n">
        <x:v>1</x:v>
      </x:c>
      <x:c r="D1559" s="11" t="n">
        <x:v>32</x:v>
      </x:c>
      <x:c r="E1559" s="14" t="n">
        <x:v>0.03125</x:v>
      </x:c>
      <x:c r="F1559" s="12" t="n">
        <x:v>6.1875</x:v>
      </x:c>
      <x:c r="G1559" s="4" t="str">
        <x:v>Sin marca literal</x:v>
      </x:c>
      <x:c r="H1559" s="11"/>
      <x:c r="I1559" s="11" t="str">
        <x:f>IF(H1559="","",C1559-H1559)</x:f>
      </x:c>
      <x:c r="J1559" s="4"/>
      <x:c r="K1559" s="4" t="str">
        <x:v>URLs de detalle page/query/country por clics. No asignan las impresiones de esta consulta a cada página.</x:v>
      </x:c>
    </x:row>
    <x:row r="1560" ht="28" customHeight="1">
      <x:c r="A1560" s="4" t="n">
        <x:v>1550</x:v>
      </x:c>
      <x:c r="B1560" s="4" t="str">
        <x:v>como ir a pucon desde santiago</x:v>
      </x:c>
      <x:c r="C1560" s="11" t="n">
        <x:v>1</x:v>
      </x:c>
      <x:c r="D1560" s="11" t="n">
        <x:v>32</x:v>
      </x:c>
      <x:c r="E1560" s="14" t="n">
        <x:v>0.03125</x:v>
      </x:c>
      <x:c r="F1560" s="12" t="n">
        <x:v>5.8125</x:v>
      </x:c>
      <x:c r="G1560" s="4" t="str">
        <x:v>Sin marca literal</x:v>
      </x:c>
      <x:c r="H1560" s="11"/>
      <x:c r="I1560" s="11" t="str">
        <x:f>IF(H1560="","",C1560-H1560)</x:f>
      </x:c>
      <x:c r="J1560" s="4"/>
      <x:c r="K1560" s="4" t="str">
        <x:v>URLs de detalle page/query/country por clics. No asignan las impresiones de esta consulta a cada página.</x:v>
      </x:c>
    </x:row>
    <x:row r="1561" ht="28" customHeight="1">
      <x:c r="A1561" s="4" t="n">
        <x:v>1551</x:v>
      </x:c>
      <x:c r="B1561" s="4" t="str">
        <x:v>como ser tripulante de cabina</x:v>
      </x:c>
      <x:c r="C1561" s="11" t="n">
        <x:v>1</x:v>
      </x:c>
      <x:c r="D1561" s="11" t="n">
        <x:v>32</x:v>
      </x:c>
      <x:c r="E1561" s="14" t="n">
        <x:v>0.03125</x:v>
      </x:c>
      <x:c r="F1561" s="12" t="n">
        <x:v>4.6875</x:v>
      </x:c>
      <x:c r="G1561" s="4" t="str">
        <x:v>Sin marca literal</x:v>
      </x:c>
      <x:c r="H1561" s="11"/>
      <x:c r="I1561" s="11" t="str">
        <x:f>IF(H1561="","",C1561-H1561)</x:f>
      </x:c>
      <x:c r="J1561" s="4"/>
      <x:c r="K1561" s="4" t="str">
        <x:v>URLs de detalle page/query/country por clics. No asignan las impresiones de esta consulta a cada página.</x:v>
      </x:c>
    </x:row>
    <x:row r="1562" ht="28" customHeight="1">
      <x:c r="A1562" s="4" t="n">
        <x:v>1552</x:v>
      </x:c>
      <x:c r="B1562" s="4" t="str">
        <x:v>destinos cerca de rio de janeiro</x:v>
      </x:c>
      <x:c r="C1562" s="11" t="n">
        <x:v>1</x:v>
      </x:c>
      <x:c r="D1562" s="11" t="n">
        <x:v>32</x:v>
      </x:c>
      <x:c r="E1562" s="14" t="n">
        <x:v>0.03125</x:v>
      </x:c>
      <x:c r="F1562" s="12" t="n">
        <x:v>4.78125</x:v>
      </x:c>
      <x:c r="G1562" s="4" t="str">
        <x:v>Sin marca literal</x:v>
      </x:c>
      <x:c r="H1562" s="11"/>
      <x:c r="I1562" s="11" t="str">
        <x:f>IF(H1562="","",C1562-H1562)</x:f>
      </x:c>
      <x:c r="J1562" s="4"/>
      <x:c r="K1562" s="4" t="str">
        <x:v>URLs de detalle page/query/country por clics. No asignan las impresiones de esta consulta a cada página.</x:v>
      </x:c>
    </x:row>
    <x:row r="1563" ht="28" customHeight="1">
      <x:c r="A1563" s="4" t="n">
        <x:v>1553</x:v>
      </x:c>
      <x:c r="B1563" s="4" t="str">
        <x:v>donde queda punta sal?</x:v>
      </x:c>
      <x:c r="C1563" s="11" t="n">
        <x:v>1</x:v>
      </x:c>
      <x:c r="D1563" s="11" t="n">
        <x:v>32</x:v>
      </x:c>
      <x:c r="E1563" s="14" t="n">
        <x:v>0.03125</x:v>
      </x:c>
      <x:c r="F1563" s="12" t="n">
        <x:v>4.6875</x:v>
      </x:c>
      <x:c r="G1563" s="4" t="str">
        <x:v>Sin marca literal</x:v>
      </x:c>
      <x:c r="H1563" s="11"/>
      <x:c r="I1563" s="11" t="str">
        <x:f>IF(H1563="","",C1563-H1563)</x:f>
      </x:c>
      <x:c r="J1563" s="4"/>
      <x:c r="K1563" s="4" t="str">
        <x:v>URLs de detalle page/query/country por clics. No asignan las impresiones de esta consulta a cada página.</x:v>
      </x:c>
    </x:row>
    <x:row r="1564" ht="28" customHeight="1">
      <x:c r="A1564" s="4" t="n">
        <x:v>1554</x:v>
      </x:c>
      <x:c r="B1564" s="4" t="str">
        <x:v>portugues brasileño basico</x:v>
      </x:c>
      <x:c r="C1564" s="11" t="n">
        <x:v>1</x:v>
      </x:c>
      <x:c r="D1564" s="11" t="n">
        <x:v>32</x:v>
      </x:c>
      <x:c r="E1564" s="14" t="n">
        <x:v>0.03125</x:v>
      </x:c>
      <x:c r="F1564" s="12" t="n">
        <x:v>12.875</x:v>
      </x:c>
      <x:c r="G1564" s="4" t="str">
        <x:v>Sin marca literal</x:v>
      </x:c>
      <x:c r="H1564" s="11"/>
      <x:c r="I1564" s="11" t="str">
        <x:f>IF(H1564="","",C1564-H1564)</x:f>
      </x:c>
      <x:c r="J1564" s="4"/>
      <x:c r="K1564" s="4" t="str">
        <x:v>URLs de detalle page/query/country por clics. No asignan las impresiones de esta consulta a cada página.</x:v>
      </x:c>
    </x:row>
    <x:row r="1565" ht="28" customHeight="1">
      <x:c r="A1565" s="4" t="n">
        <x:v>1555</x:v>
      </x:c>
      <x:c r="B1565" s="4" t="str">
        <x:v>que conviene comprar en zofri iquique</x:v>
      </x:c>
      <x:c r="C1565" s="11" t="n">
        <x:v>1</x:v>
      </x:c>
      <x:c r="D1565" s="11" t="n">
        <x:v>32</x:v>
      </x:c>
      <x:c r="E1565" s="14" t="n">
        <x:v>0.03125</x:v>
      </x:c>
      <x:c r="F1565" s="12" t="n">
        <x:v>4.09375</x:v>
      </x:c>
      <x:c r="G1565" s="4" t="str">
        <x:v>Sin marca literal</x:v>
      </x:c>
      <x:c r="H1565" s="11"/>
      <x:c r="I1565" s="11" t="str">
        <x:f>IF(H1565="","",C1565-H1565)</x:f>
      </x:c>
      <x:c r="J1565" s="4"/>
      <x:c r="K1565" s="4" t="str">
        <x:v>URLs de detalle page/query/country por clics. No asignan las impresiones de esta consulta a cada página.</x:v>
      </x:c>
    </x:row>
    <x:row r="1566" ht="28" customHeight="1">
      <x:c r="A1566" s="4" t="n">
        <x:v>1556</x:v>
      </x:c>
      <x:c r="B1566" s="4" t="str">
        <x:v>que enchufe usan en brasil</x:v>
      </x:c>
      <x:c r="C1566" s="11" t="n">
        <x:v>1</x:v>
      </x:c>
      <x:c r="D1566" s="11" t="n">
        <x:v>32</x:v>
      </x:c>
      <x:c r="E1566" s="14" t="n">
        <x:v>0.03125</x:v>
      </x:c>
      <x:c r="F1566" s="12" t="n">
        <x:v>5</x:v>
      </x:c>
      <x:c r="G1566" s="4" t="str">
        <x:v>Sin marca literal</x:v>
      </x:c>
      <x:c r="H1566" s="11"/>
      <x:c r="I1566" s="11" t="str">
        <x:f>IF(H1566="","",C1566-H1566)</x:f>
      </x:c>
      <x:c r="J1566" s="4"/>
      <x:c r="K1566" s="4" t="str">
        <x:v>URLs de detalle page/query/country por clics. No asignan las impresiones de esta consulta a cada página.</x:v>
      </x:c>
    </x:row>
    <x:row r="1567" ht="28" customHeight="1">
      <x:c r="A1567" s="4" t="n">
        <x:v>1557</x:v>
      </x:c>
      <x:c r="B1567" s="4" t="str">
        <x:v>que ver en puerto maldonado</x:v>
      </x:c>
      <x:c r="C1567" s="11" t="n">
        <x:v>1</x:v>
      </x:c>
      <x:c r="D1567" s="11" t="n">
        <x:v>32</x:v>
      </x:c>
      <x:c r="E1567" s="14" t="n">
        <x:v>0.03125</x:v>
      </x:c>
      <x:c r="F1567" s="12" t="n">
        <x:v>8.59375</x:v>
      </x:c>
      <x:c r="G1567" s="4" t="str">
        <x:v>Sin marca literal</x:v>
      </x:c>
      <x:c r="H1567" s="11"/>
      <x:c r="I1567" s="11" t="str">
        <x:f>IF(H1567="","",C1567-H1567)</x:f>
      </x:c>
      <x:c r="J1567" s="4"/>
      <x:c r="K1567" s="4" t="str">
        <x:v>URLs de detalle page/query/country por clics. No asignan las impresiones de esta consulta a cada página.</x:v>
      </x:c>
    </x:row>
    <x:row r="1568" ht="28" customHeight="1">
      <x:c r="A1568" s="4" t="n">
        <x:v>1558</x:v>
      </x:c>
      <x:c r="B1568" s="4" t="str">
        <x:v>santiago pucon distancia</x:v>
      </x:c>
      <x:c r="C1568" s="11" t="n">
        <x:v>1</x:v>
      </x:c>
      <x:c r="D1568" s="11" t="n">
        <x:v>32</x:v>
      </x:c>
      <x:c r="E1568" s="14" t="n">
        <x:v>0.03125</x:v>
      </x:c>
      <x:c r="F1568" s="12" t="n">
        <x:v>3.09375</x:v>
      </x:c>
      <x:c r="G1568" s="4" t="str">
        <x:v>Sin marca literal</x:v>
      </x:c>
      <x:c r="H1568" s="11"/>
      <x:c r="I1568" s="11" t="str">
        <x:f>IF(H1568="","",C1568-H1568)</x:f>
      </x:c>
      <x:c r="J1568" s="4"/>
      <x:c r="K1568" s="4" t="str">
        <x:v>URLs de detalle page/query/country por clics. No asignan las impresiones de esta consulta a cada página.</x:v>
      </x:c>
    </x:row>
    <x:row r="1569" ht="28" customHeight="1">
      <x:c r="A1569" s="4" t="n">
        <x:v>1559</x:v>
      </x:c>
      <x:c r="B1569" s="4" t="str">
        <x:v>sky plis</x:v>
      </x:c>
      <x:c r="C1569" s="11" t="n">
        <x:v>1</x:v>
      </x:c>
      <x:c r="D1569" s="11" t="n">
        <x:v>32</x:v>
      </x:c>
      <x:c r="E1569" s="14" t="n">
        <x:v>0.03125</x:v>
      </x:c>
      <x:c r="F1569" s="12" t="n">
        <x:v>5.03125</x:v>
      </x:c>
      <x:c r="G1569" s="4" t="str">
        <x:v>Sin marca literal</x:v>
      </x:c>
      <x:c r="H1569" s="11"/>
      <x:c r="I1569" s="11" t="str">
        <x:f>IF(H1569="","",C1569-H1569)</x:f>
      </x:c>
      <x:c r="J1569" s="4"/>
      <x:c r="K1569" s="4" t="str">
        <x:v>URLs de detalle page/query/country por clics. No asignan las impresiones de esta consulta a cada página.</x:v>
      </x:c>
    </x:row>
    <x:row r="1570" ht="28" customHeight="1">
      <x:c r="A1570" s="4" t="n">
        <x:v>1560</x:v>
      </x:c>
      <x:c r="B1570" s="4" t="str">
        <x:v>sky plus banco de chile</x:v>
      </x:c>
      <x:c r="C1570" s="11" t="n">
        <x:v>1</x:v>
      </x:c>
      <x:c r="D1570" s="11" t="n">
        <x:v>32</x:v>
      </x:c>
      <x:c r="E1570" s="14" t="n">
        <x:v>0.03125</x:v>
      </x:c>
      <x:c r="F1570" s="12" t="n">
        <x:v>11.28125</x:v>
      </x:c>
      <x:c r="G1570" s="4" t="str">
        <x:v>Sin marca literal</x:v>
      </x:c>
      <x:c r="H1570" s="11"/>
      <x:c r="I1570" s="11" t="str">
        <x:f>IF(H1570="","",C1570-H1570)</x:f>
      </x:c>
      <x:c r="J1570" s="4"/>
      <x:c r="K1570" s="4" t="str">
        <x:v>URLs de detalle page/query/country por clics. No asignan las impresiones de esta consulta a cada página.</x:v>
      </x:c>
    </x:row>
    <x:row r="1571" ht="28" customHeight="1">
      <x:c r="A1571" s="4" t="n">
        <x:v>1561</x:v>
      </x:c>
      <x:c r="B1571" s="4" t="str">
        <x:v>tarifa zero sky</x:v>
      </x:c>
      <x:c r="C1571" s="11" t="n">
        <x:v>1</x:v>
      </x:c>
      <x:c r="D1571" s="11" t="n">
        <x:v>32</x:v>
      </x:c>
      <x:c r="E1571" s="14" t="n">
        <x:v>0.03125</x:v>
      </x:c>
      <x:c r="F1571" s="12" t="n">
        <x:v>5.34375</x:v>
      </x:c>
      <x:c r="G1571" s="4" t="str">
        <x:v>Sin marca literal</x:v>
      </x:c>
      <x:c r="H1571" s="11"/>
      <x:c r="I1571" s="11" t="str">
        <x:f>IF(H1571="","",C1571-H1571)</x:f>
      </x:c>
      <x:c r="J1571" s="4"/>
      <x:c r="K1571" s="4" t="str">
        <x:v>URLs de detalle page/query/country por clics. No asignan las impresiones de esta consulta a cada página.</x:v>
      </x:c>
    </x:row>
    <x:row r="1572" ht="28" customHeight="1">
      <x:c r="A1572" s="4" t="n">
        <x:v>1562</x:v>
      </x:c>
      <x:c r="B1572" s="4" t="str">
        <x:v>vacuna fiebre amarilla brasil</x:v>
      </x:c>
      <x:c r="C1572" s="11" t="n">
        <x:v>1</x:v>
      </x:c>
      <x:c r="D1572" s="11" t="n">
        <x:v>32</x:v>
      </x:c>
      <x:c r="E1572" s="14" t="n">
        <x:v>0.03125</x:v>
      </x:c>
      <x:c r="F1572" s="12" t="n">
        <x:v>10.0625</x:v>
      </x:c>
      <x:c r="G1572" s="4" t="str">
        <x:v>Sin marca literal</x:v>
      </x:c>
      <x:c r="H1572" s="11"/>
      <x:c r="I1572" s="11" t="str">
        <x:f>IF(H1572="","",C1572-H1572)</x:f>
      </x:c>
      <x:c r="J1572" s="4"/>
      <x:c r="K1572" s="4" t="str">
        <x:v>URLs de detalle page/query/country por clics. No asignan las impresiones de esta consulta a cada página.</x:v>
      </x:c>
    </x:row>
    <x:row r="1573" ht="28" customHeight="1">
      <x:c r="A1573" s="4" t="n">
        <x:v>1563</x:v>
      </x:c>
      <x:c r="B1573" s="4" t="str">
        <x:v>auroras chile</x:v>
      </x:c>
      <x:c r="C1573" s="11" t="n">
        <x:v>1</x:v>
      </x:c>
      <x:c r="D1573" s="11" t="n">
        <x:v>31</x:v>
      </x:c>
      <x:c r="E1573" s="14" t="n">
        <x:v>0.03225806451612903</x:v>
      </x:c>
      <x:c r="F1573" s="12" t="n">
        <x:v>7.225806451612903</x:v>
      </x:c>
      <x:c r="G1573" s="4" t="str">
        <x:v>Sin marca literal</x:v>
      </x:c>
      <x:c r="H1573" s="11"/>
      <x:c r="I1573" s="11" t="str">
        <x:f>IF(H1573="","",C1573-H1573)</x:f>
      </x:c>
      <x:c r="J1573" s="4"/>
      <x:c r="K1573" s="4" t="str">
        <x:v>URLs de detalle page/query/country por clics. No asignan las impresiones de esta consulta a cada página.</x:v>
      </x:c>
    </x:row>
    <x:row r="1574" ht="28" customHeight="1">
      <x:c r="A1574" s="4" t="n">
        <x:v>1564</x:v>
      </x:c>
      <x:c r="B1574" s="4" t="str">
        <x:v>bosques del sur</x:v>
      </x:c>
      <x:c r="C1574" s="11" t="n">
        <x:v>1</x:v>
      </x:c>
      <x:c r="D1574" s="11" t="n">
        <x:v>31</x:v>
      </x:c>
      <x:c r="E1574" s="14" t="n">
        <x:v>0.03225806451612903</x:v>
      </x:c>
      <x:c r="F1574" s="12" t="n">
        <x:v>3.806451612903226</x:v>
      </x:c>
      <x:c r="G1574" s="4" t="str">
        <x:v>Sin marca literal</x:v>
      </x:c>
      <x:c r="H1574" s="11"/>
      <x:c r="I1574" s="11" t="str">
        <x:f>IF(H1574="","",C1574-H1574)</x:f>
      </x:c>
      <x:c r="J1574" s="4"/>
      <x:c r="K1574" s="4" t="str">
        <x:v>URLs de detalle page/query/country por clics. No asignan las impresiones de esta consulta a cada página.</x:v>
      </x:c>
    </x:row>
    <x:row r="1575" ht="28" customHeight="1">
      <x:c r="A1575" s="4" t="n">
        <x:v>1565</x:v>
      </x:c>
      <x:c r="B1575" s="4" t="str">
        <x:v>cambio de vuelo sky chile</x:v>
      </x:c>
      <x:c r="C1575" s="11" t="n">
        <x:v>1</x:v>
      </x:c>
      <x:c r="D1575" s="11" t="n">
        <x:v>31</x:v>
      </x:c>
      <x:c r="E1575" s="14" t="n">
        <x:v>0.03225806451612903</x:v>
      </x:c>
      <x:c r="F1575" s="12" t="n">
        <x:v>4.64516129032258</x:v>
      </x:c>
      <x:c r="G1575" s="4" t="str">
        <x:v>Sin marca literal</x:v>
      </x:c>
      <x:c r="H1575" s="11"/>
      <x:c r="I1575" s="11" t="str">
        <x:f>IF(H1575="","",C1575-H1575)</x:f>
      </x:c>
      <x:c r="J1575" s="4"/>
      <x:c r="K1575" s="4" t="str">
        <x:v>URLs de detalle page/query/country por clics. No asignan las impresiones de esta consulta a cada página.</x:v>
      </x:c>
    </x:row>
    <x:row r="1576" ht="28" customHeight="1">
      <x:c r="A1576" s="4" t="n">
        <x:v>1566</x:v>
      </x:c>
      <x:c r="B1576" s="4" t="str">
        <x:v>como llegar a terminal sur santiago</x:v>
      </x:c>
      <x:c r="C1576" s="11" t="n">
        <x:v>1</x:v>
      </x:c>
      <x:c r="D1576" s="11" t="n">
        <x:v>31</x:v>
      </x:c>
      <x:c r="E1576" s="14" t="n">
        <x:v>0.03225806451612903</x:v>
      </x:c>
      <x:c r="F1576" s="12" t="n">
        <x:v>6.67741935483871</x:v>
      </x:c>
      <x:c r="G1576" s="4" t="str">
        <x:v>Sin marca literal</x:v>
      </x:c>
      <x:c r="H1576" s="11"/>
      <x:c r="I1576" s="11" t="str">
        <x:f>IF(H1576="","",C1576-H1576)</x:f>
      </x:c>
      <x:c r="J1576" s="4"/>
      <x:c r="K1576" s="4" t="str">
        <x:v>URLs de detalle page/query/country por clics. No asignan las impresiones de esta consulta a cada página.</x:v>
      </x:c>
    </x:row>
    <x:row r="1577" ht="28" customHeight="1">
      <x:c r="A1577" s="4" t="n">
        <x:v>1567</x:v>
      </x:c>
      <x:c r="B1577" s="4" t="str">
        <x:v>cuantas horas son de punta cana a santo domingo</x:v>
      </x:c>
      <x:c r="C1577" s="11" t="n">
        <x:v>1</x:v>
      </x:c>
      <x:c r="D1577" s="11" t="n">
        <x:v>31</x:v>
      </x:c>
      <x:c r="E1577" s="14" t="n">
        <x:v>0.03225806451612903</x:v>
      </x:c>
      <x:c r="F1577" s="12" t="n">
        <x:v>5.258064516129032</x:v>
      </x:c>
      <x:c r="G1577" s="4" t="str">
        <x:v>Sin marca literal</x:v>
      </x:c>
      <x:c r="H1577" s="11"/>
      <x:c r="I1577" s="11" t="str">
        <x:f>IF(H1577="","",C1577-H1577)</x:f>
      </x:c>
      <x:c r="J1577" s="4"/>
      <x:c r="K1577" s="4" t="str">
        <x:v>URLs de detalle page/query/country por clics. No asignan las impresiones de esta consulta a cada página.</x:v>
      </x:c>
    </x:row>
    <x:row r="1578" ht="28" customHeight="1">
      <x:c r="A1578" s="4" t="n">
        <x:v>1568</x:v>
      </x:c>
      <x:c r="B1578" s="4" t="str">
        <x:v>florianapolis</x:v>
      </x:c>
      <x:c r="C1578" s="11" t="n">
        <x:v>1</x:v>
      </x:c>
      <x:c r="D1578" s="11" t="n">
        <x:v>31</x:v>
      </x:c>
      <x:c r="E1578" s="14" t="n">
        <x:v>0.03225806451612903</x:v>
      </x:c>
      <x:c r="F1578" s="12" t="n">
        <x:v>12.741935483870968</x:v>
      </x:c>
      <x:c r="G1578" s="4" t="str">
        <x:v>Sin marca literal</x:v>
      </x:c>
      <x:c r="H1578" s="11"/>
      <x:c r="I1578" s="11" t="str">
        <x:f>IF(H1578="","",C1578-H1578)</x:f>
      </x:c>
      <x:c r="J1578" s="4"/>
      <x:c r="K1578" s="4" t="str">
        <x:v>URLs de detalle page/query/country por clics. No asignan las impresiones de esta consulta a cada página.</x:v>
      </x:c>
    </x:row>
    <x:row r="1579" ht="28" customHeight="1">
      <x:c r="A1579" s="4" t="n">
        <x:v>1569</x:v>
      </x:c>
      <x:c r="B1579" s="4" t="str">
        <x:v>imagenes de lugares turísticos de juliaca</x:v>
      </x:c>
      <x:c r="C1579" s="11" t="n">
        <x:v>1</x:v>
      </x:c>
      <x:c r="D1579" s="11" t="n">
        <x:v>31</x:v>
      </x:c>
      <x:c r="E1579" s="14" t="n">
        <x:v>0.03225806451612903</x:v>
      </x:c>
      <x:c r="F1579" s="12" t="n">
        <x:v>1</x:v>
      </x:c>
      <x:c r="G1579" s="4" t="str">
        <x:v>Sin marca literal</x:v>
      </x:c>
      <x:c r="H1579" s="11"/>
      <x:c r="I1579" s="11" t="str">
        <x:f>IF(H1579="","",C1579-H1579)</x:f>
      </x:c>
      <x:c r="J1579" s="4"/>
      <x:c r="K1579" s="4" t="str">
        <x:v>URLs de detalle page/query/country por clics. No asignan las impresiones de esta consulta a cada página.</x:v>
      </x:c>
    </x:row>
    <x:row r="1580" ht="28" customHeight="1">
      <x:c r="A1580" s="4" t="n">
        <x:v>1570</x:v>
      </x:c>
      <x:c r="B1580" s="4" t="str">
        <x:v>medidas equipaje de mano sky peru</x:v>
      </x:c>
      <x:c r="C1580" s="11" t="n">
        <x:v>1</x:v>
      </x:c>
      <x:c r="D1580" s="11" t="n">
        <x:v>31</x:v>
      </x:c>
      <x:c r="E1580" s="14" t="n">
        <x:v>0.03225806451612903</x:v>
      </x:c>
      <x:c r="F1580" s="12" t="n">
        <x:v>4.290322580645162</x:v>
      </x:c>
      <x:c r="G1580" s="4" t="str">
        <x:v>Sin marca literal</x:v>
      </x:c>
      <x:c r="H1580" s="11"/>
      <x:c r="I1580" s="11" t="str">
        <x:f>IF(H1580="","",C1580-H1580)</x:f>
      </x:c>
      <x:c r="J1580" s="4"/>
      <x:c r="K1580" s="4" t="str">
        <x:v>URLs de detalle page/query/country por clics. No asignan las impresiones de esta consulta a cada página.</x:v>
      </x:c>
    </x:row>
    <x:row r="1581" ht="28" customHeight="1">
      <x:c r="A1581" s="4" t="n">
        <x:v>1571</x:v>
      </x:c>
      <x:c r="B1581" s="4" t="str">
        <x:v>portoalegre brasil</x:v>
      </x:c>
      <x:c r="C1581" s="11" t="n">
        <x:v>1</x:v>
      </x:c>
      <x:c r="D1581" s="11" t="n">
        <x:v>31</x:v>
      </x:c>
      <x:c r="E1581" s="14" t="n">
        <x:v>0.03225806451612903</x:v>
      </x:c>
      <x:c r="F1581" s="12" t="n">
        <x:v>12.387096774193548</x:v>
      </x:c>
      <x:c r="G1581" s="4" t="str">
        <x:v>Sin marca literal</x:v>
      </x:c>
      <x:c r="H1581" s="11"/>
      <x:c r="I1581" s="11" t="str">
        <x:f>IF(H1581="","",C1581-H1581)</x:f>
      </x:c>
      <x:c r="J1581" s="4"/>
      <x:c r="K1581" s="4" t="str">
        <x:v>URLs de detalle page/query/country por clics. No asignan las impresiones de esta consulta a cada página.</x:v>
      </x:c>
    </x:row>
    <x:row r="1582" ht="28" customHeight="1">
      <x:c r="A1582" s="4" t="n">
        <x:v>1572</x:v>
      </x:c>
      <x:c r="B1582" s="4" t="str">
        <x:v>portugues brasil</x:v>
      </x:c>
      <x:c r="C1582" s="11" t="n">
        <x:v>1</x:v>
      </x:c>
      <x:c r="D1582" s="11" t="n">
        <x:v>31</x:v>
      </x:c>
      <x:c r="E1582" s="14" t="n">
        <x:v>0.03225806451612903</x:v>
      </x:c>
      <x:c r="F1582" s="12" t="n">
        <x:v>9.419354838709678</x:v>
      </x:c>
      <x:c r="G1582" s="4" t="str">
        <x:v>Sin marca literal</x:v>
      </x:c>
      <x:c r="H1582" s="11"/>
      <x:c r="I1582" s="11" t="str">
        <x:f>IF(H1582="","",C1582-H1582)</x:f>
      </x:c>
      <x:c r="J1582" s="4"/>
      <x:c r="K1582" s="4" t="str">
        <x:v>URLs de detalle page/query/country por clics. No asignan las impresiones de esta consulta a cada página.</x:v>
      </x:c>
    </x:row>
    <x:row r="1583" ht="28" customHeight="1">
      <x:c r="A1583" s="4" t="n">
        <x:v>1573</x:v>
      </x:c>
      <x:c r="B1583" s="4" t="str">
        <x:v>requisitos para viajar a punta cana desde chile</x:v>
      </x:c>
      <x:c r="C1583" s="11" t="n">
        <x:v>1</x:v>
      </x:c>
      <x:c r="D1583" s="11" t="n">
        <x:v>31</x:v>
      </x:c>
      <x:c r="E1583" s="14" t="n">
        <x:v>0.03225806451612903</x:v>
      </x:c>
      <x:c r="F1583" s="12" t="n">
        <x:v>5.161290322580645</x:v>
      </x:c>
      <x:c r="G1583" s="4" t="str">
        <x:v>Sin marca literal</x:v>
      </x:c>
      <x:c r="H1583" s="11"/>
      <x:c r="I1583" s="11" t="str">
        <x:f>IF(H1583="","",C1583-H1583)</x:f>
      </x:c>
      <x:c r="J1583" s="4"/>
      <x:c r="K1583" s="4" t="str">
        <x:v>URLs de detalle page/query/country por clics. No asignan las impresiones de esta consulta a cada página.</x:v>
      </x:c>
    </x:row>
    <x:row r="1584" ht="28" customHeight="1">
      <x:c r="A1584" s="4" t="n">
        <x:v>1574</x:v>
      </x:c>
      <x:c r="B1584" s="4" t="str">
        <x:v>se puede llevar comida en vuelos nacionales chile</x:v>
      </x:c>
      <x:c r="C1584" s="11" t="n">
        <x:v>1</x:v>
      </x:c>
      <x:c r="D1584" s="11" t="n">
        <x:v>31</x:v>
      </x:c>
      <x:c r="E1584" s="14" t="n">
        <x:v>0.03225806451612903</x:v>
      </x:c>
      <x:c r="F1584" s="12" t="n">
        <x:v>8.612903225806452</x:v>
      </x:c>
      <x:c r="G1584" s="4" t="str">
        <x:v>Sin marca literal</x:v>
      </x:c>
      <x:c r="H1584" s="11"/>
      <x:c r="I1584" s="11" t="str">
        <x:f>IF(H1584="","",C1584-H1584)</x:f>
      </x:c>
      <x:c r="J1584" s="4"/>
      <x:c r="K1584" s="4" t="str">
        <x:v>URLs de detalle page/query/country por clics. No asignan las impresiones de esta consulta a cada página.</x:v>
      </x:c>
    </x:row>
    <x:row r="1585" ht="28" customHeight="1">
      <x:c r="A1585" s="4" t="n">
        <x:v>1575</x:v>
      </x:c>
      <x:c r="B1585" s="4" t="str">
        <x:v>árboles nativos de chile zona sur</x:v>
      </x:c>
      <x:c r="C1585" s="11" t="n">
        <x:v>1</x:v>
      </x:c>
      <x:c r="D1585" s="11" t="n">
        <x:v>31</x:v>
      </x:c>
      <x:c r="E1585" s="14" t="n">
        <x:v>0.03225806451612903</x:v>
      </x:c>
      <x:c r="F1585" s="12" t="n">
        <x:v>8.258064516129032</x:v>
      </x:c>
      <x:c r="G1585" s="4" t="str">
        <x:v>Sin marca literal</x:v>
      </x:c>
      <x:c r="H1585" s="11"/>
      <x:c r="I1585" s="11" t="str">
        <x:f>IF(H1585="","",C1585-H1585)</x:f>
      </x:c>
      <x:c r="J1585" s="4"/>
      <x:c r="K1585" s="4" t="str">
        <x:v>URLs de detalle page/query/country por clics. No asignan las impresiones de esta consulta a cada página.</x:v>
      </x:c>
    </x:row>
    <x:row r="1586" ht="28" customHeight="1">
      <x:c r="A1586" s="4" t="n">
        <x:v>1576</x:v>
      </x:c>
      <x:c r="B1586" s="4" t="str">
        <x:v>adaptador tipo n brasil</x:v>
      </x:c>
      <x:c r="C1586" s="11" t="n">
        <x:v>1</x:v>
      </x:c>
      <x:c r="D1586" s="11" t="n">
        <x:v>30</x:v>
      </x:c>
      <x:c r="E1586" s="14" t="n">
        <x:v>0.03333333333333333</x:v>
      </x:c>
      <x:c r="F1586" s="12" t="n">
        <x:v>9</x:v>
      </x:c>
      <x:c r="G1586" s="4" t="str">
        <x:v>Sin marca literal</x:v>
      </x:c>
      <x:c r="H1586" s="11"/>
      <x:c r="I1586" s="11" t="str">
        <x:f>IF(H1586="","",C1586-H1586)</x:f>
      </x:c>
      <x:c r="J1586" s="4"/>
      <x:c r="K1586" s="4" t="str">
        <x:v>URLs de detalle page/query/country por clics. No asignan las impresiones de esta consulta a cada página.</x:v>
      </x:c>
    </x:row>
    <x:row r="1587" ht="28" customHeight="1">
      <x:c r="A1587" s="4" t="n">
        <x:v>1577</x:v>
      </x:c>
      <x:c r="B1587" s="4" t="str">
        <x:v>aeropuertos peru</x:v>
      </x:c>
      <x:c r="C1587" s="11" t="n">
        <x:v>1</x:v>
      </x:c>
      <x:c r="D1587" s="11" t="n">
        <x:v>30</x:v>
      </x:c>
      <x:c r="E1587" s="14" t="n">
        <x:v>0.03333333333333333</x:v>
      </x:c>
      <x:c r="F1587" s="12" t="n">
        <x:v>8.9</x:v>
      </x:c>
      <x:c r="G1587" s="4" t="str">
        <x:v>Sin marca literal</x:v>
      </x:c>
      <x:c r="H1587" s="11"/>
      <x:c r="I1587" s="11" t="str">
        <x:f>IF(H1587="","",C1587-H1587)</x:f>
      </x:c>
      <x:c r="J1587" s="4"/>
      <x:c r="K1587" s="4" t="str">
        <x:v>URLs de detalle page/query/country por clics. No asignan las impresiones de esta consulta a cada página.</x:v>
      </x:c>
    </x:row>
    <x:row r="1588" ht="28" customHeight="1">
      <x:c r="A1588" s="4" t="n">
        <x:v>1578</x:v>
      </x:c>
      <x:c r="B1588" s="4" t="str">
        <x:v>bolso de mano sky peso</x:v>
      </x:c>
      <x:c r="C1588" s="11" t="n">
        <x:v>1</x:v>
      </x:c>
      <x:c r="D1588" s="11" t="n">
        <x:v>30</x:v>
      </x:c>
      <x:c r="E1588" s="14" t="n">
        <x:v>0.03333333333333333</x:v>
      </x:c>
      <x:c r="F1588" s="12" t="n">
        <x:v>3.8666666666666667</x:v>
      </x:c>
      <x:c r="G1588" s="4" t="str">
        <x:v>Sin marca literal</x:v>
      </x:c>
      <x:c r="H1588" s="11"/>
      <x:c r="I1588" s="11" t="str">
        <x:f>IF(H1588="","",C1588-H1588)</x:f>
      </x:c>
      <x:c r="J1588" s="4"/>
      <x:c r="K1588" s="4" t="str">
        <x:v>URLs de detalle page/query/country por clics. No asignan las impresiones de esta consulta a cada página.</x:v>
      </x:c>
    </x:row>
    <x:row r="1589" ht="28" customHeight="1">
      <x:c r="A1589" s="4" t="n">
        <x:v>1579</x:v>
      </x:c>
      <x:c r="B1589" s="4" t="str">
        <x:v>cañón de shucto como llegar</x:v>
      </x:c>
      <x:c r="C1589" s="11" t="n">
        <x:v>1</x:v>
      </x:c>
      <x:c r="D1589" s="11" t="n">
        <x:v>30</x:v>
      </x:c>
      <x:c r="E1589" s="14" t="n">
        <x:v>0.03333333333333333</x:v>
      </x:c>
      <x:c r="F1589" s="12" t="n">
        <x:v>2.2666666666666666</x:v>
      </x:c>
      <x:c r="G1589" s="4" t="str">
        <x:v>Sin marca literal</x:v>
      </x:c>
      <x:c r="H1589" s="11"/>
      <x:c r="I1589" s="11" t="str">
        <x:f>IF(H1589="","",C1589-H1589)</x:f>
      </x:c>
      <x:c r="J1589" s="4"/>
      <x:c r="K1589" s="4" t="str">
        <x:v>URLs de detalle page/query/country por clics. No asignan las impresiones de esta consulta a cada página.</x:v>
      </x:c>
    </x:row>
    <x:row r="1590" ht="28" customHeight="1">
      <x:c r="A1590" s="4" t="n">
        <x:v>1580</x:v>
      </x:c>
      <x:c r="B1590" s="4" t="str">
        <x:v>cerca de rio de janeiro</x:v>
      </x:c>
      <x:c r="C1590" s="11" t="n">
        <x:v>1</x:v>
      </x:c>
      <x:c r="D1590" s="11" t="n">
        <x:v>30</x:v>
      </x:c>
      <x:c r="E1590" s="14" t="n">
        <x:v>0.03333333333333333</x:v>
      </x:c>
      <x:c r="F1590" s="12" t="n">
        <x:v>4.3</x:v>
      </x:c>
      <x:c r="G1590" s="4" t="str">
        <x:v>Sin marca literal</x:v>
      </x:c>
      <x:c r="H1590" s="11"/>
      <x:c r="I1590" s="11" t="str">
        <x:f>IF(H1590="","",C1590-H1590)</x:f>
      </x:c>
      <x:c r="J1590" s="4"/>
      <x:c r="K1590" s="4" t="str">
        <x:v>URLs de detalle page/query/country por clics. No asignan las impresiones de esta consulta a cada página.</x:v>
      </x:c>
    </x:row>
    <x:row r="1591" ht="28" customHeight="1">
      <x:c r="A1591" s="4" t="n">
        <x:v>1581</x:v>
      </x:c>
      <x:c r="B1591" s="4" t="str">
        <x:v>cuando cambia la estacion en chile</x:v>
      </x:c>
      <x:c r="C1591" s="11" t="n">
        <x:v>1</x:v>
      </x:c>
      <x:c r="D1591" s="11" t="n">
        <x:v>30</x:v>
      </x:c>
      <x:c r="E1591" s="14" t="n">
        <x:v>0.03333333333333333</x:v>
      </x:c>
      <x:c r="F1591" s="12" t="n">
        <x:v>4.6</x:v>
      </x:c>
      <x:c r="G1591" s="4" t="str">
        <x:v>Sin marca literal</x:v>
      </x:c>
      <x:c r="H1591" s="11"/>
      <x:c r="I1591" s="11" t="str">
        <x:f>IF(H1591="","",C1591-H1591)</x:f>
      </x:c>
      <x:c r="J1591" s="4"/>
      <x:c r="K1591" s="4" t="str">
        <x:v>URLs de detalle page/query/country por clics. No asignan las impresiones de esta consulta a cada página.</x:v>
      </x:c>
    </x:row>
    <x:row r="1592" ht="28" customHeight="1">
      <x:c r="A1592" s="4" t="n">
        <x:v>1582</x:v>
      </x:c>
      <x:c r="B1592" s="4" t="str">
        <x:v>jose ignacio dougnac</x:v>
      </x:c>
      <x:c r="C1592" s="11" t="n">
        <x:v>1</x:v>
      </x:c>
      <x:c r="D1592" s="11" t="n">
        <x:v>30</x:v>
      </x:c>
      <x:c r="E1592" s="14" t="n">
        <x:v>0.03333333333333333</x:v>
      </x:c>
      <x:c r="F1592" s="12" t="n">
        <x:v>10.766666666666667</x:v>
      </x:c>
      <x:c r="G1592" s="4" t="str">
        <x:v>Sin marca literal</x:v>
      </x:c>
      <x:c r="H1592" s="11"/>
      <x:c r="I1592" s="11" t="str">
        <x:f>IF(H1592="","",C1592-H1592)</x:f>
      </x:c>
      <x:c r="J1592" s="4"/>
      <x:c r="K1592" s="4" t="str">
        <x:v>URLs de detalle page/query/country por clics. No asignan las impresiones de esta consulta a cada página.</x:v>
      </x:c>
    </x:row>
    <x:row r="1593" ht="28" customHeight="1">
      <x:c r="A1593" s="4" t="n">
        <x:v>1583</x:v>
      </x:c>
      <x:c r="B1593" s="4" t="str">
        <x:v>medida articulo personal sky</x:v>
      </x:c>
      <x:c r="C1593" s="11" t="n">
        <x:v>1</x:v>
      </x:c>
      <x:c r="D1593" s="11" t="n">
        <x:v>30</x:v>
      </x:c>
      <x:c r="E1593" s="14" t="n">
        <x:v>0.03333333333333333</x:v>
      </x:c>
      <x:c r="F1593" s="12" t="n">
        <x:v>4.9</x:v>
      </x:c>
      <x:c r="G1593" s="4" t="str">
        <x:v>Sin marca literal</x:v>
      </x:c>
      <x:c r="H1593" s="11"/>
      <x:c r="I1593" s="11" t="str">
        <x:f>IF(H1593="","",C1593-H1593)</x:f>
      </x:c>
      <x:c r="J1593" s="4"/>
      <x:c r="K1593" s="4" t="str">
        <x:v>URLs de detalle page/query/country por clics. No asignan las impresiones de esta consulta a cada página.</x:v>
      </x:c>
    </x:row>
    <x:row r="1594" ht="28" customHeight="1">
      <x:c r="A1594" s="4" t="n">
        <x:v>1584</x:v>
      </x:c>
      <x:c r="B1594" s="4" t="str">
        <x:v>medida de maleta de mano sky</x:v>
      </x:c>
      <x:c r="C1594" s="11" t="n">
        <x:v>1</x:v>
      </x:c>
      <x:c r="D1594" s="11" t="n">
        <x:v>30</x:v>
      </x:c>
      <x:c r="E1594" s="14" t="n">
        <x:v>0.03333333333333333</x:v>
      </x:c>
      <x:c r="F1594" s="12" t="n">
        <x:v>3.1333333333333333</x:v>
      </x:c>
      <x:c r="G1594" s="4" t="str">
        <x:v>Sin marca literal</x:v>
      </x:c>
      <x:c r="H1594" s="11"/>
      <x:c r="I1594" s="11" t="str">
        <x:f>IF(H1594="","",C1594-H1594)</x:f>
      </x:c>
      <x:c r="J1594" s="4"/>
      <x:c r="K1594" s="4" t="str">
        <x:v>URLs de detalle page/query/country por clics. No asignan las impresiones de esta consulta a cada página.</x:v>
      </x:c>
    </x:row>
    <x:row r="1595" ht="28" customHeight="1">
      <x:c r="A1595" s="4" t="n">
        <x:v>1585</x:v>
      </x:c>
      <x:c r="B1595" s="4" t="str">
        <x:v>minera mas alta de chile</x:v>
      </x:c>
      <x:c r="C1595" s="11" t="n">
        <x:v>1</x:v>
      </x:c>
      <x:c r="D1595" s="11" t="n">
        <x:v>30</x:v>
      </x:c>
      <x:c r="E1595" s="14" t="n">
        <x:v>0.03333333333333333</x:v>
      </x:c>
      <x:c r="F1595" s="12" t="n">
        <x:v>9.266666666666667</x:v>
      </x:c>
      <x:c r="G1595" s="4" t="str">
        <x:v>Sin marca literal</x:v>
      </x:c>
      <x:c r="H1595" s="11"/>
      <x:c r="I1595" s="11" t="str">
        <x:f>IF(H1595="","",C1595-H1595)</x:f>
      </x:c>
      <x:c r="J1595" s="4"/>
      <x:c r="K1595" s="4" t="str">
        <x:v>URLs de detalle page/query/country por clics. No asignan las impresiones de esta consulta a cada página.</x:v>
      </x:c>
    </x:row>
    <x:row r="1596" ht="28" customHeight="1">
      <x:c r="A1596" s="4" t="n">
        <x:v>1586</x:v>
      </x:c>
      <x:c r="B1596" s="4" t="str">
        <x:v>platos tipicos de rio de janeiro</x:v>
      </x:c>
      <x:c r="C1596" s="11" t="n">
        <x:v>1</x:v>
      </x:c>
      <x:c r="D1596" s="11" t="n">
        <x:v>30</x:v>
      </x:c>
      <x:c r="E1596" s="14" t="n">
        <x:v>0.03333333333333333</x:v>
      </x:c>
      <x:c r="F1596" s="12" t="n">
        <x:v>5.1</x:v>
      </x:c>
      <x:c r="G1596" s="4" t="str">
        <x:v>Sin marca literal</x:v>
      </x:c>
      <x:c r="H1596" s="11"/>
      <x:c r="I1596" s="11" t="str">
        <x:f>IF(H1596="","",C1596-H1596)</x:f>
      </x:c>
      <x:c r="J1596" s="4"/>
      <x:c r="K1596" s="4" t="str">
        <x:v>URLs de detalle page/query/country por clics. No asignan las impresiones de esta consulta a cada página.</x:v>
      </x:c>
    </x:row>
    <x:row r="1597" ht="28" customHeight="1">
      <x:c r="A1597" s="4" t="n">
        <x:v>1587</x:v>
      </x:c>
      <x:c r="B1597" s="4" t="str">
        <x:v>que voltaje se usa en argentina</x:v>
      </x:c>
      <x:c r="C1597" s="11" t="n">
        <x:v>1</x:v>
      </x:c>
      <x:c r="D1597" s="11" t="n">
        <x:v>30</x:v>
      </x:c>
      <x:c r="E1597" s="14" t="n">
        <x:v>0.03333333333333333</x:v>
      </x:c>
      <x:c r="F1597" s="12" t="n">
        <x:v>6.033333333333333</x:v>
      </x:c>
      <x:c r="G1597" s="4" t="str">
        <x:v>Sin marca literal</x:v>
      </x:c>
      <x:c r="H1597" s="11"/>
      <x:c r="I1597" s="11" t="str">
        <x:f>IF(H1597="","",C1597-H1597)</x:f>
      </x:c>
      <x:c r="J1597" s="4"/>
      <x:c r="K1597" s="4" t="str">
        <x:v>URLs de detalle page/query/country por clics. No asignan las impresiones de esta consulta a cada página.</x:v>
      </x:c>
    </x:row>
    <x:row r="1598" ht="28" customHeight="1">
      <x:c r="A1598" s="4" t="n">
        <x:v>1588</x:v>
      </x:c>
      <x:c r="B1598" s="4" t="str">
        <x:v>se necesita vacuna de fiebre amarilla para brasil</x:v>
      </x:c>
      <x:c r="C1598" s="11" t="n">
        <x:v>1</x:v>
      </x:c>
      <x:c r="D1598" s="11" t="n">
        <x:v>30</x:v>
      </x:c>
      <x:c r="E1598" s="14" t="n">
        <x:v>0.03333333333333333</x:v>
      </x:c>
      <x:c r="F1598" s="12" t="n">
        <x:v>5.266666666666667</x:v>
      </x:c>
      <x:c r="G1598" s="4" t="str">
        <x:v>Sin marca literal</x:v>
      </x:c>
      <x:c r="H1598" s="11"/>
      <x:c r="I1598" s="11" t="str">
        <x:f>IF(H1598="","",C1598-H1598)</x:f>
      </x:c>
      <x:c r="J1598" s="4"/>
      <x:c r="K1598" s="4" t="str">
        <x:v>URLs de detalle page/query/country por clics. No asignan las impresiones de esta consulta a cada página.</x:v>
      </x:c>
    </x:row>
    <x:row r="1599" ht="28" customHeight="1">
      <x:c r="A1599" s="4" t="n">
        <x:v>1589</x:v>
      </x:c>
      <x:c r="B1599" s="4" t="str">
        <x:v>se puede reprogramar un vuelo</x:v>
      </x:c>
      <x:c r="C1599" s="11" t="n">
        <x:v>1</x:v>
      </x:c>
      <x:c r="D1599" s="11" t="n">
        <x:v>30</x:v>
      </x:c>
      <x:c r="E1599" s="14" t="n">
        <x:v>0.03333333333333333</x:v>
      </x:c>
      <x:c r="F1599" s="12" t="n">
        <x:v>7.066666666666666</x:v>
      </x:c>
      <x:c r="G1599" s="4" t="str">
        <x:v>Sin marca literal</x:v>
      </x:c>
      <x:c r="H1599" s="11"/>
      <x:c r="I1599" s="11" t="str">
        <x:f>IF(H1599="","",C1599-H1599)</x:f>
      </x:c>
      <x:c r="J1599" s="4"/>
      <x:c r="K1599" s="4" t="str">
        <x:v>URLs de detalle page/query/country por clics. No asignan las impresiones de esta consulta a cada página.</x:v>
      </x:c>
    </x:row>
    <x:row r="1600" ht="28" customHeight="1">
      <x:c r="A1600" s="4" t="n">
        <x:v>1590</x:v>
      </x:c>
      <x:c r="B1600" s="4" t="str">
        <x:v>sky maleta de bodega</x:v>
      </x:c>
      <x:c r="C1600" s="11" t="n">
        <x:v>1</x:v>
      </x:c>
      <x:c r="D1600" s="11" t="n">
        <x:v>30</x:v>
      </x:c>
      <x:c r="E1600" s="14" t="n">
        <x:v>0.03333333333333333</x:v>
      </x:c>
      <x:c r="F1600" s="12" t="n">
        <x:v>3.2333333333333334</x:v>
      </x:c>
      <x:c r="G1600" s="4" t="str">
        <x:v>Sin marca literal</x:v>
      </x:c>
      <x:c r="H1600" s="11"/>
      <x:c r="I1600" s="11" t="str">
        <x:f>IF(H1600="","",C1600-H1600)</x:f>
      </x:c>
      <x:c r="J1600" s="4"/>
      <x:c r="K1600" s="4" t="str">
        <x:v>URLs de detalle page/query/country por clics. No asignan las impresiones de esta consulta a cada página.</x:v>
      </x:c>
    </x:row>
    <x:row r="1601" ht="28" customHeight="1">
      <x:c r="A1601" s="4" t="n">
        <x:v>1591</x:v>
      </x:c>
      <x:c r="B1601" s="4" t="str">
        <x:v>terminal sur ubicacion</x:v>
      </x:c>
      <x:c r="C1601" s="11" t="n">
        <x:v>1</x:v>
      </x:c>
      <x:c r="D1601" s="11" t="n">
        <x:v>30</x:v>
      </x:c>
      <x:c r="E1601" s="14" t="n">
        <x:v>0.03333333333333333</x:v>
      </x:c>
      <x:c r="F1601" s="12" t="n">
        <x:v>7.9</x:v>
      </x:c>
      <x:c r="G1601" s="4" t="str">
        <x:v>Sin marca literal</x:v>
      </x:c>
      <x:c r="H1601" s="11"/>
      <x:c r="I1601" s="11" t="str">
        <x:f>IF(H1601="","",C1601-H1601)</x:f>
      </x:c>
      <x:c r="J1601" s="4"/>
      <x:c r="K1601" s="4" t="str">
        <x:v>URLs de detalle page/query/country por clics. No asignan las impresiones de esta consulta a cada página.</x:v>
      </x:c>
    </x:row>
    <x:row r="1602" ht="28" customHeight="1">
      <x:c r="A1602" s="4" t="n">
        <x:v>1592</x:v>
      </x:c>
      <x:c r="B1602" s="4" t="str">
        <x:v>tipo de equipaje en avion</x:v>
      </x:c>
      <x:c r="C1602" s="11" t="n">
        <x:v>1</x:v>
      </x:c>
      <x:c r="D1602" s="11" t="n">
        <x:v>30</x:v>
      </x:c>
      <x:c r="E1602" s="14" t="n">
        <x:v>0.03333333333333333</x:v>
      </x:c>
      <x:c r="F1602" s="12" t="n">
        <x:v>7.333333333333333</x:v>
      </x:c>
      <x:c r="G1602" s="4" t="str">
        <x:v>Sin marca literal</x:v>
      </x:c>
      <x:c r="H1602" s="11"/>
      <x:c r="I1602" s="11" t="str">
        <x:f>IF(H1602="","",C1602-H1602)</x:f>
      </x:c>
      <x:c r="J1602" s="4"/>
      <x:c r="K1602" s="4" t="str">
        <x:v>URLs de detalle page/query/country por clics. No asignan las impresiones de esta consulta a cada página.</x:v>
      </x:c>
    </x:row>
    <x:row r="1603" ht="28" customHeight="1">
      <x:c r="A1603" s="4" t="n">
        <x:v>1593</x:v>
      </x:c>
      <x:c r="B1603" s="4" t="str">
        <x:v>tripulante de vuelo</x:v>
      </x:c>
      <x:c r="C1603" s="11" t="n">
        <x:v>1</x:v>
      </x:c>
      <x:c r="D1603" s="11" t="n">
        <x:v>30</x:v>
      </x:c>
      <x:c r="E1603" s="14" t="n">
        <x:v>0.03333333333333333</x:v>
      </x:c>
      <x:c r="F1603" s="12" t="n">
        <x:v>15.966666666666667</x:v>
      </x:c>
      <x:c r="G1603" s="4" t="str">
        <x:v>Sin marca literal</x:v>
      </x:c>
      <x:c r="H1603" s="11"/>
      <x:c r="I1603" s="11" t="str">
        <x:f>IF(H1603="","",C1603-H1603)</x:f>
      </x:c>
      <x:c r="J1603" s="4"/>
      <x:c r="K1603" s="4" t="str">
        <x:v>URLs de detalle page/query/country por clics. No asignan las impresiones de esta consulta a cada página.</x:v>
      </x:c>
    </x:row>
    <x:row r="1604" ht="28" customHeight="1">
      <x:c r="A1604" s="4" t="n">
        <x:v>1594</x:v>
      </x:c>
      <x:c r="B1604" s="4" t="str">
        <x:v>viajo con sky</x:v>
      </x:c>
      <x:c r="C1604" s="11" t="n">
        <x:v>1</x:v>
      </x:c>
      <x:c r="D1604" s="11" t="n">
        <x:v>30</x:v>
      </x:c>
      <x:c r="E1604" s="14" t="n">
        <x:v>0.03333333333333333</x:v>
      </x:c>
      <x:c r="F1604" s="12" t="n">
        <x:v>2.7666666666666666</x:v>
      </x:c>
      <x:c r="G1604" s="4" t="str">
        <x:v>Sin marca literal</x:v>
      </x:c>
      <x:c r="H1604" s="11"/>
      <x:c r="I1604" s="11" t="str">
        <x:f>IF(H1604="","",C1604-H1604)</x:f>
      </x:c>
      <x:c r="J1604" s="4"/>
      <x:c r="K1604" s="4" t="str">
        <x:v>URLs de detalle page/query/country por clics. No asignan las impresiones de esta consulta a cada página.</x:v>
      </x:c>
    </x:row>
    <x:row r="1605" ht="28" customHeight="1">
      <x:c r="A1605" s="4" t="n">
        <x:v>1595</x:v>
      </x:c>
      <x:c r="B1605" s="4" t="str">
        <x:v>volcanes cerca de temuco</x:v>
      </x:c>
      <x:c r="C1605" s="11" t="n">
        <x:v>1</x:v>
      </x:c>
      <x:c r="D1605" s="11" t="n">
        <x:v>30</x:v>
      </x:c>
      <x:c r="E1605" s="14" t="n">
        <x:v>0.03333333333333333</x:v>
      </x:c>
      <x:c r="F1605" s="12" t="n">
        <x:v>7.3</x:v>
      </x:c>
      <x:c r="G1605" s="4" t="str">
        <x:v>Sin marca literal</x:v>
      </x:c>
      <x:c r="H1605" s="11"/>
      <x:c r="I1605" s="11" t="str">
        <x:f>IF(H1605="","",C1605-H1605)</x:f>
      </x:c>
      <x:c r="J1605" s="4"/>
      <x:c r="K1605" s="4" t="str">
        <x:v>URLs de detalle page/query/country por clics. No asignan las impresiones de esta consulta a cada página.</x:v>
      </x:c>
    </x:row>
    <x:row r="1606" ht="28" customHeight="1">
      <x:c r="A1606" s="4" t="n">
        <x:v>1596</x:v>
      </x:c>
      <x:c r="B1606" s="4" t="str">
        <x:v>a partir de cuantos años pagan pasaje los niños en avion</x:v>
      </x:c>
      <x:c r="C1606" s="11" t="n">
        <x:v>1</x:v>
      </x:c>
      <x:c r="D1606" s="11" t="n">
        <x:v>29</x:v>
      </x:c>
      <x:c r="E1606" s="14" t="n">
        <x:v>0.034482758620689655</x:v>
      </x:c>
      <x:c r="F1606" s="12" t="n">
        <x:v>3.896551724137931</x:v>
      </x:c>
      <x:c r="G1606" s="4" t="str">
        <x:v>Sin marca literal</x:v>
      </x:c>
      <x:c r="H1606" s="11"/>
      <x:c r="I1606" s="11" t="str">
        <x:f>IF(H1606="","",C1606-H1606)</x:f>
      </x:c>
      <x:c r="J1606" s="4"/>
      <x:c r="K1606" s="4" t="str">
        <x:v>URLs de detalle page/query/country por clics. No asignan las impresiones de esta consulta a cada página.</x:v>
      </x:c>
    </x:row>
    <x:row r="1607" ht="28" customHeight="1">
      <x:c r="A1607" s="4" t="n">
        <x:v>1597</x:v>
      </x:c>
      <x:c r="B1607" s="4" t="str">
        <x:v>camboriu tiene aeropuerto</x:v>
      </x:c>
      <x:c r="C1607" s="11" t="n">
        <x:v>1</x:v>
      </x:c>
      <x:c r="D1607" s="11" t="n">
        <x:v>29</x:v>
      </x:c>
      <x:c r="E1607" s="14" t="n">
        <x:v>0.034482758620689655</x:v>
      </x:c>
      <x:c r="F1607" s="12" t="n">
        <x:v>7.172413793103448</x:v>
      </x:c>
      <x:c r="G1607" s="4" t="str">
        <x:v>Sin marca literal</x:v>
      </x:c>
      <x:c r="H1607" s="11"/>
      <x:c r="I1607" s="11" t="str">
        <x:f>IF(H1607="","",C1607-H1607)</x:f>
      </x:c>
      <x:c r="J1607" s="4"/>
      <x:c r="K1607" s="4" t="str">
        <x:v>URLs de detalle page/query/country por clics. No asignan las impresiones de esta consulta a cada página.</x:v>
      </x:c>
    </x:row>
    <x:row r="1608" ht="28" customHeight="1">
      <x:c r="A1608" s="4" t="n">
        <x:v>1598</x:v>
      </x:c>
      <x:c r="B1608" s="4" t="str">
        <x:v>chile donde hay nieve</x:v>
      </x:c>
      <x:c r="C1608" s="11" t="n">
        <x:v>1</x:v>
      </x:c>
      <x:c r="D1608" s="11" t="n">
        <x:v>29</x:v>
      </x:c>
      <x:c r="E1608" s="14" t="n">
        <x:v>0.034482758620689655</x:v>
      </x:c>
      <x:c r="F1608" s="12" t="n">
        <x:v>6.827586206896552</x:v>
      </x:c>
      <x:c r="G1608" s="4" t="str">
        <x:v>Sin marca literal</x:v>
      </x:c>
      <x:c r="H1608" s="11"/>
      <x:c r="I1608" s="11" t="str">
        <x:f>IF(H1608="","",C1608-H1608)</x:f>
      </x:c>
      <x:c r="J1608" s="4"/>
      <x:c r="K1608" s="4" t="str">
        <x:v>URLs de detalle page/query/country por clics. No asignan las impresiones de esta consulta a cada página.</x:v>
      </x:c>
    </x:row>
    <x:row r="1609" ht="28" customHeight="1">
      <x:c r="A1609" s="4" t="n">
        <x:v>1599</x:v>
      </x:c>
      <x:c r="B1609" s="4" t="str">
        <x:v>donde comer en mendoza</x:v>
      </x:c>
      <x:c r="C1609" s="11" t="n">
        <x:v>1</x:v>
      </x:c>
      <x:c r="D1609" s="11" t="n">
        <x:v>29</x:v>
      </x:c>
      <x:c r="E1609" s="14" t="n">
        <x:v>0.034482758620689655</x:v>
      </x:c>
      <x:c r="F1609" s="12" t="n">
        <x:v>8.10344827586207</x:v>
      </x:c>
      <x:c r="G1609" s="4" t="str">
        <x:v>Sin marca literal</x:v>
      </x:c>
      <x:c r="H1609" s="11"/>
      <x:c r="I1609" s="11" t="str">
        <x:f>IF(H1609="","",C1609-H1609)</x:f>
      </x:c>
      <x:c r="J1609" s="4"/>
      <x:c r="K1609" s="4" t="str">
        <x:v>URLs de detalle page/query/country por clics. No asignan las impresiones de esta consulta a cada página.</x:v>
      </x:c>
    </x:row>
    <x:row r="1610" ht="28" customHeight="1">
      <x:c r="A1610" s="4" t="n">
        <x:v>1600</x:v>
      </x:c>
      <x:c r="B1610" s="4" t="str">
        <x:v>donde queda lagunillas chile</x:v>
      </x:c>
      <x:c r="C1610" s="11" t="n">
        <x:v>1</x:v>
      </x:c>
      <x:c r="D1610" s="11" t="n">
        <x:v>29</x:v>
      </x:c>
      <x:c r="E1610" s="14" t="n">
        <x:v>0.034482758620689655</x:v>
      </x:c>
      <x:c r="F1610" s="12" t="n">
        <x:v>7.724137931034483</x:v>
      </x:c>
      <x:c r="G1610" s="4" t="str">
        <x:v>Sin marca literal</x:v>
      </x:c>
      <x:c r="H1610" s="11"/>
      <x:c r="I1610" s="11" t="str">
        <x:f>IF(H1610="","",C1610-H1610)</x:f>
      </x:c>
      <x:c r="J1610" s="4"/>
      <x:c r="K1610" s="4" t="str">
        <x:v>URLs de detalle page/query/country por clics. No asignan las impresiones de esta consulta a cada página.</x:v>
      </x:c>
    </x:row>
    <x:row r="1611" ht="28" customHeight="1">
      <x:c r="A1611" s="4" t="n">
        <x:v>1601</x:v>
      </x:c>
      <x:c r="B1611" s="4" t="str">
        <x:v>hotel all inclusive en chile</x:v>
      </x:c>
      <x:c r="C1611" s="11" t="n">
        <x:v>1</x:v>
      </x:c>
      <x:c r="D1611" s="11" t="n">
        <x:v>29</x:v>
      </x:c>
      <x:c r="E1611" s="14" t="n">
        <x:v>0.034482758620689655</x:v>
      </x:c>
      <x:c r="F1611" s="12" t="n">
        <x:v>11.10344827586207</x:v>
      </x:c>
      <x:c r="G1611" s="4" t="str">
        <x:v>Sin marca literal</x:v>
      </x:c>
      <x:c r="H1611" s="11"/>
      <x:c r="I1611" s="11" t="str">
        <x:f>IF(H1611="","",C1611-H1611)</x:f>
      </x:c>
      <x:c r="J1611" s="4"/>
      <x:c r="K1611" s="4" t="str">
        <x:v>URLs de detalle page/query/country por clics. No asignan las impresiones de esta consulta a cada página.</x:v>
      </x:c>
    </x:row>
    <x:row r="1612" ht="28" customHeight="1">
      <x:c r="A1612" s="4" t="n">
        <x:v>1602</x:v>
      </x:c>
      <x:c r="B1612" s="4" t="str">
        <x:v>laguna 69 como llegar</x:v>
      </x:c>
      <x:c r="C1612" s="11" t="n">
        <x:v>1</x:v>
      </x:c>
      <x:c r="D1612" s="11" t="n">
        <x:v>29</x:v>
      </x:c>
      <x:c r="E1612" s="14" t="n">
        <x:v>0.034482758620689655</x:v>
      </x:c>
      <x:c r="F1612" s="12" t="n">
        <x:v>8.241379310344827</x:v>
      </x:c>
      <x:c r="G1612" s="4" t="str">
        <x:v>Sin marca literal</x:v>
      </x:c>
      <x:c r="H1612" s="11"/>
      <x:c r="I1612" s="11" t="str">
        <x:f>IF(H1612="","",C1612-H1612)</x:f>
      </x:c>
      <x:c r="J1612" s="4"/>
      <x:c r="K1612" s="4" t="str">
        <x:v>URLs de detalle page/query/country por clics. No asignan las impresiones de esta consulta a cada página.</x:v>
      </x:c>
    </x:row>
    <x:row r="1613" ht="28" customHeight="1">
      <x:c r="A1613" s="4" t="n">
        <x:v>1603</x:v>
      </x:c>
      <x:c r="B1613" s="4" t="str">
        <x:v>machu picchu como llegar</x:v>
      </x:c>
      <x:c r="C1613" s="11" t="n">
        <x:v>1</x:v>
      </x:c>
      <x:c r="D1613" s="11" t="n">
        <x:v>29</x:v>
      </x:c>
      <x:c r="E1613" s="14" t="n">
        <x:v>0.034482758620689655</x:v>
      </x:c>
      <x:c r="F1613" s="12" t="n">
        <x:v>4.137931034482758</x:v>
      </x:c>
      <x:c r="G1613" s="4" t="str">
        <x:v>Sin marca literal</x:v>
      </x:c>
      <x:c r="H1613" s="11"/>
      <x:c r="I1613" s="11" t="str">
        <x:f>IF(H1613="","",C1613-H1613)</x:f>
      </x:c>
      <x:c r="J1613" s="4"/>
      <x:c r="K1613" s="4" t="str">
        <x:v>URLs de detalle page/query/country por clics. No asignan las impresiones de esta consulta a cada página.</x:v>
      </x:c>
    </x:row>
    <x:row r="1614" ht="28" customHeight="1">
      <x:c r="A1614" s="4" t="n">
        <x:v>1604</x:v>
      </x:c>
      <x:c r="B1614" s="4" t="str">
        <x:v>panoramas para niños de 2 años en santiago</x:v>
      </x:c>
      <x:c r="C1614" s="11" t="n">
        <x:v>1</x:v>
      </x:c>
      <x:c r="D1614" s="11" t="n">
        <x:v>29</x:v>
      </x:c>
      <x:c r="E1614" s="14" t="n">
        <x:v>0.034482758620689655</x:v>
      </x:c>
      <x:c r="F1614" s="12" t="n">
        <x:v>6.206896551724138</x:v>
      </x:c>
      <x:c r="G1614" s="4" t="str">
        <x:v>Sin marca literal</x:v>
      </x:c>
      <x:c r="H1614" s="11"/>
      <x:c r="I1614" s="11" t="str">
        <x:f>IF(H1614="","",C1614-H1614)</x:f>
      </x:c>
      <x:c r="J1614" s="4"/>
      <x:c r="K1614" s="4" t="str">
        <x:v>URLs de detalle page/query/country por clics. No asignan las impresiones de esta consulta a cada página.</x:v>
      </x:c>
    </x:row>
    <x:row r="1615" ht="28" customHeight="1">
      <x:c r="A1615" s="4" t="n">
        <x:v>1605</x:v>
      </x:c>
      <x:c r="B1615" s="4" t="str">
        <x:v>puedo llevar cremas en el avion</x:v>
      </x:c>
      <x:c r="C1615" s="11" t="n">
        <x:v>1</x:v>
      </x:c>
      <x:c r="D1615" s="11" t="n">
        <x:v>29</x:v>
      </x:c>
      <x:c r="E1615" s="14" t="n">
        <x:v>0.034482758620689655</x:v>
      </x:c>
      <x:c r="F1615" s="12" t="n">
        <x:v>8.172413793103448</x:v>
      </x:c>
      <x:c r="G1615" s="4" t="str">
        <x:v>Sin marca literal</x:v>
      </x:c>
      <x:c r="H1615" s="11"/>
      <x:c r="I1615" s="11" t="str">
        <x:f>IF(H1615="","",C1615-H1615)</x:f>
      </x:c>
      <x:c r="J1615" s="4"/>
      <x:c r="K1615" s="4" t="str">
        <x:v>URLs de detalle page/query/country por clics. No asignan las impresiones de esta consulta a cada página.</x:v>
      </x:c>
    </x:row>
    <x:row r="1616" ht="28" customHeight="1">
      <x:c r="A1616" s="4" t="n">
        <x:v>1606</x:v>
      </x:c>
      <x:c r="B1616" s="4" t="str">
        <x:v>requisitos</x:v>
      </x:c>
      <x:c r="C1616" s="11" t="n">
        <x:v>1</x:v>
      </x:c>
      <x:c r="D1616" s="11" t="n">
        <x:v>29</x:v>
      </x:c>
      <x:c r="E1616" s="14" t="n">
        <x:v>0.034482758620689655</x:v>
      </x:c>
      <x:c r="F1616" s="12" t="n">
        <x:v>3.0689655172413794</x:v>
      </x:c>
      <x:c r="G1616" s="4" t="str">
        <x:v>Sin marca literal</x:v>
      </x:c>
      <x:c r="H1616" s="11"/>
      <x:c r="I1616" s="11" t="str">
        <x:f>IF(H1616="","",C1616-H1616)</x:f>
      </x:c>
      <x:c r="J1616" s="4"/>
      <x:c r="K1616" s="4" t="str">
        <x:v>URLs de detalle page/query/country por clics. No asignan las impresiones de esta consulta a cada página.</x:v>
      </x:c>
    </x:row>
    <x:row r="1617" ht="28" customHeight="1">
      <x:c r="A1617" s="4" t="n">
        <x:v>1607</x:v>
      </x:c>
      <x:c r="B1617" s="4" t="str">
        <x:v>se necesita pasaporte para viajar a peru</x:v>
      </x:c>
      <x:c r="C1617" s="11" t="n">
        <x:v>1</x:v>
      </x:c>
      <x:c r="D1617" s="11" t="n">
        <x:v>29</x:v>
      </x:c>
      <x:c r="E1617" s="14" t="n">
        <x:v>0.034482758620689655</x:v>
      </x:c>
      <x:c r="F1617" s="12" t="n">
        <x:v>6.379310344827586</x:v>
      </x:c>
      <x:c r="G1617" s="4" t="str">
        <x:v>Sin marca literal</x:v>
      </x:c>
      <x:c r="H1617" s="11"/>
      <x:c r="I1617" s="11" t="str">
        <x:f>IF(H1617="","",C1617-H1617)</x:f>
      </x:c>
      <x:c r="J1617" s="4"/>
      <x:c r="K1617" s="4" t="str">
        <x:v>URLs de detalle page/query/country por clics. No asignan las impresiones de esta consulta a cada página.</x:v>
      </x:c>
    </x:row>
    <x:row r="1618" ht="28" customHeight="1">
      <x:c r="A1618" s="4" t="n">
        <x:v>1608</x:v>
      </x:c>
      <x:c r="B1618" s="4" t="str">
        <x:v>sky airlines baggage allowance</x:v>
      </x:c>
      <x:c r="C1618" s="11" t="n">
        <x:v>1</x:v>
      </x:c>
      <x:c r="D1618" s="11" t="n">
        <x:v>29</x:v>
      </x:c>
      <x:c r="E1618" s="14" t="n">
        <x:v>0.034482758620689655</x:v>
      </x:c>
      <x:c r="F1618" s="12" t="n">
        <x:v>7.413793103448276</x:v>
      </x:c>
      <x:c r="G1618" s="4" t="str">
        <x:v>Sin marca literal</x:v>
      </x:c>
      <x:c r="H1618" s="11"/>
      <x:c r="I1618" s="11" t="str">
        <x:f>IF(H1618="","",C1618-H1618)</x:f>
      </x:c>
      <x:c r="J1618" s="4"/>
      <x:c r="K1618" s="4" t="str">
        <x:v>URLs de detalle page/query/country por clics. No asignan las impresiones de esta consulta a cada página.</x:v>
      </x:c>
    </x:row>
    <x:row r="1619" ht="28" customHeight="1">
      <x:c r="A1619" s="4" t="n">
        <x:v>1609</x:v>
      </x:c>
      <x:c r="B1619" s="4" t="str">
        <x:v>camboriu brasil</x:v>
      </x:c>
      <x:c r="C1619" s="11" t="n">
        <x:v>1</x:v>
      </x:c>
      <x:c r="D1619" s="11" t="n">
        <x:v>28</x:v>
      </x:c>
      <x:c r="E1619" s="14" t="n">
        <x:v>0.03571428571428571</x:v>
      </x:c>
      <x:c r="F1619" s="12" t="n">
        <x:v>10.5</x:v>
      </x:c>
      <x:c r="G1619" s="4" t="str">
        <x:v>Sin marca literal</x:v>
      </x:c>
      <x:c r="H1619" s="11"/>
      <x:c r="I1619" s="11" t="str">
        <x:f>IF(H1619="","",C1619-H1619)</x:f>
      </x:c>
      <x:c r="J1619" s="4"/>
      <x:c r="K1619" s="4" t="str">
        <x:v>URLs de detalle page/query/country por clics. No asignan las impresiones de esta consulta a cada página.</x:v>
      </x:c>
    </x:row>
    <x:row r="1620" ht="28" customHeight="1">
      <x:c r="A1620" s="4" t="n">
        <x:v>1610</x:v>
      </x:c>
      <x:c r="B1620" s="4" t="str">
        <x:v>caminito buenos aires horario</x:v>
      </x:c>
      <x:c r="C1620" s="11" t="n">
        <x:v>1</x:v>
      </x:c>
      <x:c r="D1620" s="11" t="n">
        <x:v>28</x:v>
      </x:c>
      <x:c r="E1620" s="14" t="n">
        <x:v>0.03571428571428571</x:v>
      </x:c>
      <x:c r="F1620" s="12" t="n">
        <x:v>5.357142857142857</x:v>
      </x:c>
      <x:c r="G1620" s="4" t="str">
        <x:v>Sin marca literal</x:v>
      </x:c>
      <x:c r="H1620" s="11"/>
      <x:c r="I1620" s="11" t="str">
        <x:f>IF(H1620="","",C1620-H1620)</x:f>
      </x:c>
      <x:c r="J1620" s="4"/>
      <x:c r="K1620" s="4" t="str">
        <x:v>URLs de detalle page/query/country por clics. No asignan las impresiones de esta consulta a cada página.</x:v>
      </x:c>
    </x:row>
    <x:row r="1621" ht="28" customHeight="1">
      <x:c r="A1621" s="4" t="n">
        <x:v>1611</x:v>
      </x:c>
      <x:c r="B1621" s="4" t="str">
        <x:v>catedral brasilia</x:v>
      </x:c>
      <x:c r="C1621" s="11" t="n">
        <x:v>1</x:v>
      </x:c>
      <x:c r="D1621" s="11" t="n">
        <x:v>28</x:v>
      </x:c>
      <x:c r="E1621" s="14" t="n">
        <x:v>0.03571428571428571</x:v>
      </x:c>
      <x:c r="F1621" s="12" t="n">
        <x:v>11.428571428571429</x:v>
      </x:c>
      <x:c r="G1621" s="4" t="str">
        <x:v>Sin marca literal</x:v>
      </x:c>
      <x:c r="H1621" s="11"/>
      <x:c r="I1621" s="11" t="str">
        <x:f>IF(H1621="","",C1621-H1621)</x:f>
      </x:c>
      <x:c r="J1621" s="4"/>
      <x:c r="K1621" s="4" t="str">
        <x:v>URLs de detalle page/query/country por clics. No asignan las impresiones de esta consulta a cada página.</x:v>
      </x:c>
    </x:row>
    <x:row r="1622" ht="28" customHeight="1">
      <x:c r="A1622" s="4" t="n">
        <x:v>1612</x:v>
      </x:c>
      <x:c r="B1622" s="4" t="str">
        <x:v>cañon de shujto</x:v>
      </x:c>
      <x:c r="C1622" s="11" t="n">
        <x:v>1</x:v>
      </x:c>
      <x:c r="D1622" s="11" t="n">
        <x:v>28</x:v>
      </x:c>
      <x:c r="E1622" s="14" t="n">
        <x:v>0.03571428571428571</x:v>
      </x:c>
      <x:c r="F1622" s="12" t="n">
        <x:v>8.392857142857142</x:v>
      </x:c>
      <x:c r="G1622" s="4" t="str">
        <x:v>Sin marca literal</x:v>
      </x:c>
      <x:c r="H1622" s="11"/>
      <x:c r="I1622" s="11" t="str">
        <x:f>IF(H1622="","",C1622-H1622)</x:f>
      </x:c>
      <x:c r="J1622" s="4"/>
      <x:c r="K1622" s="4" t="str">
        <x:v>URLs de detalle page/query/country por clics. No asignan las impresiones de esta consulta a cada página.</x:v>
      </x:c>
    </x:row>
    <x:row r="1623" ht="28" customHeight="1">
      <x:c r="A1623" s="4" t="n">
        <x:v>1613</x:v>
      </x:c>
      <x:c r="B1623" s="4" t="str">
        <x:v>comida tipica zona austral</x:v>
      </x:c>
      <x:c r="C1623" s="11" t="n">
        <x:v>1</x:v>
      </x:c>
      <x:c r="D1623" s="11" t="n">
        <x:v>28</x:v>
      </x:c>
      <x:c r="E1623" s="14" t="n">
        <x:v>0.03571428571428571</x:v>
      </x:c>
      <x:c r="F1623" s="12" t="n">
        <x:v>6.642857142857143</x:v>
      </x:c>
      <x:c r="G1623" s="4" t="str">
        <x:v>Sin marca literal</x:v>
      </x:c>
      <x:c r="H1623" s="11"/>
      <x:c r="I1623" s="11" t="str">
        <x:f>IF(H1623="","",C1623-H1623)</x:f>
      </x:c>
      <x:c r="J1623" s="4"/>
      <x:c r="K1623" s="4" t="str">
        <x:v>URLs de detalle page/query/country por clics. No asignan las impresiones de esta consulta a cada página.</x:v>
      </x:c>
    </x:row>
    <x:row r="1624" ht="28" customHeight="1">
      <x:c r="A1624" s="4" t="n">
        <x:v>1614</x:v>
      </x:c>
      <x:c r="B1624" s="4" t="str">
        <x:v>como comprar en iquique zona franca</x:v>
      </x:c>
      <x:c r="C1624" s="11" t="n">
        <x:v>1</x:v>
      </x:c>
      <x:c r="D1624" s="11" t="n">
        <x:v>28</x:v>
      </x:c>
      <x:c r="E1624" s="14" t="n">
        <x:v>0.03571428571428571</x:v>
      </x:c>
      <x:c r="F1624" s="12" t="n">
        <x:v>3.8214285714285716</x:v>
      </x:c>
      <x:c r="G1624" s="4" t="str">
        <x:v>Sin marca literal</x:v>
      </x:c>
      <x:c r="H1624" s="11"/>
      <x:c r="I1624" s="11" t="str">
        <x:f>IF(H1624="","",C1624-H1624)</x:f>
      </x:c>
      <x:c r="J1624" s="4"/>
      <x:c r="K1624" s="4" t="str">
        <x:v>URLs de detalle page/query/country por clics. No asignan las impresiones de esta consulta a cada página.</x:v>
      </x:c>
    </x:row>
    <x:row r="1625" ht="28" customHeight="1">
      <x:c r="A1625" s="4" t="n">
        <x:v>1615</x:v>
      </x:c>
      <x:c r="B1625" s="4" t="str">
        <x:v>comprar maleta sky airlines</x:v>
      </x:c>
      <x:c r="C1625" s="11" t="n">
        <x:v>1</x:v>
      </x:c>
      <x:c r="D1625" s="11" t="n">
        <x:v>28</x:v>
      </x:c>
      <x:c r="E1625" s="14" t="n">
        <x:v>0.03571428571428571</x:v>
      </x:c>
      <x:c r="F1625" s="12" t="n">
        <x:v>5.071428571428571</x:v>
      </x:c>
      <x:c r="G1625" s="4" t="str">
        <x:v>Sin marca literal</x:v>
      </x:c>
      <x:c r="H1625" s="11"/>
      <x:c r="I1625" s="11" t="str">
        <x:f>IF(H1625="","",C1625-H1625)</x:f>
      </x:c>
      <x:c r="J1625" s="4"/>
      <x:c r="K1625" s="4" t="str">
        <x:v>URLs de detalle page/query/country por clics. No asignan las impresiones de esta consulta a cada página.</x:v>
      </x:c>
    </x:row>
    <x:row r="1626" ht="28" customHeight="1">
      <x:c r="A1626" s="4" t="n">
        <x:v>1616</x:v>
      </x:c>
      <x:c r="B1626" s="4" t="str">
        <x:v>cuando hay sargazo en playa del carmen</x:v>
      </x:c>
      <x:c r="C1626" s="11" t="n">
        <x:v>1</x:v>
      </x:c>
      <x:c r="D1626" s="11" t="n">
        <x:v>28</x:v>
      </x:c>
      <x:c r="E1626" s="14" t="n">
        <x:v>0.03571428571428571</x:v>
      </x:c>
      <x:c r="F1626" s="12" t="n">
        <x:v>5.714285714285714</x:v>
      </x:c>
      <x:c r="G1626" s="4" t="str">
        <x:v>Sin marca literal</x:v>
      </x:c>
      <x:c r="H1626" s="11"/>
      <x:c r="I1626" s="11" t="str">
        <x:f>IF(H1626="","",C1626-H1626)</x:f>
      </x:c>
      <x:c r="J1626" s="4"/>
      <x:c r="K1626" s="4" t="str">
        <x:v>URLs de detalle page/query/country por clics. No asignan las impresiones de esta consulta a cada página.</x:v>
      </x:c>
    </x:row>
    <x:row r="1627" ht="28" customHeight="1">
      <x:c r="A1627" s="4" t="n">
        <x:v>1617</x:v>
      </x:c>
      <x:c r="B1627" s="4" t="str">
        <x:v>cuando llega el verano en chile 2026</x:v>
      </x:c>
      <x:c r="C1627" s="11" t="n">
        <x:v>1</x:v>
      </x:c>
      <x:c r="D1627" s="11" t="n">
        <x:v>28</x:v>
      </x:c>
      <x:c r="E1627" s="14" t="n">
        <x:v>0.03571428571428571</x:v>
      </x:c>
      <x:c r="F1627" s="12" t="n">
        <x:v>9.178571428571429</x:v>
      </x:c>
      <x:c r="G1627" s="4" t="str">
        <x:v>Sin marca literal</x:v>
      </x:c>
      <x:c r="H1627" s="11"/>
      <x:c r="I1627" s="11" t="str">
        <x:f>IF(H1627="","",C1627-H1627)</x:f>
      </x:c>
      <x:c r="J1627" s="4"/>
      <x:c r="K1627" s="4" t="str">
        <x:v>URLs de detalle page/query/country por clics. No asignan las impresiones de esta consulta a cada página.</x:v>
      </x:c>
    </x:row>
    <x:row r="1628" ht="28" customHeight="1">
      <x:c r="A1628" s="4" t="n">
        <x:v>1618</x:v>
      </x:c>
      <x:c r="B1628" s="4" t="str">
        <x:v>danza tradicional chilena</x:v>
      </x:c>
      <x:c r="C1628" s="11" t="n">
        <x:v>1</x:v>
      </x:c>
      <x:c r="D1628" s="11" t="n">
        <x:v>28</x:v>
      </x:c>
      <x:c r="E1628" s="14" t="n">
        <x:v>0.03571428571428571</x:v>
      </x:c>
      <x:c r="F1628" s="12" t="n">
        <x:v>8.964285714285715</x:v>
      </x:c>
      <x:c r="G1628" s="4" t="str">
        <x:v>Sin marca literal</x:v>
      </x:c>
      <x:c r="H1628" s="11"/>
      <x:c r="I1628" s="11" t="str">
        <x:f>IF(H1628="","",C1628-H1628)</x:f>
      </x:c>
      <x:c r="J1628" s="4"/>
      <x:c r="K1628" s="4" t="str">
        <x:v>URLs de detalle page/query/country por clics. No asignan las impresiones de esta consulta a cada página.</x:v>
      </x:c>
    </x:row>
    <x:row r="1629" ht="28" customHeight="1">
      <x:c r="A1629" s="4" t="n">
        <x:v>1619</x:v>
      </x:c>
      <x:c r="B1629" s="4" t="str">
        <x:v>descargar sky</x:v>
      </x:c>
      <x:c r="C1629" s="11" t="n">
        <x:v>1</x:v>
      </x:c>
      <x:c r="D1629" s="11" t="n">
        <x:v>28</x:v>
      </x:c>
      <x:c r="E1629" s="14" t="n">
        <x:v>0.03571428571428571</x:v>
      </x:c>
      <x:c r="F1629" s="12" t="n">
        <x:v>6.464285714285714</x:v>
      </x:c>
      <x:c r="G1629" s="4" t="str">
        <x:v>Sin marca literal</x:v>
      </x:c>
      <x:c r="H1629" s="11"/>
      <x:c r="I1629" s="11" t="str">
        <x:f>IF(H1629="","",C1629-H1629)</x:f>
      </x:c>
      <x:c r="J1629" s="4"/>
      <x:c r="K1629" s="4" t="str">
        <x:v>URLs de detalle page/query/country por clics. No asignan las impresiones de esta consulta a cada página.</x:v>
      </x:c>
    </x:row>
    <x:row r="1630" ht="28" customHeight="1">
      <x:c r="A1630" s="4" t="n">
        <x:v>1620</x:v>
      </x:c>
      <x:c r="B1630" s="4" t="str">
        <x:v>desodorante aerosol avion</x:v>
      </x:c>
      <x:c r="C1630" s="11" t="n">
        <x:v>1</x:v>
      </x:c>
      <x:c r="D1630" s="11" t="n">
        <x:v>28</x:v>
      </x:c>
      <x:c r="E1630" s="14" t="n">
        <x:v>0.03571428571428571</x:v>
      </x:c>
      <x:c r="F1630" s="12" t="n">
        <x:v>14.357142857142858</x:v>
      </x:c>
      <x:c r="G1630" s="4" t="str">
        <x:v>Sin marca literal</x:v>
      </x:c>
      <x:c r="H1630" s="11"/>
      <x:c r="I1630" s="11" t="str">
        <x:f>IF(H1630="","",C1630-H1630)</x:f>
      </x:c>
      <x:c r="J1630" s="4"/>
      <x:c r="K1630" s="4" t="str">
        <x:v>URLs de detalle page/query/country por clics. No asignan las impresiones de esta consulta a cada página.</x:v>
      </x:c>
    </x:row>
    <x:row r="1631" ht="28" customHeight="1">
      <x:c r="A1631" s="4" t="n">
        <x:v>1621</x:v>
      </x:c>
      <x:c r="B1631" s="4" t="str">
        <x:v>destinos para ir con niños</x:v>
      </x:c>
      <x:c r="C1631" s="11" t="n">
        <x:v>1</x:v>
      </x:c>
      <x:c r="D1631" s="11" t="n">
        <x:v>28</x:v>
      </x:c>
      <x:c r="E1631" s="14" t="n">
        <x:v>0.03571428571428571</x:v>
      </x:c>
      <x:c r="F1631" s="12" t="n">
        <x:v>3.75</x:v>
      </x:c>
      <x:c r="G1631" s="4" t="str">
        <x:v>Sin marca literal</x:v>
      </x:c>
      <x:c r="H1631" s="11"/>
      <x:c r="I1631" s="11" t="str">
        <x:f>IF(H1631="","",C1631-H1631)</x:f>
      </x:c>
      <x:c r="J1631" s="4"/>
      <x:c r="K1631" s="4" t="str">
        <x:v>URLs de detalle page/query/country por clics. No asignan las impresiones de esta consulta a cada página.</x:v>
      </x:c>
    </x:row>
    <x:row r="1632" ht="28" customHeight="1">
      <x:c r="A1632" s="4" t="n">
        <x:v>1622</x:v>
      </x:c>
      <x:c r="B1632" s="4" t="str">
        <x:v>donde queda el lago ranco</x:v>
      </x:c>
      <x:c r="C1632" s="11" t="n">
        <x:v>1</x:v>
      </x:c>
      <x:c r="D1632" s="11" t="n">
        <x:v>28</x:v>
      </x:c>
      <x:c r="E1632" s="14" t="n">
        <x:v>0.03571428571428571</x:v>
      </x:c>
      <x:c r="F1632" s="12" t="n">
        <x:v>9.25</x:v>
      </x:c>
      <x:c r="G1632" s="4" t="str">
        <x:v>Sin marca literal</x:v>
      </x:c>
      <x:c r="H1632" s="11"/>
      <x:c r="I1632" s="11" t="str">
        <x:f>IF(H1632="","",C1632-H1632)</x:f>
      </x:c>
      <x:c r="J1632" s="4"/>
      <x:c r="K1632" s="4" t="str">
        <x:v>URLs de detalle page/query/country por clics. No asignan las impresiones de esta consulta a cada página.</x:v>
      </x:c>
    </x:row>
    <x:row r="1633" ht="28" customHeight="1">
      <x:c r="A1633" s="4" t="n">
        <x:v>1623</x:v>
      </x:c>
      <x:c r="B1633" s="4" t="str">
        <x:v>huaraz a cuantos metros sobre el nivel del mar esta</x:v>
      </x:c>
      <x:c r="C1633" s="11" t="n">
        <x:v>1</x:v>
      </x:c>
      <x:c r="D1633" s="11" t="n">
        <x:v>28</x:v>
      </x:c>
      <x:c r="E1633" s="14" t="n">
        <x:v>0.03571428571428571</x:v>
      </x:c>
      <x:c r="F1633" s="12" t="n">
        <x:v>11.428571428571429</x:v>
      </x:c>
      <x:c r="G1633" s="4" t="str">
        <x:v>Sin marca literal</x:v>
      </x:c>
      <x:c r="H1633" s="11"/>
      <x:c r="I1633" s="11" t="str">
        <x:f>IF(H1633="","",C1633-H1633)</x:f>
      </x:c>
      <x:c r="J1633" s="4"/>
      <x:c r="K1633" s="4" t="str">
        <x:v>URLs de detalle page/query/country por clics. No asignan las impresiones de esta consulta a cada página.</x:v>
      </x:c>
    </x:row>
    <x:row r="1634" ht="28" customHeight="1">
      <x:c r="A1634" s="4" t="n">
        <x:v>1624</x:v>
      </x:c>
      <x:c r="B1634" s="4" t="str">
        <x:v>lima</x:v>
      </x:c>
      <x:c r="C1634" s="11" t="n">
        <x:v>1</x:v>
      </x:c>
      <x:c r="D1634" s="11" t="n">
        <x:v>28</x:v>
      </x:c>
      <x:c r="E1634" s="14" t="n">
        <x:v>0.03571428571428571</x:v>
      </x:c>
      <x:c r="F1634" s="12" t="n">
        <x:v>5.857142857142857</x:v>
      </x:c>
      <x:c r="G1634" s="4" t="str">
        <x:v>Sin marca literal</x:v>
      </x:c>
      <x:c r="H1634" s="11"/>
      <x:c r="I1634" s="11" t="str">
        <x:f>IF(H1634="","",C1634-H1634)</x:f>
      </x:c>
      <x:c r="J1634" s="4"/>
      <x:c r="K1634" s="4" t="str">
        <x:v>URLs de detalle page/query/country por clics. No asignan las impresiones de esta consulta a cada página.</x:v>
      </x:c>
    </x:row>
    <x:row r="1635" ht="28" customHeight="1">
      <x:c r="A1635" s="4" t="n">
        <x:v>1625</x:v>
      </x:c>
      <x:c r="B1635" s="4" t="str">
        <x:v>maleta bicicleta avion</x:v>
      </x:c>
      <x:c r="C1635" s="11" t="n">
        <x:v>1</x:v>
      </x:c>
      <x:c r="D1635" s="11" t="n">
        <x:v>28</x:v>
      </x:c>
      <x:c r="E1635" s="14" t="n">
        <x:v>0.03571428571428571</x:v>
      </x:c>
      <x:c r="F1635" s="12" t="n">
        <x:v>10.321428571428571</x:v>
      </x:c>
      <x:c r="G1635" s="4" t="str">
        <x:v>Sin marca literal</x:v>
      </x:c>
      <x:c r="H1635" s="11"/>
      <x:c r="I1635" s="11" t="str">
        <x:f>IF(H1635="","",C1635-H1635)</x:f>
      </x:c>
      <x:c r="J1635" s="4"/>
      <x:c r="K1635" s="4" t="str">
        <x:v>URLs de detalle page/query/country por clics. No asignan las impresiones de esta consulta a cada página.</x:v>
      </x:c>
    </x:row>
    <x:row r="1636" ht="28" customHeight="1">
      <x:c r="A1636" s="4" t="n">
        <x:v>1626</x:v>
      </x:c>
      <x:c r="B1636" s="4" t="str">
        <x:v>paseo de compras mendoza</x:v>
      </x:c>
      <x:c r="C1636" s="11" t="n">
        <x:v>1</x:v>
      </x:c>
      <x:c r="D1636" s="11" t="n">
        <x:v>28</x:v>
      </x:c>
      <x:c r="E1636" s="14" t="n">
        <x:v>0.03571428571428571</x:v>
      </x:c>
      <x:c r="F1636" s="12" t="n">
        <x:v>10.5</x:v>
      </x:c>
      <x:c r="G1636" s="4" t="str">
        <x:v>Sin marca literal</x:v>
      </x:c>
      <x:c r="H1636" s="11"/>
      <x:c r="I1636" s="11" t="str">
        <x:f>IF(H1636="","",C1636-H1636)</x:f>
      </x:c>
      <x:c r="J1636" s="4"/>
      <x:c r="K1636" s="4" t="str">
        <x:v>URLs de detalle page/query/country por clics. No asignan las impresiones de esta consulta a cada página.</x:v>
      </x:c>
    </x:row>
    <x:row r="1637" ht="28" customHeight="1">
      <x:c r="A1637" s="4" t="n">
        <x:v>1627</x:v>
      </x:c>
      <x:c r="B1637" s="4" t="str">
        <x:v>playas tranquilas cerca de santiago</x:v>
      </x:c>
      <x:c r="C1637" s="11" t="n">
        <x:v>1</x:v>
      </x:c>
      <x:c r="D1637" s="11" t="n">
        <x:v>28</x:v>
      </x:c>
      <x:c r="E1637" s="14" t="n">
        <x:v>0.03571428571428571</x:v>
      </x:c>
      <x:c r="F1637" s="12" t="n">
        <x:v>9.035714285714286</x:v>
      </x:c>
      <x:c r="G1637" s="4" t="str">
        <x:v>Sin marca literal</x:v>
      </x:c>
      <x:c r="H1637" s="11"/>
      <x:c r="I1637" s="11" t="str">
        <x:f>IF(H1637="","",C1637-H1637)</x:f>
      </x:c>
      <x:c r="J1637" s="4"/>
      <x:c r="K1637" s="4" t="str">
        <x:v>URLs de detalle page/query/country por clics. No asignan las impresiones de esta consulta a cada página.</x:v>
      </x:c>
    </x:row>
    <x:row r="1638" ht="28" customHeight="1">
      <x:c r="A1638" s="4" t="n">
        <x:v>1628</x:v>
      </x:c>
      <x:c r="B1638" s="4" t="str">
        <x:v>puedo cancelar un vuelo en sky</x:v>
      </x:c>
      <x:c r="C1638" s="11" t="n">
        <x:v>1</x:v>
      </x:c>
      <x:c r="D1638" s="11" t="n">
        <x:v>28</x:v>
      </x:c>
      <x:c r="E1638" s="14" t="n">
        <x:v>0.03571428571428571</x:v>
      </x:c>
      <x:c r="F1638" s="12" t="n">
        <x:v>1.8214285714285714</x:v>
      </x:c>
      <x:c r="G1638" s="4" t="str">
        <x:v>Sin marca literal</x:v>
      </x:c>
      <x:c r="H1638" s="11"/>
      <x:c r="I1638" s="11" t="str">
        <x:f>IF(H1638="","",C1638-H1638)</x:f>
      </x:c>
      <x:c r="J1638" s="4"/>
      <x:c r="K1638" s="4" t="str">
        <x:v>URLs de detalle page/query/country por clics. No asignan las impresiones de esta consulta a cada página.</x:v>
      </x:c>
    </x:row>
    <x:row r="1639" ht="28" customHeight="1">
      <x:c r="A1639" s="4" t="n">
        <x:v>1629</x:v>
      </x:c>
      <x:c r="B1639" s="4" t="str">
        <x:v>que hacer en bogota en 3 dias</x:v>
      </x:c>
      <x:c r="C1639" s="11" t="n">
        <x:v>1</x:v>
      </x:c>
      <x:c r="D1639" s="11" t="n">
        <x:v>28</x:v>
      </x:c>
      <x:c r="E1639" s="14" t="n">
        <x:v>0.03571428571428571</x:v>
      </x:c>
      <x:c r="F1639" s="12" t="n">
        <x:v>9.178571428571429</x:v>
      </x:c>
      <x:c r="G1639" s="4" t="str">
        <x:v>Sin marca literal</x:v>
      </x:c>
      <x:c r="H1639" s="11"/>
      <x:c r="I1639" s="11" t="str">
        <x:f>IF(H1639="","",C1639-H1639)</x:f>
      </x:c>
      <x:c r="J1639" s="4"/>
      <x:c r="K1639" s="4" t="str">
        <x:v>URLs de detalle page/query/country por clics. No asignan las impresiones de esta consulta a cada página.</x:v>
      </x:c>
    </x:row>
    <x:row r="1640" ht="28" customHeight="1">
      <x:c r="A1640" s="4" t="n">
        <x:v>1630</x:v>
      </x:c>
      <x:c r="B1640" s="4" t="str">
        <x:v>que paises se puede viajar sin pasaporte</x:v>
      </x:c>
      <x:c r="C1640" s="11" t="n">
        <x:v>1</x:v>
      </x:c>
      <x:c r="D1640" s="11" t="n">
        <x:v>28</x:v>
      </x:c>
      <x:c r="E1640" s="14" t="n">
        <x:v>0.03571428571428571</x:v>
      </x:c>
      <x:c r="F1640" s="12" t="n">
        <x:v>5.285714285714286</x:v>
      </x:c>
      <x:c r="G1640" s="4" t="str">
        <x:v>Sin marca literal</x:v>
      </x:c>
      <x:c r="H1640" s="11"/>
      <x:c r="I1640" s="11" t="str">
        <x:f>IF(H1640="","",C1640-H1640)</x:f>
      </x:c>
      <x:c r="J1640" s="4"/>
      <x:c r="K1640" s="4" t="str">
        <x:v>URLs de detalle page/query/country por clics. No asignan las impresiones de esta consulta a cada página.</x:v>
      </x:c>
    </x:row>
    <x:row r="1641" ht="28" customHeight="1">
      <x:c r="A1641" s="4" t="n">
        <x:v>1631</x:v>
      </x:c>
      <x:c r="B1641" s="4" t="str">
        <x:v>río de janeiro</x:v>
      </x:c>
      <x:c r="C1641" s="11" t="n">
        <x:v>1</x:v>
      </x:c>
      <x:c r="D1641" s="11" t="n">
        <x:v>28</x:v>
      </x:c>
      <x:c r="E1641" s="14" t="n">
        <x:v>0.03571428571428571</x:v>
      </x:c>
      <x:c r="F1641" s="12" t="n">
        <x:v>35.42857142857143</x:v>
      </x:c>
      <x:c r="G1641" s="4" t="str">
        <x:v>Sin marca literal</x:v>
      </x:c>
      <x:c r="H1641" s="11"/>
      <x:c r="I1641" s="11" t="str">
        <x:f>IF(H1641="","",C1641-H1641)</x:f>
      </x:c>
      <x:c r="J1641" s="4"/>
      <x:c r="K1641" s="4" t="str">
        <x:v>URLs de detalle page/query/country por clics. No asignan las impresiones de esta consulta a cada página.</x:v>
      </x:c>
    </x:row>
    <x:row r="1642" ht="28" customHeight="1">
      <x:c r="A1642" s="4" t="n">
        <x:v>1632</x:v>
      </x:c>
      <x:c r="B1642" s="4" t="str">
        <x:v>sky plus cobre</x:v>
      </x:c>
      <x:c r="C1642" s="11" t="n">
        <x:v>1</x:v>
      </x:c>
      <x:c r="D1642" s="11" t="n">
        <x:v>28</x:v>
      </x:c>
      <x:c r="E1642" s="14" t="n">
        <x:v>0.03571428571428571</x:v>
      </x:c>
      <x:c r="F1642" s="12" t="n">
        <x:v>5.107142857142857</x:v>
      </x:c>
      <x:c r="G1642" s="4" t="str">
        <x:v>Sin marca literal</x:v>
      </x:c>
      <x:c r="H1642" s="11"/>
      <x:c r="I1642" s="11" t="str">
        <x:f>IF(H1642="","",C1642-H1642)</x:f>
      </x:c>
      <x:c r="J1642" s="4"/>
      <x:c r="K1642" s="4" t="str">
        <x:v>URLs de detalle page/query/country por clics. No asignan las impresiones de esta consulta a cada página.</x:v>
      </x:c>
    </x:row>
    <x:row r="1643" ht="28" customHeight="1">
      <x:c r="A1643" s="4" t="n">
        <x:v>1633</x:v>
      </x:c>
      <x:c r="B1643" s="4" t="str">
        <x:v>aeropuertos argentina buenos aires</x:v>
      </x:c>
      <x:c r="C1643" s="11" t="n">
        <x:v>1</x:v>
      </x:c>
      <x:c r="D1643" s="11" t="n">
        <x:v>27</x:v>
      </x:c>
      <x:c r="E1643" s="14" t="n">
        <x:v>0.037037037037037035</x:v>
      </x:c>
      <x:c r="F1643" s="12" t="n">
        <x:v>4.888888888888889</x:v>
      </x:c>
      <x:c r="G1643" s="4" t="str">
        <x:v>Sin marca literal</x:v>
      </x:c>
      <x:c r="H1643" s="11"/>
      <x:c r="I1643" s="11" t="str">
        <x:f>IF(H1643="","",C1643-H1643)</x:f>
      </x:c>
      <x:c r="J1643" s="4"/>
      <x:c r="K1643" s="4" t="str">
        <x:v>URLs de detalle page/query/country por clics. No asignan las impresiones de esta consulta a cada página.</x:v>
      </x:c>
    </x:row>
    <x:row r="1644" ht="28" customHeight="1">
      <x:c r="A1644" s="4" t="n">
        <x:v>1634</x:v>
      </x:c>
      <x:c r="B1644" s="4" t="str">
        <x:v>bailes típicos del perú</x:v>
      </x:c>
      <x:c r="C1644" s="11" t="n">
        <x:v>1</x:v>
      </x:c>
      <x:c r="D1644" s="11" t="n">
        <x:v>27</x:v>
      </x:c>
      <x:c r="E1644" s="14" t="n">
        <x:v>0.037037037037037035</x:v>
      </x:c>
      <x:c r="F1644" s="12" t="n">
        <x:v>6.296296296296297</x:v>
      </x:c>
      <x:c r="G1644" s="4" t="str">
        <x:v>Sin marca literal</x:v>
      </x:c>
      <x:c r="H1644" s="11"/>
      <x:c r="I1644" s="11" t="str">
        <x:f>IF(H1644="","",C1644-H1644)</x:f>
      </x:c>
      <x:c r="J1644" s="4"/>
      <x:c r="K1644" s="4" t="str">
        <x:v>URLs de detalle page/query/country por clics. No asignan las impresiones de esta consulta a cada página.</x:v>
      </x:c>
    </x:row>
    <x:row r="1645" ht="28" customHeight="1">
      <x:c r="A1645" s="4" t="n">
        <x:v>1635</x:v>
      </x:c>
      <x:c r="B1645" s="4" t="str">
        <x:v>caracteristicas de la zona sur</x:v>
      </x:c>
      <x:c r="C1645" s="11" t="n">
        <x:v>1</x:v>
      </x:c>
      <x:c r="D1645" s="11" t="n">
        <x:v>27</x:v>
      </x:c>
      <x:c r="E1645" s="14" t="n">
        <x:v>0.037037037037037035</x:v>
      </x:c>
      <x:c r="F1645" s="12" t="n">
        <x:v>11.851851851851851</x:v>
      </x:c>
      <x:c r="G1645" s="4" t="str">
        <x:v>Sin marca literal</x:v>
      </x:c>
      <x:c r="H1645" s="11"/>
      <x:c r="I1645" s="11" t="str">
        <x:f>IF(H1645="","",C1645-H1645)</x:f>
      </x:c>
      <x:c r="J1645" s="4"/>
      <x:c r="K1645" s="4" t="str">
        <x:v>URLs de detalle page/query/country por clics. No asignan las impresiones de esta consulta a cada página.</x:v>
      </x:c>
    </x:row>
    <x:row r="1646" ht="28" customHeight="1">
      <x:c r="A1646" s="4" t="n">
        <x:v>1636</x:v>
      </x:c>
      <x:c r="B1646" s="4" t="str">
        <x:v>chile auroras boreales</x:v>
      </x:c>
      <x:c r="C1646" s="11" t="n">
        <x:v>1</x:v>
      </x:c>
      <x:c r="D1646" s="11" t="n">
        <x:v>27</x:v>
      </x:c>
      <x:c r="E1646" s="14" t="n">
        <x:v>0.037037037037037035</x:v>
      </x:c>
      <x:c r="F1646" s="12" t="n">
        <x:v>4.185185185185185</x:v>
      </x:c>
      <x:c r="G1646" s="4" t="str">
        <x:v>Sin marca literal</x:v>
      </x:c>
      <x:c r="H1646" s="11"/>
      <x:c r="I1646" s="11" t="str">
        <x:f>IF(H1646="","",C1646-H1646)</x:f>
      </x:c>
      <x:c r="J1646" s="4"/>
      <x:c r="K1646" s="4" t="str">
        <x:v>URLs de detalle page/query/country por clics. No asignan las impresiones de esta consulta a cada página.</x:v>
      </x:c>
    </x:row>
    <x:row r="1647" ht="28" customHeight="1">
      <x:c r="A1647" s="4" t="n">
        <x:v>1637</x:v>
      </x:c>
      <x:c r="B1647" s="4" t="str">
        <x:v>como llegar a punta del este desde montevideo</x:v>
      </x:c>
      <x:c r="C1647" s="11" t="n">
        <x:v>1</x:v>
      </x:c>
      <x:c r="D1647" s="11" t="n">
        <x:v>27</x:v>
      </x:c>
      <x:c r="E1647" s="14" t="n">
        <x:v>0.037037037037037035</x:v>
      </x:c>
      <x:c r="F1647" s="12" t="n">
        <x:v>4.592592592592593</x:v>
      </x:c>
      <x:c r="G1647" s="4" t="str">
        <x:v>Sin marca literal</x:v>
      </x:c>
      <x:c r="H1647" s="11"/>
      <x:c r="I1647" s="11" t="str">
        <x:f>IF(H1647="","",C1647-H1647)</x:f>
      </x:c>
      <x:c r="J1647" s="4"/>
      <x:c r="K1647" s="4" t="str">
        <x:v>URLs de detalle page/query/country por clics. No asignan las impresiones de esta consulta a cada página.</x:v>
      </x:c>
    </x:row>
    <x:row r="1648" ht="28" customHeight="1">
      <x:c r="A1648" s="4" t="n">
        <x:v>1638</x:v>
      </x:c>
      <x:c r="B1648" s="4" t="str">
        <x:v>cristo redentor brasil</x:v>
      </x:c>
      <x:c r="C1648" s="11" t="n">
        <x:v>1</x:v>
      </x:c>
      <x:c r="D1648" s="11" t="n">
        <x:v>27</x:v>
      </x:c>
      <x:c r="E1648" s="14" t="n">
        <x:v>0.037037037037037035</x:v>
      </x:c>
      <x:c r="F1648" s="12" t="n">
        <x:v>26.296296296296298</x:v>
      </x:c>
      <x:c r="G1648" s="4" t="str">
        <x:v>Sin marca literal</x:v>
      </x:c>
      <x:c r="H1648" s="11"/>
      <x:c r="I1648" s="11" t="str">
        <x:f>IF(H1648="","",C1648-H1648)</x:f>
      </x:c>
      <x:c r="J1648" s="4"/>
      <x:c r="K1648" s="4" t="str">
        <x:v>URLs de detalle page/query/country por clics. No asignan las impresiones de esta consulta a cada página.</x:v>
      </x:c>
    </x:row>
    <x:row r="1649" ht="28" customHeight="1">
      <x:c r="A1649" s="4" t="n">
        <x:v>1639</x:v>
      </x:c>
      <x:c r="B1649" s="4" t="str">
        <x:v>cual es el aeropuerto mas cercano a buenos aires</x:v>
      </x:c>
      <x:c r="C1649" s="11" t="n">
        <x:v>1</x:v>
      </x:c>
      <x:c r="D1649" s="11" t="n">
        <x:v>27</x:v>
      </x:c>
      <x:c r="E1649" s="14" t="n">
        <x:v>0.037037037037037035</x:v>
      </x:c>
      <x:c r="F1649" s="12" t="n">
        <x:v>2.148148148148148</x:v>
      </x:c>
      <x:c r="G1649" s="4" t="str">
        <x:v>Sin marca literal</x:v>
      </x:c>
      <x:c r="H1649" s="11"/>
      <x:c r="I1649" s="11" t="str">
        <x:f>IF(H1649="","",C1649-H1649)</x:f>
      </x:c>
      <x:c r="J1649" s="4"/>
      <x:c r="K1649" s="4" t="str">
        <x:v>URLs de detalle page/query/country por clics. No asignan las impresiones de esta consulta a cada página.</x:v>
      </x:c>
    </x:row>
    <x:row r="1650" ht="28" customHeight="1">
      <x:c r="A1650" s="4" t="n">
        <x:v>1640</x:v>
      </x:c>
      <x:c r="B1650" s="4" t="str">
        <x:v>cuantas horas de lima a ayacucho en bus</x:v>
      </x:c>
      <x:c r="C1650" s="11" t="n">
        <x:v>1</x:v>
      </x:c>
      <x:c r="D1650" s="11" t="n">
        <x:v>27</x:v>
      </x:c>
      <x:c r="E1650" s="14" t="n">
        <x:v>0.037037037037037035</x:v>
      </x:c>
      <x:c r="F1650" s="12" t="n">
        <x:v>6.296296296296297</x:v>
      </x:c>
      <x:c r="G1650" s="4" t="str">
        <x:v>Sin marca literal</x:v>
      </x:c>
      <x:c r="H1650" s="11"/>
      <x:c r="I1650" s="11" t="str">
        <x:f>IF(H1650="","",C1650-H1650)</x:f>
      </x:c>
      <x:c r="J1650" s="4"/>
      <x:c r="K1650" s="4" t="str">
        <x:v>URLs de detalle page/query/country por clics. No asignan las impresiones de esta consulta a cada página.</x:v>
      </x:c>
    </x:row>
    <x:row r="1651" ht="28" customHeight="1">
      <x:c r="A1651" s="4" t="n">
        <x:v>1641</x:v>
      </x:c>
      <x:c r="B1651" s="4" t="str">
        <x:v>cuál es la música tradicional de brasil</x:v>
      </x:c>
      <x:c r="C1651" s="11" t="n">
        <x:v>1</x:v>
      </x:c>
      <x:c r="D1651" s="11" t="n">
        <x:v>27</x:v>
      </x:c>
      <x:c r="E1651" s="14" t="n">
        <x:v>0.037037037037037035</x:v>
      </x:c>
      <x:c r="F1651" s="12" t="n">
        <x:v>1.9629629629629628</x:v>
      </x:c>
      <x:c r="G1651" s="4" t="str">
        <x:v>Sin marca literal</x:v>
      </x:c>
      <x:c r="H1651" s="11"/>
      <x:c r="I1651" s="11" t="str">
        <x:f>IF(H1651="","",C1651-H1651)</x:f>
      </x:c>
      <x:c r="J1651" s="4"/>
      <x:c r="K1651" s="4" t="str">
        <x:v>URLs de detalle page/query/country por clics. No asignan las impresiones de esta consulta a cada página.</x:v>
      </x:c>
    </x:row>
    <x:row r="1652" ht="28" customHeight="1">
      <x:c r="A1652" s="4" t="n">
        <x:v>1642</x:v>
      </x:c>
      <x:c r="B1652" s="4" t="str">
        <x:v>distancia entre mendoza y santiago de chile</x:v>
      </x:c>
      <x:c r="C1652" s="11" t="n">
        <x:v>1</x:v>
      </x:c>
      <x:c r="D1652" s="11" t="n">
        <x:v>27</x:v>
      </x:c>
      <x:c r="E1652" s="14" t="n">
        <x:v>0.037037037037037035</x:v>
      </x:c>
      <x:c r="F1652" s="12" t="n">
        <x:v>7</x:v>
      </x:c>
      <x:c r="G1652" s="4" t="str">
        <x:v>Sin marca literal</x:v>
      </x:c>
      <x:c r="H1652" s="11"/>
      <x:c r="I1652" s="11" t="str">
        <x:f>IF(H1652="","",C1652-H1652)</x:f>
      </x:c>
      <x:c r="J1652" s="4"/>
      <x:c r="K1652" s="4" t="str">
        <x:v>URLs de detalle page/query/country por clics. No asignan las impresiones de esta consulta a cada página.</x:v>
      </x:c>
    </x:row>
    <x:row r="1653" ht="28" customHeight="1">
      <x:c r="A1653" s="4" t="n">
        <x:v>1643</x:v>
      </x:c>
      <x:c r="B1653" s="4" t="str">
        <x:v>enchufe miami</x:v>
      </x:c>
      <x:c r="C1653" s="11" t="n">
        <x:v>1</x:v>
      </x:c>
      <x:c r="D1653" s="11" t="n">
        <x:v>27</x:v>
      </x:c>
      <x:c r="E1653" s="14" t="n">
        <x:v>0.037037037037037035</x:v>
      </x:c>
      <x:c r="F1653" s="12" t="n">
        <x:v>4.037037037037037</x:v>
      </x:c>
      <x:c r="G1653" s="4" t="str">
        <x:v>Sin marca literal</x:v>
      </x:c>
      <x:c r="H1653" s="11"/>
      <x:c r="I1653" s="11" t="str">
        <x:f>IF(H1653="","",C1653-H1653)</x:f>
      </x:c>
      <x:c r="J1653" s="4"/>
      <x:c r="K1653" s="4" t="str">
        <x:v>URLs de detalle page/query/country por clics. No asignan las impresiones de esta consulta a cada página.</x:v>
      </x:c>
    </x:row>
    <x:row r="1654" ht="28" customHeight="1">
      <x:c r="A1654" s="4" t="n">
        <x:v>1644</x:v>
      </x:c>
      <x:c r="B1654" s="4" t="str">
        <x:v>estudiar tripulante de cabina</x:v>
      </x:c>
      <x:c r="C1654" s="11" t="n">
        <x:v>1</x:v>
      </x:c>
      <x:c r="D1654" s="11" t="n">
        <x:v>27</x:v>
      </x:c>
      <x:c r="E1654" s="14" t="n">
        <x:v>0.037037037037037035</x:v>
      </x:c>
      <x:c r="F1654" s="12" t="n">
        <x:v>8.518518518518519</x:v>
      </x:c>
      <x:c r="G1654" s="4" t="str">
        <x:v>Sin marca literal</x:v>
      </x:c>
      <x:c r="H1654" s="11"/>
      <x:c r="I1654" s="11" t="str">
        <x:f>IF(H1654="","",C1654-H1654)</x:f>
      </x:c>
      <x:c r="J1654" s="4"/>
      <x:c r="K1654" s="4" t="str">
        <x:v>URLs de detalle page/query/country por clics. No asignan las impresiones de esta consulta a cada página.</x:v>
      </x:c>
    </x:row>
    <x:row r="1655" ht="28" customHeight="1">
      <x:c r="A1655" s="4" t="n">
        <x:v>1645</x:v>
      </x:c>
      <x:c r="B1655" s="4" t="str">
        <x:v>medidas maleta de mano</x:v>
      </x:c>
      <x:c r="C1655" s="11" t="n">
        <x:v>1</x:v>
      </x:c>
      <x:c r="D1655" s="11" t="n">
        <x:v>27</x:v>
      </x:c>
      <x:c r="E1655" s="14" t="n">
        <x:v>0.037037037037037035</x:v>
      </x:c>
      <x:c r="F1655" s="12" t="n">
        <x:v>10.666666666666666</x:v>
      </x:c>
      <x:c r="G1655" s="4" t="str">
        <x:v>Sin marca literal</x:v>
      </x:c>
      <x:c r="H1655" s="11"/>
      <x:c r="I1655" s="11" t="str">
        <x:f>IF(H1655="","",C1655-H1655)</x:f>
      </x:c>
      <x:c r="J1655" s="4"/>
      <x:c r="K1655" s="4" t="str">
        <x:v>URLs de detalle page/query/country por clics. No asignan las impresiones de esta consulta a cada página.</x:v>
      </x:c>
    </x:row>
    <x:row r="1656" ht="28" customHeight="1">
      <x:c r="A1656" s="4" t="n">
        <x:v>1646</x:v>
      </x:c>
      <x:c r="B1656" s="4" t="str">
        <x:v>mejor fecha para viajar a tarapoto</x:v>
      </x:c>
      <x:c r="C1656" s="11" t="n">
        <x:v>1</x:v>
      </x:c>
      <x:c r="D1656" s="11" t="n">
        <x:v>27</x:v>
      </x:c>
      <x:c r="E1656" s="14" t="n">
        <x:v>0.037037037037037035</x:v>
      </x:c>
      <x:c r="F1656" s="12" t="n">
        <x:v>3.925925925925926</x:v>
      </x:c>
      <x:c r="G1656" s="4" t="str">
        <x:v>Sin marca literal</x:v>
      </x:c>
      <x:c r="H1656" s="11"/>
      <x:c r="I1656" s="11" t="str">
        <x:f>IF(H1656="","",C1656-H1656)</x:f>
      </x:c>
      <x:c r="J1656" s="4"/>
      <x:c r="K1656" s="4" t="str">
        <x:v>URLs de detalle page/query/country por clics. No asignan las impresiones de esta consulta a cada página.</x:v>
      </x:c>
    </x:row>
    <x:row r="1657" ht="28" customHeight="1">
      <x:c r="A1657" s="4" t="n">
        <x:v>1647</x:v>
      </x:c>
      <x:c r="B1657" s="4" t="str">
        <x:v>parques acuaticos miami</x:v>
      </x:c>
      <x:c r="C1657" s="11" t="n">
        <x:v>1</x:v>
      </x:c>
      <x:c r="D1657" s="11" t="n">
        <x:v>27</x:v>
      </x:c>
      <x:c r="E1657" s="14" t="n">
        <x:v>0.037037037037037035</x:v>
      </x:c>
      <x:c r="F1657" s="12" t="n">
        <x:v>8.962962962962962</x:v>
      </x:c>
      <x:c r="G1657" s="4" t="str">
        <x:v>Sin marca literal</x:v>
      </x:c>
      <x:c r="H1657" s="11"/>
      <x:c r="I1657" s="11" t="str">
        <x:f>IF(H1657="","",C1657-H1657)</x:f>
      </x:c>
      <x:c r="J1657" s="4"/>
      <x:c r="K1657" s="4" t="str">
        <x:v>URLs de detalle page/query/country por clics. No asignan las impresiones de esta consulta a cada página.</x:v>
      </x:c>
    </x:row>
    <x:row r="1658" ht="28" customHeight="1">
      <x:c r="A1658" s="4" t="n">
        <x:v>1648</x:v>
      </x:c>
      <x:c r="B1658" s="4" t="str">
        <x:v>que vacuna hay que ponerse para ir a brasil</x:v>
      </x:c>
      <x:c r="C1658" s="11" t="n">
        <x:v>1</x:v>
      </x:c>
      <x:c r="D1658" s="11" t="n">
        <x:v>27</x:v>
      </x:c>
      <x:c r="E1658" s="14" t="n">
        <x:v>0.037037037037037035</x:v>
      </x:c>
      <x:c r="F1658" s="12" t="n">
        <x:v>7.851851851851852</x:v>
      </x:c>
      <x:c r="G1658" s="4" t="str">
        <x:v>Sin marca literal</x:v>
      </x:c>
      <x:c r="H1658" s="11"/>
      <x:c r="I1658" s="11" t="str">
        <x:f>IF(H1658="","",C1658-H1658)</x:f>
      </x:c>
      <x:c r="J1658" s="4"/>
      <x:c r="K1658" s="4" t="str">
        <x:v>URLs de detalle page/query/country por clics. No asignan las impresiones de esta consulta a cada página.</x:v>
      </x:c>
    </x:row>
    <x:row r="1659" ht="28" customHeight="1">
      <x:c r="A1659" s="4" t="n">
        <x:v>1649</x:v>
      </x:c>
      <x:c r="B1659" s="4" t="str">
        <x:v>se puede cambiar el nombre de un pasaje de avion</x:v>
      </x:c>
      <x:c r="C1659" s="11" t="n">
        <x:v>1</x:v>
      </x:c>
      <x:c r="D1659" s="11" t="n">
        <x:v>27</x:v>
      </x:c>
      <x:c r="E1659" s="14" t="n">
        <x:v>0.037037037037037035</x:v>
      </x:c>
      <x:c r="F1659" s="12" t="n">
        <x:v>7.962962962962963</x:v>
      </x:c>
      <x:c r="G1659" s="4" t="str">
        <x:v>Sin marca literal</x:v>
      </x:c>
      <x:c r="H1659" s="11"/>
      <x:c r="I1659" s="11" t="str">
        <x:f>IF(H1659="","",C1659-H1659)</x:f>
      </x:c>
      <x:c r="J1659" s="4"/>
      <x:c r="K1659" s="4" t="str">
        <x:v>URLs de detalle page/query/country por clics. No asignan las impresiones de esta consulta a cada página.</x:v>
      </x:c>
    </x:row>
    <x:row r="1660" ht="28" customHeight="1">
      <x:c r="A1660" s="4" t="n">
        <x:v>1650</x:v>
      </x:c>
      <x:c r="B1660" s="4" t="str">
        <x:v>se puede llevar maquillaje en el equipaje de mano latam</x:v>
      </x:c>
      <x:c r="C1660" s="11" t="n">
        <x:v>1</x:v>
      </x:c>
      <x:c r="D1660" s="11" t="n">
        <x:v>27</x:v>
      </x:c>
      <x:c r="E1660" s="14" t="n">
        <x:v>0.037037037037037035</x:v>
      </x:c>
      <x:c r="F1660" s="12" t="n">
        <x:v>8.703703703703702</x:v>
      </x:c>
      <x:c r="G1660" s="4" t="str">
        <x:v>Sin marca literal</x:v>
      </x:c>
      <x:c r="H1660" s="11"/>
      <x:c r="I1660" s="11" t="str">
        <x:f>IF(H1660="","",C1660-H1660)</x:f>
      </x:c>
      <x:c r="J1660" s="4"/>
      <x:c r="K1660" s="4" t="str">
        <x:v>URLs de detalle page/query/country por clics. No asignan las impresiones de esta consulta a cada página.</x:v>
      </x:c>
    </x:row>
    <x:row r="1661" ht="28" customHeight="1">
      <x:c r="A1661" s="4" t="n">
        <x:v>1651</x:v>
      </x:c>
      <x:c r="B1661" s="4" t="str">
        <x:v>sky azafatas</x:v>
      </x:c>
      <x:c r="C1661" s="11" t="n">
        <x:v>1</x:v>
      </x:c>
      <x:c r="D1661" s="11" t="n">
        <x:v>27</x:v>
      </x:c>
      <x:c r="E1661" s="14" t="n">
        <x:v>0.037037037037037035</x:v>
      </x:c>
      <x:c r="F1661" s="12" t="n">
        <x:v>8.518518518518519</x:v>
      </x:c>
      <x:c r="G1661" s="4" t="str">
        <x:v>Sin marca literal</x:v>
      </x:c>
      <x:c r="H1661" s="11"/>
      <x:c r="I1661" s="11" t="str">
        <x:f>IF(H1661="","",C1661-H1661)</x:f>
      </x:c>
      <x:c r="J1661" s="4"/>
      <x:c r="K1661" s="4" t="str">
        <x:v>URLs de detalle page/query/country por clics. No asignan las impresiones de esta consulta a cada página.</x:v>
      </x:c>
    </x:row>
    <x:row r="1662" ht="28" customHeight="1">
      <x:c r="A1662" s="4" t="n">
        <x:v>1652</x:v>
      </x:c>
      <x:c r="B1662" s="4" t="str">
        <x:v>sky bebe</x:v>
      </x:c>
      <x:c r="C1662" s="11" t="n">
        <x:v>1</x:v>
      </x:c>
      <x:c r="D1662" s="11" t="n">
        <x:v>27</x:v>
      </x:c>
      <x:c r="E1662" s="14" t="n">
        <x:v>0.037037037037037035</x:v>
      </x:c>
      <x:c r="F1662" s="12" t="n">
        <x:v>4.962962962962963</x:v>
      </x:c>
      <x:c r="G1662" s="4" t="str">
        <x:v>Sin marca literal</x:v>
      </x:c>
      <x:c r="H1662" s="11"/>
      <x:c r="I1662" s="11" t="str">
        <x:f>IF(H1662="","",C1662-H1662)</x:f>
      </x:c>
      <x:c r="J1662" s="4"/>
      <x:c r="K1662" s="4" t="str">
        <x:v>URLs de detalle page/query/country por clics. No asignan las impresiones de esta consulta a cada página.</x:v>
      </x:c>
    </x:row>
    <x:row r="1663" ht="28" customHeight="1">
      <x:c r="A1663" s="4" t="n">
        <x:v>1653</x:v>
      </x:c>
      <x:c r="B1663" s="4" t="str">
        <x:v>skypluss</x:v>
      </x:c>
      <x:c r="C1663" s="11" t="n">
        <x:v>1</x:v>
      </x:c>
      <x:c r="D1663" s="11" t="n">
        <x:v>27</x:v>
      </x:c>
      <x:c r="E1663" s="14" t="n">
        <x:v>0.037037037037037035</x:v>
      </x:c>
      <x:c r="F1663" s="12" t="n">
        <x:v>4.7407407407407405</x:v>
      </x:c>
      <x:c r="G1663" s="4" t="str">
        <x:v>Sin marca literal</x:v>
      </x:c>
      <x:c r="H1663" s="11"/>
      <x:c r="I1663" s="11" t="str">
        <x:f>IF(H1663="","",C1663-H1663)</x:f>
      </x:c>
      <x:c r="J1663" s="4"/>
      <x:c r="K1663" s="4" t="str">
        <x:v>URLs de detalle page/query/country por clics. No asignan las impresiones de esta consulta a cada página.</x:v>
      </x:c>
    </x:row>
    <x:row r="1664" ht="28" customHeight="1">
      <x:c r="A1664" s="4" t="n">
        <x:v>1654</x:v>
      </x:c>
      <x:c r="B1664" s="4" t="str">
        <x:v>sur argentina turismo</x:v>
      </x:c>
      <x:c r="C1664" s="11" t="n">
        <x:v>1</x:v>
      </x:c>
      <x:c r="D1664" s="11" t="n">
        <x:v>27</x:v>
      </x:c>
      <x:c r="E1664" s="14" t="n">
        <x:v>0.037037037037037035</x:v>
      </x:c>
      <x:c r="F1664" s="12" t="n">
        <x:v>5.296296296296297</x:v>
      </x:c>
      <x:c r="G1664" s="4" t="str">
        <x:v>Sin marca literal</x:v>
      </x:c>
      <x:c r="H1664" s="11"/>
      <x:c r="I1664" s="11" t="str">
        <x:f>IF(H1664="","",C1664-H1664)</x:f>
      </x:c>
      <x:c r="J1664" s="4"/>
      <x:c r="K1664" s="4" t="str">
        <x:v>URLs de detalle page/query/country por clics. No asignan las impresiones de esta consulta a cada página.</x:v>
      </x:c>
    </x:row>
    <x:row r="1665" ht="28" customHeight="1">
      <x:c r="A1665" s="4" t="n">
        <x:v>1655</x:v>
      </x:c>
      <x:c r="B1665" s="4" t="str">
        <x:v>termas de lonquimay</x:v>
      </x:c>
      <x:c r="C1665" s="11" t="n">
        <x:v>1</x:v>
      </x:c>
      <x:c r="D1665" s="11" t="n">
        <x:v>27</x:v>
      </x:c>
      <x:c r="E1665" s="14" t="n">
        <x:v>0.037037037037037035</x:v>
      </x:c>
      <x:c r="F1665" s="12" t="n">
        <x:v>7.333333333333333</x:v>
      </x:c>
      <x:c r="G1665" s="4" t="str">
        <x:v>Sin marca literal</x:v>
      </x:c>
      <x:c r="H1665" s="11"/>
      <x:c r="I1665" s="11" t="str">
        <x:f>IF(H1665="","",C1665-H1665)</x:f>
      </x:c>
      <x:c r="J1665" s="4"/>
      <x:c r="K1665" s="4" t="str">
        <x:v>URLs de detalle page/query/country por clics. No asignan las impresiones de esta consulta a cada página.</x:v>
      </x:c>
    </x:row>
    <x:row r="1666" ht="28" customHeight="1">
      <x:c r="A1666" s="4" t="n">
        <x:v>1656</x:v>
      </x:c>
      <x:c r="B1666" s="4" t="str">
        <x:v>avion sky por dentro</x:v>
      </x:c>
      <x:c r="C1666" s="11" t="n">
        <x:v>1</x:v>
      </x:c>
      <x:c r="D1666" s="11" t="n">
        <x:v>26</x:v>
      </x:c>
      <x:c r="E1666" s="14" t="n">
        <x:v>0.038461538461538464</x:v>
      </x:c>
      <x:c r="F1666" s="12" t="n">
        <x:v>2.3846153846153846</x:v>
      </x:c>
      <x:c r="G1666" s="4" t="str">
        <x:v>Sin marca literal</x:v>
      </x:c>
      <x:c r="H1666" s="11"/>
      <x:c r="I1666" s="11" t="str">
        <x:f>IF(H1666="","",C1666-H1666)</x:f>
      </x:c>
      <x:c r="J1666" s="4"/>
      <x:c r="K1666" s="4" t="str">
        <x:v>URLs de detalle page/query/country por clics. No asignan las impresiones de esta consulta a cada página.</x:v>
      </x:c>
    </x:row>
    <x:row r="1667" ht="28" customHeight="1">
      <x:c r="A1667" s="4" t="n">
        <x:v>1657</x:v>
      </x:c>
      <x:c r="B1667" s="4" t="str">
        <x:v>bolso de mano medidas</x:v>
      </x:c>
      <x:c r="C1667" s="11" t="n">
        <x:v>1</x:v>
      </x:c>
      <x:c r="D1667" s="11" t="n">
        <x:v>26</x:v>
      </x:c>
      <x:c r="E1667" s="14" t="n">
        <x:v>0.038461538461538464</x:v>
      </x:c>
      <x:c r="F1667" s="12" t="n">
        <x:v>8.038461538461538</x:v>
      </x:c>
      <x:c r="G1667" s="4" t="str">
        <x:v>Sin marca literal</x:v>
      </x:c>
      <x:c r="H1667" s="11"/>
      <x:c r="I1667" s="11" t="str">
        <x:f>IF(H1667="","",C1667-H1667)</x:f>
      </x:c>
      <x:c r="J1667" s="4"/>
      <x:c r="K1667" s="4" t="str">
        <x:v>URLs de detalle page/query/country por clics. No asignan las impresiones de esta consulta a cada página.</x:v>
      </x:c>
    </x:row>
    <x:row r="1668" ht="28" customHeight="1">
      <x:c r="A1668" s="4" t="n">
        <x:v>1658</x:v>
      </x:c>
      <x:c r="B1668" s="4" t="str">
        <x:v>castro aeropuerto</x:v>
      </x:c>
      <x:c r="C1668" s="11" t="n">
        <x:v>1</x:v>
      </x:c>
      <x:c r="D1668" s="11" t="n">
        <x:v>26</x:v>
      </x:c>
      <x:c r="E1668" s="14" t="n">
        <x:v>0.038461538461538464</x:v>
      </x:c>
      <x:c r="F1668" s="12" t="n">
        <x:v>6.038461538461538</x:v>
      </x:c>
      <x:c r="G1668" s="4" t="str">
        <x:v>Sin marca literal</x:v>
      </x:c>
      <x:c r="H1668" s="11"/>
      <x:c r="I1668" s="11" t="str">
        <x:f>IF(H1668="","",C1668-H1668)</x:f>
      </x:c>
      <x:c r="J1668" s="4"/>
      <x:c r="K1668" s="4" t="str">
        <x:v>URLs de detalle page/query/country por clics. No asignan las impresiones de esta consulta a cada página.</x:v>
      </x:c>
    </x:row>
    <x:row r="1669" ht="28" customHeight="1">
      <x:c r="A1669" s="4" t="n">
        <x:v>1659</x:v>
      </x:c>
      <x:c r="B1669" s="4" t="str">
        <x:v>cuanto se hace de punta cana a santo domingo</x:v>
      </x:c>
      <x:c r="C1669" s="11" t="n">
        <x:v>1</x:v>
      </x:c>
      <x:c r="D1669" s="11" t="n">
        <x:v>26</x:v>
      </x:c>
      <x:c r="E1669" s="14" t="n">
        <x:v>0.038461538461538464</x:v>
      </x:c>
      <x:c r="F1669" s="12" t="n">
        <x:v>6.730769230769231</x:v>
      </x:c>
      <x:c r="G1669" s="4" t="str">
        <x:v>Sin marca literal</x:v>
      </x:c>
      <x:c r="H1669" s="11"/>
      <x:c r="I1669" s="11" t="str">
        <x:f>IF(H1669="","",C1669-H1669)</x:f>
      </x:c>
      <x:c r="J1669" s="4"/>
      <x:c r="K1669" s="4" t="str">
        <x:v>URLs de detalle page/query/country por clics. No asignan las impresiones de esta consulta a cada página.</x:v>
      </x:c>
    </x:row>
    <x:row r="1670" ht="28" customHeight="1">
      <x:c r="A1670" s="4" t="n">
        <x:v>1660</x:v>
      </x:c>
      <x:c r="B1670" s="4" t="str">
        <x:v>cuantos aeropuertos hay en argentina</x:v>
      </x:c>
      <x:c r="C1670" s="11" t="n">
        <x:v>1</x:v>
      </x:c>
      <x:c r="D1670" s="11" t="n">
        <x:v>26</x:v>
      </x:c>
      <x:c r="E1670" s="14" t="n">
        <x:v>0.038461538461538464</x:v>
      </x:c>
      <x:c r="F1670" s="12" t="n">
        <x:v>3.269230769230769</x:v>
      </x:c>
      <x:c r="G1670" s="4" t="str">
        <x:v>Sin marca literal</x:v>
      </x:c>
      <x:c r="H1670" s="11"/>
      <x:c r="I1670" s="11" t="str">
        <x:f>IF(H1670="","",C1670-H1670)</x:f>
      </x:c>
      <x:c r="J1670" s="4"/>
      <x:c r="K1670" s="4" t="str">
        <x:v>URLs de detalle page/query/country por clics. No asignan las impresiones de esta consulta a cada página.</x:v>
      </x:c>
    </x:row>
    <x:row r="1671" ht="28" customHeight="1">
      <x:c r="A1671" s="4" t="n">
        <x:v>1661</x:v>
      </x:c>
      <x:c r="B1671" s="4" t="str">
        <x:v>el tiempo en salvador de bahía</x:v>
      </x:c>
      <x:c r="C1671" s="11" t="n">
        <x:v>1</x:v>
      </x:c>
      <x:c r="D1671" s="11" t="n">
        <x:v>26</x:v>
      </x:c>
      <x:c r="E1671" s="14" t="n">
        <x:v>0.038461538461538464</x:v>
      </x:c>
      <x:c r="F1671" s="12" t="n">
        <x:v>9.846153846153847</x:v>
      </x:c>
      <x:c r="G1671" s="4" t="str">
        <x:v>Sin marca literal</x:v>
      </x:c>
      <x:c r="H1671" s="11"/>
      <x:c r="I1671" s="11" t="str">
        <x:f>IF(H1671="","",C1671-H1671)</x:f>
      </x:c>
      <x:c r="J1671" s="4"/>
      <x:c r="K1671" s="4" t="str">
        <x:v>URLs de detalle page/query/country por clics. No asignan las impresiones de esta consulta a cada página.</x:v>
      </x:c>
    </x:row>
    <x:row r="1672" ht="28" customHeight="1">
      <x:c r="A1672" s="4" t="n">
        <x:v>1662</x:v>
      </x:c>
      <x:c r="B1672" s="4" t="str">
        <x:v>escuela de tripulantes de cabina</x:v>
      </x:c>
      <x:c r="C1672" s="11" t="n">
        <x:v>1</x:v>
      </x:c>
      <x:c r="D1672" s="11" t="n">
        <x:v>26</x:v>
      </x:c>
      <x:c r="E1672" s="14" t="n">
        <x:v>0.038461538461538464</x:v>
      </x:c>
      <x:c r="F1672" s="12" t="n">
        <x:v>8.961538461538462</x:v>
      </x:c>
      <x:c r="G1672" s="4" t="str">
        <x:v>Sin marca literal</x:v>
      </x:c>
      <x:c r="H1672" s="11"/>
      <x:c r="I1672" s="11" t="str">
        <x:f>IF(H1672="","",C1672-H1672)</x:f>
      </x:c>
      <x:c r="J1672" s="4"/>
      <x:c r="K1672" s="4" t="str">
        <x:v>URLs de detalle page/query/country por clics. No asignan las impresiones de esta consulta a cada página.</x:v>
      </x:c>
    </x:row>
    <x:row r="1673" ht="28" customHeight="1">
      <x:c r="A1673" s="4" t="n">
        <x:v>1663</x:v>
      </x:c>
      <x:c r="B1673" s="4" t="str">
        <x:v>horas de vuelo lima santiago de chile</x:v>
      </x:c>
      <x:c r="C1673" s="11" t="n">
        <x:v>1</x:v>
      </x:c>
      <x:c r="D1673" s="11" t="n">
        <x:v>26</x:v>
      </x:c>
      <x:c r="E1673" s="14" t="n">
        <x:v>0.038461538461538464</x:v>
      </x:c>
      <x:c r="F1673" s="12" t="n">
        <x:v>4.538461538461538</x:v>
      </x:c>
      <x:c r="G1673" s="4" t="str">
        <x:v>Sin marca literal</x:v>
      </x:c>
      <x:c r="H1673" s="11"/>
      <x:c r="I1673" s="11" t="str">
        <x:f>IF(H1673="","",C1673-H1673)</x:f>
      </x:c>
      <x:c r="J1673" s="4"/>
      <x:c r="K1673" s="4" t="str">
        <x:v>URLs de detalle page/query/country por clics. No asignan las impresiones de esta consulta a cada página.</x:v>
      </x:c>
    </x:row>
    <x:row r="1674" ht="28" customHeight="1">
      <x:c r="A1674" s="4" t="n">
        <x:v>1664</x:v>
      </x:c>
      <x:c r="B1674" s="4" t="str">
        <x:v>mejores playas angra dos reis continente</x:v>
      </x:c>
      <x:c r="C1674" s="11" t="n">
        <x:v>1</x:v>
      </x:c>
      <x:c r="D1674" s="11" t="n">
        <x:v>26</x:v>
      </x:c>
      <x:c r="E1674" s="14" t="n">
        <x:v>0.038461538461538464</x:v>
      </x:c>
      <x:c r="F1674" s="12" t="n">
        <x:v>8</x:v>
      </x:c>
      <x:c r="G1674" s="4" t="str">
        <x:v>Sin marca literal</x:v>
      </x:c>
      <x:c r="H1674" s="11"/>
      <x:c r="I1674" s="11" t="str">
        <x:f>IF(H1674="","",C1674-H1674)</x:f>
      </x:c>
      <x:c r="J1674" s="4"/>
      <x:c r="K1674" s="4" t="str">
        <x:v>URLs de detalle page/query/country por clics. No asignan las impresiones de esta consulta a cada página.</x:v>
      </x:c>
    </x:row>
    <x:row r="1675" ht="28" customHeight="1">
      <x:c r="A1675" s="4" t="n">
        <x:v>1665</x:v>
      </x:c>
      <x:c r="B1675" s="4" t="str">
        <x:v>para que sirve el check in</x:v>
      </x:c>
      <x:c r="C1675" s="11" t="n">
        <x:v>1</x:v>
      </x:c>
      <x:c r="D1675" s="11" t="n">
        <x:v>26</x:v>
      </x:c>
      <x:c r="E1675" s="14" t="n">
        <x:v>0.038461538461538464</x:v>
      </x:c>
      <x:c r="F1675" s="12" t="n">
        <x:v>5.961538461538462</x:v>
      </x:c>
      <x:c r="G1675" s="4" t="str">
        <x:v>Sin marca literal</x:v>
      </x:c>
      <x:c r="H1675" s="11"/>
      <x:c r="I1675" s="11" t="str">
        <x:f>IF(H1675="","",C1675-H1675)</x:f>
      </x:c>
      <x:c r="J1675" s="4"/>
      <x:c r="K1675" s="4" t="str">
        <x:v>URLs de detalle page/query/country por clics. No asignan las impresiones de esta consulta a cada página.</x:v>
      </x:c>
    </x:row>
    <x:row r="1676" ht="28" customHeight="1">
      <x:c r="A1676" s="4" t="n">
        <x:v>1666</x:v>
      </x:c>
      <x:c r="B1676" s="4" t="str">
        <x:v>playas de copiapo</x:v>
      </x:c>
      <x:c r="C1676" s="11" t="n">
        <x:v>1</x:v>
      </x:c>
      <x:c r="D1676" s="11" t="n">
        <x:v>26</x:v>
      </x:c>
      <x:c r="E1676" s="14" t="n">
        <x:v>0.038461538461538464</x:v>
      </x:c>
      <x:c r="F1676" s="12" t="n">
        <x:v>9.807692307692308</x:v>
      </x:c>
      <x:c r="G1676" s="4" t="str">
        <x:v>Sin marca literal</x:v>
      </x:c>
      <x:c r="H1676" s="11"/>
      <x:c r="I1676" s="11" t="str">
        <x:f>IF(H1676="","",C1676-H1676)</x:f>
      </x:c>
      <x:c r="J1676" s="4"/>
      <x:c r="K1676" s="4" t="str">
        <x:v>URLs de detalle page/query/country por clics. No asignan las impresiones de esta consulta a cada página.</x:v>
      </x:c>
    </x:row>
    <x:row r="1677" ht="28" customHeight="1">
      <x:c r="A1677" s="4" t="n">
        <x:v>1667</x:v>
      </x:c>
      <x:c r="B1677" s="4" t="str">
        <x:v>que dias comprar vuelos baratos</x:v>
      </x:c>
      <x:c r="C1677" s="11" t="n">
        <x:v>1</x:v>
      </x:c>
      <x:c r="D1677" s="11" t="n">
        <x:v>26</x:v>
      </x:c>
      <x:c r="E1677" s="14" t="n">
        <x:v>0.038461538461538464</x:v>
      </x:c>
      <x:c r="F1677" s="12" t="n">
        <x:v>7.5</x:v>
      </x:c>
      <x:c r="G1677" s="4" t="str">
        <x:v>Sin marca literal</x:v>
      </x:c>
      <x:c r="H1677" s="11"/>
      <x:c r="I1677" s="11" t="str">
        <x:f>IF(H1677="","",C1677-H1677)</x:f>
      </x:c>
      <x:c r="J1677" s="4"/>
      <x:c r="K1677" s="4" t="str">
        <x:v>URLs de detalle page/query/country por clics. No asignan las impresiones de esta consulta a cada página.</x:v>
      </x:c>
    </x:row>
    <x:row r="1678" ht="28" customHeight="1">
      <x:c r="A1678" s="4" t="n">
        <x:v>1668</x:v>
      </x:c>
      <x:c r="B1678" s="4" t="str">
        <x:v>que tengo que estudiar para ser azafata</x:v>
      </x:c>
      <x:c r="C1678" s="11" t="n">
        <x:v>1</x:v>
      </x:c>
      <x:c r="D1678" s="11" t="n">
        <x:v>26</x:v>
      </x:c>
      <x:c r="E1678" s="14" t="n">
        <x:v>0.038461538461538464</x:v>
      </x:c>
      <x:c r="F1678" s="12" t="n">
        <x:v>5.615384615384615</x:v>
      </x:c>
      <x:c r="G1678" s="4" t="str">
        <x:v>Sin marca literal</x:v>
      </x:c>
      <x:c r="H1678" s="11"/>
      <x:c r="I1678" s="11" t="str">
        <x:f>IF(H1678="","",C1678-H1678)</x:f>
      </x:c>
      <x:c r="J1678" s="4"/>
      <x:c r="K1678" s="4" t="str">
        <x:v>URLs de detalle page/query/country por clics. No asignan las impresiones de esta consulta a cada página.</x:v>
      </x:c>
    </x:row>
    <x:row r="1679" ht="28" customHeight="1">
      <x:c r="A1679" s="4" t="n">
        <x:v>1669</x:v>
      </x:c>
      <x:c r="B1679" s="4" t="str">
        <x:v>ser azafata en chile</x:v>
      </x:c>
      <x:c r="C1679" s="11" t="n">
        <x:v>1</x:v>
      </x:c>
      <x:c r="D1679" s="11" t="n">
        <x:v>26</x:v>
      </x:c>
      <x:c r="E1679" s="14" t="n">
        <x:v>0.038461538461538464</x:v>
      </x:c>
      <x:c r="F1679" s="12" t="n">
        <x:v>9.192307692307692</x:v>
      </x:c>
      <x:c r="G1679" s="4" t="str">
        <x:v>Sin marca literal</x:v>
      </x:c>
      <x:c r="H1679" s="11"/>
      <x:c r="I1679" s="11" t="str">
        <x:f>IF(H1679="","",C1679-H1679)</x:f>
      </x:c>
      <x:c r="J1679" s="4"/>
      <x:c r="K1679" s="4" t="str">
        <x:v>URLs de detalle page/query/country por clics. No asignan las impresiones de esta consulta a cada página.</x:v>
      </x:c>
    </x:row>
    <x:row r="1680" ht="28" customHeight="1">
      <x:c r="A1680" s="4" t="n">
        <x:v>1670</x:v>
      </x:c>
      <x:c r="B1680" s="4" t="str">
        <x:v>termas en el cajon del maipo</x:v>
      </x:c>
      <x:c r="C1680" s="11" t="n">
        <x:v>1</x:v>
      </x:c>
      <x:c r="D1680" s="11" t="n">
        <x:v>26</x:v>
      </x:c>
      <x:c r="E1680" s="14" t="n">
        <x:v>0.038461538461538464</x:v>
      </x:c>
      <x:c r="F1680" s="12" t="n">
        <x:v>10.615384615384615</x:v>
      </x:c>
      <x:c r="G1680" s="4" t="str">
        <x:v>Sin marca literal</x:v>
      </x:c>
      <x:c r="H1680" s="11"/>
      <x:c r="I1680" s="11" t="str">
        <x:f>IF(H1680="","",C1680-H1680)</x:f>
      </x:c>
      <x:c r="J1680" s="4"/>
      <x:c r="K1680" s="4" t="str">
        <x:v>URLs de detalle page/query/country por clics. No asignan las impresiones de esta consulta a cada página.</x:v>
      </x:c>
    </x:row>
    <x:row r="1681" ht="28" customHeight="1">
      <x:c r="A1681" s="4" t="n">
        <x:v>1671</x:v>
      </x:c>
      <x:c r="B1681" s="4" t="str">
        <x:v>tripulante de cabina donde estudiar</x:v>
      </x:c>
      <x:c r="C1681" s="11" t="n">
        <x:v>1</x:v>
      </x:c>
      <x:c r="D1681" s="11" t="n">
        <x:v>26</x:v>
      </x:c>
      <x:c r="E1681" s="14" t="n">
        <x:v>0.038461538461538464</x:v>
      </x:c>
      <x:c r="F1681" s="12" t="n">
        <x:v>9.615384615384615</x:v>
      </x:c>
      <x:c r="G1681" s="4" t="str">
        <x:v>Sin marca literal</x:v>
      </x:c>
      <x:c r="H1681" s="11"/>
      <x:c r="I1681" s="11" t="str">
        <x:f>IF(H1681="","",C1681-H1681)</x:f>
      </x:c>
      <x:c r="J1681" s="4"/>
      <x:c r="K1681" s="4" t="str">
        <x:v>URLs de detalle page/query/country por clics. No asignan las impresiones de esta consulta a cada página.</x:v>
      </x:c>
    </x:row>
    <x:row r="1682" ht="28" customHeight="1">
      <x:c r="A1682" s="4" t="n">
        <x:v>1672</x:v>
      </x:c>
      <x:c r="B1682" s="4" t="str">
        <x:v>aeropuerto cercano a pucon</x:v>
      </x:c>
      <x:c r="C1682" s="11" t="n">
        <x:v>1</x:v>
      </x:c>
      <x:c r="D1682" s="11" t="n">
        <x:v>25</x:v>
      </x:c>
      <x:c r="E1682" s="14" t="n">
        <x:v>0.04</x:v>
      </x:c>
      <x:c r="F1682" s="12" t="n">
        <x:v>1.6400000000000001</x:v>
      </x:c>
      <x:c r="G1682" s="4" t="str">
        <x:v>Sin marca literal</x:v>
      </x:c>
      <x:c r="H1682" s="11"/>
      <x:c r="I1682" s="11" t="str">
        <x:f>IF(H1682="","",C1682-H1682)</x:f>
      </x:c>
      <x:c r="J1682" s="4"/>
      <x:c r="K1682" s="4" t="str">
        <x:v>URLs de detalle page/query/country por clics. No asignan las impresiones de esta consulta a cada página.</x:v>
      </x:c>
    </x:row>
    <x:row r="1683" ht="28" customHeight="1">
      <x:c r="A1683" s="4" t="n">
        <x:v>1673</x:v>
      </x:c>
      <x:c r="B1683" s="4" t="str">
        <x:v>airbus a321neo sky</x:v>
      </x:c>
      <x:c r="C1683" s="11" t="n">
        <x:v>1</x:v>
      </x:c>
      <x:c r="D1683" s="11" t="n">
        <x:v>25</x:v>
      </x:c>
      <x:c r="E1683" s="14" t="n">
        <x:v>0.04</x:v>
      </x:c>
      <x:c r="F1683" s="12" t="n">
        <x:v>2.4</x:v>
      </x:c>
      <x:c r="G1683" s="4" t="str">
        <x:v>Sin marca literal</x:v>
      </x:c>
      <x:c r="H1683" s="11"/>
      <x:c r="I1683" s="11" t="str">
        <x:f>IF(H1683="","",C1683-H1683)</x:f>
      </x:c>
      <x:c r="J1683" s="4"/>
      <x:c r="K1683" s="4" t="str">
        <x:v>URLs de detalle page/query/country por clics. No asignan las impresiones de esta consulta a cada página.</x:v>
      </x:c>
    </x:row>
    <x:row r="1684" ht="28" customHeight="1">
      <x:c r="A1684" s="4" t="n">
        <x:v>1674</x:v>
      </x:c>
      <x:c r="B1684" s="4" t="str">
        <x:v>azafata requisitos</x:v>
      </x:c>
      <x:c r="C1684" s="11" t="n">
        <x:v>1</x:v>
      </x:c>
      <x:c r="D1684" s="11" t="n">
        <x:v>25</x:v>
      </x:c>
      <x:c r="E1684" s="14" t="n">
        <x:v>0.04</x:v>
      </x:c>
      <x:c r="F1684" s="12" t="n">
        <x:v>5.68</x:v>
      </x:c>
      <x:c r="G1684" s="4" t="str">
        <x:v>Sin marca literal</x:v>
      </x:c>
      <x:c r="H1684" s="11"/>
      <x:c r="I1684" s="11" t="str">
        <x:f>IF(H1684="","",C1684-H1684)</x:f>
      </x:c>
      <x:c r="J1684" s="4"/>
      <x:c r="K1684" s="4" t="str">
        <x:v>URLs de detalle page/query/country por clics. No asignan las impresiones de esta consulta a cada página.</x:v>
      </x:c>
    </x:row>
    <x:row r="1685" ht="28" customHeight="1">
      <x:c r="A1685" s="4" t="n">
        <x:v>1675</x:v>
      </x:c>
      <x:c r="B1685" s="4" t="str">
        <x:v>bailes tipicos peruanos</x:v>
      </x:c>
      <x:c r="C1685" s="11" t="n">
        <x:v>1</x:v>
      </x:c>
      <x:c r="D1685" s="11" t="n">
        <x:v>25</x:v>
      </x:c>
      <x:c r="E1685" s="14" t="n">
        <x:v>0.04</x:v>
      </x:c>
      <x:c r="F1685" s="12" t="n">
        <x:v>4.96</x:v>
      </x:c>
      <x:c r="G1685" s="4" t="str">
        <x:v>Sin marca literal</x:v>
      </x:c>
      <x:c r="H1685" s="11"/>
      <x:c r="I1685" s="11" t="str">
        <x:f>IF(H1685="","",C1685-H1685)</x:f>
      </x:c>
      <x:c r="J1685" s="4"/>
      <x:c r="K1685" s="4" t="str">
        <x:v>URLs de detalle page/query/country por clics. No asignan las impresiones de esta consulta a cada página.</x:v>
      </x:c>
    </x:row>
    <x:row r="1686" ht="28" customHeight="1">
      <x:c r="A1686" s="4" t="n">
        <x:v>1676</x:v>
      </x:c>
      <x:c r="B1686" s="4" t="str">
        <x:v>barrio caminito</x:v>
      </x:c>
      <x:c r="C1686" s="11" t="n">
        <x:v>1</x:v>
      </x:c>
      <x:c r="D1686" s="11" t="n">
        <x:v>25</x:v>
      </x:c>
      <x:c r="E1686" s="14" t="n">
        <x:v>0.04</x:v>
      </x:c>
      <x:c r="F1686" s="12" t="n">
        <x:v>9.44</x:v>
      </x:c>
      <x:c r="G1686" s="4" t="str">
        <x:v>Sin marca literal</x:v>
      </x:c>
      <x:c r="H1686" s="11"/>
      <x:c r="I1686" s="11" t="str">
        <x:f>IF(H1686="","",C1686-H1686)</x:f>
      </x:c>
      <x:c r="J1686" s="4"/>
      <x:c r="K1686" s="4" t="str">
        <x:v>URLs de detalle page/query/country por clics. No asignan las impresiones de esta consulta a cada página.</x:v>
      </x:c>
    </x:row>
    <x:row r="1687" ht="28" customHeight="1">
      <x:c r="A1687" s="4" t="n">
        <x:v>1677</x:v>
      </x:c>
      <x:c r="B1687" s="4" t="str">
        <x:v>beto carrero world brasil</x:v>
      </x:c>
      <x:c r="C1687" s="11" t="n">
        <x:v>1</x:v>
      </x:c>
      <x:c r="D1687" s="11" t="n">
        <x:v>25</x:v>
      </x:c>
      <x:c r="E1687" s="14" t="n">
        <x:v>0.04</x:v>
      </x:c>
      <x:c r="F1687" s="12" t="n">
        <x:v>9.24</x:v>
      </x:c>
      <x:c r="G1687" s="4" t="str">
        <x:v>Sin marca literal</x:v>
      </x:c>
      <x:c r="H1687" s="11"/>
      <x:c r="I1687" s="11" t="str">
        <x:f>IF(H1687="","",C1687-H1687)</x:f>
      </x:c>
      <x:c r="J1687" s="4"/>
      <x:c r="K1687" s="4" t="str">
        <x:v>URLs de detalle page/query/country por clics. No asignan las impresiones de esta consulta a cada página.</x:v>
      </x:c>
    </x:row>
    <x:row r="1688" ht="28" customHeight="1">
      <x:c r="A1688" s="4" t="n">
        <x:v>1678</x:v>
      </x:c>
      <x:c r="B1688" s="4" t="str">
        <x:v>cuando empiezan las estaciones del año</x:v>
      </x:c>
      <x:c r="C1688" s="11" t="n">
        <x:v>1</x:v>
      </x:c>
      <x:c r="D1688" s="11" t="n">
        <x:v>25</x:v>
      </x:c>
      <x:c r="E1688" s="14" t="n">
        <x:v>0.04</x:v>
      </x:c>
      <x:c r="F1688" s="12" t="n">
        <x:v>6.56</x:v>
      </x:c>
      <x:c r="G1688" s="4" t="str">
        <x:v>Sin marca literal</x:v>
      </x:c>
      <x:c r="H1688" s="11"/>
      <x:c r="I1688" s="11" t="str">
        <x:f>IF(H1688="","",C1688-H1688)</x:f>
      </x:c>
      <x:c r="J1688" s="4"/>
      <x:c r="K1688" s="4" t="str">
        <x:v>URLs de detalle page/query/country por clics. No asignan las impresiones de esta consulta a cada página.</x:v>
      </x:c>
    </x:row>
    <x:row r="1689" ht="28" customHeight="1">
      <x:c r="A1689" s="4" t="n">
        <x:v>1679</x:v>
      </x:c>
      <x:c r="B1689" s="4" t="str">
        <x:v>cuanto dura un vuelo de peru a chile</x:v>
      </x:c>
      <x:c r="C1689" s="11" t="n">
        <x:v>1</x:v>
      </x:c>
      <x:c r="D1689" s="11" t="n">
        <x:v>25</x:v>
      </x:c>
      <x:c r="E1689" s="14" t="n">
        <x:v>0.04</x:v>
      </x:c>
      <x:c r="F1689" s="12" t="n">
        <x:v>3.56</x:v>
      </x:c>
      <x:c r="G1689" s="4" t="str">
        <x:v>Sin marca literal</x:v>
      </x:c>
      <x:c r="H1689" s="11"/>
      <x:c r="I1689" s="11" t="str">
        <x:f>IF(H1689="","",C1689-H1689)</x:f>
      </x:c>
      <x:c r="J1689" s="4"/>
      <x:c r="K1689" s="4" t="str">
        <x:v>URLs de detalle page/query/country por clics. No asignan las impresiones de esta consulta a cada página.</x:v>
      </x:c>
    </x:row>
    <x:row r="1690" ht="28" customHeight="1">
      <x:c r="A1690" s="4" t="n">
        <x:v>1680</x:v>
      </x:c>
      <x:c r="B1690" s="4" t="str">
        <x:v>cuántos aeropuertos hay en buenos aires argentina</x:v>
      </x:c>
      <x:c r="C1690" s="11" t="n">
        <x:v>1</x:v>
      </x:c>
      <x:c r="D1690" s="11" t="n">
        <x:v>25</x:v>
      </x:c>
      <x:c r="E1690" s="14" t="n">
        <x:v>0.04</x:v>
      </x:c>
      <x:c r="F1690" s="12" t="n">
        <x:v>3.64</x:v>
      </x:c>
      <x:c r="G1690" s="4" t="str">
        <x:v>Sin marca literal</x:v>
      </x:c>
      <x:c r="H1690" s="11"/>
      <x:c r="I1690" s="11" t="str">
        <x:f>IF(H1690="","",C1690-H1690)</x:f>
      </x:c>
      <x:c r="J1690" s="4"/>
      <x:c r="K1690" s="4" t="str">
        <x:v>URLs de detalle page/query/country por clics. No asignan las impresiones de esta consulta a cada página.</x:v>
      </x:c>
    </x:row>
    <x:row r="1691" ht="28" customHeight="1">
      <x:c r="A1691" s="4" t="n">
        <x:v>1681</x:v>
      </x:c>
      <x:c r="B1691" s="4" t="str">
        <x:v>donde comprar en chile</x:v>
      </x:c>
      <x:c r="C1691" s="11" t="n">
        <x:v>1</x:v>
      </x:c>
      <x:c r="D1691" s="11" t="n">
        <x:v>25</x:v>
      </x:c>
      <x:c r="E1691" s="14" t="n">
        <x:v>0.04</x:v>
      </x:c>
      <x:c r="F1691" s="12" t="n">
        <x:v>8.24</x:v>
      </x:c>
      <x:c r="G1691" s="4" t="str">
        <x:v>Sin marca literal</x:v>
      </x:c>
      <x:c r="H1691" s="11"/>
      <x:c r="I1691" s="11" t="str">
        <x:f>IF(H1691="","",C1691-H1691)</x:f>
      </x:c>
      <x:c r="J1691" s="4"/>
      <x:c r="K1691" s="4" t="str">
        <x:v>URLs de detalle page/query/country por clics. No asignan las impresiones de esta consulta a cada página.</x:v>
      </x:c>
    </x:row>
    <x:row r="1692" ht="28" customHeight="1">
      <x:c r="A1692" s="4" t="n">
        <x:v>1682</x:v>
      </x:c>
      <x:c r="B1692" s="4" t="str">
        <x:v>es nacional</x:v>
      </x:c>
      <x:c r="C1692" s="11" t="n">
        <x:v>1</x:v>
      </x:c>
      <x:c r="D1692" s="11" t="n">
        <x:v>25</x:v>
      </x:c>
      <x:c r="E1692" s="14" t="n">
        <x:v>0.04</x:v>
      </x:c>
      <x:c r="F1692" s="12" t="n">
        <x:v>3.16</x:v>
      </x:c>
      <x:c r="G1692" s="4" t="str">
        <x:v>Sin marca literal</x:v>
      </x:c>
      <x:c r="H1692" s="11"/>
      <x:c r="I1692" s="11" t="str">
        <x:f>IF(H1692="","",C1692-H1692)</x:f>
      </x:c>
      <x:c r="J1692" s="4"/>
      <x:c r="K1692" s="4" t="str">
        <x:v>URLs de detalle page/query/country por clics. No asignan las impresiones de esta consulta a cada página.</x:v>
      </x:c>
    </x:row>
    <x:row r="1693" ht="28" customHeight="1">
      <x:c r="A1693" s="4" t="n">
        <x:v>1683</x:v>
      </x:c>
      <x:c r="B1693" s="4" t="str">
        <x:v>musica tradicional brasileña</x:v>
      </x:c>
      <x:c r="C1693" s="11" t="n">
        <x:v>1</x:v>
      </x:c>
      <x:c r="D1693" s="11" t="n">
        <x:v>25</x:v>
      </x:c>
      <x:c r="E1693" s="14" t="n">
        <x:v>0.04</x:v>
      </x:c>
      <x:c r="F1693" s="12" t="n">
        <x:v>2.6799999999999997</x:v>
      </x:c>
      <x:c r="G1693" s="4" t="str">
        <x:v>Sin marca literal</x:v>
      </x:c>
      <x:c r="H1693" s="11"/>
      <x:c r="I1693" s="11" t="str">
        <x:f>IF(H1693="","",C1693-H1693)</x:f>
      </x:c>
      <x:c r="J1693" s="4"/>
      <x:c r="K1693" s="4" t="str">
        <x:v>URLs de detalle page/query/country por clics. No asignan las impresiones de esta consulta a cada página.</x:v>
      </x:c>
    </x:row>
    <x:row r="1694" ht="28" customHeight="1">
      <x:c r="A1694" s="4" t="n">
        <x:v>1684</x:v>
      </x:c>
      <x:c r="B1694" s="4" t="str">
        <x:v>para viajar a mexico desde chile se necesita pasaporte</x:v>
      </x:c>
      <x:c r="C1694" s="11" t="n">
        <x:v>1</x:v>
      </x:c>
      <x:c r="D1694" s="11" t="n">
        <x:v>25</x:v>
      </x:c>
      <x:c r="E1694" s="14" t="n">
        <x:v>0.04</x:v>
      </x:c>
      <x:c r="F1694" s="12" t="n">
        <x:v>4.6</x:v>
      </x:c>
      <x:c r="G1694" s="4" t="str">
        <x:v>Sin marca literal</x:v>
      </x:c>
      <x:c r="H1694" s="11"/>
      <x:c r="I1694" s="11" t="str">
        <x:f>IF(H1694="","",C1694-H1694)</x:f>
      </x:c>
      <x:c r="J1694" s="4"/>
      <x:c r="K1694" s="4" t="str">
        <x:v>URLs de detalle page/query/country por clics. No asignan las impresiones de esta consulta a cada página.</x:v>
      </x:c>
    </x:row>
    <x:row r="1695" ht="28" customHeight="1">
      <x:c r="A1695" s="4" t="n">
        <x:v>1685</x:v>
      </x:c>
      <x:c r="B1695" s="4" t="str">
        <x:v>platos criollos de lima</x:v>
      </x:c>
      <x:c r="C1695" s="11" t="n">
        <x:v>1</x:v>
      </x:c>
      <x:c r="D1695" s="11" t="n">
        <x:v>25</x:v>
      </x:c>
      <x:c r="E1695" s="14" t="n">
        <x:v>0.04</x:v>
      </x:c>
      <x:c r="F1695" s="12" t="n">
        <x:v>2.44</x:v>
      </x:c>
      <x:c r="G1695" s="4" t="str">
        <x:v>Sin marca literal</x:v>
      </x:c>
      <x:c r="H1695" s="11"/>
      <x:c r="I1695" s="11" t="str">
        <x:f>IF(H1695="","",C1695-H1695)</x:f>
      </x:c>
      <x:c r="J1695" s="4"/>
      <x:c r="K1695" s="4" t="str">
        <x:v>URLs de detalle page/query/country por clics. No asignan las impresiones de esta consulta a cada página.</x:v>
      </x:c>
    </x:row>
    <x:row r="1696" ht="28" customHeight="1">
      <x:c r="A1696" s="4" t="n">
        <x:v>1686</x:v>
      </x:c>
      <x:c r="B1696" s="4" t="str">
        <x:v>playa ipanema como llegar</x:v>
      </x:c>
      <x:c r="C1696" s="11" t="n">
        <x:v>1</x:v>
      </x:c>
      <x:c r="D1696" s="11" t="n">
        <x:v>25</x:v>
      </x:c>
      <x:c r="E1696" s="14" t="n">
        <x:v>0.04</x:v>
      </x:c>
      <x:c r="F1696" s="12" t="n">
        <x:v>9.12</x:v>
      </x:c>
      <x:c r="G1696" s="4" t="str">
        <x:v>Sin marca literal</x:v>
      </x:c>
      <x:c r="H1696" s="11"/>
      <x:c r="I1696" s="11" t="str">
        <x:f>IF(H1696="","",C1696-H1696)</x:f>
      </x:c>
      <x:c r="J1696" s="4"/>
      <x:c r="K1696" s="4" t="str">
        <x:v>URLs de detalle page/query/country por clics. No asignan las impresiones de esta consulta a cada página.</x:v>
      </x:c>
    </x:row>
    <x:row r="1697" ht="28" customHeight="1">
      <x:c r="A1697" s="4" t="n">
        <x:v>1687</x:v>
      </x:c>
      <x:c r="B1697" s="4" t="str">
        <x:v>que hay en chile para comprar</x:v>
      </x:c>
      <x:c r="C1697" s="11" t="n">
        <x:v>1</x:v>
      </x:c>
      <x:c r="D1697" s="11" t="n">
        <x:v>25</x:v>
      </x:c>
      <x:c r="E1697" s="14" t="n">
        <x:v>0.04</x:v>
      </x:c>
      <x:c r="F1697" s="12" t="n">
        <x:v>7.44</x:v>
      </x:c>
      <x:c r="G1697" s="4" t="str">
        <x:v>Sin marca literal</x:v>
      </x:c>
      <x:c r="H1697" s="11"/>
      <x:c r="I1697" s="11" t="str">
        <x:f>IF(H1697="","",C1697-H1697)</x:f>
      </x:c>
      <x:c r="J1697" s="4"/>
      <x:c r="K1697" s="4" t="str">
        <x:v>URLs de detalle page/query/country por clics. No asignan las impresiones de esta consulta a cada página.</x:v>
      </x:c>
    </x:row>
    <x:row r="1698" ht="28" customHeight="1">
      <x:c r="A1698" s="4" t="n">
        <x:v>1688</x:v>
      </x:c>
      <x:c r="B1698" s="4" t="str">
        <x:v>requisitos para viajar a argentina en avión</x:v>
      </x:c>
      <x:c r="C1698" s="11" t="n">
        <x:v>1</x:v>
      </x:c>
      <x:c r="D1698" s="11" t="n">
        <x:v>25</x:v>
      </x:c>
      <x:c r="E1698" s="14" t="n">
        <x:v>0.04</x:v>
      </x:c>
      <x:c r="F1698" s="12" t="n">
        <x:v>3.16</x:v>
      </x:c>
      <x:c r="G1698" s="4" t="str">
        <x:v>Sin marca literal</x:v>
      </x:c>
      <x:c r="H1698" s="11"/>
      <x:c r="I1698" s="11" t="str">
        <x:f>IF(H1698="","",C1698-H1698)</x:f>
      </x:c>
      <x:c r="J1698" s="4"/>
      <x:c r="K1698" s="4" t="str">
        <x:v>URLs de detalle page/query/country por clics. No asignan las impresiones de esta consulta a cada página.</x:v>
      </x:c>
    </x:row>
    <x:row r="1699" ht="28" customHeight="1">
      <x:c r="A1699" s="4" t="n">
        <x:v>1689</x:v>
      </x:c>
      <x:c r="B1699" s="4" t="str">
        <x:v>beneficios platinum sky</x:v>
      </x:c>
      <x:c r="C1699" s="11" t="n">
        <x:v>1</x:v>
      </x:c>
      <x:c r="D1699" s="11" t="n">
        <x:v>24</x:v>
      </x:c>
      <x:c r="E1699" s="14" t="n">
        <x:v>0.041666666666666664</x:v>
      </x:c>
      <x:c r="F1699" s="12" t="n">
        <x:v>6.166666666666667</x:v>
      </x:c>
      <x:c r="G1699" s="4" t="str">
        <x:v>Sin marca literal</x:v>
      </x:c>
      <x:c r="H1699" s="11"/>
      <x:c r="I1699" s="11" t="str">
        <x:f>IF(H1699="","",C1699-H1699)</x:f>
      </x:c>
      <x:c r="J1699" s="4"/>
      <x:c r="K1699" s="4" t="str">
        <x:v>URLs de detalle page/query/country por clics. No asignan las impresiones de esta consulta a cada página.</x:v>
      </x:c>
    </x:row>
    <x:row r="1700" ht="28" customHeight="1">
      <x:c r="A1700" s="4" t="n">
        <x:v>1690</x:v>
      </x:c>
      <x:c r="B1700" s="4" t="str">
        <x:v>buses de montevideo a punta del este</x:v>
      </x:c>
      <x:c r="C1700" s="11" t="n">
        <x:v>1</x:v>
      </x:c>
      <x:c r="D1700" s="11" t="n">
        <x:v>24</x:v>
      </x:c>
      <x:c r="E1700" s="14" t="n">
        <x:v>0.041666666666666664</x:v>
      </x:c>
      <x:c r="F1700" s="12" t="n">
        <x:v>7.041666666666667</x:v>
      </x:c>
      <x:c r="G1700" s="4" t="str">
        <x:v>Sin marca literal</x:v>
      </x:c>
      <x:c r="H1700" s="11"/>
      <x:c r="I1700" s="11" t="str">
        <x:f>IF(H1700="","",C1700-H1700)</x:f>
      </x:c>
      <x:c r="J1700" s="4"/>
      <x:c r="K1700" s="4" t="str">
        <x:v>URLs de detalle page/query/country por clics. No asignan las impresiones de esta consulta a cada página.</x:v>
      </x:c>
    </x:row>
    <x:row r="1701" ht="28" customHeight="1">
      <x:c r="A1701" s="4" t="n">
        <x:v>1691</x:v>
      </x:c>
      <x:c r="B1701" s="4" t="str">
        <x:v>chile en diciembre</x:v>
      </x:c>
      <x:c r="C1701" s="11" t="n">
        <x:v>1</x:v>
      </x:c>
      <x:c r="D1701" s="11" t="n">
        <x:v>24</x:v>
      </x:c>
      <x:c r="E1701" s="14" t="n">
        <x:v>0.041666666666666664</x:v>
      </x:c>
      <x:c r="F1701" s="12" t="n">
        <x:v>18.041666666666668</x:v>
      </x:c>
      <x:c r="G1701" s="4" t="str">
        <x:v>Sin marca literal</x:v>
      </x:c>
      <x:c r="H1701" s="11"/>
      <x:c r="I1701" s="11" t="str">
        <x:f>IF(H1701="","",C1701-H1701)</x:f>
      </x:c>
      <x:c r="J1701" s="4"/>
      <x:c r="K1701" s="4" t="str">
        <x:v>URLs de detalle page/query/country por clics. No asignan las impresiones de esta consulta a cada página.</x:v>
      </x:c>
    </x:row>
    <x:row r="1702" ht="28" customHeight="1">
      <x:c r="A1702" s="4" t="n">
        <x:v>1692</x:v>
      </x:c>
      <x:c r="B1702" s="4" t="str">
        <x:v>comida tipica de tacna</x:v>
      </x:c>
      <x:c r="C1702" s="11" t="n">
        <x:v>1</x:v>
      </x:c>
      <x:c r="D1702" s="11" t="n">
        <x:v>24</x:v>
      </x:c>
      <x:c r="E1702" s="14" t="n">
        <x:v>0.041666666666666664</x:v>
      </x:c>
      <x:c r="F1702" s="12" t="n">
        <x:v>6.458333333333333</x:v>
      </x:c>
      <x:c r="G1702" s="4" t="str">
        <x:v>Sin marca literal</x:v>
      </x:c>
      <x:c r="H1702" s="11"/>
      <x:c r="I1702" s="11" t="str">
        <x:f>IF(H1702="","",C1702-H1702)</x:f>
      </x:c>
      <x:c r="J1702" s="4"/>
      <x:c r="K1702" s="4" t="str">
        <x:v>URLs de detalle page/query/country por clics. No asignan las impresiones de esta consulta a cada página.</x:v>
      </x:c>
    </x:row>
    <x:row r="1703" ht="28" customHeight="1">
      <x:c r="A1703" s="4" t="n">
        <x:v>1693</x:v>
      </x:c>
      <x:c r="B1703" s="4" t="str">
        <x:v>cual es el aeropuerto de buenos aires argentina</x:v>
      </x:c>
      <x:c r="C1703" s="11" t="n">
        <x:v>1</x:v>
      </x:c>
      <x:c r="D1703" s="11" t="n">
        <x:v>24</x:v>
      </x:c>
      <x:c r="E1703" s="14" t="n">
        <x:v>0.041666666666666664</x:v>
      </x:c>
      <x:c r="F1703" s="12" t="n">
        <x:v>4.125</x:v>
      </x:c>
      <x:c r="G1703" s="4" t="str">
        <x:v>Sin marca literal</x:v>
      </x:c>
      <x:c r="H1703" s="11"/>
      <x:c r="I1703" s="11" t="str">
        <x:f>IF(H1703="","",C1703-H1703)</x:f>
      </x:c>
      <x:c r="J1703" s="4"/>
      <x:c r="K1703" s="4" t="str">
        <x:v>URLs de detalle page/query/country por clics. No asignan las impresiones de esta consulta a cada página.</x:v>
      </x:c>
    </x:row>
    <x:row r="1704" ht="28" customHeight="1">
      <x:c r="A1704" s="4" t="n">
        <x:v>1694</x:v>
      </x:c>
      <x:c r="B1704" s="4" t="str">
        <x:v>cuanto queda villa de leyva de bogota</x:v>
      </x:c>
      <x:c r="C1704" s="11" t="n">
        <x:v>1</x:v>
      </x:c>
      <x:c r="D1704" s="11" t="n">
        <x:v>24</x:v>
      </x:c>
      <x:c r="E1704" s="14" t="n">
        <x:v>0.041666666666666664</x:v>
      </x:c>
      <x:c r="F1704" s="12" t="n">
        <x:v>8.208333333333332</x:v>
      </x:c>
      <x:c r="G1704" s="4" t="str">
        <x:v>Sin marca literal</x:v>
      </x:c>
      <x:c r="H1704" s="11"/>
      <x:c r="I1704" s="11" t="str">
        <x:f>IF(H1704="","",C1704-H1704)</x:f>
      </x:c>
      <x:c r="J1704" s="4"/>
      <x:c r="K1704" s="4" t="str">
        <x:v>URLs de detalle page/query/country por clics. No asignan las impresiones de esta consulta a cada página.</x:v>
      </x:c>
    </x:row>
    <x:row r="1705" ht="28" customHeight="1">
      <x:c r="A1705" s="4" t="n">
        <x:v>1695</x:v>
      </x:c>
      <x:c r="B1705" s="4" t="str">
        <x:v>cuanto tiempo se hace de punta cana a santo domingo</x:v>
      </x:c>
      <x:c r="C1705" s="11" t="n">
        <x:v>1</x:v>
      </x:c>
      <x:c r="D1705" s="11" t="n">
        <x:v>24</x:v>
      </x:c>
      <x:c r="E1705" s="14" t="n">
        <x:v>0.041666666666666664</x:v>
      </x:c>
      <x:c r="F1705" s="12" t="n">
        <x:v>5.75</x:v>
      </x:c>
      <x:c r="G1705" s="4" t="str">
        <x:v>Sin marca literal</x:v>
      </x:c>
      <x:c r="H1705" s="11"/>
      <x:c r="I1705" s="11" t="str">
        <x:f>IF(H1705="","",C1705-H1705)</x:f>
      </x:c>
      <x:c r="J1705" s="4"/>
      <x:c r="K1705" s="4" t="str">
        <x:v>URLs de detalle page/query/country por clics. No asignan las impresiones de esta consulta a cada página.</x:v>
      </x:c>
    </x:row>
    <x:row r="1706" ht="28" customHeight="1">
      <x:c r="A1706" s="4" t="n">
        <x:v>1696</x:v>
      </x:c>
      <x:c r="B1706" s="4" t="str">
        <x:v>destinos baratos desde chile</x:v>
      </x:c>
      <x:c r="C1706" s="11" t="n">
        <x:v>1</x:v>
      </x:c>
      <x:c r="D1706" s="11" t="n">
        <x:v>24</x:v>
      </x:c>
      <x:c r="E1706" s="14" t="n">
        <x:v>0.041666666666666664</x:v>
      </x:c>
      <x:c r="F1706" s="12" t="n">
        <x:v>3.7083333333333335</x:v>
      </x:c>
      <x:c r="G1706" s="4" t="str">
        <x:v>Sin marca literal</x:v>
      </x:c>
      <x:c r="H1706" s="11"/>
      <x:c r="I1706" s="11" t="str">
        <x:f>IF(H1706="","",C1706-H1706)</x:f>
      </x:c>
      <x:c r="J1706" s="4"/>
      <x:c r="K1706" s="4" t="str">
        <x:v>URLs de detalle page/query/country por clics. No asignan las impresiones de esta consulta a cada página.</x:v>
      </x:c>
    </x:row>
    <x:row r="1707" ht="28" customHeight="1">
      <x:c r="A1707" s="4" t="n">
        <x:v>1697</x:v>
      </x:c>
      <x:c r="B1707" s="4" t="str">
        <x:v>itinerario punta cana</x:v>
      </x:c>
      <x:c r="C1707" s="11" t="n">
        <x:v>1</x:v>
      </x:c>
      <x:c r="D1707" s="11" t="n">
        <x:v>24</x:v>
      </x:c>
      <x:c r="E1707" s="14" t="n">
        <x:v>0.041666666666666664</x:v>
      </x:c>
      <x:c r="F1707" s="12" t="n">
        <x:v>11.416666666666666</x:v>
      </x:c>
      <x:c r="G1707" s="4" t="str">
        <x:v>Sin marca literal</x:v>
      </x:c>
      <x:c r="H1707" s="11"/>
      <x:c r="I1707" s="11" t="str">
        <x:f>IF(H1707="","",C1707-H1707)</x:f>
      </x:c>
      <x:c r="J1707" s="4"/>
      <x:c r="K1707" s="4" t="str">
        <x:v>URLs de detalle page/query/country por clics. No asignan las impresiones de esta consulta a cada página.</x:v>
      </x:c>
    </x:row>
    <x:row r="1708" ht="28" customHeight="1">
      <x:c r="A1708" s="4" t="n">
        <x:v>1698</x:v>
      </x:c>
      <x:c r="B1708" s="4" t="str">
        <x:v>jurere donde queda</x:v>
      </x:c>
      <x:c r="C1708" s="11" t="n">
        <x:v>1</x:v>
      </x:c>
      <x:c r="D1708" s="11" t="n">
        <x:v>24</x:v>
      </x:c>
      <x:c r="E1708" s="14" t="n">
        <x:v>0.041666666666666664</x:v>
      </x:c>
      <x:c r="F1708" s="12" t="n">
        <x:v>5.208333333333333</x:v>
      </x:c>
      <x:c r="G1708" s="4" t="str">
        <x:v>Sin marca literal</x:v>
      </x:c>
      <x:c r="H1708" s="11"/>
      <x:c r="I1708" s="11" t="str">
        <x:f>IF(H1708="","",C1708-H1708)</x:f>
      </x:c>
      <x:c r="J1708" s="4"/>
      <x:c r="K1708" s="4" t="str">
        <x:v>URLs de detalle page/query/country por clics. No asignan las impresiones de esta consulta a cada página.</x:v>
      </x:c>
    </x:row>
    <x:row r="1709" ht="28" customHeight="1">
      <x:c r="A1709" s="4" t="n">
        <x:v>1699</x:v>
      </x:c>
      <x:c r="B1709" s="4" t="str">
        <x:v>liquidos en equipaje de mano</x:v>
      </x:c>
      <x:c r="C1709" s="11" t="n">
        <x:v>1</x:v>
      </x:c>
      <x:c r="D1709" s="11" t="n">
        <x:v>24</x:v>
      </x:c>
      <x:c r="E1709" s="14" t="n">
        <x:v>0.041666666666666664</x:v>
      </x:c>
      <x:c r="F1709" s="12" t="n">
        <x:v>15.291666666666666</x:v>
      </x:c>
      <x:c r="G1709" s="4" t="str">
        <x:v>Sin marca literal</x:v>
      </x:c>
      <x:c r="H1709" s="11"/>
      <x:c r="I1709" s="11" t="str">
        <x:f>IF(H1709="","",C1709-H1709)</x:f>
      </x:c>
      <x:c r="J1709" s="4"/>
      <x:c r="K1709" s="4" t="str">
        <x:v>URLs de detalle page/query/country por clics. No asignan las impresiones de esta consulta a cada página.</x:v>
      </x:c>
    </x:row>
    <x:row r="1710" ht="28" customHeight="1">
      <x:c r="A1710" s="4" t="n">
        <x:v>1700</x:v>
      </x:c>
      <x:c r="B1710" s="4" t="str">
        <x:v>niños menores de 2 años pagan pasaje en avion</x:v>
      </x:c>
      <x:c r="C1710" s="11" t="n">
        <x:v>1</x:v>
      </x:c>
      <x:c r="D1710" s="11" t="n">
        <x:v>24</x:v>
      </x:c>
      <x:c r="E1710" s="14" t="n">
        <x:v>0.041666666666666664</x:v>
      </x:c>
      <x:c r="F1710" s="12" t="n">
        <x:v>3.625</x:v>
      </x:c>
      <x:c r="G1710" s="4" t="str">
        <x:v>Sin marca literal</x:v>
      </x:c>
      <x:c r="H1710" s="11"/>
      <x:c r="I1710" s="11" t="str">
        <x:f>IF(H1710="","",C1710-H1710)</x:f>
      </x:c>
      <x:c r="J1710" s="4"/>
      <x:c r="K1710" s="4" t="str">
        <x:v>URLs de detalle page/query/country por clics. No asignan las impresiones de esta consulta a cada página.</x:v>
      </x:c>
    </x:row>
    <x:row r="1711" ht="28" customHeight="1">
      <x:c r="A1711" s="4" t="n">
        <x:v>1701</x:v>
      </x:c>
      <x:c r="B1711" s="4" t="str">
        <x:v>plaza de tacna peru</x:v>
      </x:c>
      <x:c r="C1711" s="11" t="n">
        <x:v>1</x:v>
      </x:c>
      <x:c r="D1711" s="11" t="n">
        <x:v>24</x:v>
      </x:c>
      <x:c r="E1711" s="14" t="n">
        <x:v>0.041666666666666664</x:v>
      </x:c>
      <x:c r="F1711" s="12" t="n">
        <x:v>7.375</x:v>
      </x:c>
      <x:c r="G1711" s="4" t="str">
        <x:v>Sin marca literal</x:v>
      </x:c>
      <x:c r="H1711" s="11"/>
      <x:c r="I1711" s="11" t="str">
        <x:f>IF(H1711="","",C1711-H1711)</x:f>
      </x:c>
      <x:c r="J1711" s="4"/>
      <x:c r="K1711" s="4" t="str">
        <x:v>URLs de detalle page/query/country por clics. No asignan las impresiones de esta consulta a cada página.</x:v>
      </x:c>
    </x:row>
    <x:row r="1712" ht="28" customHeight="1">
      <x:c r="A1712" s="4" t="n">
        <x:v>1702</x:v>
      </x:c>
      <x:c r="B1712" s="4" t="str">
        <x:v>sky beneficios</x:v>
      </x:c>
      <x:c r="C1712" s="11" t="n">
        <x:v>1</x:v>
      </x:c>
      <x:c r="D1712" s="11" t="n">
        <x:v>24</x:v>
      </x:c>
      <x:c r="E1712" s="14" t="n">
        <x:v>0.041666666666666664</x:v>
      </x:c>
      <x:c r="F1712" s="12" t="n">
        <x:v>9.083333333333334</x:v>
      </x:c>
      <x:c r="G1712" s="4" t="str">
        <x:v>Sin marca literal</x:v>
      </x:c>
      <x:c r="H1712" s="11"/>
      <x:c r="I1712" s="11" t="str">
        <x:f>IF(H1712="","",C1712-H1712)</x:f>
      </x:c>
      <x:c r="J1712" s="4"/>
      <x:c r="K1712" s="4" t="str">
        <x:v>URLs de detalle page/query/country por clics. No asignan las impresiones de esta consulta a cada página.</x:v>
      </x:c>
    </x:row>
    <x:row r="1713" ht="28" customHeight="1">
      <x:c r="A1713" s="4" t="n">
        <x:v>1703</x:v>
      </x:c>
      <x:c r="B1713" s="4" t="str">
        <x:v>un bolso de mano sky</x:v>
      </x:c>
      <x:c r="C1713" s="11" t="n">
        <x:v>1</x:v>
      </x:c>
      <x:c r="D1713" s="11" t="n">
        <x:v>24</x:v>
      </x:c>
      <x:c r="E1713" s="14" t="n">
        <x:v>0.041666666666666664</x:v>
      </x:c>
      <x:c r="F1713" s="12" t="n">
        <x:v>4.375</x:v>
      </x:c>
      <x:c r="G1713" s="4" t="str">
        <x:v>Sin marca literal</x:v>
      </x:c>
      <x:c r="H1713" s="11"/>
      <x:c r="I1713" s="11" t="str">
        <x:f>IF(H1713="","",C1713-H1713)</x:f>
      </x:c>
      <x:c r="J1713" s="4"/>
      <x:c r="K1713" s="4" t="str">
        <x:v>URLs de detalle page/query/country por clics. No asignan las impresiones de esta consulta a cada página.</x:v>
      </x:c>
    </x:row>
    <x:row r="1714" ht="28" customHeight="1">
      <x:c r="A1714" s="4" t="n">
        <x:v>1704</x:v>
      </x:c>
      <x:c r="B1714" s="4" t="str">
        <x:v>alpamayo peru</x:v>
      </x:c>
      <x:c r="C1714" s="11" t="n">
        <x:v>1</x:v>
      </x:c>
      <x:c r="D1714" s="11" t="n">
        <x:v>23</x:v>
      </x:c>
      <x:c r="E1714" s="14" t="n">
        <x:v>0.043478260869565216</x:v>
      </x:c>
      <x:c r="F1714" s="12" t="n">
        <x:v>19.217391304347824</x:v>
      </x:c>
      <x:c r="G1714" s="4" t="str">
        <x:v>Sin marca literal</x:v>
      </x:c>
      <x:c r="H1714" s="11"/>
      <x:c r="I1714" s="11" t="str">
        <x:f>IF(H1714="","",C1714-H1714)</x:f>
      </x:c>
      <x:c r="J1714" s="4"/>
      <x:c r="K1714" s="4" t="str">
        <x:v>URLs de detalle page/query/country por clics. No asignan las impresiones de esta consulta a cada página.</x:v>
      </x:c>
    </x:row>
    <x:row r="1715" ht="28" customHeight="1">
      <x:c r="A1715" s="4" t="n">
        <x:v>1705</x:v>
      </x:c>
      <x:c r="B1715" s="4" t="str">
        <x:v>bahia de corral</x:v>
      </x:c>
      <x:c r="C1715" s="11" t="n">
        <x:v>1</x:v>
      </x:c>
      <x:c r="D1715" s="11" t="n">
        <x:v>23</x:v>
      </x:c>
      <x:c r="E1715" s="14" t="n">
        <x:v>0.043478260869565216</x:v>
      </x:c>
      <x:c r="F1715" s="12" t="n">
        <x:v>6.3478260869565215</x:v>
      </x:c>
      <x:c r="G1715" s="4" t="str">
        <x:v>Sin marca literal</x:v>
      </x:c>
      <x:c r="H1715" s="11"/>
      <x:c r="I1715" s="11" t="str">
        <x:f>IF(H1715="","",C1715-H1715)</x:f>
      </x:c>
      <x:c r="J1715" s="4"/>
      <x:c r="K1715" s="4" t="str">
        <x:v>URLs de detalle page/query/country por clics. No asignan las impresiones de esta consulta a cada página.</x:v>
      </x:c>
    </x:row>
    <x:row r="1716" ht="28" customHeight="1">
      <x:c r="A1716" s="4" t="n">
        <x:v>1706</x:v>
      </x:c>
      <x:c r="B1716" s="4" t="str">
        <x:v>como cancelar un vuelo en sky</x:v>
      </x:c>
      <x:c r="C1716" s="11" t="n">
        <x:v>1</x:v>
      </x:c>
      <x:c r="D1716" s="11" t="n">
        <x:v>23</x:v>
      </x:c>
      <x:c r="E1716" s="14" t="n">
        <x:v>0.043478260869565216</x:v>
      </x:c>
      <x:c r="F1716" s="12" t="n">
        <x:v>2.3478260869565215</x:v>
      </x:c>
      <x:c r="G1716" s="4" t="str">
        <x:v>Sin marca literal</x:v>
      </x:c>
      <x:c r="H1716" s="11"/>
      <x:c r="I1716" s="11" t="str">
        <x:f>IF(H1716="","",C1716-H1716)</x:f>
      </x:c>
      <x:c r="J1716" s="4"/>
      <x:c r="K1716" s="4" t="str">
        <x:v>URLs de detalle page/query/country por clics. No asignan las impresiones de esta consulta a cada página.</x:v>
      </x:c>
    </x:row>
    <x:row r="1717" ht="28" customHeight="1">
      <x:c r="A1717" s="4" t="n">
        <x:v>1707</x:v>
      </x:c>
      <x:c r="B1717" s="4" t="str">
        <x:v>como hacer una bitácora de viaje</x:v>
      </x:c>
      <x:c r="C1717" s="11" t="n">
        <x:v>1</x:v>
      </x:c>
      <x:c r="D1717" s="11" t="n">
        <x:v>23</x:v>
      </x:c>
      <x:c r="E1717" s="14" t="n">
        <x:v>0.043478260869565216</x:v>
      </x:c>
      <x:c r="F1717" s="12" t="n">
        <x:v>6.478260869565218</x:v>
      </x:c>
      <x:c r="G1717" s="4" t="str">
        <x:v>Sin marca literal</x:v>
      </x:c>
      <x:c r="H1717" s="11"/>
      <x:c r="I1717" s="11" t="str">
        <x:f>IF(H1717="","",C1717-H1717)</x:f>
      </x:c>
      <x:c r="J1717" s="4"/>
      <x:c r="K1717" s="4" t="str">
        <x:v>URLs de detalle page/query/country por clics. No asignan las impresiones de esta consulta a cada página.</x:v>
      </x:c>
    </x:row>
    <x:row r="1718" ht="28" customHeight="1">
      <x:c r="A1718" s="4" t="n">
        <x:v>1708</x:v>
      </x:c>
      <x:c r="B1718" s="4" t="str">
        <x:v>comprar puntos sky plus</x:v>
      </x:c>
      <x:c r="C1718" s="11" t="n">
        <x:v>1</x:v>
      </x:c>
      <x:c r="D1718" s="11" t="n">
        <x:v>23</x:v>
      </x:c>
      <x:c r="E1718" s="14" t="n">
        <x:v>0.043478260869565216</x:v>
      </x:c>
      <x:c r="F1718" s="12" t="n">
        <x:v>5.043478260869565</x:v>
      </x:c>
      <x:c r="G1718" s="4" t="str">
        <x:v>Sin marca literal</x:v>
      </x:c>
      <x:c r="H1718" s="11"/>
      <x:c r="I1718" s="11" t="str">
        <x:f>IF(H1718="","",C1718-H1718)</x:f>
      </x:c>
      <x:c r="J1718" s="4"/>
      <x:c r="K1718" s="4" t="str">
        <x:v>URLs de detalle page/query/country por clics. No asignan las impresiones de esta consulta a cada página.</x:v>
      </x:c>
    </x:row>
    <x:row r="1719" ht="28" customHeight="1">
      <x:c r="A1719" s="4" t="n">
        <x:v>1709</x:v>
      </x:c>
      <x:c r="B1719" s="4" t="str">
        <x:v>donde esta camboriu</x:v>
      </x:c>
      <x:c r="C1719" s="11" t="n">
        <x:v>1</x:v>
      </x:c>
      <x:c r="D1719" s="11" t="n">
        <x:v>23</x:v>
      </x:c>
      <x:c r="E1719" s="14" t="n">
        <x:v>0.043478260869565216</x:v>
      </x:c>
      <x:c r="F1719" s="12" t="n">
        <x:v>6.782608695652174</x:v>
      </x:c>
      <x:c r="G1719" s="4" t="str">
        <x:v>Sin marca literal</x:v>
      </x:c>
      <x:c r="H1719" s="11"/>
      <x:c r="I1719" s="11" t="str">
        <x:f>IF(H1719="","",C1719-H1719)</x:f>
      </x:c>
      <x:c r="J1719" s="4"/>
      <x:c r="K1719" s="4" t="str">
        <x:v>URLs de detalle page/query/country por clics. No asignan las impresiones de esta consulta a cada página.</x:v>
      </x:c>
    </x:row>
    <x:row r="1720" ht="28" customHeight="1">
      <x:c r="A1720" s="4" t="n">
        <x:v>1710</x:v>
      </x:c>
      <x:c r="B1720" s="4" t="str">
        <x:v>donde viajar fuera de chile barato</x:v>
      </x:c>
      <x:c r="C1720" s="11" t="n">
        <x:v>1</x:v>
      </x:c>
      <x:c r="D1720" s="11" t="n">
        <x:v>23</x:v>
      </x:c>
      <x:c r="E1720" s="14" t="n">
        <x:v>0.043478260869565216</x:v>
      </x:c>
      <x:c r="F1720" s="12" t="n">
        <x:v>3.5652173913043477</x:v>
      </x:c>
      <x:c r="G1720" s="4" t="str">
        <x:v>Sin marca literal</x:v>
      </x:c>
      <x:c r="H1720" s="11"/>
      <x:c r="I1720" s="11" t="str">
        <x:f>IF(H1720="","",C1720-H1720)</x:f>
      </x:c>
      <x:c r="J1720" s="4"/>
      <x:c r="K1720" s="4" t="str">
        <x:v>URLs de detalle page/query/country por clics. No asignan las impresiones de esta consulta a cada página.</x:v>
      </x:c>
    </x:row>
    <x:row r="1721" ht="28" customHeight="1">
      <x:c r="A1721" s="4" t="n">
        <x:v>1711</x:v>
      </x:c>
      <x:c r="B1721" s="4" t="str">
        <x:v>enchufe argentino tipo</x:v>
      </x:c>
      <x:c r="C1721" s="11" t="n">
        <x:v>1</x:v>
      </x:c>
      <x:c r="D1721" s="11" t="n">
        <x:v>23</x:v>
      </x:c>
      <x:c r="E1721" s="14" t="n">
        <x:v>0.043478260869565216</x:v>
      </x:c>
      <x:c r="F1721" s="12" t="n">
        <x:v>9.08695652173913</x:v>
      </x:c>
      <x:c r="G1721" s="4" t="str">
        <x:v>Sin marca literal</x:v>
      </x:c>
      <x:c r="H1721" s="11"/>
      <x:c r="I1721" s="11" t="str">
        <x:f>IF(H1721="","",C1721-H1721)</x:f>
      </x:c>
      <x:c r="J1721" s="4"/>
      <x:c r="K1721" s="4" t="str">
        <x:v>URLs de detalle page/query/country por clics. No asignan las impresiones de esta consulta a cada página.</x:v>
      </x:c>
    </x:row>
    <x:row r="1722" ht="28" customHeight="1">
      <x:c r="A1722" s="4" t="n">
        <x:v>1712</x:v>
      </x:c>
      <x:c r="B1722" s="4" t="str">
        <x:v>florianópolis dónde queda</x:v>
      </x:c>
      <x:c r="C1722" s="11" t="n">
        <x:v>1</x:v>
      </x:c>
      <x:c r="D1722" s="11" t="n">
        <x:v>23</x:v>
      </x:c>
      <x:c r="E1722" s="14" t="n">
        <x:v>0.043478260869565216</x:v>
      </x:c>
      <x:c r="F1722" s="12" t="n">
        <x:v>8.782608695652174</x:v>
      </x:c>
      <x:c r="G1722" s="4" t="str">
        <x:v>Sin marca literal</x:v>
      </x:c>
      <x:c r="H1722" s="11"/>
      <x:c r="I1722" s="11" t="str">
        <x:f>IF(H1722="","",C1722-H1722)</x:f>
      </x:c>
      <x:c r="J1722" s="4"/>
      <x:c r="K1722" s="4" t="str">
        <x:v>URLs de detalle page/query/country por clics. No asignan las impresiones de esta consulta a cada página.</x:v>
      </x:c>
    </x:row>
    <x:row r="1723" ht="28" customHeight="1">
      <x:c r="A1723" s="4" t="n">
        <x:v>1713</x:v>
      </x:c>
      <x:c r="B1723" s="4" t="str">
        <x:v>florianópolis tiempo</x:v>
      </x:c>
      <x:c r="C1723" s="11" t="n">
        <x:v>1</x:v>
      </x:c>
      <x:c r="D1723" s="11" t="n">
        <x:v>23</x:v>
      </x:c>
      <x:c r="E1723" s="14" t="n">
        <x:v>0.043478260869565216</x:v>
      </x:c>
      <x:c r="F1723" s="12" t="n">
        <x:v>8.91304347826087</x:v>
      </x:c>
      <x:c r="G1723" s="4" t="str">
        <x:v>Sin marca literal</x:v>
      </x:c>
      <x:c r="H1723" s="11"/>
      <x:c r="I1723" s="11" t="str">
        <x:f>IF(H1723="","",C1723-H1723)</x:f>
      </x:c>
      <x:c r="J1723" s="4"/>
      <x:c r="K1723" s="4" t="str">
        <x:v>URLs de detalle page/query/country por clics. No asignan las impresiones de esta consulta a cada página.</x:v>
      </x:c>
    </x:row>
    <x:row r="1724" ht="28" customHeight="1">
      <x:c r="A1724" s="4" t="n">
        <x:v>1714</x:v>
      </x:c>
      <x:c r="B1724" s="4" t="str">
        <x:v>lugares en el sur</x:v>
      </x:c>
      <x:c r="C1724" s="11" t="n">
        <x:v>1</x:v>
      </x:c>
      <x:c r="D1724" s="11" t="n">
        <x:v>23</x:v>
      </x:c>
      <x:c r="E1724" s="14" t="n">
        <x:v>0.043478260869565216</x:v>
      </x:c>
      <x:c r="F1724" s="12" t="n">
        <x:v>9</x:v>
      </x:c>
      <x:c r="G1724" s="4" t="str">
        <x:v>Sin marca literal</x:v>
      </x:c>
      <x:c r="H1724" s="11"/>
      <x:c r="I1724" s="11" t="str">
        <x:f>IF(H1724="","",C1724-H1724)</x:f>
      </x:c>
      <x:c r="J1724" s="4"/>
      <x:c r="K1724" s="4" t="str">
        <x:v>URLs de detalle page/query/country por clics. No asignan las impresiones de esta consulta a cada página.</x:v>
      </x:c>
    </x:row>
    <x:row r="1725" ht="28" customHeight="1">
      <x:c r="A1725" s="4" t="n">
        <x:v>1715</x:v>
      </x:c>
      <x:c r="B1725" s="4" t="str">
        <x:v>lugares para conocer en el sur de argentina</x:v>
      </x:c>
      <x:c r="C1725" s="11" t="n">
        <x:v>1</x:v>
      </x:c>
      <x:c r="D1725" s="11" t="n">
        <x:v>23</x:v>
      </x:c>
      <x:c r="E1725" s="14" t="n">
        <x:v>0.043478260869565216</x:v>
      </x:c>
      <x:c r="F1725" s="12" t="n">
        <x:v>4.608695652173913</x:v>
      </x:c>
      <x:c r="G1725" s="4" t="str">
        <x:v>Sin marca literal</x:v>
      </x:c>
      <x:c r="H1725" s="11"/>
      <x:c r="I1725" s="11" t="str">
        <x:f>IF(H1725="","",C1725-H1725)</x:f>
      </x:c>
      <x:c r="J1725" s="4"/>
      <x:c r="K1725" s="4" t="str">
        <x:v>URLs de detalle page/query/country por clics. No asignan las impresiones de esta consulta a cada página.</x:v>
      </x:c>
    </x:row>
    <x:row r="1726" ht="28" customHeight="1">
      <x:c r="A1726" s="4" t="n">
        <x:v>1716</x:v>
      </x:c>
      <x:c r="B1726" s="4" t="str">
        <x:v>paisaje chilote</x:v>
      </x:c>
      <x:c r="C1726" s="11" t="n">
        <x:v>1</x:v>
      </x:c>
      <x:c r="D1726" s="11" t="n">
        <x:v>23</x:v>
      </x:c>
      <x:c r="E1726" s="14" t="n">
        <x:v>0.043478260869565216</x:v>
      </x:c>
      <x:c r="F1726" s="12" t="n">
        <x:v>5.391304347826087</x:v>
      </x:c>
      <x:c r="G1726" s="4" t="str">
        <x:v>Sin marca literal</x:v>
      </x:c>
      <x:c r="H1726" s="11"/>
      <x:c r="I1726" s="11" t="str">
        <x:f>IF(H1726="","",C1726-H1726)</x:f>
      </x:c>
      <x:c r="J1726" s="4"/>
      <x:c r="K1726" s="4" t="str">
        <x:v>URLs de detalle page/query/country por clics. No asignan las impresiones de esta consulta a cada página.</x:v>
      </x:c>
    </x:row>
    <x:row r="1727" ht="28" customHeight="1">
      <x:c r="A1727" s="4" t="n">
        <x:v>1717</x:v>
      </x:c>
      <x:c r="B1727" s="4" t="str">
        <x:v>paseo del mar antofagasta</x:v>
      </x:c>
      <x:c r="C1727" s="11" t="n">
        <x:v>1</x:v>
      </x:c>
      <x:c r="D1727" s="11" t="n">
        <x:v>23</x:v>
      </x:c>
      <x:c r="E1727" s="14" t="n">
        <x:v>0.043478260869565216</x:v>
      </x:c>
      <x:c r="F1727" s="12" t="n">
        <x:v>7</x:v>
      </x:c>
      <x:c r="G1727" s="4" t="str">
        <x:v>Sin marca literal</x:v>
      </x:c>
      <x:c r="H1727" s="11"/>
      <x:c r="I1727" s="11" t="str">
        <x:f>IF(H1727="","",C1727-H1727)</x:f>
      </x:c>
      <x:c r="J1727" s="4"/>
      <x:c r="K1727" s="4" t="str">
        <x:v>URLs de detalle page/query/country por clics. No asignan las impresiones de esta consulta a cada página.</x:v>
      </x:c>
    </x:row>
    <x:row r="1728" ht="28" customHeight="1">
      <x:c r="A1728" s="4" t="n">
        <x:v>1718</x:v>
      </x:c>
      <x:c r="B1728" s="4" t="str">
        <x:v>pueblos indígenas del norte de chile</x:v>
      </x:c>
      <x:c r="C1728" s="11" t="n">
        <x:v>1</x:v>
      </x:c>
      <x:c r="D1728" s="11" t="n">
        <x:v>23</x:v>
      </x:c>
      <x:c r="E1728" s="14" t="n">
        <x:v>0.043478260869565216</x:v>
      </x:c>
      <x:c r="F1728" s="12" t="n">
        <x:v>7.869565217391305</x:v>
      </x:c>
      <x:c r="G1728" s="4" t="str">
        <x:v>Sin marca literal</x:v>
      </x:c>
      <x:c r="H1728" s="11"/>
      <x:c r="I1728" s="11" t="str">
        <x:f>IF(H1728="","",C1728-H1728)</x:f>
      </x:c>
      <x:c r="J1728" s="4"/>
      <x:c r="K1728" s="4" t="str">
        <x:v>URLs de detalle page/query/country por clics. No asignan las impresiones de esta consulta a cada página.</x:v>
      </x:c>
    </x:row>
    <x:row r="1729" ht="28" customHeight="1">
      <x:c r="A1729" s="4" t="n">
        <x:v>1719</x:v>
      </x:c>
      <x:c r="B1729" s="4" t="str">
        <x:v>puedo llevar paracetamol en el avión</x:v>
      </x:c>
      <x:c r="C1729" s="11" t="n">
        <x:v>1</x:v>
      </x:c>
      <x:c r="D1729" s="11" t="n">
        <x:v>23</x:v>
      </x:c>
      <x:c r="E1729" s="14" t="n">
        <x:v>0.043478260869565216</x:v>
      </x:c>
      <x:c r="F1729" s="12" t="n">
        <x:v>5.478260869565218</x:v>
      </x:c>
      <x:c r="G1729" s="4" t="str">
        <x:v>Sin marca literal</x:v>
      </x:c>
      <x:c r="H1729" s="11"/>
      <x:c r="I1729" s="11" t="str">
        <x:f>IF(H1729="","",C1729-H1729)</x:f>
      </x:c>
      <x:c r="J1729" s="4"/>
      <x:c r="K1729" s="4" t="str">
        <x:v>URLs de detalle page/query/country por clics. No asignan las impresiones de esta consulta a cada página.</x:v>
      </x:c>
    </x:row>
    <x:row r="1730" ht="28" customHeight="1">
      <x:c r="A1730" s="4" t="n">
        <x:v>1720</x:v>
      </x:c>
      <x:c r="B1730" s="4" t="str">
        <x:v>santo domingo punta cana distancia</x:v>
      </x:c>
      <x:c r="C1730" s="11" t="n">
        <x:v>1</x:v>
      </x:c>
      <x:c r="D1730" s="11" t="n">
        <x:v>23</x:v>
      </x:c>
      <x:c r="E1730" s="14" t="n">
        <x:v>0.043478260869565216</x:v>
      </x:c>
      <x:c r="F1730" s="12" t="n">
        <x:v>8.956521739130434</x:v>
      </x:c>
      <x:c r="G1730" s="4" t="str">
        <x:v>Sin marca literal</x:v>
      </x:c>
      <x:c r="H1730" s="11"/>
      <x:c r="I1730" s="11" t="str">
        <x:f>IF(H1730="","",C1730-H1730)</x:f>
      </x:c>
      <x:c r="J1730" s="4"/>
      <x:c r="K1730" s="4" t="str">
        <x:v>URLs de detalle page/query/country por clics. No asignan las impresiones de esta consulta a cada página.</x:v>
      </x:c>
    </x:row>
    <x:row r="1731" ht="28" customHeight="1">
      <x:c r="A1731" s="4" t="n">
        <x:v>1721</x:v>
      </x:c>
      <x:c r="B1731" s="4" t="str">
        <x:v>se puede postergar un vuelo en sky</x:v>
      </x:c>
      <x:c r="C1731" s="11" t="n">
        <x:v>1</x:v>
      </x:c>
      <x:c r="D1731" s="11" t="n">
        <x:v>23</x:v>
      </x:c>
      <x:c r="E1731" s="14" t="n">
        <x:v>0.043478260869565216</x:v>
      </x:c>
      <x:c r="F1731" s="12" t="n">
        <x:v>4.304347826086957</x:v>
      </x:c>
      <x:c r="G1731" s="4" t="str">
        <x:v>Sin marca literal</x:v>
      </x:c>
      <x:c r="H1731" s="11"/>
      <x:c r="I1731" s="11" t="str">
        <x:f>IF(H1731="","",C1731-H1731)</x:f>
      </x:c>
      <x:c r="J1731" s="4"/>
      <x:c r="K1731" s="4" t="str">
        <x:v>URLs de detalle page/query/country por clics. No asignan las impresiones de esta consulta a cada página.</x:v>
      </x:c>
    </x:row>
    <x:row r="1732" ht="28" customHeight="1">
      <x:c r="A1732" s="4" t="n">
        <x:v>1722</x:v>
      </x:c>
      <x:c r="B1732" s="4" t="str">
        <x:v>shopping más grande de mendoza</x:v>
      </x:c>
      <x:c r="C1732" s="11" t="n">
        <x:v>1</x:v>
      </x:c>
      <x:c r="D1732" s="11" t="n">
        <x:v>23</x:v>
      </x:c>
      <x:c r="E1732" s="14" t="n">
        <x:v>0.043478260869565216</x:v>
      </x:c>
      <x:c r="F1732" s="12" t="n">
        <x:v>9.652173913043478</x:v>
      </x:c>
      <x:c r="G1732" s="4" t="str">
        <x:v>Sin marca literal</x:v>
      </x:c>
      <x:c r="H1732" s="11"/>
      <x:c r="I1732" s="11" t="str">
        <x:f>IF(H1732="","",C1732-H1732)</x:f>
      </x:c>
      <x:c r="J1732" s="4"/>
      <x:c r="K1732" s="4" t="str">
        <x:v>URLs de detalle page/query/country por clics. No asignan las impresiones de esta consulta a cada página.</x:v>
      </x:c>
    </x:row>
    <x:row r="1733" ht="28" customHeight="1">
      <x:c r="A1733" s="4" t="n">
        <x:v>1723</x:v>
      </x:c>
      <x:c r="B1733" s="4" t="str">
        <x:v>sky app descargar</x:v>
      </x:c>
      <x:c r="C1733" s="11" t="n">
        <x:v>1</x:v>
      </x:c>
      <x:c r="D1733" s="11" t="n">
        <x:v>23</x:v>
      </x:c>
      <x:c r="E1733" s="14" t="n">
        <x:v>0.043478260869565216</x:v>
      </x:c>
      <x:c r="F1733" s="12" t="n">
        <x:v>6.826086956521739</x:v>
      </x:c>
      <x:c r="G1733" s="4" t="str">
        <x:v>Sin marca literal</x:v>
      </x:c>
      <x:c r="H1733" s="11"/>
      <x:c r="I1733" s="11" t="str">
        <x:f>IF(H1733="","",C1733-H1733)</x:f>
      </x:c>
      <x:c r="J1733" s="4"/>
      <x:c r="K1733" s="4" t="str">
        <x:v>URLs de detalle page/query/country por clics. No asignan las impresiones de esta consulta a cada página.</x:v>
      </x:c>
    </x:row>
    <x:row r="1734" ht="28" customHeight="1">
      <x:c r="A1734" s="4" t="n">
        <x:v>1724</x:v>
      </x:c>
      <x:c r="B1734" s="4" t="str">
        <x:v>tripulantes de cabina</x:v>
      </x:c>
      <x:c r="C1734" s="11" t="n">
        <x:v>1</x:v>
      </x:c>
      <x:c r="D1734" s="11" t="n">
        <x:v>23</x:v>
      </x:c>
      <x:c r="E1734" s="14" t="n">
        <x:v>0.043478260869565216</x:v>
      </x:c>
      <x:c r="F1734" s="12" t="n">
        <x:v>17.26086956521739</x:v>
      </x:c>
      <x:c r="G1734" s="4" t="str">
        <x:v>Sin marca literal</x:v>
      </x:c>
      <x:c r="H1734" s="11"/>
      <x:c r="I1734" s="11" t="str">
        <x:f>IF(H1734="","",C1734-H1734)</x:f>
      </x:c>
      <x:c r="J1734" s="4"/>
      <x:c r="K1734" s="4" t="str">
        <x:v>URLs de detalle page/query/country por clics. No asignan las impresiones de esta consulta a cada página.</x:v>
      </x:c>
    </x:row>
    <x:row r="1735" ht="28" customHeight="1">
      <x:c r="A1735" s="4" t="n">
        <x:v>1725</x:v>
      </x:c>
      <x:c r="B1735" s="4" t="str">
        <x:v>turismo en el sur de argentina</x:v>
      </x:c>
      <x:c r="C1735" s="11" t="n">
        <x:v>1</x:v>
      </x:c>
      <x:c r="D1735" s="11" t="n">
        <x:v>23</x:v>
      </x:c>
      <x:c r="E1735" s="14" t="n">
        <x:v>0.043478260869565216</x:v>
      </x:c>
      <x:c r="F1735" s="12" t="n">
        <x:v>3.0869565217391304</x:v>
      </x:c>
      <x:c r="G1735" s="4" t="str">
        <x:v>Sin marca literal</x:v>
      </x:c>
      <x:c r="H1735" s="11"/>
      <x:c r="I1735" s="11" t="str">
        <x:f>IF(H1735="","",C1735-H1735)</x:f>
      </x:c>
      <x:c r="J1735" s="4"/>
      <x:c r="K1735" s="4" t="str">
        <x:v>URLs de detalle page/query/country por clics. No asignan las impresiones de esta consulta a cada página.</x:v>
      </x:c>
    </x:row>
    <x:row r="1736" ht="28" customHeight="1">
      <x:c r="A1736" s="4" t="n">
        <x:v>1726</x:v>
      </x:c>
      <x:c r="B1736" s="4" t="str">
        <x:v>y sky</x:v>
      </x:c>
      <x:c r="C1736" s="11" t="n">
        <x:v>1</x:v>
      </x:c>
      <x:c r="D1736" s="11" t="n">
        <x:v>23</x:v>
      </x:c>
      <x:c r="E1736" s="14" t="n">
        <x:v>0.043478260869565216</x:v>
      </x:c>
      <x:c r="F1736" s="12" t="n">
        <x:v>2</x:v>
      </x:c>
      <x:c r="G1736" s="4" t="str">
        <x:v>Sin marca literal</x:v>
      </x:c>
      <x:c r="H1736" s="11"/>
      <x:c r="I1736" s="11" t="str">
        <x:f>IF(H1736="","",C1736-H1736)</x:f>
      </x:c>
      <x:c r="J1736" s="4"/>
      <x:c r="K1736" s="4" t="str">
        <x:v>URLs de detalle page/query/country por clics. No asignan las impresiones de esta consulta a cada página.</x:v>
      </x:c>
    </x:row>
    <x:row r="1737" ht="28" customHeight="1">
      <x:c r="A1737" s="4" t="n">
        <x:v>1727</x:v>
      </x:c>
      <x:c r="B1737" s="4" t="str">
        <x:v>y sky?</x:v>
      </x:c>
      <x:c r="C1737" s="11" t="n">
        <x:v>1</x:v>
      </x:c>
      <x:c r="D1737" s="11" t="n">
        <x:v>23</x:v>
      </x:c>
      <x:c r="E1737" s="14" t="n">
        <x:v>0.043478260869565216</x:v>
      </x:c>
      <x:c r="F1737" s="12" t="n">
        <x:v>2.5217391304347827</x:v>
      </x:c>
      <x:c r="G1737" s="4" t="str">
        <x:v>Sin marca literal</x:v>
      </x:c>
      <x:c r="H1737" s="11"/>
      <x:c r="I1737" s="11" t="str">
        <x:f>IF(H1737="","",C1737-H1737)</x:f>
      </x:c>
      <x:c r="J1737" s="4"/>
      <x:c r="K1737" s="4" t="str">
        <x:v>URLs de detalle page/query/country por clics. No asignan las impresiones de esta consulta a cada página.</x:v>
      </x:c>
    </x:row>
    <x:row r="1738" ht="28" customHeight="1">
      <x:c r="A1738" s="4" t="n">
        <x:v>1728</x:v>
      </x:c>
      <x:c r="B1738" s="4" t="str">
        <x:v>comida marina chilena</x:v>
      </x:c>
      <x:c r="C1738" s="11" t="n">
        <x:v>1</x:v>
      </x:c>
      <x:c r="D1738" s="11" t="n">
        <x:v>22</x:v>
      </x:c>
      <x:c r="E1738" s="14" t="n">
        <x:v>0.045454545454545456</x:v>
      </x:c>
      <x:c r="F1738" s="12" t="n">
        <x:v>9.272727272727273</x:v>
      </x:c>
      <x:c r="G1738" s="4" t="str">
        <x:v>Sin marca literal</x:v>
      </x:c>
      <x:c r="H1738" s="11"/>
      <x:c r="I1738" s="11" t="str">
        <x:f>IF(H1738="","",C1738-H1738)</x:f>
      </x:c>
      <x:c r="J1738" s="4"/>
      <x:c r="K1738" s="4" t="str">
        <x:v>URLs de detalle page/query/country por clics. No asignan las impresiones de esta consulta a cada página.</x:v>
      </x:c>
    </x:row>
    <x:row r="1739" ht="28" customHeight="1">
      <x:c r="A1739" s="4" t="n">
        <x:v>1729</x:v>
      </x:c>
      <x:c r="B1739" s="4" t="str">
        <x:v>comidas típicas de tacna</x:v>
      </x:c>
      <x:c r="C1739" s="11" t="n">
        <x:v>1</x:v>
      </x:c>
      <x:c r="D1739" s="11" t="n">
        <x:v>22</x:v>
      </x:c>
      <x:c r="E1739" s="14" t="n">
        <x:v>0.045454545454545456</x:v>
      </x:c>
      <x:c r="F1739" s="12" t="n">
        <x:v>9.681818181818182</x:v>
      </x:c>
      <x:c r="G1739" s="4" t="str">
        <x:v>Sin marca literal</x:v>
      </x:c>
      <x:c r="H1739" s="11"/>
      <x:c r="I1739" s="11" t="str">
        <x:f>IF(H1739="","",C1739-H1739)</x:f>
      </x:c>
      <x:c r="J1739" s="4"/>
      <x:c r="K1739" s="4" t="str">
        <x:v>URLs de detalle page/query/country por clics. No asignan las impresiones de esta consulta a cada página.</x:v>
      </x:c>
    </x:row>
    <x:row r="1740" ht="28" customHeight="1">
      <x:c r="A1740" s="4" t="n">
        <x:v>1730</x:v>
      </x:c>
      <x:c r="B1740" s="4" t="str">
        <x:v>como renovar pasaporte chileno</x:v>
      </x:c>
      <x:c r="C1740" s="11" t="n">
        <x:v>1</x:v>
      </x:c>
      <x:c r="D1740" s="11" t="n">
        <x:v>22</x:v>
      </x:c>
      <x:c r="E1740" s="14" t="n">
        <x:v>0.045454545454545456</x:v>
      </x:c>
      <x:c r="F1740" s="12" t="n">
        <x:v>7.363636363636363</x:v>
      </x:c>
      <x:c r="G1740" s="4" t="str">
        <x:v>Sin marca literal</x:v>
      </x:c>
      <x:c r="H1740" s="11"/>
      <x:c r="I1740" s="11" t="str">
        <x:f>IF(H1740="","",C1740-H1740)</x:f>
      </x:c>
      <x:c r="J1740" s="4"/>
      <x:c r="K1740" s="4" t="str">
        <x:v>URLs de detalle page/query/country por clics. No asignan las impresiones de esta consulta a cada página.</x:v>
      </x:c>
    </x:row>
    <x:row r="1741" ht="28" customHeight="1">
      <x:c r="A1741" s="4" t="n">
        <x:v>1731</x:v>
      </x:c>
      <x:c r="B1741" s="4" t="str">
        <x:v>como saber mi numero de pasajero frecuente sky</x:v>
      </x:c>
      <x:c r="C1741" s="11" t="n">
        <x:v>1</x:v>
      </x:c>
      <x:c r="D1741" s="11" t="n">
        <x:v>22</x:v>
      </x:c>
      <x:c r="E1741" s="14" t="n">
        <x:v>0.045454545454545456</x:v>
      </x:c>
      <x:c r="F1741" s="12" t="n">
        <x:v>2.5454545454545454</x:v>
      </x:c>
      <x:c r="G1741" s="4" t="str">
        <x:v>Sin marca literal</x:v>
      </x:c>
      <x:c r="H1741" s="11"/>
      <x:c r="I1741" s="11" t="str">
        <x:f>IF(H1741="","",C1741-H1741)</x:f>
      </x:c>
      <x:c r="J1741" s="4"/>
      <x:c r="K1741" s="4" t="str">
        <x:v>URLs de detalle page/query/country por clics. No asignan las impresiones de esta consulta a cada página.</x:v>
      </x:c>
    </x:row>
    <x:row r="1742" ht="28" customHeight="1">
      <x:c r="A1742" s="4" t="n">
        <x:v>1732</x:v>
      </x:c>
      <x:c r="B1742" s="4" t="str">
        <x:v>como ver mi vuelo en sky</x:v>
      </x:c>
      <x:c r="C1742" s="11" t="n">
        <x:v>1</x:v>
      </x:c>
      <x:c r="D1742" s="11" t="n">
        <x:v>22</x:v>
      </x:c>
      <x:c r="E1742" s="14" t="n">
        <x:v>0.045454545454545456</x:v>
      </x:c>
      <x:c r="F1742" s="12" t="n">
        <x:v>9.727272727272727</x:v>
      </x:c>
      <x:c r="G1742" s="4" t="str">
        <x:v>Sin marca literal</x:v>
      </x:c>
      <x:c r="H1742" s="11"/>
      <x:c r="I1742" s="11" t="str">
        <x:f>IF(H1742="","",C1742-H1742)</x:f>
      </x:c>
      <x:c r="J1742" s="4"/>
      <x:c r="K1742" s="4" t="str">
        <x:v>URLs de detalle page/query/country por clics. No asignan las impresiones de esta consulta a cada página.</x:v>
      </x:c>
    </x:row>
    <x:row r="1743" ht="28" customHeight="1">
      <x:c r="A1743" s="4" t="n">
        <x:v>1733</x:v>
      </x:c>
      <x:c r="B1743" s="4" t="str">
        <x:v>cuantas horas son en avion de chile a brasil</x:v>
      </x:c>
      <x:c r="C1743" s="11" t="n">
        <x:v>1</x:v>
      </x:c>
      <x:c r="D1743" s="11" t="n">
        <x:v>22</x:v>
      </x:c>
      <x:c r="E1743" s="14" t="n">
        <x:v>0.045454545454545456</x:v>
      </x:c>
      <x:c r="F1743" s="12" t="n">
        <x:v>1.9545454545454546</x:v>
      </x:c>
      <x:c r="G1743" s="4" t="str">
        <x:v>Sin marca literal</x:v>
      </x:c>
      <x:c r="H1743" s="11"/>
      <x:c r="I1743" s="11" t="str">
        <x:f>IF(H1743="","",C1743-H1743)</x:f>
      </x:c>
      <x:c r="J1743" s="4"/>
      <x:c r="K1743" s="4" t="str">
        <x:v>URLs de detalle page/query/country por clics. No asignan las impresiones de esta consulta a cada página.</x:v>
      </x:c>
    </x:row>
    <x:row r="1744" ht="28" customHeight="1">
      <x:c r="A1744" s="4" t="n">
        <x:v>1734</x:v>
      </x:c>
      <x:c r="B1744" s="4" t="str">
        <x:v>cuanto sale llevar un perro en avion</x:v>
      </x:c>
      <x:c r="C1744" s="11" t="n">
        <x:v>1</x:v>
      </x:c>
      <x:c r="D1744" s="11" t="n">
        <x:v>22</x:v>
      </x:c>
      <x:c r="E1744" s="14" t="n">
        <x:v>0.045454545454545456</x:v>
      </x:c>
      <x:c r="F1744" s="12" t="n">
        <x:v>10.090909090909092</x:v>
      </x:c>
      <x:c r="G1744" s="4" t="str">
        <x:v>Sin marca literal</x:v>
      </x:c>
      <x:c r="H1744" s="11"/>
      <x:c r="I1744" s="11" t="str">
        <x:f>IF(H1744="","",C1744-H1744)</x:f>
      </x:c>
      <x:c r="J1744" s="4"/>
      <x:c r="K1744" s="4" t="str">
        <x:v>URLs de detalle page/query/country por clics. No asignan las impresiones de esta consulta a cada página.</x:v>
      </x:c>
    </x:row>
    <x:row r="1745" ht="28" customHeight="1">
      <x:c r="A1745" s="4" t="n">
        <x:v>1735</x:v>
      </x:c>
      <x:c r="B1745" s="4" t="str">
        <x:v>escapada fin de semana pareja</x:v>
      </x:c>
      <x:c r="C1745" s="11" t="n">
        <x:v>1</x:v>
      </x:c>
      <x:c r="D1745" s="11" t="n">
        <x:v>22</x:v>
      </x:c>
      <x:c r="E1745" s="14" t="n">
        <x:v>0.045454545454545456</x:v>
      </x:c>
      <x:c r="F1745" s="12" t="n">
        <x:v>8.636363636363637</x:v>
      </x:c>
      <x:c r="G1745" s="4" t="str">
        <x:v>Sin marca literal</x:v>
      </x:c>
      <x:c r="H1745" s="11"/>
      <x:c r="I1745" s="11" t="str">
        <x:f>IF(H1745="","",C1745-H1745)</x:f>
      </x:c>
      <x:c r="J1745" s="4"/>
      <x:c r="K1745" s="4" t="str">
        <x:v>URLs de detalle page/query/country por clics. No asignan las impresiones de esta consulta a cada página.</x:v>
      </x:c>
    </x:row>
    <x:row r="1746" ht="28" customHeight="1">
      <x:c r="A1746" s="4" t="n">
        <x:v>1736</x:v>
      </x:c>
      <x:c r="B1746" s="4" t="str">
        <x:v>estudiar azafata en chile</x:v>
      </x:c>
      <x:c r="C1746" s="11" t="n">
        <x:v>1</x:v>
      </x:c>
      <x:c r="D1746" s="11" t="n">
        <x:v>22</x:v>
      </x:c>
      <x:c r="E1746" s="14" t="n">
        <x:v>0.045454545454545456</x:v>
      </x:c>
      <x:c r="F1746" s="12" t="n">
        <x:v>9.363636363636363</x:v>
      </x:c>
      <x:c r="G1746" s="4" t="str">
        <x:v>Sin marca literal</x:v>
      </x:c>
      <x:c r="H1746" s="11"/>
      <x:c r="I1746" s="11" t="str">
        <x:f>IF(H1746="","",C1746-H1746)</x:f>
      </x:c>
      <x:c r="J1746" s="4"/>
      <x:c r="K1746" s="4" t="str">
        <x:v>URLs de detalle page/query/country por clics. No asignan las impresiones de esta consulta a cada página.</x:v>
      </x:c>
    </x:row>
    <x:row r="1747" ht="28" customHeight="1">
      <x:c r="A1747" s="4" t="n">
        <x:v>1737</x:v>
      </x:c>
      <x:c r="B1747" s="4" t="str">
        <x:v>mascota en cabina</x:v>
      </x:c>
      <x:c r="C1747" s="11" t="n">
        <x:v>1</x:v>
      </x:c>
      <x:c r="D1747" s="11" t="n">
        <x:v>22</x:v>
      </x:c>
      <x:c r="E1747" s="14" t="n">
        <x:v>0.045454545454545456</x:v>
      </x:c>
      <x:c r="F1747" s="12" t="n">
        <x:v>10.954545454545455</x:v>
      </x:c>
      <x:c r="G1747" s="4" t="str">
        <x:v>Sin marca literal</x:v>
      </x:c>
      <x:c r="H1747" s="11"/>
      <x:c r="I1747" s="11" t="str">
        <x:f>IF(H1747="","",C1747-H1747)</x:f>
      </x:c>
      <x:c r="J1747" s="4"/>
      <x:c r="K1747" s="4" t="str">
        <x:v>URLs de detalle page/query/country por clics. No asignan las impresiones de esta consulta a cada página.</x:v>
      </x:c>
    </x:row>
    <x:row r="1748" ht="28" customHeight="1">
      <x:c r="A1748" s="4" t="n">
        <x:v>1738</x:v>
      </x:c>
      <x:c r="B1748" s="4" t="str">
        <x:v>pasaporte para ir a brasil</x:v>
      </x:c>
      <x:c r="C1748" s="11" t="n">
        <x:v>1</x:v>
      </x:c>
      <x:c r="D1748" s="11" t="n">
        <x:v>22</x:v>
      </x:c>
      <x:c r="E1748" s="14" t="n">
        <x:v>0.045454545454545456</x:v>
      </x:c>
      <x:c r="F1748" s="12" t="n">
        <x:v>4.590909090909091</x:v>
      </x:c>
      <x:c r="G1748" s="4" t="str">
        <x:v>Sin marca literal</x:v>
      </x:c>
      <x:c r="H1748" s="11"/>
      <x:c r="I1748" s="11" t="str">
        <x:f>IF(H1748="","",C1748-H1748)</x:f>
      </x:c>
      <x:c r="J1748" s="4"/>
      <x:c r="K1748" s="4" t="str">
        <x:v>URLs de detalle page/query/country por clics. No asignan las impresiones de esta consulta a cada página.</x:v>
      </x:c>
    </x:row>
    <x:row r="1749" ht="28" customHeight="1">
      <x:c r="A1749" s="4" t="n">
        <x:v>1739</x:v>
      </x:c>
      <x:c r="B1749" s="4" t="str">
        <x:v>principales aeropuertos del perú</x:v>
      </x:c>
      <x:c r="C1749" s="11" t="n">
        <x:v>1</x:v>
      </x:c>
      <x:c r="D1749" s="11" t="n">
        <x:v>22</x:v>
      </x:c>
      <x:c r="E1749" s="14" t="n">
        <x:v>0.045454545454545456</x:v>
      </x:c>
      <x:c r="F1749" s="12" t="n">
        <x:v>1.8181818181818183</x:v>
      </x:c>
      <x:c r="G1749" s="4" t="str">
        <x:v>Sin marca literal</x:v>
      </x:c>
      <x:c r="H1749" s="11"/>
      <x:c r="I1749" s="11" t="str">
        <x:f>IF(H1749="","",C1749-H1749)</x:f>
      </x:c>
      <x:c r="J1749" s="4"/>
      <x:c r="K1749" s="4" t="str">
        <x:v>URLs de detalle page/query/country por clics. No asignan las impresiones de esta consulta a cada página.</x:v>
      </x:c>
    </x:row>
    <x:row r="1750" ht="28" customHeight="1">
      <x:c r="A1750" s="4" t="n">
        <x:v>1740</x:v>
      </x:c>
      <x:c r="B1750" s="4" t="str">
        <x:v>puedo llevar un perfume de 100 ml en cabina</x:v>
      </x:c>
      <x:c r="C1750" s="11" t="n">
        <x:v>1</x:v>
      </x:c>
      <x:c r="D1750" s="11" t="n">
        <x:v>22</x:v>
      </x:c>
      <x:c r="E1750" s="14" t="n">
        <x:v>0.045454545454545456</x:v>
      </x:c>
      <x:c r="F1750" s="12" t="n">
        <x:v>5.2272727272727275</x:v>
      </x:c>
      <x:c r="G1750" s="4" t="str">
        <x:v>Sin marca literal</x:v>
      </x:c>
      <x:c r="H1750" s="11"/>
      <x:c r="I1750" s="11" t="str">
        <x:f>IF(H1750="","",C1750-H1750)</x:f>
      </x:c>
      <x:c r="J1750" s="4"/>
      <x:c r="K1750" s="4" t="str">
        <x:v>URLs de detalle page/query/country por clics. No asignan las impresiones de esta consulta a cada página.</x:v>
      </x:c>
    </x:row>
    <x:row r="1751" ht="28" customHeight="1">
      <x:c r="A1751" s="4" t="n">
        <x:v>1741</x:v>
      </x:c>
      <x:c r="B1751" s="4" t="str">
        <x:v>santiago brasil horas de vuelo</x:v>
      </x:c>
      <x:c r="C1751" s="11" t="n">
        <x:v>1</x:v>
      </x:c>
      <x:c r="D1751" s="11" t="n">
        <x:v>22</x:v>
      </x:c>
      <x:c r="E1751" s="14" t="n">
        <x:v>0.045454545454545456</x:v>
      </x:c>
      <x:c r="F1751" s="12" t="n">
        <x:v>1.8181818181818183</x:v>
      </x:c>
      <x:c r="G1751" s="4" t="str">
        <x:v>Sin marca literal</x:v>
      </x:c>
      <x:c r="H1751" s="11"/>
      <x:c r="I1751" s="11" t="str">
        <x:f>IF(H1751="","",C1751-H1751)</x:f>
      </x:c>
      <x:c r="J1751" s="4"/>
      <x:c r="K1751" s="4" t="str">
        <x:v>URLs de detalle page/query/country por clics. No asignan las impresiones de esta consulta a cada página.</x:v>
      </x:c>
    </x:row>
    <x:row r="1752" ht="28" customHeight="1">
      <x:c r="A1752" s="4" t="n">
        <x:v>1742</x:v>
      </x:c>
      <x:c r="B1752" s="4" t="str">
        <x:v>auroras australes chile 2026</x:v>
      </x:c>
      <x:c r="C1752" s="11" t="n">
        <x:v>1</x:v>
      </x:c>
      <x:c r="D1752" s="11" t="n">
        <x:v>21</x:v>
      </x:c>
      <x:c r="E1752" s="14" t="n">
        <x:v>0.047619047619047616</x:v>
      </x:c>
      <x:c r="F1752" s="12" t="n">
        <x:v>5.238095238095238</x:v>
      </x:c>
      <x:c r="G1752" s="4" t="str">
        <x:v>Sin marca literal</x:v>
      </x:c>
      <x:c r="H1752" s="11"/>
      <x:c r="I1752" s="11" t="str">
        <x:f>IF(H1752="","",C1752-H1752)</x:f>
      </x:c>
      <x:c r="J1752" s="4"/>
      <x:c r="K1752" s="4" t="str">
        <x:v>URLs de detalle page/query/country por clics. No asignan las impresiones de esta consulta a cada página.</x:v>
      </x:c>
    </x:row>
    <x:row r="1753" ht="28" customHeight="1">
      <x:c r="A1753" s="4" t="n">
        <x:v>1743</x:v>
      </x:c>
      <x:c r="B1753" s="4" t="str">
        <x:v>chile con nieve</x:v>
      </x:c>
      <x:c r="C1753" s="11" t="n">
        <x:v>1</x:v>
      </x:c>
      <x:c r="D1753" s="11" t="n">
        <x:v>21</x:v>
      </x:c>
      <x:c r="E1753" s="14" t="n">
        <x:v>0.047619047619047616</x:v>
      </x:c>
      <x:c r="F1753" s="12" t="n">
        <x:v>11.238095238095237</x:v>
      </x:c>
      <x:c r="G1753" s="4" t="str">
        <x:v>Sin marca literal</x:v>
      </x:c>
      <x:c r="H1753" s="11"/>
      <x:c r="I1753" s="11" t="str">
        <x:f>IF(H1753="","",C1753-H1753)</x:f>
      </x:c>
      <x:c r="J1753" s="4"/>
      <x:c r="K1753" s="4" t="str">
        <x:v>URLs de detalle page/query/country por clics. No asignan las impresiones de esta consulta a cada página.</x:v>
      </x:c>
    </x:row>
    <x:row r="1754" ht="28" customHeight="1">
      <x:c r="A1754" s="4" t="n">
        <x:v>1744</x:v>
      </x:c>
      <x:c r="B1754" s="4" t="str">
        <x:v>cuales son los dos aeropuertos de buenos aires</x:v>
      </x:c>
      <x:c r="C1754" s="11" t="n">
        <x:v>1</x:v>
      </x:c>
      <x:c r="D1754" s="11" t="n">
        <x:v>21</x:v>
      </x:c>
      <x:c r="E1754" s="14" t="n">
        <x:v>0.047619047619047616</x:v>
      </x:c>
      <x:c r="F1754" s="12" t="n">
        <x:v>2.666666666666667</x:v>
      </x:c>
      <x:c r="G1754" s="4" t="str">
        <x:v>Sin marca literal</x:v>
      </x:c>
      <x:c r="H1754" s="11"/>
      <x:c r="I1754" s="11" t="str">
        <x:f>IF(H1754="","",C1754-H1754)</x:f>
      </x:c>
      <x:c r="J1754" s="4"/>
      <x:c r="K1754" s="4" t="str">
        <x:v>URLs de detalle page/query/country por clics. No asignan las impresiones de esta consulta a cada página.</x:v>
      </x:c>
    </x:row>
    <x:row r="1755" ht="28" customHeight="1">
      <x:c r="A1755" s="4" t="n">
        <x:v>1745</x:v>
      </x:c>
      <x:c r="B1755" s="4" t="str">
        <x:v>cuanto alcohol puedo llevar en avion</x:v>
      </x:c>
      <x:c r="C1755" s="11" t="n">
        <x:v>1</x:v>
      </x:c>
      <x:c r="D1755" s="11" t="n">
        <x:v>21</x:v>
      </x:c>
      <x:c r="E1755" s="14" t="n">
        <x:v>0.047619047619047616</x:v>
      </x:c>
      <x:c r="F1755" s="12" t="n">
        <x:v>5.095238095238095</x:v>
      </x:c>
      <x:c r="G1755" s="4" t="str">
        <x:v>Sin marca literal</x:v>
      </x:c>
      <x:c r="H1755" s="11"/>
      <x:c r="I1755" s="11" t="str">
        <x:f>IF(H1755="","",C1755-H1755)</x:f>
      </x:c>
      <x:c r="J1755" s="4"/>
      <x:c r="K1755" s="4" t="str">
        <x:v>URLs de detalle page/query/country por clics. No asignan las impresiones de esta consulta a cada página.</x:v>
      </x:c>
    </x:row>
    <x:row r="1756" ht="28" customHeight="1">
      <x:c r="A1756" s="4" t="n">
        <x:v>1746</x:v>
      </x:c>
      <x:c r="B1756" s="4" t="str">
        <x:v>danzas tipicas de chile</x:v>
      </x:c>
      <x:c r="C1756" s="11" t="n">
        <x:v>1</x:v>
      </x:c>
      <x:c r="D1756" s="11" t="n">
        <x:v>21</x:v>
      </x:c>
      <x:c r="E1756" s="14" t="n">
        <x:v>0.047619047619047616</x:v>
      </x:c>
      <x:c r="F1756" s="12" t="n">
        <x:v>7.0476190476190474</x:v>
      </x:c>
      <x:c r="G1756" s="4" t="str">
        <x:v>Sin marca literal</x:v>
      </x:c>
      <x:c r="H1756" s="11"/>
      <x:c r="I1756" s="11" t="str">
        <x:f>IF(H1756="","",C1756-H1756)</x:f>
      </x:c>
      <x:c r="J1756" s="4"/>
      <x:c r="K1756" s="4" t="str">
        <x:v>URLs de detalle page/query/country por clics. No asignan las impresiones de esta consulta a cada página.</x:v>
      </x:c>
    </x:row>
    <x:row r="1757" ht="28" customHeight="1">
      <x:c r="A1757" s="4" t="n">
        <x:v>1747</x:v>
      </x:c>
      <x:c r="B1757" s="4" t="str">
        <x:v>destinos baratos</x:v>
      </x:c>
      <x:c r="C1757" s="11" t="n">
        <x:v>1</x:v>
      </x:c>
      <x:c r="D1757" s="11" t="n">
        <x:v>21</x:v>
      </x:c>
      <x:c r="E1757" s="14" t="n">
        <x:v>0.047619047619047616</x:v>
      </x:c>
      <x:c r="F1757" s="12" t="n">
        <x:v>2.8095238095238093</x:v>
      </x:c>
      <x:c r="G1757" s="4" t="str">
        <x:v>Sin marca literal</x:v>
      </x:c>
      <x:c r="H1757" s="11"/>
      <x:c r="I1757" s="11" t="str">
        <x:f>IF(H1757="","",C1757-H1757)</x:f>
      </x:c>
      <x:c r="J1757" s="4"/>
      <x:c r="K1757" s="4" t="str">
        <x:v>URLs de detalle page/query/country por clics. No asignan las impresiones de esta consulta a cada página.</x:v>
      </x:c>
    </x:row>
    <x:row r="1758" ht="28" customHeight="1">
      <x:c r="A1758" s="4" t="n">
        <x:v>1748</x:v>
      </x:c>
      <x:c r="B1758" s="4" t="str">
        <x:v>distancia aeropuerto temuco a pucon</x:v>
      </x:c>
      <x:c r="C1758" s="11" t="n">
        <x:v>1</x:v>
      </x:c>
      <x:c r="D1758" s="11" t="n">
        <x:v>21</x:v>
      </x:c>
      <x:c r="E1758" s="14" t="n">
        <x:v>0.047619047619047616</x:v>
      </x:c>
      <x:c r="F1758" s="12" t="n">
        <x:v>8.80952380952381</x:v>
      </x:c>
      <x:c r="G1758" s="4" t="str">
        <x:v>Sin marca literal</x:v>
      </x:c>
      <x:c r="H1758" s="11"/>
      <x:c r="I1758" s="11" t="str">
        <x:f>IF(H1758="","",C1758-H1758)</x:f>
      </x:c>
      <x:c r="J1758" s="4"/>
      <x:c r="K1758" s="4" t="str">
        <x:v>URLs de detalle page/query/country por clics. No asignan las impresiones de esta consulta a cada página.</x:v>
      </x:c>
    </x:row>
    <x:row r="1759" ht="28" customHeight="1">
      <x:c r="A1759" s="4" t="n">
        <x:v>1749</x:v>
      </x:c>
      <x:c r="B1759" s="4" t="str">
        <x:v>en temuco hay aeropuerto</x:v>
      </x:c>
      <x:c r="C1759" s="11" t="n">
        <x:v>1</x:v>
      </x:c>
      <x:c r="D1759" s="11" t="n">
        <x:v>21</x:v>
      </x:c>
      <x:c r="E1759" s="14" t="n">
        <x:v>0.047619047619047616</x:v>
      </x:c>
      <x:c r="F1759" s="12" t="n">
        <x:v>4.428571428571429</x:v>
      </x:c>
      <x:c r="G1759" s="4" t="str">
        <x:v>Sin marca literal</x:v>
      </x:c>
      <x:c r="H1759" s="11"/>
      <x:c r="I1759" s="11" t="str">
        <x:f>IF(H1759="","",C1759-H1759)</x:f>
      </x:c>
      <x:c r="J1759" s="4"/>
      <x:c r="K1759" s="4" t="str">
        <x:v>URLs de detalle page/query/country por clics. No asignan las impresiones de esta consulta a cada página.</x:v>
      </x:c>
    </x:row>
    <x:row r="1760" ht="28" customHeight="1">
      <x:c r="A1760" s="4" t="n">
        <x:v>1750</x:v>
      </x:c>
      <x:c r="B1760" s="4" t="str">
        <x:v>estaciones del año en santiago de chile</x:v>
      </x:c>
      <x:c r="C1760" s="11" t="n">
        <x:v>1</x:v>
      </x:c>
      <x:c r="D1760" s="11" t="n">
        <x:v>21</x:v>
      </x:c>
      <x:c r="E1760" s="14" t="n">
        <x:v>0.047619047619047616</x:v>
      </x:c>
      <x:c r="F1760" s="12" t="n">
        <x:v>3</x:v>
      </x:c>
      <x:c r="G1760" s="4" t="str">
        <x:v>Sin marca literal</x:v>
      </x:c>
      <x:c r="H1760" s="11"/>
      <x:c r="I1760" s="11" t="str">
        <x:f>IF(H1760="","",C1760-H1760)</x:f>
      </x:c>
      <x:c r="J1760" s="4"/>
      <x:c r="K1760" s="4" t="str">
        <x:v>URLs de detalle page/query/country por clics. No asignan las impresiones de esta consulta a cada página.</x:v>
      </x:c>
    </x:row>
    <x:row r="1761" ht="28" customHeight="1">
      <x:c r="A1761" s="4" t="n">
        <x:v>1751</x:v>
      </x:c>
      <x:c r="B1761" s="4" t="str">
        <x:v>estaciónes del año</x:v>
      </x:c>
      <x:c r="C1761" s="11" t="n">
        <x:v>1</x:v>
      </x:c>
      <x:c r="D1761" s="11" t="n">
        <x:v>21</x:v>
      </x:c>
      <x:c r="E1761" s="14" t="n">
        <x:v>0.047619047619047616</x:v>
      </x:c>
      <x:c r="F1761" s="12" t="n">
        <x:v>8.571428571428571</x:v>
      </x:c>
      <x:c r="G1761" s="4" t="str">
        <x:v>Sin marca literal</x:v>
      </x:c>
      <x:c r="H1761" s="11"/>
      <x:c r="I1761" s="11" t="str">
        <x:f>IF(H1761="","",C1761-H1761)</x:f>
      </x:c>
      <x:c r="J1761" s="4"/>
      <x:c r="K1761" s="4" t="str">
        <x:v>URLs de detalle page/query/country por clics. No asignan las impresiones de esta consulta a cada página.</x:v>
      </x:c>
    </x:row>
    <x:row r="1762" ht="28" customHeight="1">
      <x:c r="A1762" s="4" t="n">
        <x:v>1752</x:v>
      </x:c>
      <x:c r="B1762" s="4" t="str">
        <x:v>hasta que edad no pagan pasaje en avion los niños</x:v>
      </x:c>
      <x:c r="C1762" s="11" t="n">
        <x:v>1</x:v>
      </x:c>
      <x:c r="D1762" s="11" t="n">
        <x:v>21</x:v>
      </x:c>
      <x:c r="E1762" s="14" t="n">
        <x:v>0.047619047619047616</x:v>
      </x:c>
      <x:c r="F1762" s="12" t="n">
        <x:v>2.2857142857142856</x:v>
      </x:c>
      <x:c r="G1762" s="4" t="str">
        <x:v>Sin marca literal</x:v>
      </x:c>
      <x:c r="H1762" s="11"/>
      <x:c r="I1762" s="11" t="str">
        <x:f>IF(H1762="","",C1762-H1762)</x:f>
      </x:c>
      <x:c r="J1762" s="4"/>
      <x:c r="K1762" s="4" t="str">
        <x:v>URLs de detalle page/query/country por clics. No asignan las impresiones de esta consulta a cada página.</x:v>
      </x:c>
    </x:row>
    <x:row r="1763" ht="28" customHeight="1">
      <x:c r="A1763" s="4" t="n">
        <x:v>1753</x:v>
      </x:c>
      <x:c r="B1763" s="4" t="str">
        <x:v>lugares para viajar en familia económicos</x:v>
      </x:c>
      <x:c r="C1763" s="11" t="n">
        <x:v>1</x:v>
      </x:c>
      <x:c r="D1763" s="11" t="n">
        <x:v>21</x:v>
      </x:c>
      <x:c r="E1763" s="14" t="n">
        <x:v>0.047619047619047616</x:v>
      </x:c>
      <x:c r="F1763" s="12" t="n">
        <x:v>8.714285714285715</x:v>
      </x:c>
      <x:c r="G1763" s="4" t="str">
        <x:v>Sin marca literal</x:v>
      </x:c>
      <x:c r="H1763" s="11"/>
      <x:c r="I1763" s="11" t="str">
        <x:f>IF(H1763="","",C1763-H1763)</x:f>
      </x:c>
      <x:c r="J1763" s="4"/>
      <x:c r="K1763" s="4" t="str">
        <x:v>URLs de detalle page/query/country por clics. No asignan las impresiones de esta consulta a cada página.</x:v>
      </x:c>
    </x:row>
    <x:row r="1764" ht="28" customHeight="1">
      <x:c r="A1764" s="4" t="n">
        <x:v>1754</x:v>
      </x:c>
      <x:c r="B1764" s="4" t="str">
        <x:v>mejores playas de miami</x:v>
      </x:c>
      <x:c r="C1764" s="11" t="n">
        <x:v>1</x:v>
      </x:c>
      <x:c r="D1764" s="11" t="n">
        <x:v>21</x:v>
      </x:c>
      <x:c r="E1764" s="14" t="n">
        <x:v>0.047619047619047616</x:v>
      </x:c>
      <x:c r="F1764" s="12" t="n">
        <x:v>11.904761904761905</x:v>
      </x:c>
      <x:c r="G1764" s="4" t="str">
        <x:v>Sin marca literal</x:v>
      </x:c>
      <x:c r="H1764" s="11"/>
      <x:c r="I1764" s="11" t="str">
        <x:f>IF(H1764="","",C1764-H1764)</x:f>
      </x:c>
      <x:c r="J1764" s="4"/>
      <x:c r="K1764" s="4" t="str">
        <x:v>URLs de detalle page/query/country por clics. No asignan las impresiones de esta consulta a cada página.</x:v>
      </x:c>
    </x:row>
    <x:row r="1765" ht="28" customHeight="1">
      <x:c r="A1765" s="4" t="n">
        <x:v>1755</x:v>
      </x:c>
      <x:c r="B1765" s="4" t="str">
        <x:v>postergar vuelo sky</x:v>
      </x:c>
      <x:c r="C1765" s="11" t="n">
        <x:v>1</x:v>
      </x:c>
      <x:c r="D1765" s="11" t="n">
        <x:v>21</x:v>
      </x:c>
      <x:c r="E1765" s="14" t="n">
        <x:v>0.047619047619047616</x:v>
      </x:c>
      <x:c r="F1765" s="12" t="n">
        <x:v>3.6666666666666665</x:v>
      </x:c>
      <x:c r="G1765" s="4" t="str">
        <x:v>Sin marca literal</x:v>
      </x:c>
      <x:c r="H1765" s="11"/>
      <x:c r="I1765" s="11" t="str">
        <x:f>IF(H1765="","",C1765-H1765)</x:f>
      </x:c>
      <x:c r="J1765" s="4"/>
      <x:c r="K1765" s="4" t="str">
        <x:v>URLs de detalle page/query/country por clics. No asignan las impresiones de esta consulta a cada página.</x:v>
      </x:c>
    </x:row>
    <x:row r="1766" ht="28" customHeight="1">
      <x:c r="A1766" s="4" t="n">
        <x:v>1756</x:v>
      </x:c>
      <x:c r="B1766" s="4" t="str">
        <x:v>sky call center chile</x:v>
      </x:c>
      <x:c r="C1766" s="11" t="n">
        <x:v>1</x:v>
      </x:c>
      <x:c r="D1766" s="11" t="n">
        <x:v>21</x:v>
      </x:c>
      <x:c r="E1766" s="14" t="n">
        <x:v>0.047619047619047616</x:v>
      </x:c>
      <x:c r="F1766" s="12" t="n">
        <x:v>9.095238095238095</x:v>
      </x:c>
      <x:c r="G1766" s="4" t="str">
        <x:v>Sin marca literal</x:v>
      </x:c>
      <x:c r="H1766" s="11"/>
      <x:c r="I1766" s="11" t="str">
        <x:f>IF(H1766="","",C1766-H1766)</x:f>
      </x:c>
      <x:c r="J1766" s="4"/>
      <x:c r="K1766" s="4" t="str">
        <x:v>URLs de detalle page/query/country por clics. No asignan las impresiones de esta consulta a cada página.</x:v>
      </x:c>
    </x:row>
    <x:row r="1767" ht="28" customHeight="1">
      <x:c r="A1767" s="4" t="n">
        <x:v>1757</x:v>
      </x:c>
      <x:c r="B1767" s="4" t="str">
        <x:v>sky wifi a bordo</x:v>
      </x:c>
      <x:c r="C1767" s="11" t="n">
        <x:v>1</x:v>
      </x:c>
      <x:c r="D1767" s="11" t="n">
        <x:v>21</x:v>
      </x:c>
      <x:c r="E1767" s="14" t="n">
        <x:v>0.047619047619047616</x:v>
      </x:c>
      <x:c r="F1767" s="12" t="n">
        <x:v>3.7142857142857144</x:v>
      </x:c>
      <x:c r="G1767" s="4" t="str">
        <x:v>Sin marca literal</x:v>
      </x:c>
      <x:c r="H1767" s="11"/>
      <x:c r="I1767" s="11" t="str">
        <x:f>IF(H1767="","",C1767-H1767)</x:f>
      </x:c>
      <x:c r="J1767" s="4"/>
      <x:c r="K1767" s="4" t="str">
        <x:v>URLs de detalle page/query/country por clics. No asignan las impresiones de esta consulta a cada página.</x:v>
      </x:c>
    </x:row>
    <x:row r="1768" ht="28" customHeight="1">
      <x:c r="A1768" s="4" t="n">
        <x:v>1758</x:v>
      </x:c>
      <x:c r="B1768" s="4" t="str">
        <x:v>tiendas en zofri iquique</x:v>
      </x:c>
      <x:c r="C1768" s="11" t="n">
        <x:v>1</x:v>
      </x:c>
      <x:c r="D1768" s="11" t="n">
        <x:v>21</x:v>
      </x:c>
      <x:c r="E1768" s="14" t="n">
        <x:v>0.047619047619047616</x:v>
      </x:c>
      <x:c r="F1768" s="12" t="n">
        <x:v>8.523809523809524</x:v>
      </x:c>
      <x:c r="G1768" s="4" t="str">
        <x:v>Sin marca literal</x:v>
      </x:c>
      <x:c r="H1768" s="11"/>
      <x:c r="I1768" s="11" t="str">
        <x:f>IF(H1768="","",C1768-H1768)</x:f>
      </x:c>
      <x:c r="J1768" s="4"/>
      <x:c r="K1768" s="4" t="str">
        <x:v>URLs de detalle page/query/country por clics. No asignan las impresiones de esta consulta a cada página.</x:v>
      </x:c>
    </x:row>
    <x:row r="1769" ht="28" customHeight="1">
      <x:c r="A1769" s="4" t="n">
        <x:v>1759</x:v>
      </x:c>
      <x:c r="B1769" s="4" t="str">
        <x:v>airbus a320neo sky asientos</x:v>
      </x:c>
      <x:c r="C1769" s="11" t="n">
        <x:v>1</x:v>
      </x:c>
      <x:c r="D1769" s="11" t="n">
        <x:v>20</x:v>
      </x:c>
      <x:c r="E1769" s="14" t="n">
        <x:v>0.05</x:v>
      </x:c>
      <x:c r="F1769" s="12" t="n">
        <x:v>5.3</x:v>
      </x:c>
      <x:c r="G1769" s="4" t="str">
        <x:v>Sin marca literal</x:v>
      </x:c>
      <x:c r="H1769" s="11"/>
      <x:c r="I1769" s="11" t="str">
        <x:f>IF(H1769="","",C1769-H1769)</x:f>
      </x:c>
      <x:c r="J1769" s="4"/>
      <x:c r="K1769" s="4" t="str">
        <x:v>URLs de detalle page/query/country por clics. No asignan las impresiones de esta consulta a cada página.</x:v>
      </x:c>
    </x:row>
    <x:row r="1770" ht="28" customHeight="1">
      <x:c r="A1770" s="4" t="n">
        <x:v>1760</x:v>
      </x:c>
      <x:c r="B1770" s="4" t="str">
        <x:v>auroras en chile</x:v>
      </x:c>
      <x:c r="C1770" s="11" t="n">
        <x:v>1</x:v>
      </x:c>
      <x:c r="D1770" s="11" t="n">
        <x:v>20</x:v>
      </x:c>
      <x:c r="E1770" s="14" t="n">
        <x:v>0.05</x:v>
      </x:c>
      <x:c r="F1770" s="12" t="n">
        <x:v>3.35</x:v>
      </x:c>
      <x:c r="G1770" s="4" t="str">
        <x:v>Sin marca literal</x:v>
      </x:c>
      <x:c r="H1770" s="11"/>
      <x:c r="I1770" s="11" t="str">
        <x:f>IF(H1770="","",C1770-H1770)</x:f>
      </x:c>
      <x:c r="J1770" s="4"/>
      <x:c r="K1770" s="4" t="str">
        <x:v>URLs de detalle page/query/country por clics. No asignan las impresiones de esta consulta a cada página.</x:v>
      </x:c>
    </x:row>
    <x:row r="1771" ht="28" customHeight="1">
      <x:c r="A1771" s="4" t="n">
        <x:v>1761</x:v>
      </x:c>
      <x:c r="B1771" s="4" t="str">
        <x:v>beneficios skyplus</x:v>
      </x:c>
      <x:c r="C1771" s="11" t="n">
        <x:v>1</x:v>
      </x:c>
      <x:c r="D1771" s="11" t="n">
        <x:v>20</x:v>
      </x:c>
      <x:c r="E1771" s="14" t="n">
        <x:v>0.05</x:v>
      </x:c>
      <x:c r="F1771" s="12" t="n">
        <x:v>5.05</x:v>
      </x:c>
      <x:c r="G1771" s="4" t="str">
        <x:v>Sin marca literal</x:v>
      </x:c>
      <x:c r="H1771" s="11"/>
      <x:c r="I1771" s="11" t="str">
        <x:f>IF(H1771="","",C1771-H1771)</x:f>
      </x:c>
      <x:c r="J1771" s="4"/>
      <x:c r="K1771" s="4" t="str">
        <x:v>URLs de detalle page/query/country por clics. No asignan las impresiones de esta consulta a cada página.</x:v>
      </x:c>
    </x:row>
    <x:row r="1772" ht="28" customHeight="1">
      <x:c r="A1772" s="4" t="n">
        <x:v>1762</x:v>
      </x:c>
      <x:c r="B1772" s="4" t="str">
        <x:v>carrera azafata chile</x:v>
      </x:c>
      <x:c r="C1772" s="11" t="n">
        <x:v>1</x:v>
      </x:c>
      <x:c r="D1772" s="11" t="n">
        <x:v>20</x:v>
      </x:c>
      <x:c r="E1772" s="14" t="n">
        <x:v>0.05</x:v>
      </x:c>
      <x:c r="F1772" s="12" t="n">
        <x:v>8.6</x:v>
      </x:c>
      <x:c r="G1772" s="4" t="str">
        <x:v>Sin marca literal</x:v>
      </x:c>
      <x:c r="H1772" s="11"/>
      <x:c r="I1772" s="11" t="str">
        <x:f>IF(H1772="","",C1772-H1772)</x:f>
      </x:c>
      <x:c r="J1772" s="4"/>
      <x:c r="K1772" s="4" t="str">
        <x:v>URLs de detalle page/query/country por clics. No asignan las impresiones de esta consulta a cada página.</x:v>
      </x:c>
    </x:row>
    <x:row r="1773" ht="28" customHeight="1">
      <x:c r="A1773" s="4" t="n">
        <x:v>1763</x:v>
      </x:c>
      <x:c r="B1773" s="4" t="str">
        <x:v>chile en verano</x:v>
      </x:c>
      <x:c r="C1773" s="11" t="n">
        <x:v>1</x:v>
      </x:c>
      <x:c r="D1773" s="11" t="n">
        <x:v>20</x:v>
      </x:c>
      <x:c r="E1773" s="14" t="n">
        <x:v>0.05</x:v>
      </x:c>
      <x:c r="F1773" s="12" t="n">
        <x:v>11.25</x:v>
      </x:c>
      <x:c r="G1773" s="4" t="str">
        <x:v>Sin marca literal</x:v>
      </x:c>
      <x:c r="H1773" s="11"/>
      <x:c r="I1773" s="11" t="str">
        <x:f>IF(H1773="","",C1773-H1773)</x:f>
      </x:c>
      <x:c r="J1773" s="4"/>
      <x:c r="K1773" s="4" t="str">
        <x:v>URLs de detalle page/query/country por clics. No asignan las impresiones de esta consulta a cada página.</x:v>
      </x:c>
    </x:row>
    <x:row r="1774" ht="28" customHeight="1">
      <x:c r="A1774" s="4" t="n">
        <x:v>1764</x:v>
      </x:c>
      <x:c r="B1774" s="4" t="str">
        <x:v>comidas tipicas de brasil rio de janeiro</x:v>
      </x:c>
      <x:c r="C1774" s="11" t="n">
        <x:v>1</x:v>
      </x:c>
      <x:c r="D1774" s="11" t="n">
        <x:v>20</x:v>
      </x:c>
      <x:c r="E1774" s="14" t="n">
        <x:v>0.05</x:v>
      </x:c>
      <x:c r="F1774" s="12" t="n">
        <x:v>3.7</x:v>
      </x:c>
      <x:c r="G1774" s="4" t="str">
        <x:v>Sin marca literal</x:v>
      </x:c>
      <x:c r="H1774" s="11"/>
      <x:c r="I1774" s="11" t="str">
        <x:f>IF(H1774="","",C1774-H1774)</x:f>
      </x:c>
      <x:c r="J1774" s="4"/>
      <x:c r="K1774" s="4" t="str">
        <x:v>URLs de detalle page/query/country por clics. No asignan las impresiones de esta consulta a cada página.</x:v>
      </x:c>
    </x:row>
    <x:row r="1775" ht="28" customHeight="1">
      <x:c r="A1775" s="4" t="n">
        <x:v>1765</x:v>
      </x:c>
      <x:c r="B1775" s="4" t="str">
        <x:v>como llegar ayacucho</x:v>
      </x:c>
      <x:c r="C1775" s="11" t="n">
        <x:v>1</x:v>
      </x:c>
      <x:c r="D1775" s="11" t="n">
        <x:v>20</x:v>
      </x:c>
      <x:c r="E1775" s="14" t="n">
        <x:v>0.05</x:v>
      </x:c>
      <x:c r="F1775" s="12" t="n">
        <x:v>8.65</x:v>
      </x:c>
      <x:c r="G1775" s="4" t="str">
        <x:v>Sin marca literal</x:v>
      </x:c>
      <x:c r="H1775" s="11"/>
      <x:c r="I1775" s="11" t="str">
        <x:f>IF(H1775="","",C1775-H1775)</x:f>
      </x:c>
      <x:c r="J1775" s="4"/>
      <x:c r="K1775" s="4" t="str">
        <x:v>URLs de detalle page/query/country por clics. No asignan las impresiones de esta consulta a cada página.</x:v>
      </x:c>
    </x:row>
    <x:row r="1776" ht="28" customHeight="1">
      <x:c r="A1776" s="4" t="n">
        <x:v>1766</x:v>
      </x:c>
      <x:c r="B1776" s="4" t="str">
        <x:v>como se llama el enchufe que se usa en argentina</x:v>
      </x:c>
      <x:c r="C1776" s="11" t="n">
        <x:v>1</x:v>
      </x:c>
      <x:c r="D1776" s="11" t="n">
        <x:v>20</x:v>
      </x:c>
      <x:c r="E1776" s="14" t="n">
        <x:v>0.05</x:v>
      </x:c>
      <x:c r="F1776" s="12" t="n">
        <x:v>5.7</x:v>
      </x:c>
      <x:c r="G1776" s="4" t="str">
        <x:v>Sin marca literal</x:v>
      </x:c>
      <x:c r="H1776" s="11"/>
      <x:c r="I1776" s="11" t="str">
        <x:f>IF(H1776="","",C1776-H1776)</x:f>
      </x:c>
      <x:c r="J1776" s="4"/>
      <x:c r="K1776" s="4" t="str">
        <x:v>URLs de detalle page/query/country por clics. No asignan las impresiones de esta consulta a cada página.</x:v>
      </x:c>
    </x:row>
    <x:row r="1777" ht="28" customHeight="1">
      <x:c r="A1777" s="4" t="n">
        <x:v>1767</x:v>
      </x:c>
      <x:c r="B1777" s="4" t="str">
        <x:v>copiapó</x:v>
      </x:c>
      <x:c r="C1777" s="11" t="n">
        <x:v>1</x:v>
      </x:c>
      <x:c r="D1777" s="11" t="n">
        <x:v>20</x:v>
      </x:c>
      <x:c r="E1777" s="14" t="n">
        <x:v>0.05</x:v>
      </x:c>
      <x:c r="F1777" s="12" t="n">
        <x:v>29.15</x:v>
      </x:c>
      <x:c r="G1777" s="4" t="str">
        <x:v>Sin marca literal</x:v>
      </x:c>
      <x:c r="H1777" s="11"/>
      <x:c r="I1777" s="11" t="str">
        <x:f>IF(H1777="","",C1777-H1777)</x:f>
      </x:c>
      <x:c r="J1777" s="4"/>
      <x:c r="K1777" s="4" t="str">
        <x:v>URLs de detalle page/query/country por clics. No asignan las impresiones de esta consulta a cada página.</x:v>
      </x:c>
    </x:row>
    <x:row r="1778" ht="28" customHeight="1">
      <x:c r="A1778" s="4" t="n">
        <x:v>1768</x:v>
      </x:c>
      <x:c r="B1778" s="4" t="str">
        <x:v>cuanto debe pesar la mochila de mano</x:v>
      </x:c>
      <x:c r="C1778" s="11" t="n">
        <x:v>1</x:v>
      </x:c>
      <x:c r="D1778" s="11" t="n">
        <x:v>20</x:v>
      </x:c>
      <x:c r="E1778" s="14" t="n">
        <x:v>0.05</x:v>
      </x:c>
      <x:c r="F1778" s="12" t="n">
        <x:v>7.25</x:v>
      </x:c>
      <x:c r="G1778" s="4" t="str">
        <x:v>Sin marca literal</x:v>
      </x:c>
      <x:c r="H1778" s="11"/>
      <x:c r="I1778" s="11" t="str">
        <x:f>IF(H1778="","",C1778-H1778)</x:f>
      </x:c>
      <x:c r="J1778" s="4"/>
      <x:c r="K1778" s="4" t="str">
        <x:v>URLs de detalle page/query/country por clics. No asignan las impresiones de esta consulta a cada página.</x:v>
      </x:c>
    </x:row>
    <x:row r="1779" ht="28" customHeight="1">
      <x:c r="A1779" s="4" t="n">
        <x:v>1769</x:v>
      </x:c>
      <x:c r="B1779" s="4" t="str">
        <x:v>curso de tripulante de cabina chile</x:v>
      </x:c>
      <x:c r="C1779" s="11" t="n">
        <x:v>1</x:v>
      </x:c>
      <x:c r="D1779" s="11" t="n">
        <x:v>20</x:v>
      </x:c>
      <x:c r="E1779" s="14" t="n">
        <x:v>0.05</x:v>
      </x:c>
      <x:c r="F1779" s="12" t="n">
        <x:v>6.8</x:v>
      </x:c>
      <x:c r="G1779" s="4" t="str">
        <x:v>Sin marca literal</x:v>
      </x:c>
      <x:c r="H1779" s="11"/>
      <x:c r="I1779" s="11" t="str">
        <x:f>IF(H1779="","",C1779-H1779)</x:f>
      </x:c>
      <x:c r="J1779" s="4"/>
      <x:c r="K1779" s="4" t="str">
        <x:v>URLs de detalle page/query/country por clics. No asignan las impresiones de esta consulta a cada página.</x:v>
      </x:c>
    </x:row>
    <x:row r="1780" ht="28" customHeight="1">
      <x:c r="A1780" s="4" t="n">
        <x:v>1770</x:v>
      </x:c>
      <x:c r="B1780" s="4" t="str">
        <x:v>cómo llegar a ushuaia desde chile</x:v>
      </x:c>
      <x:c r="C1780" s="11" t="n">
        <x:v>1</x:v>
      </x:c>
      <x:c r="D1780" s="11" t="n">
        <x:v>20</x:v>
      </x:c>
      <x:c r="E1780" s="14" t="n">
        <x:v>0.05</x:v>
      </x:c>
      <x:c r="F1780" s="12" t="n">
        <x:v>5.7</x:v>
      </x:c>
      <x:c r="G1780" s="4" t="str">
        <x:v>Sin marca literal</x:v>
      </x:c>
      <x:c r="H1780" s="11"/>
      <x:c r="I1780" s="11" t="str">
        <x:f>IF(H1780="","",C1780-H1780)</x:f>
      </x:c>
      <x:c r="J1780" s="4"/>
      <x:c r="K1780" s="4" t="str">
        <x:v>URLs de detalle page/query/country por clics. No asignan las impresiones de esta consulta a cada página.</x:v>
      </x:c>
    </x:row>
    <x:row r="1781" ht="28" customHeight="1">
      <x:c r="A1781" s="4" t="n">
        <x:v>1771</x:v>
      </x:c>
      <x:c r="B1781" s="4" t="str">
        <x:v>diferencia entre aeroparque y ezeiza</x:v>
      </x:c>
      <x:c r="C1781" s="11" t="n">
        <x:v>1</x:v>
      </x:c>
      <x:c r="D1781" s="11" t="n">
        <x:v>20</x:v>
      </x:c>
      <x:c r="E1781" s="14" t="n">
        <x:v>0.05</x:v>
      </x:c>
      <x:c r="F1781" s="12" t="n">
        <x:v>6.25</x:v>
      </x:c>
      <x:c r="G1781" s="4" t="str">
        <x:v>Sin marca literal</x:v>
      </x:c>
      <x:c r="H1781" s="11"/>
      <x:c r="I1781" s="11" t="str">
        <x:f>IF(H1781="","",C1781-H1781)</x:f>
      </x:c>
      <x:c r="J1781" s="4"/>
      <x:c r="K1781" s="4" t="str">
        <x:v>URLs de detalle page/query/country por clics. No asignan las impresiones de esta consulta a cada página.</x:v>
      </x:c>
    </x:row>
    <x:row r="1782" ht="28" customHeight="1">
      <x:c r="A1782" s="4" t="n">
        <x:v>1772</x:v>
      </x:c>
      <x:c r="B1782" s="4" t="str">
        <x:v>donde ir con niños</x:v>
      </x:c>
      <x:c r="C1782" s="11" t="n">
        <x:v>1</x:v>
      </x:c>
      <x:c r="D1782" s="11" t="n">
        <x:v>20</x:v>
      </x:c>
      <x:c r="E1782" s="14" t="n">
        <x:v>0.05</x:v>
      </x:c>
      <x:c r="F1782" s="12" t="n">
        <x:v>8.75</x:v>
      </x:c>
      <x:c r="G1782" s="4" t="str">
        <x:v>Sin marca literal</x:v>
      </x:c>
      <x:c r="H1782" s="11"/>
      <x:c r="I1782" s="11" t="str">
        <x:f>IF(H1782="","",C1782-H1782)</x:f>
      </x:c>
      <x:c r="J1782" s="4"/>
      <x:c r="K1782" s="4" t="str">
        <x:v>URLs de detalle page/query/country por clics. No asignan las impresiones de esta consulta a cada página.</x:v>
      </x:c>
    </x:row>
    <x:row r="1783" ht="28" customHeight="1">
      <x:c r="A1783" s="4" t="n">
        <x:v>1773</x:v>
      </x:c>
      <x:c r="B1783" s="4" t="str">
        <x:v>donde pasar navidad en chile</x:v>
      </x:c>
      <x:c r="C1783" s="11" t="n">
        <x:v>1</x:v>
      </x:c>
      <x:c r="D1783" s="11" t="n">
        <x:v>20</x:v>
      </x:c>
      <x:c r="E1783" s="14" t="n">
        <x:v>0.05</x:v>
      </x:c>
      <x:c r="F1783" s="12" t="n">
        <x:v>3.85</x:v>
      </x:c>
      <x:c r="G1783" s="4" t="str">
        <x:v>Sin marca literal</x:v>
      </x:c>
      <x:c r="H1783" s="11"/>
      <x:c r="I1783" s="11" t="str">
        <x:f>IF(H1783="","",C1783-H1783)</x:f>
      </x:c>
      <x:c r="J1783" s="4"/>
      <x:c r="K1783" s="4" t="str">
        <x:v>URLs de detalle page/query/country por clics. No asignan las impresiones de esta consulta a cada página.</x:v>
      </x:c>
    </x:row>
    <x:row r="1784" ht="28" customHeight="1">
      <x:c r="A1784" s="4" t="n">
        <x:v>1774</x:v>
      </x:c>
      <x:c r="B1784" s="4" t="str">
        <x:v>dónde se encuentra el huáscar</x:v>
      </x:c>
      <x:c r="C1784" s="11" t="n">
        <x:v>1</x:v>
      </x:c>
      <x:c r="D1784" s="11" t="n">
        <x:v>20</x:v>
      </x:c>
      <x:c r="E1784" s="14" t="n">
        <x:v>0.05</x:v>
      </x:c>
      <x:c r="F1784" s="12" t="n">
        <x:v>9.1</x:v>
      </x:c>
      <x:c r="G1784" s="4" t="str">
        <x:v>Sin marca literal</x:v>
      </x:c>
      <x:c r="H1784" s="11"/>
      <x:c r="I1784" s="11" t="str">
        <x:f>IF(H1784="","",C1784-H1784)</x:f>
      </x:c>
      <x:c r="J1784" s="4"/>
      <x:c r="K1784" s="4" t="str">
        <x:v>URLs de detalle page/query/country por clics. No asignan las impresiones de esta consulta a cada página.</x:v>
      </x:c>
    </x:row>
    <x:row r="1785" ht="28" customHeight="1">
      <x:c r="A1785" s="4" t="n">
        <x:v>1775</x:v>
      </x:c>
      <x:c r="B1785" s="4" t="str">
        <x:v>enchufe brazil</x:v>
      </x:c>
      <x:c r="C1785" s="11" t="n">
        <x:v>1</x:v>
      </x:c>
      <x:c r="D1785" s="11" t="n">
        <x:v>20</x:v>
      </x:c>
      <x:c r="E1785" s="14" t="n">
        <x:v>0.05</x:v>
      </x:c>
      <x:c r="F1785" s="12" t="n">
        <x:v>6.35</x:v>
      </x:c>
      <x:c r="G1785" s="4" t="str">
        <x:v>Sin marca literal</x:v>
      </x:c>
      <x:c r="H1785" s="11"/>
      <x:c r="I1785" s="11" t="str">
        <x:f>IF(H1785="","",C1785-H1785)</x:f>
      </x:c>
      <x:c r="J1785" s="4"/>
      <x:c r="K1785" s="4" t="str">
        <x:v>URLs de detalle page/query/country por clics. No asignan las impresiones de esta consulta a cada página.</x:v>
      </x:c>
    </x:row>
    <x:row r="1786" ht="28" customHeight="1">
      <x:c r="A1786" s="4" t="n">
        <x:v>1776</x:v>
      </x:c>
      <x:c r="B1786" s="4" t="str">
        <x:v>medida mochila de cabina</x:v>
      </x:c>
      <x:c r="C1786" s="11" t="n">
        <x:v>1</x:v>
      </x:c>
      <x:c r="D1786" s="11" t="n">
        <x:v>20</x:v>
      </x:c>
      <x:c r="E1786" s="14" t="n">
        <x:v>0.05</x:v>
      </x:c>
      <x:c r="F1786" s="12" t="n">
        <x:v>6</x:v>
      </x:c>
      <x:c r="G1786" s="4" t="str">
        <x:v>Sin marca literal</x:v>
      </x:c>
      <x:c r="H1786" s="11"/>
      <x:c r="I1786" s="11" t="str">
        <x:f>IF(H1786="","",C1786-H1786)</x:f>
      </x:c>
      <x:c r="J1786" s="4"/>
      <x:c r="K1786" s="4" t="str">
        <x:v>URLs de detalle page/query/country por clics. No asignan las impresiones de esta consulta a cada página.</x:v>
      </x:c>
    </x:row>
    <x:row r="1787" ht="28" customHeight="1">
      <x:c r="A1787" s="4" t="n">
        <x:v>1777</x:v>
      </x:c>
      <x:c r="B1787" s="4" t="str">
        <x:v>medidas equipaje cabina</x:v>
      </x:c>
      <x:c r="C1787" s="11" t="n">
        <x:v>1</x:v>
      </x:c>
      <x:c r="D1787" s="11" t="n">
        <x:v>20</x:v>
      </x:c>
      <x:c r="E1787" s="14" t="n">
        <x:v>0.05</x:v>
      </x:c>
      <x:c r="F1787" s="12" t="n">
        <x:v>9.1</x:v>
      </x:c>
      <x:c r="G1787" s="4" t="str">
        <x:v>Sin marca literal</x:v>
      </x:c>
      <x:c r="H1787" s="11"/>
      <x:c r="I1787" s="11" t="str">
        <x:f>IF(H1787="","",C1787-H1787)</x:f>
      </x:c>
      <x:c r="J1787" s="4"/>
      <x:c r="K1787" s="4" t="str">
        <x:v>URLs de detalle page/query/country por clics. No asignan las impresiones de esta consulta a cada página.</x:v>
      </x:c>
    </x:row>
    <x:row r="1788" ht="28" customHeight="1">
      <x:c r="A1788" s="4" t="n">
        <x:v>1778</x:v>
      </x:c>
      <x:c r="B1788" s="4" t="str">
        <x:v>mejores restaurantes bariloche</x:v>
      </x:c>
      <x:c r="C1788" s="11" t="n">
        <x:v>1</x:v>
      </x:c>
      <x:c r="D1788" s="11" t="n">
        <x:v>20</x:v>
      </x:c>
      <x:c r="E1788" s="14" t="n">
        <x:v>0.05</x:v>
      </x:c>
      <x:c r="F1788" s="12" t="n">
        <x:v>13.2</x:v>
      </x:c>
      <x:c r="G1788" s="4" t="str">
        <x:v>Sin marca literal</x:v>
      </x:c>
      <x:c r="H1788" s="11"/>
      <x:c r="I1788" s="11" t="str">
        <x:f>IF(H1788="","",C1788-H1788)</x:f>
      </x:c>
      <x:c r="J1788" s="4"/>
      <x:c r="K1788" s="4" t="str">
        <x:v>URLs de detalle page/query/country por clics. No asignan las impresiones de esta consulta a cada página.</x:v>
      </x:c>
    </x:row>
    <x:row r="1789" ht="28" customHeight="1">
      <x:c r="A1789" s="4" t="n">
        <x:v>1779</x:v>
      </x:c>
      <x:c r="B1789" s="4" t="str">
        <x:v>millas sky airlines</x:v>
      </x:c>
      <x:c r="C1789" s="11" t="n">
        <x:v>1</x:v>
      </x:c>
      <x:c r="D1789" s="11" t="n">
        <x:v>20</x:v>
      </x:c>
      <x:c r="E1789" s="14" t="n">
        <x:v>0.05</x:v>
      </x:c>
      <x:c r="F1789" s="12" t="n">
        <x:v>3.3</x:v>
      </x:c>
      <x:c r="G1789" s="4" t="str">
        <x:v>Sin marca literal</x:v>
      </x:c>
      <x:c r="H1789" s="11"/>
      <x:c r="I1789" s="11" t="str">
        <x:f>IF(H1789="","",C1789-H1789)</x:f>
      </x:c>
      <x:c r="J1789" s="4"/>
      <x:c r="K1789" s="4" t="str">
        <x:v>URLs de detalle page/query/country por clics. No asignan las impresiones de esta consulta a cada página.</x:v>
      </x:c>
    </x:row>
    <x:row r="1790" ht="28" customHeight="1">
      <x:c r="A1790" s="4" t="n">
        <x:v>1780</x:v>
      </x:c>
      <x:c r="B1790" s="4" t="str">
        <x:v>mirador cristo petrolero</x:v>
      </x:c>
      <x:c r="C1790" s="11" t="n">
        <x:v>1</x:v>
      </x:c>
      <x:c r="D1790" s="11" t="n">
        <x:v>20</x:v>
      </x:c>
      <x:c r="E1790" s="14" t="n">
        <x:v>0.05</x:v>
      </x:c>
      <x:c r="F1790" s="12" t="n">
        <x:v>4.35</x:v>
      </x:c>
      <x:c r="G1790" s="4" t="str">
        <x:v>Sin marca literal</x:v>
      </x:c>
      <x:c r="H1790" s="11"/>
      <x:c r="I1790" s="11" t="str">
        <x:f>IF(H1790="","",C1790-H1790)</x:f>
      </x:c>
      <x:c r="J1790" s="4"/>
      <x:c r="K1790" s="4" t="str">
        <x:v>URLs de detalle page/query/country por clics. No asignan las impresiones de esta consulta a cada página.</x:v>
      </x:c>
    </x:row>
    <x:row r="1791" ht="28" customHeight="1">
      <x:c r="A1791" s="4" t="n">
        <x:v>1781</x:v>
      </x:c>
      <x:c r="B1791" s="4" t="str">
        <x:v>niños de 3 años pagan pasaje en avion</x:v>
      </x:c>
      <x:c r="C1791" s="11" t="n">
        <x:v>1</x:v>
      </x:c>
      <x:c r="D1791" s="11" t="n">
        <x:v>20</x:v>
      </x:c>
      <x:c r="E1791" s="14" t="n">
        <x:v>0.05</x:v>
      </x:c>
      <x:c r="F1791" s="12" t="n">
        <x:v>2.5</x:v>
      </x:c>
      <x:c r="G1791" s="4" t="str">
        <x:v>Sin marca literal</x:v>
      </x:c>
      <x:c r="H1791" s="11"/>
      <x:c r="I1791" s="11" t="str">
        <x:f>IF(H1791="","",C1791-H1791)</x:f>
      </x:c>
      <x:c r="J1791" s="4"/>
      <x:c r="K1791" s="4" t="str">
        <x:v>URLs de detalle page/query/country por clics. No asignan las impresiones de esta consulta a cada página.</x:v>
      </x:c>
    </x:row>
    <x:row r="1792" ht="28" customHeight="1">
      <x:c r="A1792" s="4" t="n">
        <x:v>1782</x:v>
      </x:c>
      <x:c r="B1792" s="4" t="str">
        <x:v>paisajes de chile zona centro</x:v>
      </x:c>
      <x:c r="C1792" s="11" t="n">
        <x:v>1</x:v>
      </x:c>
      <x:c r="D1792" s="11" t="n">
        <x:v>20</x:v>
      </x:c>
      <x:c r="E1792" s="14" t="n">
        <x:v>0.05</x:v>
      </x:c>
      <x:c r="F1792" s="12" t="n">
        <x:v>1</x:v>
      </x:c>
      <x:c r="G1792" s="4" t="str">
        <x:v>Sin marca literal</x:v>
      </x:c>
      <x:c r="H1792" s="11"/>
      <x:c r="I1792" s="11" t="str">
        <x:f>IF(H1792="","",C1792-H1792)</x:f>
      </x:c>
      <x:c r="J1792" s="4"/>
      <x:c r="K1792" s="4" t="str">
        <x:v>URLs de detalle page/query/country por clics. No asignan las impresiones de esta consulta a cada página.</x:v>
      </x:c>
    </x:row>
    <x:row r="1793" ht="28" customHeight="1">
      <x:c r="A1793" s="4" t="n">
        <x:v>1783</x:v>
      </x:c>
      <x:c r="B1793" s="4" t="str">
        <x:v>para viajar a peru desde chile se necesita pasaporte</x:v>
      </x:c>
      <x:c r="C1793" s="11" t="n">
        <x:v>1</x:v>
      </x:c>
      <x:c r="D1793" s="11" t="n">
        <x:v>20</x:v>
      </x:c>
      <x:c r="E1793" s="14" t="n">
        <x:v>0.05</x:v>
      </x:c>
      <x:c r="F1793" s="12" t="n">
        <x:v>6.15</x:v>
      </x:c>
      <x:c r="G1793" s="4" t="str">
        <x:v>Sin marca literal</x:v>
      </x:c>
      <x:c r="H1793" s="11"/>
      <x:c r="I1793" s="11" t="str">
        <x:f>IF(H1793="","",C1793-H1793)</x:f>
      </x:c>
      <x:c r="J1793" s="4"/>
      <x:c r="K1793" s="4" t="str">
        <x:v>URLs de detalle page/query/country por clics. No asignan las impresiones de esta consulta a cada página.</x:v>
      </x:c>
    </x:row>
    <x:row r="1794" ht="28" customHeight="1">
      <x:c r="A1794" s="4" t="n">
        <x:v>1784</x:v>
      </x:c>
      <x:c r="B1794" s="4" t="str">
        <x:v>sky airlines aviones</x:v>
      </x:c>
      <x:c r="C1794" s="11" t="n">
        <x:v>1</x:v>
      </x:c>
      <x:c r="D1794" s="11" t="n">
        <x:v>20</x:v>
      </x:c>
      <x:c r="E1794" s="14" t="n">
        <x:v>0.05</x:v>
      </x:c>
      <x:c r="F1794" s="12" t="n">
        <x:v>3.55</x:v>
      </x:c>
      <x:c r="G1794" s="4" t="str">
        <x:v>Sin marca literal</x:v>
      </x:c>
      <x:c r="H1794" s="11"/>
      <x:c r="I1794" s="11" t="str">
        <x:f>IF(H1794="","",C1794-H1794)</x:f>
      </x:c>
      <x:c r="J1794" s="4"/>
      <x:c r="K1794" s="4" t="str">
        <x:v>URLs de detalle page/query/country por clics. No asignan las impresiones de esta consulta a cada página.</x:v>
      </x:c>
    </x:row>
    <x:row r="1795" ht="28" customHeight="1">
      <x:c r="A1795" s="4" t="n">
        <x:v>1785</x:v>
      </x:c>
      <x:c r="B1795" s="4" t="str">
        <x:v>sky tiene wifi</x:v>
      </x:c>
      <x:c r="C1795" s="11" t="n">
        <x:v>1</x:v>
      </x:c>
      <x:c r="D1795" s="11" t="n">
        <x:v>20</x:v>
      </x:c>
      <x:c r="E1795" s="14" t="n">
        <x:v>0.05</x:v>
      </x:c>
      <x:c r="F1795" s="12" t="n">
        <x:v>4.1</x:v>
      </x:c>
      <x:c r="G1795" s="4" t="str">
        <x:v>Sin marca literal</x:v>
      </x:c>
      <x:c r="H1795" s="11"/>
      <x:c r="I1795" s="11" t="str">
        <x:f>IF(H1795="","",C1795-H1795)</x:f>
      </x:c>
      <x:c r="J1795" s="4"/>
      <x:c r="K1795" s="4" t="str">
        <x:v>URLs de detalle page/query/country por clics. No asignan las impresiones de esta consulta a cada página.</x:v>
      </x:c>
    </x:row>
    <x:row r="1796" ht="28" customHeight="1">
      <x:c r="A1796" s="4" t="n">
        <x:v>1786</x:v>
      </x:c>
      <x:c r="B1796" s="4" t="str">
        <x:v>tipo de enchufe en perú us</x:v>
      </x:c>
      <x:c r="C1796" s="11" t="n">
        <x:v>1</x:v>
      </x:c>
      <x:c r="D1796" s="11" t="n">
        <x:v>20</x:v>
      </x:c>
      <x:c r="E1796" s="14" t="n">
        <x:v>0.05</x:v>
      </x:c>
      <x:c r="F1796" s="12" t="n">
        <x:v>6.35</x:v>
      </x:c>
      <x:c r="G1796" s="4" t="str">
        <x:v>Sin marca literal</x:v>
      </x:c>
      <x:c r="H1796" s="11"/>
      <x:c r="I1796" s="11" t="str">
        <x:f>IF(H1796="","",C1796-H1796)</x:f>
      </x:c>
      <x:c r="J1796" s="4"/>
      <x:c r="K1796" s="4" t="str">
        <x:v>URLs de detalle page/query/country por clics. No asignan las impresiones de esta consulta a cada página.</x:v>
      </x:c>
    </x:row>
    <x:row r="1797" ht="28" customHeight="1">
      <x:c r="A1797" s="4" t="n">
        <x:v>1787</x:v>
      </x:c>
      <x:c r="B1797" s="4" t="str">
        <x:v>valor equipaje sky</x:v>
      </x:c>
      <x:c r="C1797" s="11" t="n">
        <x:v>1</x:v>
      </x:c>
      <x:c r="D1797" s="11" t="n">
        <x:v>20</x:v>
      </x:c>
      <x:c r="E1797" s="14" t="n">
        <x:v>0.05</x:v>
      </x:c>
      <x:c r="F1797" s="12" t="n">
        <x:v>5.1</x:v>
      </x:c>
      <x:c r="G1797" s="4" t="str">
        <x:v>Sin marca literal</x:v>
      </x:c>
      <x:c r="H1797" s="11"/>
      <x:c r="I1797" s="11" t="str">
        <x:f>IF(H1797="","",C1797-H1797)</x:f>
      </x:c>
      <x:c r="J1797" s="4"/>
      <x:c r="K1797" s="4" t="str">
        <x:v>URLs de detalle page/query/country por clics. No asignan las impresiones de esta consulta a cada página.</x:v>
      </x:c>
    </x:row>
    <x:row r="1798" ht="28" customHeight="1">
      <x:c r="A1798" s="4" t="n">
        <x:v>1788</x:v>
      </x:c>
      <x:c r="B1798" s="4" t="str">
        <x:v>viajar a mexico desde chile requisitos</x:v>
      </x:c>
      <x:c r="C1798" s="11" t="n">
        <x:v>1</x:v>
      </x:c>
      <x:c r="D1798" s="11" t="n">
        <x:v>20</x:v>
      </x:c>
      <x:c r="E1798" s="14" t="n">
        <x:v>0.05</x:v>
      </x:c>
      <x:c r="F1798" s="12" t="n">
        <x:v>6.3</x:v>
      </x:c>
      <x:c r="G1798" s="4" t="str">
        <x:v>Sin marca literal</x:v>
      </x:c>
      <x:c r="H1798" s="11"/>
      <x:c r="I1798" s="11" t="str">
        <x:f>IF(H1798="","",C1798-H1798)</x:f>
      </x:c>
      <x:c r="J1798" s="4"/>
      <x:c r="K1798" s="4" t="str">
        <x:v>URLs de detalle page/query/country por clics. No asignan las impresiones de esta consulta a cada página.</x:v>
      </x:c>
    </x:row>
    <x:row r="1799" ht="28" customHeight="1">
      <x:c r="A1799" s="4" t="n">
        <x:v>1789</x:v>
      </x:c>
      <x:c r="B1799" s="4" t="str">
        <x:v>zona norte clima</x:v>
      </x:c>
      <x:c r="C1799" s="11" t="n">
        <x:v>1</x:v>
      </x:c>
      <x:c r="D1799" s="11" t="n">
        <x:v>20</x:v>
      </x:c>
      <x:c r="E1799" s="14" t="n">
        <x:v>0.05</x:v>
      </x:c>
      <x:c r="F1799" s="12" t="n">
        <x:v>3.2</x:v>
      </x:c>
      <x:c r="G1799" s="4" t="str">
        <x:v>Sin marca literal</x:v>
      </x:c>
      <x:c r="H1799" s="11"/>
      <x:c r="I1799" s="11" t="str">
        <x:f>IF(H1799="","",C1799-H1799)</x:f>
      </x:c>
      <x:c r="J1799" s="4"/>
      <x:c r="K1799" s="4" t="str">
        <x:v>URLs de detalle page/query/country por clics. No asignan las impresiones de esta consulta a cada página.</x:v>
      </x:c>
    </x:row>
    <x:row r="1800" ht="28" customHeight="1">
      <x:c r="A1800" s="4" t="n">
        <x:v>1790</x:v>
      </x:c>
      <x:c r="B1800" s="4" t="str">
        <x:v>adaptador enchufe brasil chile</x:v>
      </x:c>
      <x:c r="C1800" s="11" t="n">
        <x:v>1</x:v>
      </x:c>
      <x:c r="D1800" s="11" t="n">
        <x:v>19</x:v>
      </x:c>
      <x:c r="E1800" s="14" t="n">
        <x:v>0.05263157894736842</x:v>
      </x:c>
      <x:c r="F1800" s="12" t="n">
        <x:v>3.210526315789474</x:v>
      </x:c>
      <x:c r="G1800" s="4" t="str">
        <x:v>Sin marca literal</x:v>
      </x:c>
      <x:c r="H1800" s="11"/>
      <x:c r="I1800" s="11" t="str">
        <x:f>IF(H1800="","",C1800-H1800)</x:f>
      </x:c>
      <x:c r="J1800" s="4"/>
      <x:c r="K1800" s="4" t="str">
        <x:v>URLs de detalle page/query/country por clics. No asignan las impresiones de esta consulta a cada página.</x:v>
      </x:c>
    </x:row>
    <x:row r="1801" ht="28" customHeight="1">
      <x:c r="A1801" s="4" t="n">
        <x:v>1791</x:v>
      </x:c>
      <x:c r="B1801" s="4" t="str">
        <x:v>bebes pagan pasaje de avion</x:v>
      </x:c>
      <x:c r="C1801" s="11" t="n">
        <x:v>1</x:v>
      </x:c>
      <x:c r="D1801" s="11" t="n">
        <x:v>19</x:v>
      </x:c>
      <x:c r="E1801" s="14" t="n">
        <x:v>0.05263157894736842</x:v>
      </x:c>
      <x:c r="F1801" s="12" t="n">
        <x:v>3.210526315789474</x:v>
      </x:c>
      <x:c r="G1801" s="4" t="str">
        <x:v>Sin marca literal</x:v>
      </x:c>
      <x:c r="H1801" s="11"/>
      <x:c r="I1801" s="11" t="str">
        <x:f>IF(H1801="","",C1801-H1801)</x:f>
      </x:c>
      <x:c r="J1801" s="4"/>
      <x:c r="K1801" s="4" t="str">
        <x:v>URLs de detalle page/query/country por clics. No asignan las impresiones de esta consulta a cada página.</x:v>
      </x:c>
    </x:row>
    <x:row r="1802" ht="28" customHeight="1">
      <x:c r="A1802" s="4" t="n">
        <x:v>1792</x:v>
      </x:c>
      <x:c r="B1802" s="4" t="str">
        <x:v>bitacora de viaje que es</x:v>
      </x:c>
      <x:c r="C1802" s="11" t="n">
        <x:v>1</x:v>
      </x:c>
      <x:c r="D1802" s="11" t="n">
        <x:v>19</x:v>
      </x:c>
      <x:c r="E1802" s="14" t="n">
        <x:v>0.05263157894736842</x:v>
      </x:c>
      <x:c r="F1802" s="12" t="n">
        <x:v>3.3157894736842106</x:v>
      </x:c>
      <x:c r="G1802" s="4" t="str">
        <x:v>Sin marca literal</x:v>
      </x:c>
      <x:c r="H1802" s="11"/>
      <x:c r="I1802" s="11" t="str">
        <x:f>IF(H1802="","",C1802-H1802)</x:f>
      </x:c>
      <x:c r="J1802" s="4"/>
      <x:c r="K1802" s="4" t="str">
        <x:v>URLs de detalle page/query/country por clics. No asignan las impresiones de esta consulta a cada página.</x:v>
      </x:c>
    </x:row>
    <x:row r="1803" ht="28" customHeight="1">
      <x:c r="A1803" s="4" t="n">
        <x:v>1793</x:v>
      </x:c>
      <x:c r="B1803" s="4" t="str">
        <x:v>clima en el norte de chile</x:v>
      </x:c>
      <x:c r="C1803" s="11" t="n">
        <x:v>1</x:v>
      </x:c>
      <x:c r="D1803" s="11" t="n">
        <x:v>19</x:v>
      </x:c>
      <x:c r="E1803" s="14" t="n">
        <x:v>0.05263157894736842</x:v>
      </x:c>
      <x:c r="F1803" s="12" t="n">
        <x:v>3.210526315789474</x:v>
      </x:c>
      <x:c r="G1803" s="4" t="str">
        <x:v>Sin marca literal</x:v>
      </x:c>
      <x:c r="H1803" s="11"/>
      <x:c r="I1803" s="11" t="str">
        <x:f>IF(H1803="","",C1803-H1803)</x:f>
      </x:c>
      <x:c r="J1803" s="4"/>
      <x:c r="K1803" s="4" t="str">
        <x:v>URLs de detalle page/query/country por clics. No asignan las impresiones de esta consulta a cada página.</x:v>
      </x:c>
    </x:row>
    <x:row r="1804" ht="28" customHeight="1">
      <x:c r="A1804" s="4" t="n">
        <x:v>1794</x:v>
      </x:c>
      <x:c r="B1804" s="4" t="str">
        <x:v>comida zona austral de chile</x:v>
      </x:c>
      <x:c r="C1804" s="11" t="n">
        <x:v>1</x:v>
      </x:c>
      <x:c r="D1804" s="11" t="n">
        <x:v>19</x:v>
      </x:c>
      <x:c r="E1804" s="14" t="n">
        <x:v>0.05263157894736842</x:v>
      </x:c>
      <x:c r="F1804" s="12" t="n">
        <x:v>9.421052631578947</x:v>
      </x:c>
      <x:c r="G1804" s="4" t="str">
        <x:v>Sin marca literal</x:v>
      </x:c>
      <x:c r="H1804" s="11"/>
      <x:c r="I1804" s="11" t="str">
        <x:f>IF(H1804="","",C1804-H1804)</x:f>
      </x:c>
      <x:c r="J1804" s="4"/>
      <x:c r="K1804" s="4" t="str">
        <x:v>URLs de detalle page/query/country por clics. No asignan las impresiones de esta consulta a cada página.</x:v>
      </x:c>
    </x:row>
    <x:row r="1805" ht="28" customHeight="1">
      <x:c r="A1805" s="4" t="n">
        <x:v>1795</x:v>
      </x:c>
      <x:c r="B1805" s="4" t="str">
        <x:v>como llegar a hornopirén desde puerto montt</x:v>
      </x:c>
      <x:c r="C1805" s="11" t="n">
        <x:v>1</x:v>
      </x:c>
      <x:c r="D1805" s="11" t="n">
        <x:v>19</x:v>
      </x:c>
      <x:c r="E1805" s="14" t="n">
        <x:v>0.05263157894736842</x:v>
      </x:c>
      <x:c r="F1805" s="12" t="n">
        <x:v>5.631578947368421</x:v>
      </x:c>
      <x:c r="G1805" s="4" t="str">
        <x:v>Sin marca literal</x:v>
      </x:c>
      <x:c r="H1805" s="11"/>
      <x:c r="I1805" s="11" t="str">
        <x:f>IF(H1805="","",C1805-H1805)</x:f>
      </x:c>
      <x:c r="J1805" s="4"/>
      <x:c r="K1805" s="4" t="str">
        <x:v>URLs de detalle page/query/country por clics. No asignan las impresiones de esta consulta a cada página.</x:v>
      </x:c>
    </x:row>
    <x:row r="1806" ht="28" customHeight="1">
      <x:c r="A1806" s="4" t="n">
        <x:v>1796</x:v>
      </x:c>
      <x:c r="B1806" s="4" t="str">
        <x:v>como son los tomacorrientes en argentina</x:v>
      </x:c>
      <x:c r="C1806" s="11" t="n">
        <x:v>1</x:v>
      </x:c>
      <x:c r="D1806" s="11" t="n">
        <x:v>19</x:v>
      </x:c>
      <x:c r="E1806" s="14" t="n">
        <x:v>0.05263157894736842</x:v>
      </x:c>
      <x:c r="F1806" s="12" t="n">
        <x:v>8.473684210526315</x:v>
      </x:c>
      <x:c r="G1806" s="4" t="str">
        <x:v>Sin marca literal</x:v>
      </x:c>
      <x:c r="H1806" s="11"/>
      <x:c r="I1806" s="11" t="str">
        <x:f>IF(H1806="","",C1806-H1806)</x:f>
      </x:c>
      <x:c r="J1806" s="4"/>
      <x:c r="K1806" s="4" t="str">
        <x:v>URLs de detalle page/query/country por clics. No asignan las impresiones de esta consulta a cada página.</x:v>
      </x:c>
    </x:row>
    <x:row r="1807" ht="28" customHeight="1">
      <x:c r="A1807" s="4" t="n">
        <x:v>1797</x:v>
      </x:c>
      <x:c r="B1807" s="4" t="str">
        <x:v>cuantas horas son para brasil en avion</x:v>
      </x:c>
      <x:c r="C1807" s="11" t="n">
        <x:v>1</x:v>
      </x:c>
      <x:c r="D1807" s="11" t="n">
        <x:v>19</x:v>
      </x:c>
      <x:c r="E1807" s="14" t="n">
        <x:v>0.05263157894736842</x:v>
      </x:c>
      <x:c r="F1807" s="12" t="n">
        <x:v>2.3684210526315788</x:v>
      </x:c>
      <x:c r="G1807" s="4" t="str">
        <x:v>Sin marca literal</x:v>
      </x:c>
      <x:c r="H1807" s="11"/>
      <x:c r="I1807" s="11" t="str">
        <x:f>IF(H1807="","",C1807-H1807)</x:f>
      </x:c>
      <x:c r="J1807" s="4"/>
      <x:c r="K1807" s="4" t="str">
        <x:v>URLs de detalle page/query/country por clics. No asignan las impresiones de esta consulta a cada página.</x:v>
      </x:c>
    </x:row>
    <x:row r="1808" ht="28" customHeight="1">
      <x:c r="A1808" s="4" t="n">
        <x:v>1798</x:v>
      </x:c>
      <x:c r="B1808" s="4" t="str">
        <x:v>distancia santiago de chile a mendoza</x:v>
      </x:c>
      <x:c r="C1808" s="11" t="n">
        <x:v>1</x:v>
      </x:c>
      <x:c r="D1808" s="11" t="n">
        <x:v>19</x:v>
      </x:c>
      <x:c r="E1808" s="14" t="n">
        <x:v>0.05263157894736842</x:v>
      </x:c>
      <x:c r="F1808" s="12" t="n">
        <x:v>7.894736842105263</x:v>
      </x:c>
      <x:c r="G1808" s="4" t="str">
        <x:v>Sin marca literal</x:v>
      </x:c>
      <x:c r="H1808" s="11"/>
      <x:c r="I1808" s="11" t="str">
        <x:f>IF(H1808="","",C1808-H1808)</x:f>
      </x:c>
      <x:c r="J1808" s="4"/>
      <x:c r="K1808" s="4" t="str">
        <x:v>URLs de detalle page/query/country por clics. No asignan las impresiones de esta consulta a cada página.</x:v>
      </x:c>
    </x:row>
    <x:row r="1809" ht="28" customHeight="1">
      <x:c r="A1809" s="4" t="n">
        <x:v>1799</x:v>
      </x:c>
      <x:c r="B1809" s="4" t="str">
        <x:v>donde ir de vacaciones con niños</x:v>
      </x:c>
      <x:c r="C1809" s="11" t="n">
        <x:v>1</x:v>
      </x:c>
      <x:c r="D1809" s="11" t="n">
        <x:v>19</x:v>
      </x:c>
      <x:c r="E1809" s="14" t="n">
        <x:v>0.05263157894736842</x:v>
      </x:c>
      <x:c r="F1809" s="12" t="n">
        <x:v>1.4210526315789473</x:v>
      </x:c>
      <x:c r="G1809" s="4" t="str">
        <x:v>Sin marca literal</x:v>
      </x:c>
      <x:c r="H1809" s="11"/>
      <x:c r="I1809" s="11" t="str">
        <x:f>IF(H1809="","",C1809-H1809)</x:f>
      </x:c>
      <x:c r="J1809" s="4"/>
      <x:c r="K1809" s="4" t="str">
        <x:v>URLs de detalle page/query/country por clics. No asignan las impresiones de esta consulta a cada página.</x:v>
      </x:c>
    </x:row>
    <x:row r="1810" ht="28" customHeight="1">
      <x:c r="A1810" s="4" t="n">
        <x:v>1800</x:v>
      </x:c>
      <x:c r="B1810" s="4" t="str">
        <x:v>en avión</x:v>
      </x:c>
      <x:c r="C1810" s="11" t="n">
        <x:v>1</x:v>
      </x:c>
      <x:c r="D1810" s="11" t="n">
        <x:v>19</x:v>
      </x:c>
      <x:c r="E1810" s="14" t="n">
        <x:v>0.05263157894736842</x:v>
      </x:c>
      <x:c r="F1810" s="12" t="n">
        <x:v>5.578947368421052</x:v>
      </x:c>
      <x:c r="G1810" s="4" t="str">
        <x:v>Sin marca literal</x:v>
      </x:c>
      <x:c r="H1810" s="11"/>
      <x:c r="I1810" s="11" t="str">
        <x:f>IF(H1810="","",C1810-H1810)</x:f>
      </x:c>
      <x:c r="J1810" s="4"/>
      <x:c r="K1810" s="4" t="str">
        <x:v>URLs de detalle page/query/country por clics. No asignan las impresiones de esta consulta a cada página.</x:v>
      </x:c>
    </x:row>
    <x:row r="1811" ht="28" customHeight="1">
      <x:c r="A1811" s="4" t="n">
        <x:v>1801</x:v>
      </x:c>
      <x:c r="B1811" s="4" t="str">
        <x:v>en octubre hay sargazo en playa del carmen</x:v>
      </x:c>
      <x:c r="C1811" s="11" t="n">
        <x:v>1</x:v>
      </x:c>
      <x:c r="D1811" s="11" t="n">
        <x:v>19</x:v>
      </x:c>
      <x:c r="E1811" s="14" t="n">
        <x:v>0.05263157894736842</x:v>
      </x:c>
      <x:c r="F1811" s="12" t="n">
        <x:v>7.315789473684211</x:v>
      </x:c>
      <x:c r="G1811" s="4" t="str">
        <x:v>Sin marca literal</x:v>
      </x:c>
      <x:c r="H1811" s="11"/>
      <x:c r="I1811" s="11" t="str">
        <x:f>IF(H1811="","",C1811-H1811)</x:f>
      </x:c>
      <x:c r="J1811" s="4"/>
      <x:c r="K1811" s="4" t="str">
        <x:v>URLs de detalle page/query/country por clics. No asignan las impresiones de esta consulta a cada página.</x:v>
      </x:c>
    </x:row>
    <x:row r="1812" ht="28" customHeight="1">
      <x:c r="A1812" s="4" t="n">
        <x:v>1802</x:v>
      </x:c>
      <x:c r="B1812" s="4" t="str">
        <x:v>enchufe que se usa en brasil</x:v>
      </x:c>
      <x:c r="C1812" s="11" t="n">
        <x:v>1</x:v>
      </x:c>
      <x:c r="D1812" s="11" t="n">
        <x:v>19</x:v>
      </x:c>
      <x:c r="E1812" s="14" t="n">
        <x:v>0.05263157894736842</x:v>
      </x:c>
      <x:c r="F1812" s="12" t="n">
        <x:v>5.368421052631579</x:v>
      </x:c>
      <x:c r="G1812" s="4" t="str">
        <x:v>Sin marca literal</x:v>
      </x:c>
      <x:c r="H1812" s="11"/>
      <x:c r="I1812" s="11" t="str">
        <x:f>IF(H1812="","",C1812-H1812)</x:f>
      </x:c>
      <x:c r="J1812" s="4"/>
      <x:c r="K1812" s="4" t="str">
        <x:v>URLs de detalle page/query/country por clics. No asignan las impresiones de esta consulta a cada página.</x:v>
      </x:c>
    </x:row>
    <x:row r="1813" ht="28" customHeight="1">
      <x:c r="A1813" s="4" t="n">
        <x:v>1803</x:v>
      </x:c>
      <x:c r="B1813" s="4" t="str">
        <x:v>escapadas de fin de semana en pareja</x:v>
      </x:c>
      <x:c r="C1813" s="11" t="n">
        <x:v>1</x:v>
      </x:c>
      <x:c r="D1813" s="11" t="n">
        <x:v>19</x:v>
      </x:c>
      <x:c r="E1813" s="14" t="n">
        <x:v>0.05263157894736842</x:v>
      </x:c>
      <x:c r="F1813" s="12" t="n">
        <x:v>9.210526315789474</x:v>
      </x:c>
      <x:c r="G1813" s="4" t="str">
        <x:v>Sin marca literal</x:v>
      </x:c>
      <x:c r="H1813" s="11"/>
      <x:c r="I1813" s="11" t="str">
        <x:f>IF(H1813="","",C1813-H1813)</x:f>
      </x:c>
      <x:c r="J1813" s="4"/>
      <x:c r="K1813" s="4" t="str">
        <x:v>URLs de detalle page/query/country por clics. No asignan las impresiones de esta consulta a cada página.</x:v>
      </x:c>
    </x:row>
    <x:row r="1814" ht="28" customHeight="1">
      <x:c r="A1814" s="4" t="n">
        <x:v>1804</x:v>
      </x:c>
      <x:c r="B1814" s="4" t="str">
        <x:v>estacionamientos aeropuerto de santiago</x:v>
      </x:c>
      <x:c r="C1814" s="11" t="n">
        <x:v>1</x:v>
      </x:c>
      <x:c r="D1814" s="11" t="n">
        <x:v>19</x:v>
      </x:c>
      <x:c r="E1814" s="14" t="n">
        <x:v>0.05263157894736842</x:v>
      </x:c>
      <x:c r="F1814" s="12" t="n">
        <x:v>9.526315789473685</x:v>
      </x:c>
      <x:c r="G1814" s="4" t="str">
        <x:v>Sin marca literal</x:v>
      </x:c>
      <x:c r="H1814" s="11"/>
      <x:c r="I1814" s="11" t="str">
        <x:f>IF(H1814="","",C1814-H1814)</x:f>
      </x:c>
      <x:c r="J1814" s="4"/>
      <x:c r="K1814" s="4" t="str">
        <x:v>URLs de detalle page/query/country por clics. No asignan las impresiones de esta consulta a cada página.</x:v>
      </x:c>
    </x:row>
    <x:row r="1815" ht="28" customHeight="1">
      <x:c r="A1815" s="4" t="n">
        <x:v>1805</x:v>
      </x:c>
      <x:c r="B1815" s="4" t="str">
        <x:v>hasta que edad se puede ser azafata en chile</x:v>
      </x:c>
      <x:c r="C1815" s="11" t="n">
        <x:v>1</x:v>
      </x:c>
      <x:c r="D1815" s="11" t="n">
        <x:v>19</x:v>
      </x:c>
      <x:c r="E1815" s="14" t="n">
        <x:v>0.05263157894736842</x:v>
      </x:c>
      <x:c r="F1815" s="12" t="n">
        <x:v>6.7894736842105265</x:v>
      </x:c>
      <x:c r="G1815" s="4" t="str">
        <x:v>Sin marca literal</x:v>
      </x:c>
      <x:c r="H1815" s="11"/>
      <x:c r="I1815" s="11" t="str">
        <x:f>IF(H1815="","",C1815-H1815)</x:f>
      </x:c>
      <x:c r="J1815" s="4"/>
      <x:c r="K1815" s="4" t="str">
        <x:v>URLs de detalle page/query/country por clics. No asignan las impresiones de esta consulta a cada página.</x:v>
      </x:c>
    </x:row>
    <x:row r="1816" ht="28" customHeight="1">
      <x:c r="A1816" s="4" t="n">
        <x:v>1806</x:v>
      </x:c>
      <x:c r="B1816" s="4" t="str">
        <x:v>imagen de la zona central de chile</x:v>
      </x:c>
      <x:c r="C1816" s="11" t="n">
        <x:v>1</x:v>
      </x:c>
      <x:c r="D1816" s="11" t="n">
        <x:v>19</x:v>
      </x:c>
      <x:c r="E1816" s="14" t="n">
        <x:v>0.05263157894736842</x:v>
      </x:c>
      <x:c r="F1816" s="12" t="n">
        <x:v>1</x:v>
      </x:c>
      <x:c r="G1816" s="4" t="str">
        <x:v>Sin marca literal</x:v>
      </x:c>
      <x:c r="H1816" s="11"/>
      <x:c r="I1816" s="11" t="str">
        <x:f>IF(H1816="","",C1816-H1816)</x:f>
      </x:c>
      <x:c r="J1816" s="4"/>
      <x:c r="K1816" s="4" t="str">
        <x:v>URLs de detalle page/query/country por clics. No asignan las impresiones de esta consulta a cada página.</x:v>
      </x:c>
    </x:row>
    <x:row r="1817" ht="28" customHeight="1">
      <x:c r="A1817" s="4" t="n">
        <x:v>1807</x:v>
      </x:c>
      <x:c r="B1817" s="4" t="str">
        <x:v>mejores fechas para ir a cancun</x:v>
      </x:c>
      <x:c r="C1817" s="11" t="n">
        <x:v>1</x:v>
      </x:c>
      <x:c r="D1817" s="11" t="n">
        <x:v>19</x:v>
      </x:c>
      <x:c r="E1817" s="14" t="n">
        <x:v>0.05263157894736842</x:v>
      </x:c>
      <x:c r="F1817" s="12" t="n">
        <x:v>11.31578947368421</x:v>
      </x:c>
      <x:c r="G1817" s="4" t="str">
        <x:v>Sin marca literal</x:v>
      </x:c>
      <x:c r="H1817" s="11"/>
      <x:c r="I1817" s="11" t="str">
        <x:f>IF(H1817="","",C1817-H1817)</x:f>
      </x:c>
      <x:c r="J1817" s="4"/>
      <x:c r="K1817" s="4" t="str">
        <x:v>URLs de detalle page/query/country por clics. No asignan las impresiones de esta consulta a cada página.</x:v>
      </x:c>
    </x:row>
    <x:row r="1818" ht="28" customHeight="1">
      <x:c r="A1818" s="4" t="n">
        <x:v>1808</x:v>
      </x:c>
      <x:c r="B1818" s="4" t="str">
        <x:v>plato tipico de brasil</x:v>
      </x:c>
      <x:c r="C1818" s="11" t="n">
        <x:v>1</x:v>
      </x:c>
      <x:c r="D1818" s="11" t="n">
        <x:v>19</x:v>
      </x:c>
      <x:c r="E1818" s="14" t="n">
        <x:v>0.05263157894736842</x:v>
      </x:c>
      <x:c r="F1818" s="12" t="n">
        <x:v>5.052631578947368</x:v>
      </x:c>
      <x:c r="G1818" s="4" t="str">
        <x:v>Sin marca literal</x:v>
      </x:c>
      <x:c r="H1818" s="11"/>
      <x:c r="I1818" s="11" t="str">
        <x:f>IF(H1818="","",C1818-H1818)</x:f>
      </x:c>
      <x:c r="J1818" s="4"/>
      <x:c r="K1818" s="4" t="str">
        <x:v>URLs de detalle page/query/country por clics. No asignan las impresiones de esta consulta a cada página.</x:v>
      </x:c>
    </x:row>
    <x:row r="1819" ht="28" customHeight="1">
      <x:c r="A1819" s="4" t="n">
        <x:v>1809</x:v>
      </x:c>
      <x:c r="B1819" s="4" t="str">
        <x:v>que mes es verano en chile</x:v>
      </x:c>
      <x:c r="C1819" s="11" t="n">
        <x:v>1</x:v>
      </x:c>
      <x:c r="D1819" s="11" t="n">
        <x:v>19</x:v>
      </x:c>
      <x:c r="E1819" s="14" t="n">
        <x:v>0.05263157894736842</x:v>
      </x:c>
      <x:c r="F1819" s="12" t="n">
        <x:v>3.9473684210526314</x:v>
      </x:c>
      <x:c r="G1819" s="4" t="str">
        <x:v>Sin marca literal</x:v>
      </x:c>
      <x:c r="H1819" s="11"/>
      <x:c r="I1819" s="11" t="str">
        <x:f>IF(H1819="","",C1819-H1819)</x:f>
      </x:c>
      <x:c r="J1819" s="4"/>
      <x:c r="K1819" s="4" t="str">
        <x:v>URLs de detalle page/query/country por clics. No asignan las impresiones de esta consulta a cada página.</x:v>
      </x:c>
    </x:row>
    <x:row r="1820" ht="28" customHeight="1">
      <x:c r="A1820" s="4" t="n">
        <x:v>1810</x:v>
      </x:c>
      <x:c r="B1820" s="4" t="str">
        <x:v>que se estudia para ser tripulante de cabina</x:v>
      </x:c>
      <x:c r="C1820" s="11" t="n">
        <x:v>1</x:v>
      </x:c>
      <x:c r="D1820" s="11" t="n">
        <x:v>19</x:v>
      </x:c>
      <x:c r="E1820" s="14" t="n">
        <x:v>0.05263157894736842</x:v>
      </x:c>
      <x:c r="F1820" s="12" t="n">
        <x:v>6.052631578947368</x:v>
      </x:c>
      <x:c r="G1820" s="4" t="str">
        <x:v>Sin marca literal</x:v>
      </x:c>
      <x:c r="H1820" s="11"/>
      <x:c r="I1820" s="11" t="str">
        <x:f>IF(H1820="","",C1820-H1820)</x:f>
      </x:c>
      <x:c r="J1820" s="4"/>
      <x:c r="K1820" s="4" t="str">
        <x:v>URLs de detalle page/query/country por clics. No asignan las impresiones de esta consulta a cada página.</x:v>
      </x:c>
    </x:row>
    <x:row r="1821" ht="28" customHeight="1">
      <x:c r="A1821" s="4" t="n">
        <x:v>1811</x:v>
      </x:c>
      <x:c r="B1821" s="4" t="str">
        <x:v>requisitos para viajar de chile a argentina</x:v>
      </x:c>
      <x:c r="C1821" s="11" t="n">
        <x:v>1</x:v>
      </x:c>
      <x:c r="D1821" s="11" t="n">
        <x:v>19</x:v>
      </x:c>
      <x:c r="E1821" s="14" t="n">
        <x:v>0.05263157894736842</x:v>
      </x:c>
      <x:c r="F1821" s="12" t="n">
        <x:v>6.421052631578948</x:v>
      </x:c>
      <x:c r="G1821" s="4" t="str">
        <x:v>Sin marca literal</x:v>
      </x:c>
      <x:c r="H1821" s="11"/>
      <x:c r="I1821" s="11" t="str">
        <x:f>IF(H1821="","",C1821-H1821)</x:f>
      </x:c>
      <x:c r="J1821" s="4"/>
      <x:c r="K1821" s="4" t="str">
        <x:v>URLs de detalle page/query/country por clics. No asignan las impresiones de esta consulta a cada página.</x:v>
      </x:c>
    </x:row>
    <x:row r="1822" ht="28" customHeight="1">
      <x:c r="A1822" s="4" t="n">
        <x:v>1812</x:v>
      </x:c>
      <x:c r="B1822" s="4" t="str">
        <x:v>se puede adelantar un vuelo en sky</x:v>
      </x:c>
      <x:c r="C1822" s="11" t="n">
        <x:v>1</x:v>
      </x:c>
      <x:c r="D1822" s="11" t="n">
        <x:v>19</x:v>
      </x:c>
      <x:c r="E1822" s="14" t="n">
        <x:v>0.05263157894736842</x:v>
      </x:c>
      <x:c r="F1822" s="12" t="n">
        <x:v>3.3157894736842106</x:v>
      </x:c>
      <x:c r="G1822" s="4" t="str">
        <x:v>Sin marca literal</x:v>
      </x:c>
      <x:c r="H1822" s="11"/>
      <x:c r="I1822" s="11" t="str">
        <x:f>IF(H1822="","",C1822-H1822)</x:f>
      </x:c>
      <x:c r="J1822" s="4"/>
      <x:c r="K1822" s="4" t="str">
        <x:v>URLs de detalle page/query/country por clics. No asignan las impresiones de esta consulta a cada página.</x:v>
      </x:c>
    </x:row>
    <x:row r="1823" ht="28" customHeight="1">
      <x:c r="A1823" s="4" t="n">
        <x:v>1813</x:v>
      </x:c>
      <x:c r="B1823" s="4" t="str">
        <x:v>se pueden llevar pinzas en el avion</x:v>
      </x:c>
      <x:c r="C1823" s="11" t="n">
        <x:v>1</x:v>
      </x:c>
      <x:c r="D1823" s="11" t="n">
        <x:v>19</x:v>
      </x:c>
      <x:c r="E1823" s="14" t="n">
        <x:v>0.05263157894736842</x:v>
      </x:c>
      <x:c r="F1823" s="12" t="n">
        <x:v>9.421052631578947</x:v>
      </x:c>
      <x:c r="G1823" s="4" t="str">
        <x:v>Sin marca literal</x:v>
      </x:c>
      <x:c r="H1823" s="11"/>
      <x:c r="I1823" s="11" t="str">
        <x:f>IF(H1823="","",C1823-H1823)</x:f>
      </x:c>
      <x:c r="J1823" s="4"/>
      <x:c r="K1823" s="4" t="str">
        <x:v>URLs de detalle page/query/country por clics. No asignan las impresiones de esta consulta a cada página.</x:v>
      </x:c>
    </x:row>
    <x:row r="1824" ht="28" customHeight="1">
      <x:c r="A1824" s="4" t="n">
        <x:v>1814</x:v>
      </x:c>
      <x:c r="B1824" s="4" t="str">
        <x:v>ser azafata</x:v>
      </x:c>
      <x:c r="C1824" s="11" t="n">
        <x:v>1</x:v>
      </x:c>
      <x:c r="D1824" s="11" t="n">
        <x:v>19</x:v>
      </x:c>
      <x:c r="E1824" s="14" t="n">
        <x:v>0.05263157894736842</x:v>
      </x:c>
      <x:c r="F1824" s="12" t="n">
        <x:v>6.315789473684211</x:v>
      </x:c>
      <x:c r="G1824" s="4" t="str">
        <x:v>Sin marca literal</x:v>
      </x:c>
      <x:c r="H1824" s="11"/>
      <x:c r="I1824" s="11" t="str">
        <x:f>IF(H1824="","",C1824-H1824)</x:f>
      </x:c>
      <x:c r="J1824" s="4"/>
      <x:c r="K1824" s="4" t="str">
        <x:v>URLs de detalle page/query/country por clics. No asignan las impresiones de esta consulta a cada página.</x:v>
      </x:c>
    </x:row>
    <x:row r="1825" ht="28" customHeight="1">
      <x:c r="A1825" s="4" t="n">
        <x:v>1815</x:v>
      </x:c>
      <x:c r="B1825" s="4" t="str">
        <x:v>sky medidas maleta de cabina</x:v>
      </x:c>
      <x:c r="C1825" s="11" t="n">
        <x:v>1</x:v>
      </x:c>
      <x:c r="D1825" s="11" t="n">
        <x:v>19</x:v>
      </x:c>
      <x:c r="E1825" s="14" t="n">
        <x:v>0.05263157894736842</x:v>
      </x:c>
      <x:c r="F1825" s="12" t="n">
        <x:v>4.2631578947368425</x:v>
      </x:c>
      <x:c r="G1825" s="4" t="str">
        <x:v>Sin marca literal</x:v>
      </x:c>
      <x:c r="H1825" s="11"/>
      <x:c r="I1825" s="11" t="str">
        <x:f>IF(H1825="","",C1825-H1825)</x:f>
      </x:c>
      <x:c r="J1825" s="4"/>
      <x:c r="K1825" s="4" t="str">
        <x:v>URLs de detalle page/query/country por clics. No asignan las impresiones de esta consulta a cada página.</x:v>
      </x:c>
    </x:row>
    <x:row r="1826" ht="28" customHeight="1">
      <x:c r="A1826" s="4" t="n">
        <x:v>1816</x:v>
      </x:c>
      <x:c r="B1826" s="4" t="str">
        <x:v>vuelo a talara</x:v>
      </x:c>
      <x:c r="C1826" s="11" t="n">
        <x:v>1</x:v>
      </x:c>
      <x:c r="D1826" s="11" t="n">
        <x:v>19</x:v>
      </x:c>
      <x:c r="E1826" s="14" t="n">
        <x:v>0.05263157894736842</x:v>
      </x:c>
      <x:c r="F1826" s="12" t="n">
        <x:v>11.789473684210526</x:v>
      </x:c>
      <x:c r="G1826" s="4" t="str">
        <x:v>Sin marca literal</x:v>
      </x:c>
      <x:c r="H1826" s="11"/>
      <x:c r="I1826" s="11" t="str">
        <x:f>IF(H1826="","",C1826-H1826)</x:f>
      </x:c>
      <x:c r="J1826" s="4"/>
      <x:c r="K1826" s="4" t="str">
        <x:v>URLs de detalle page/query/country por clics. No asignan las impresiones de esta consulta a cada página.</x:v>
      </x:c>
    </x:row>
    <x:row r="1827" ht="28" customHeight="1">
      <x:c r="A1827" s="4" t="n">
        <x:v>1817</x:v>
      </x:c>
      <x:c r="B1827" s="4" t="str">
        <x:v>1ra maleta mmb</x:v>
      </x:c>
      <x:c r="C1827" s="11" t="n">
        <x:v>1</x:v>
      </x:c>
      <x:c r="D1827" s="11" t="n">
        <x:v>18</x:v>
      </x:c>
      <x:c r="E1827" s="14" t="n">
        <x:v>0.05555555555555555</x:v>
      </x:c>
      <x:c r="F1827" s="12" t="n">
        <x:v>2.666666666666667</x:v>
      </x:c>
      <x:c r="G1827" s="4" t="str">
        <x:v>Sin marca literal</x:v>
      </x:c>
      <x:c r="H1827" s="11"/>
      <x:c r="I1827" s="11" t="str">
        <x:f>IF(H1827="","",C1827-H1827)</x:f>
      </x:c>
      <x:c r="J1827" s="4"/>
      <x:c r="K1827" s="4" t="str">
        <x:v>URLs de detalle page/query/country por clics. No asignan las impresiones de esta consulta a cada página.</x:v>
      </x:c>
    </x:row>
    <x:row r="1828" ht="28" customHeight="1">
      <x:c r="A1828" s="4" t="n">
        <x:v>1818</x:v>
      </x:c>
      <x:c r="B1828" s="4" t="str">
        <x:v>como saber mi puerta de embarque sky</x:v>
      </x:c>
      <x:c r="C1828" s="11" t="n">
        <x:v>1</x:v>
      </x:c>
      <x:c r="D1828" s="11" t="n">
        <x:v>18</x:v>
      </x:c>
      <x:c r="E1828" s="14" t="n">
        <x:v>0.05555555555555555</x:v>
      </x:c>
      <x:c r="F1828" s="12" t="n">
        <x:v>3.611111111111111</x:v>
      </x:c>
      <x:c r="G1828" s="4" t="str">
        <x:v>Sin marca literal</x:v>
      </x:c>
      <x:c r="H1828" s="11"/>
      <x:c r="I1828" s="11" t="str">
        <x:f>IF(H1828="","",C1828-H1828)</x:f>
      </x:c>
      <x:c r="J1828" s="4"/>
      <x:c r="K1828" s="4" t="str">
        <x:v>URLs de detalle page/query/country por clics. No asignan las impresiones de esta consulta a cada página.</x:v>
      </x:c>
    </x:row>
    <x:row r="1829" ht="28" customHeight="1">
      <x:c r="A1829" s="4" t="n">
        <x:v>1819</x:v>
      </x:c>
      <x:c r="B1829" s="4" t="str">
        <x:v>cuando son las estaciones del año en chile</x:v>
      </x:c>
      <x:c r="C1829" s="11" t="n">
        <x:v>1</x:v>
      </x:c>
      <x:c r="D1829" s="11" t="n">
        <x:v>18</x:v>
      </x:c>
      <x:c r="E1829" s="14" t="n">
        <x:v>0.05555555555555555</x:v>
      </x:c>
      <x:c r="F1829" s="12" t="n">
        <x:v>2.0555555555555554</x:v>
      </x:c>
      <x:c r="G1829" s="4" t="str">
        <x:v>Sin marca literal</x:v>
      </x:c>
      <x:c r="H1829" s="11"/>
      <x:c r="I1829" s="11" t="str">
        <x:f>IF(H1829="","",C1829-H1829)</x:f>
      </x:c>
      <x:c r="J1829" s="4"/>
      <x:c r="K1829" s="4" t="str">
        <x:v>URLs de detalle page/query/country por clics. No asignan las impresiones de esta consulta a cada página.</x:v>
      </x:c>
    </x:row>
    <x:row r="1830" ht="28" customHeight="1">
      <x:c r="A1830" s="4" t="n">
        <x:v>1820</x:v>
      </x:c>
      <x:c r="B1830" s="4" t="str">
        <x:v>cuanto paga un niño de 2 años en avión</x:v>
      </x:c>
      <x:c r="C1830" s="11" t="n">
        <x:v>1</x:v>
      </x:c>
      <x:c r="D1830" s="11" t="n">
        <x:v>18</x:v>
      </x:c>
      <x:c r="E1830" s="14" t="n">
        <x:v>0.05555555555555555</x:v>
      </x:c>
      <x:c r="F1830" s="12" t="n">
        <x:v>6.555555555555555</x:v>
      </x:c>
      <x:c r="G1830" s="4" t="str">
        <x:v>Sin marca literal</x:v>
      </x:c>
      <x:c r="H1830" s="11"/>
      <x:c r="I1830" s="11" t="str">
        <x:f>IF(H1830="","",C1830-H1830)</x:f>
      </x:c>
      <x:c r="J1830" s="4"/>
      <x:c r="K1830" s="4" t="str">
        <x:v>URLs de detalle page/query/country por clics. No asignan las impresiones de esta consulta a cada página.</x:v>
      </x:c>
    </x:row>
    <x:row r="1831" ht="28" customHeight="1">
      <x:c r="A1831" s="4" t="n">
        <x:v>1821</x:v>
      </x:c>
      <x:c r="B1831" s="4" t="str">
        <x:v>cuanto se puede llevar de liquido en el avion</x:v>
      </x:c>
      <x:c r="C1831" s="11" t="n">
        <x:v>1</x:v>
      </x:c>
      <x:c r="D1831" s="11" t="n">
        <x:v>18</x:v>
      </x:c>
      <x:c r="E1831" s="14" t="n">
        <x:v>0.05555555555555555</x:v>
      </x:c>
      <x:c r="F1831" s="12" t="n">
        <x:v>7.611111111111111</x:v>
      </x:c>
      <x:c r="G1831" s="4" t="str">
        <x:v>Sin marca literal</x:v>
      </x:c>
      <x:c r="H1831" s="11"/>
      <x:c r="I1831" s="11" t="str">
        <x:f>IF(H1831="","",C1831-H1831)</x:f>
      </x:c>
      <x:c r="J1831" s="4"/>
      <x:c r="K1831" s="4" t="str">
        <x:v>URLs de detalle page/query/country por clics. No asignan las impresiones de esta consulta a cada página.</x:v>
      </x:c>
    </x:row>
    <x:row r="1832" ht="28" customHeight="1">
      <x:c r="A1832" s="4" t="n">
        <x:v>1822</x:v>
      </x:c>
      <x:c r="B1832" s="4" t="str">
        <x:v>cuánto tiempo hay de lima a chiclayo</x:v>
      </x:c>
      <x:c r="C1832" s="11" t="n">
        <x:v>1</x:v>
      </x:c>
      <x:c r="D1832" s="11" t="n">
        <x:v>18</x:v>
      </x:c>
      <x:c r="E1832" s="14" t="n">
        <x:v>0.05555555555555555</x:v>
      </x:c>
      <x:c r="F1832" s="12" t="n">
        <x:v>9.38888888888889</x:v>
      </x:c>
      <x:c r="G1832" s="4" t="str">
        <x:v>Sin marca literal</x:v>
      </x:c>
      <x:c r="H1832" s="11"/>
      <x:c r="I1832" s="11" t="str">
        <x:f>IF(H1832="","",C1832-H1832)</x:f>
      </x:c>
      <x:c r="J1832" s="4"/>
      <x:c r="K1832" s="4" t="str">
        <x:v>URLs de detalle page/query/country por clics. No asignan las impresiones de esta consulta a cada página.</x:v>
      </x:c>
    </x:row>
    <x:row r="1833" ht="28" customHeight="1">
      <x:c r="A1833" s="4" t="n">
        <x:v>1823</x:v>
      </x:c>
      <x:c r="B1833" s="4" t="str">
        <x:v>donde queda jurere</x:v>
      </x:c>
      <x:c r="C1833" s="11" t="n">
        <x:v>1</x:v>
      </x:c>
      <x:c r="D1833" s="11" t="n">
        <x:v>18</x:v>
      </x:c>
      <x:c r="E1833" s="14" t="n">
        <x:v>0.05555555555555555</x:v>
      </x:c>
      <x:c r="F1833" s="12" t="n">
        <x:v>2.833333333333333</x:v>
      </x:c>
      <x:c r="G1833" s="4" t="str">
        <x:v>Sin marca literal</x:v>
      </x:c>
      <x:c r="H1833" s="11"/>
      <x:c r="I1833" s="11" t="str">
        <x:f>IF(H1833="","",C1833-H1833)</x:f>
      </x:c>
      <x:c r="J1833" s="4"/>
      <x:c r="K1833" s="4" t="str">
        <x:v>URLs de detalle page/query/country por clics. No asignan las impresiones de esta consulta a cada página.</x:v>
      </x:c>
    </x:row>
    <x:row r="1834" ht="28" customHeight="1">
      <x:c r="A1834" s="4" t="n">
        <x:v>1824</x:v>
      </x:c>
      <x:c r="B1834" s="4" t="str">
        <x:v>en qué etapa del año estamos</x:v>
      </x:c>
      <x:c r="C1834" s="11" t="n">
        <x:v>1</x:v>
      </x:c>
      <x:c r="D1834" s="11" t="n">
        <x:v>18</x:v>
      </x:c>
      <x:c r="E1834" s="14" t="n">
        <x:v>0.05555555555555555</x:v>
      </x:c>
      <x:c r="F1834" s="12" t="n">
        <x:v>4.222222222222222</x:v>
      </x:c>
      <x:c r="G1834" s="4" t="str">
        <x:v>Sin marca literal</x:v>
      </x:c>
      <x:c r="H1834" s="11"/>
      <x:c r="I1834" s="11" t="str">
        <x:f>IF(H1834="","",C1834-H1834)</x:f>
      </x:c>
      <x:c r="J1834" s="4"/>
      <x:c r="K1834" s="4" t="str">
        <x:v>URLs de detalle page/query/country por clics. No asignan las impresiones de esta consulta a cada página.</x:v>
      </x:c>
    </x:row>
    <x:row r="1835" ht="28" customHeight="1">
      <x:c r="A1835" s="4" t="n">
        <x:v>1825</x:v>
      </x:c>
      <x:c r="B1835" s="4" t="str">
        <x:v>enchufe tipo c argentina</x:v>
      </x:c>
      <x:c r="C1835" s="11" t="n">
        <x:v>1</x:v>
      </x:c>
      <x:c r="D1835" s="11" t="n">
        <x:v>18</x:v>
      </x:c>
      <x:c r="E1835" s="14" t="n">
        <x:v>0.05555555555555555</x:v>
      </x:c>
      <x:c r="F1835" s="12" t="n">
        <x:v>7.555555555555555</x:v>
      </x:c>
      <x:c r="G1835" s="4" t="str">
        <x:v>Sin marca literal</x:v>
      </x:c>
      <x:c r="H1835" s="11"/>
      <x:c r="I1835" s="11" t="str">
        <x:f>IF(H1835="","",C1835-H1835)</x:f>
      </x:c>
      <x:c r="J1835" s="4"/>
      <x:c r="K1835" s="4" t="str">
        <x:v>URLs de detalle page/query/country por clics. No asignan las impresiones de esta consulta a cada página.</x:v>
      </x:c>
    </x:row>
    <x:row r="1836" ht="28" customHeight="1">
      <x:c r="A1836" s="4" t="n">
        <x:v>1826</x:v>
      </x:c>
      <x:c r="B1836" s="4" t="str">
        <x:v>es seguro montevideo</x:v>
      </x:c>
      <x:c r="C1836" s="11" t="n">
        <x:v>1</x:v>
      </x:c>
      <x:c r="D1836" s="11" t="n">
        <x:v>18</x:v>
      </x:c>
      <x:c r="E1836" s="14" t="n">
        <x:v>0.05555555555555555</x:v>
      </x:c>
      <x:c r="F1836" s="12" t="n">
        <x:v>4.555555555555555</x:v>
      </x:c>
      <x:c r="G1836" s="4" t="str">
        <x:v>Sin marca literal</x:v>
      </x:c>
      <x:c r="H1836" s="11"/>
      <x:c r="I1836" s="11" t="str">
        <x:f>IF(H1836="","",C1836-H1836)</x:f>
      </x:c>
      <x:c r="J1836" s="4"/>
      <x:c r="K1836" s="4" t="str">
        <x:v>URLs de detalle page/query/country por clics. No asignan las impresiones de esta consulta a cada página.</x:v>
      </x:c>
    </x:row>
    <x:row r="1837" ht="28" customHeight="1">
      <x:c r="A1837" s="4" t="n">
        <x:v>1827</x:v>
      </x:c>
      <x:c r="B1837" s="4" t="str">
        <x:v>estaciones del año chile fechas</x:v>
      </x:c>
      <x:c r="C1837" s="11" t="n">
        <x:v>1</x:v>
      </x:c>
      <x:c r="D1837" s="11" t="n">
        <x:v>18</x:v>
      </x:c>
      <x:c r="E1837" s="14" t="n">
        <x:v>0.05555555555555555</x:v>
      </x:c>
      <x:c r="F1837" s="12" t="n">
        <x:v>1.7777777777777777</x:v>
      </x:c>
      <x:c r="G1837" s="4" t="str">
        <x:v>Sin marca literal</x:v>
      </x:c>
      <x:c r="H1837" s="11"/>
      <x:c r="I1837" s="11" t="str">
        <x:f>IF(H1837="","",C1837-H1837)</x:f>
      </x:c>
      <x:c r="J1837" s="4"/>
      <x:c r="K1837" s="4" t="str">
        <x:v>URLs de detalle page/query/country por clics. No asignan las impresiones de esta consulta a cada página.</x:v>
      </x:c>
    </x:row>
    <x:row r="1838" ht="28" customHeight="1">
      <x:c r="A1838" s="4" t="n">
        <x:v>1828</x:v>
      </x:c>
      <x:c r="B1838" s="4" t="str">
        <x:v>hay q vacunarse para ir a brasil</x:v>
      </x:c>
      <x:c r="C1838" s="11" t="n">
        <x:v>1</x:v>
      </x:c>
      <x:c r="D1838" s="11" t="n">
        <x:v>18</x:v>
      </x:c>
      <x:c r="E1838" s="14" t="n">
        <x:v>0.05555555555555555</x:v>
      </x:c>
      <x:c r="F1838" s="12" t="n">
        <x:v>7</x:v>
      </x:c>
      <x:c r="G1838" s="4" t="str">
        <x:v>Sin marca literal</x:v>
      </x:c>
      <x:c r="H1838" s="11"/>
      <x:c r="I1838" s="11" t="str">
        <x:f>IF(H1838="","",C1838-H1838)</x:f>
      </x:c>
      <x:c r="J1838" s="4"/>
      <x:c r="K1838" s="4" t="str">
        <x:v>URLs de detalle page/query/country por clics. No asignan las impresiones de esta consulta a cada página.</x:v>
      </x:c>
    </x:row>
    <x:row r="1839" ht="28" customHeight="1">
      <x:c r="A1839" s="4" t="n">
        <x:v>1829</x:v>
      </x:c>
      <x:c r="B1839" s="4" t="str">
        <x:v>medidas mochilas avion</x:v>
      </x:c>
      <x:c r="C1839" s="11" t="n">
        <x:v>1</x:v>
      </x:c>
      <x:c r="D1839" s="11" t="n">
        <x:v>18</x:v>
      </x:c>
      <x:c r="E1839" s="14" t="n">
        <x:v>0.05555555555555555</x:v>
      </x:c>
      <x:c r="F1839" s="12" t="n">
        <x:v>8.444444444444445</x:v>
      </x:c>
      <x:c r="G1839" s="4" t="str">
        <x:v>Sin marca literal</x:v>
      </x:c>
      <x:c r="H1839" s="11"/>
      <x:c r="I1839" s="11" t="str">
        <x:f>IF(H1839="","",C1839-H1839)</x:f>
      </x:c>
      <x:c r="J1839" s="4"/>
      <x:c r="K1839" s="4" t="str">
        <x:v>URLs de detalle page/query/country por clics. No asignan las impresiones de esta consulta a cada página.</x:v>
      </x:c>
    </x:row>
    <x:row r="1840" ht="28" customHeight="1">
      <x:c r="A1840" s="4" t="n">
        <x:v>1830</x:v>
      </x:c>
      <x:c r="B1840" s="4" t="str">
        <x:v>para viajar a brasil necesito pasaporte</x:v>
      </x:c>
      <x:c r="C1840" s="11" t="n">
        <x:v>1</x:v>
      </x:c>
      <x:c r="D1840" s="11" t="n">
        <x:v>18</x:v>
      </x:c>
      <x:c r="E1840" s="14" t="n">
        <x:v>0.05555555555555555</x:v>
      </x:c>
      <x:c r="F1840" s="12" t="n">
        <x:v>6.666666666666667</x:v>
      </x:c>
      <x:c r="G1840" s="4" t="str">
        <x:v>Sin marca literal</x:v>
      </x:c>
      <x:c r="H1840" s="11"/>
      <x:c r="I1840" s="11" t="str">
        <x:f>IF(H1840="","",C1840-H1840)</x:f>
      </x:c>
      <x:c r="J1840" s="4"/>
      <x:c r="K1840" s="4" t="str">
        <x:v>URLs de detalle page/query/country por clics. No asignan las impresiones de esta consulta a cada página.</x:v>
      </x:c>
    </x:row>
    <x:row r="1841" ht="28" customHeight="1">
      <x:c r="A1841" s="4" t="n">
        <x:v>1831</x:v>
      </x:c>
      <x:c r="B1841" s="4" t="str">
        <x:v>peso maleta de bodega</x:v>
      </x:c>
      <x:c r="C1841" s="11" t="n">
        <x:v>1</x:v>
      </x:c>
      <x:c r="D1841" s="11" t="n">
        <x:v>18</x:v>
      </x:c>
      <x:c r="E1841" s="14" t="n">
        <x:v>0.05555555555555555</x:v>
      </x:c>
      <x:c r="F1841" s="12" t="n">
        <x:v>4.833333333333334</x:v>
      </x:c>
      <x:c r="G1841" s="4" t="str">
        <x:v>Sin marca literal</x:v>
      </x:c>
      <x:c r="H1841" s="11"/>
      <x:c r="I1841" s="11" t="str">
        <x:f>IF(H1841="","",C1841-H1841)</x:f>
      </x:c>
      <x:c r="J1841" s="4"/>
      <x:c r="K1841" s="4" t="str">
        <x:v>URLs de detalle page/query/country por clics. No asignan las impresiones de esta consulta a cada página.</x:v>
      </x:c>
    </x:row>
    <x:row r="1842" ht="28" customHeight="1">
      <x:c r="A1842" s="4" t="n">
        <x:v>1832</x:v>
      </x:c>
      <x:c r="B1842" s="4" t="str">
        <x:v>primavera</x:v>
      </x:c>
      <x:c r="C1842" s="11" t="n">
        <x:v>1</x:v>
      </x:c>
      <x:c r="D1842" s="11" t="n">
        <x:v>18</x:v>
      </x:c>
      <x:c r="E1842" s="14" t="n">
        <x:v>0.05555555555555555</x:v>
      </x:c>
      <x:c r="F1842" s="12" t="n">
        <x:v>1.6111111111111112</x:v>
      </x:c>
      <x:c r="G1842" s="4" t="str">
        <x:v>Sin marca literal</x:v>
      </x:c>
      <x:c r="H1842" s="11"/>
      <x:c r="I1842" s="11" t="str">
        <x:f>IF(H1842="","",C1842-H1842)</x:f>
      </x:c>
      <x:c r="J1842" s="4"/>
      <x:c r="K1842" s="4" t="str">
        <x:v>URLs de detalle page/query/country por clics. No asignan las impresiones de esta consulta a cada página.</x:v>
      </x:c>
    </x:row>
    <x:row r="1843" ht="28" customHeight="1">
      <x:c r="A1843" s="4" t="n">
        <x:v>1833</x:v>
      </x:c>
      <x:c r="B1843" s="4" t="str">
        <x:v>pucon como llegar</x:v>
      </x:c>
      <x:c r="C1843" s="11" t="n">
        <x:v>1</x:v>
      </x:c>
      <x:c r="D1843" s="11" t="n">
        <x:v>18</x:v>
      </x:c>
      <x:c r="E1843" s="14" t="n">
        <x:v>0.05555555555555555</x:v>
      </x:c>
      <x:c r="F1843" s="12" t="n">
        <x:v>6.333333333333333</x:v>
      </x:c>
      <x:c r="G1843" s="4" t="str">
        <x:v>Sin marca literal</x:v>
      </x:c>
      <x:c r="H1843" s="11"/>
      <x:c r="I1843" s="11" t="str">
        <x:f>IF(H1843="","",C1843-H1843)</x:f>
      </x:c>
      <x:c r="J1843" s="4"/>
      <x:c r="K1843" s="4" t="str">
        <x:v>URLs de detalle page/query/country por clics. No asignan las impresiones de esta consulta a cada página.</x:v>
      </x:c>
    </x:row>
    <x:row r="1844" ht="28" customHeight="1">
      <x:c r="A1844" s="4" t="n">
        <x:v>1834</x:v>
      </x:c>
      <x:c r="B1844" s="4" t="str">
        <x:v>que estacion esta en chile</x:v>
      </x:c>
      <x:c r="C1844" s="11" t="n">
        <x:v>1</x:v>
      </x:c>
      <x:c r="D1844" s="11" t="n">
        <x:v>18</x:v>
      </x:c>
      <x:c r="E1844" s="14" t="n">
        <x:v>0.05555555555555555</x:v>
      </x:c>
      <x:c r="F1844" s="12" t="n">
        <x:v>3.3333333333333335</x:v>
      </x:c>
      <x:c r="G1844" s="4" t="str">
        <x:v>Sin marca literal</x:v>
      </x:c>
      <x:c r="H1844" s="11"/>
      <x:c r="I1844" s="11" t="str">
        <x:f>IF(H1844="","",C1844-H1844)</x:f>
      </x:c>
      <x:c r="J1844" s="4"/>
      <x:c r="K1844" s="4" t="str">
        <x:v>URLs de detalle page/query/country por clics. No asignan las impresiones de esta consulta a cada página.</x:v>
      </x:c>
    </x:row>
    <x:row r="1845" ht="28" customHeight="1">
      <x:c r="A1845" s="4" t="n">
        <x:v>1835</x:v>
      </x:c>
      <x:c r="B1845" s="4" t="str">
        <x:v>que pais es barato para viajar</x:v>
      </x:c>
      <x:c r="C1845" s="11" t="n">
        <x:v>1</x:v>
      </x:c>
      <x:c r="D1845" s="11" t="n">
        <x:v>18</x:v>
      </x:c>
      <x:c r="E1845" s="14" t="n">
        <x:v>0.05555555555555555</x:v>
      </x:c>
      <x:c r="F1845" s="12" t="n">
        <x:v>4.277777777777778</x:v>
      </x:c>
      <x:c r="G1845" s="4" t="str">
        <x:v>Sin marca literal</x:v>
      </x:c>
      <x:c r="H1845" s="11"/>
      <x:c r="I1845" s="11" t="str">
        <x:f>IF(H1845="","",C1845-H1845)</x:f>
      </x:c>
      <x:c r="J1845" s="4"/>
      <x:c r="K1845" s="4" t="str">
        <x:v>URLs de detalle page/query/country por clics. No asignan las impresiones de esta consulta a cada página.</x:v>
      </x:c>
    </x:row>
    <x:row r="1846" ht="28" customHeight="1">
      <x:c r="A1846" s="4" t="n">
        <x:v>1836</x:v>
      </x:c>
      <x:c r="B1846" s="4" t="str">
        <x:v>que significa equipaje de cabina</x:v>
      </x:c>
      <x:c r="C1846" s="11" t="n">
        <x:v>1</x:v>
      </x:c>
      <x:c r="D1846" s="11" t="n">
        <x:v>18</x:v>
      </x:c>
      <x:c r="E1846" s="14" t="n">
        <x:v>0.05555555555555555</x:v>
      </x:c>
      <x:c r="F1846" s="12" t="n">
        <x:v>3.8333333333333335</x:v>
      </x:c>
      <x:c r="G1846" s="4" t="str">
        <x:v>Sin marca literal</x:v>
      </x:c>
      <x:c r="H1846" s="11"/>
      <x:c r="I1846" s="11" t="str">
        <x:f>IF(H1846="","",C1846-H1846)</x:f>
      </x:c>
      <x:c r="J1846" s="4"/>
      <x:c r="K1846" s="4" t="str">
        <x:v>URLs de detalle page/query/country por clics. No asignan las impresiones de esta consulta a cada página.</x:v>
      </x:c>
    </x:row>
    <x:row r="1847" ht="28" customHeight="1">
      <x:c r="A1847" s="4" t="n">
        <x:v>1837</x:v>
      </x:c>
      <x:c r="B1847" s="4" t="str">
        <x:v>que ver en uruguay en 3 dias</x:v>
      </x:c>
      <x:c r="C1847" s="11" t="n">
        <x:v>1</x:v>
      </x:c>
      <x:c r="D1847" s="11" t="n">
        <x:v>18</x:v>
      </x:c>
      <x:c r="E1847" s="14" t="n">
        <x:v>0.05555555555555555</x:v>
      </x:c>
      <x:c r="F1847" s="12" t="n">
        <x:v>2.166666666666667</x:v>
      </x:c>
      <x:c r="G1847" s="4" t="str">
        <x:v>Sin marca literal</x:v>
      </x:c>
      <x:c r="H1847" s="11"/>
      <x:c r="I1847" s="11" t="str">
        <x:f>IF(H1847="","",C1847-H1847)</x:f>
      </x:c>
      <x:c r="J1847" s="4"/>
      <x:c r="K1847" s="4" t="str">
        <x:v>URLs de detalle page/query/country por clics. No asignan las impresiones de esta consulta a cada página.</x:v>
      </x:c>
    </x:row>
    <x:row r="1848" ht="28" customHeight="1">
      <x:c r="A1848" s="4" t="n">
        <x:v>1838</x:v>
      </x:c>
      <x:c r="B1848" s="4" t="str">
        <x:v>relieve del sur de chile</x:v>
      </x:c>
      <x:c r="C1848" s="11" t="n">
        <x:v>1</x:v>
      </x:c>
      <x:c r="D1848" s="11" t="n">
        <x:v>18</x:v>
      </x:c>
      <x:c r="E1848" s="14" t="n">
        <x:v>0.05555555555555555</x:v>
      </x:c>
      <x:c r="F1848" s="12" t="n">
        <x:v>5.277777777777778</x:v>
      </x:c>
      <x:c r="G1848" s="4" t="str">
        <x:v>Sin marca literal</x:v>
      </x:c>
      <x:c r="H1848" s="11"/>
      <x:c r="I1848" s="11" t="str">
        <x:f>IF(H1848="","",C1848-H1848)</x:f>
      </x:c>
      <x:c r="J1848" s="4"/>
      <x:c r="K1848" s="4" t="str">
        <x:v>URLs de detalle page/query/country por clics. No asignan las impresiones de esta consulta a cada página.</x:v>
      </x:c>
    </x:row>
    <x:row r="1849" ht="28" customHeight="1">
      <x:c r="A1849" s="4" t="n">
        <x:v>1839</x:v>
      </x:c>
      <x:c r="B1849" s="4" t="str">
        <x:v>sky noticias</x:v>
      </x:c>
      <x:c r="C1849" s="11" t="n">
        <x:v>1</x:v>
      </x:c>
      <x:c r="D1849" s="11" t="n">
        <x:v>18</x:v>
      </x:c>
      <x:c r="E1849" s="14" t="n">
        <x:v>0.05555555555555555</x:v>
      </x:c>
      <x:c r="F1849" s="12" t="n">
        <x:v>4.611111111111111</x:v>
      </x:c>
      <x:c r="G1849" s="4" t="str">
        <x:v>Sin marca literal</x:v>
      </x:c>
      <x:c r="H1849" s="11"/>
      <x:c r="I1849" s="11" t="str">
        <x:f>IF(H1849="","",C1849-H1849)</x:f>
      </x:c>
      <x:c r="J1849" s="4"/>
      <x:c r="K1849" s="4" t="str">
        <x:v>URLs de detalle page/query/country por clics. No asignan las impresiones de esta consulta a cada página.</x:v>
      </x:c>
    </x:row>
    <x:row r="1850" ht="28" customHeight="1">
      <x:c r="A1850" s="4" t="n">
        <x:v>1840</x:v>
      </x:c>
      <x:c r="B1850" s="4" t="str">
        <x:v>vuelos con mascotas</x:v>
      </x:c>
      <x:c r="C1850" s="11" t="n">
        <x:v>1</x:v>
      </x:c>
      <x:c r="D1850" s="11" t="n">
        <x:v>18</x:v>
      </x:c>
      <x:c r="E1850" s="14" t="n">
        <x:v>0.05555555555555555</x:v>
      </x:c>
      <x:c r="F1850" s="12" t="n">
        <x:v>5.888888888888889</x:v>
      </x:c>
      <x:c r="G1850" s="4" t="str">
        <x:v>Sin marca literal</x:v>
      </x:c>
      <x:c r="H1850" s="11"/>
      <x:c r="I1850" s="11" t="str">
        <x:f>IF(H1850="","",C1850-H1850)</x:f>
      </x:c>
      <x:c r="J1850" s="4"/>
      <x:c r="K1850" s="4" t="str">
        <x:v>URLs de detalle page/query/country por clics. No asignan las impresiones de esta consulta a cada página.</x:v>
      </x:c>
    </x:row>
    <x:row r="1851" ht="28" customHeight="1">
      <x:c r="A1851" s="4" t="n">
        <x:v>1841</x:v>
      </x:c>
      <x:c r="B1851" s="4" t="str">
        <x:v>aerolíneas que permiten viajar con perros en cabina</x:v>
      </x:c>
      <x:c r="C1851" s="11" t="n">
        <x:v>1</x:v>
      </x:c>
      <x:c r="D1851" s="11" t="n">
        <x:v>17</x:v>
      </x:c>
      <x:c r="E1851" s="14" t="n">
        <x:v>0.058823529411764705</x:v>
      </x:c>
      <x:c r="F1851" s="12" t="n">
        <x:v>6.705882352941177</x:v>
      </x:c>
      <x:c r="G1851" s="4" t="str">
        <x:v>Sin marca literal</x:v>
      </x:c>
      <x:c r="H1851" s="11"/>
      <x:c r="I1851" s="11" t="str">
        <x:f>IF(H1851="","",C1851-H1851)</x:f>
      </x:c>
      <x:c r="J1851" s="4"/>
      <x:c r="K1851" s="4" t="str">
        <x:v>URLs de detalle page/query/country por clics. No asignan las impresiones de esta consulta a cada página.</x:v>
      </x:c>
    </x:row>
    <x:row r="1852" ht="28" customHeight="1">
      <x:c r="A1852" s="4" t="n">
        <x:v>1842</x:v>
      </x:c>
      <x:c r="B1852" s="4" t="str">
        <x:v>billetera sky airlines</x:v>
      </x:c>
      <x:c r="C1852" s="11" t="n">
        <x:v>1</x:v>
      </x:c>
      <x:c r="D1852" s="11" t="n">
        <x:v>17</x:v>
      </x:c>
      <x:c r="E1852" s="14" t="n">
        <x:v>0.058823529411764705</x:v>
      </x:c>
      <x:c r="F1852" s="12" t="n">
        <x:v>3.764705882352941</x:v>
      </x:c>
      <x:c r="G1852" s="4" t="str">
        <x:v>Sin marca literal</x:v>
      </x:c>
      <x:c r="H1852" s="11"/>
      <x:c r="I1852" s="11" t="str">
        <x:f>IF(H1852="","",C1852-H1852)</x:f>
      </x:c>
      <x:c r="J1852" s="4"/>
      <x:c r="K1852" s="4" t="str">
        <x:v>URLs de detalle page/query/country por clics. No asignan las impresiones de esta consulta a cada página.</x:v>
      </x:c>
    </x:row>
    <x:row r="1853" ht="28" customHeight="1">
      <x:c r="A1853" s="4" t="n">
        <x:v>1843</x:v>
      </x:c>
      <x:c r="B1853" s="4" t="str">
        <x:v>cabo frío brasil donde queda</x:v>
      </x:c>
      <x:c r="C1853" s="11" t="n">
        <x:v>1</x:v>
      </x:c>
      <x:c r="D1853" s="11" t="n">
        <x:v>17</x:v>
      </x:c>
      <x:c r="E1853" s="14" t="n">
        <x:v>0.058823529411764705</x:v>
      </x:c>
      <x:c r="F1853" s="12" t="n">
        <x:v>7.882352941176471</x:v>
      </x:c>
      <x:c r="G1853" s="4" t="str">
        <x:v>Sin marca literal</x:v>
      </x:c>
      <x:c r="H1853" s="11"/>
      <x:c r="I1853" s="11" t="str">
        <x:f>IF(H1853="","",C1853-H1853)</x:f>
      </x:c>
      <x:c r="J1853" s="4"/>
      <x:c r="K1853" s="4" t="str">
        <x:v>URLs de detalle page/query/country por clics. No asignan las impresiones de esta consulta a cada página.</x:v>
      </x:c>
    </x:row>
    <x:row r="1854" ht="28" customHeight="1">
      <x:c r="A1854" s="4" t="n">
        <x:v>1844</x:v>
      </x:c>
      <x:c r="B1854" s="4" t="str">
        <x:v>como canjear puntos sky</x:v>
      </x:c>
      <x:c r="C1854" s="11" t="n">
        <x:v>1</x:v>
      </x:c>
      <x:c r="D1854" s="11" t="n">
        <x:v>17</x:v>
      </x:c>
      <x:c r="E1854" s="14" t="n">
        <x:v>0.058823529411764705</x:v>
      </x:c>
      <x:c r="F1854" s="12" t="n">
        <x:v>1.8823529411764706</x:v>
      </x:c>
      <x:c r="G1854" s="4" t="str">
        <x:v>Sin marca literal</x:v>
      </x:c>
      <x:c r="H1854" s="11"/>
      <x:c r="I1854" s="11" t="str">
        <x:f>IF(H1854="","",C1854-H1854)</x:f>
      </x:c>
      <x:c r="J1854" s="4"/>
      <x:c r="K1854" s="4" t="str">
        <x:v>URLs de detalle page/query/country por clics. No asignan las impresiones de esta consulta a cada página.</x:v>
      </x:c>
    </x:row>
    <x:row r="1855" ht="28" customHeight="1">
      <x:c r="A1855" s="4" t="n">
        <x:v>1845</x:v>
      </x:c>
      <x:c r="B1855" s="4" t="str">
        <x:v>cual es la mejor fecha para viajar a cancun</x:v>
      </x:c>
      <x:c r="C1855" s="11" t="n">
        <x:v>1</x:v>
      </x:c>
      <x:c r="D1855" s="11" t="n">
        <x:v>17</x:v>
      </x:c>
      <x:c r="E1855" s="14" t="n">
        <x:v>0.058823529411764705</x:v>
      </x:c>
      <x:c r="F1855" s="12" t="n">
        <x:v>6.823529411764706</x:v>
      </x:c>
      <x:c r="G1855" s="4" t="str">
        <x:v>Sin marca literal</x:v>
      </x:c>
      <x:c r="H1855" s="11"/>
      <x:c r="I1855" s="11" t="str">
        <x:f>IF(H1855="","",C1855-H1855)</x:f>
      </x:c>
      <x:c r="J1855" s="4"/>
      <x:c r="K1855" s="4" t="str">
        <x:v>URLs de detalle page/query/country por clics. No asignan las impresiones de esta consulta a cada página.</x:v>
      </x:c>
    </x:row>
    <x:row r="1856" ht="28" customHeight="1">
      <x:c r="A1856" s="4" t="n">
        <x:v>1846</x:v>
      </x:c>
      <x:c r="B1856" s="4" t="str">
        <x:v>curso de azafata en chile</x:v>
      </x:c>
      <x:c r="C1856" s="11" t="n">
        <x:v>1</x:v>
      </x:c>
      <x:c r="D1856" s="11" t="n">
        <x:v>17</x:v>
      </x:c>
      <x:c r="E1856" s="14" t="n">
        <x:v>0.058823529411764705</x:v>
      </x:c>
      <x:c r="F1856" s="12" t="n">
        <x:v>8.176470588235293</x:v>
      </x:c>
      <x:c r="G1856" s="4" t="str">
        <x:v>Sin marca literal</x:v>
      </x:c>
      <x:c r="H1856" s="11"/>
      <x:c r="I1856" s="11" t="str">
        <x:f>IF(H1856="","",C1856-H1856)</x:f>
      </x:c>
      <x:c r="J1856" s="4"/>
      <x:c r="K1856" s="4" t="str">
        <x:v>URLs de detalle page/query/country por clics. No asignan las impresiones de esta consulta a cada página.</x:v>
      </x:c>
    </x:row>
    <x:row r="1857" ht="28" customHeight="1">
      <x:c r="A1857" s="4" t="n">
        <x:v>1847</x:v>
      </x:c>
      <x:c r="B1857" s="4" t="str">
        <x:v>cómo comprar pasajes en avión</x:v>
      </x:c>
      <x:c r="C1857" s="11" t="n">
        <x:v>1</x:v>
      </x:c>
      <x:c r="D1857" s="11" t="n">
        <x:v>17</x:v>
      </x:c>
      <x:c r="E1857" s="14" t="n">
        <x:v>0.058823529411764705</x:v>
      </x:c>
      <x:c r="F1857" s="12" t="n">
        <x:v>6.470588235294118</x:v>
      </x:c>
      <x:c r="G1857" s="4" t="str">
        <x:v>Sin marca literal</x:v>
      </x:c>
      <x:c r="H1857" s="11"/>
      <x:c r="I1857" s="11" t="str">
        <x:f>IF(H1857="","",C1857-H1857)</x:f>
      </x:c>
      <x:c r="J1857" s="4"/>
      <x:c r="K1857" s="4" t="str">
        <x:v>URLs de detalle page/query/country por clics. No asignan las impresiones de esta consulta a cada página.</x:v>
      </x:c>
    </x:row>
    <x:row r="1858" ht="28" customHeight="1">
      <x:c r="A1858" s="4" t="n">
        <x:v>1848</x:v>
      </x:c>
      <x:c r="B1858" s="4" t="str">
        <x:v>destinos en el sur de argentina</x:v>
      </x:c>
      <x:c r="C1858" s="11" t="n">
        <x:v>1</x:v>
      </x:c>
      <x:c r="D1858" s="11" t="n">
        <x:v>17</x:v>
      </x:c>
      <x:c r="E1858" s="14" t="n">
        <x:v>0.058823529411764705</x:v>
      </x:c>
      <x:c r="F1858" s="12" t="n">
        <x:v>1.7647058823529411</x:v>
      </x:c>
      <x:c r="G1858" s="4" t="str">
        <x:v>Sin marca literal</x:v>
      </x:c>
      <x:c r="H1858" s="11"/>
      <x:c r="I1858" s="11" t="str">
        <x:f>IF(H1858="","",C1858-H1858)</x:f>
      </x:c>
      <x:c r="J1858" s="4"/>
      <x:c r="K1858" s="4" t="str">
        <x:v>URLs de detalle page/query/country por clics. No asignan las impresiones de esta consulta a cada página.</x:v>
      </x:c>
    </x:row>
    <x:row r="1859" ht="28" customHeight="1">
      <x:c r="A1859" s="4" t="n">
        <x:v>1849</x:v>
      </x:c>
      <x:c r="B1859" s="4" t="str">
        <x:v>donde comprar recuerdos baratos en cancun</x:v>
      </x:c>
      <x:c r="C1859" s="11" t="n">
        <x:v>1</x:v>
      </x:c>
      <x:c r="D1859" s="11" t="n">
        <x:v>17</x:v>
      </x:c>
      <x:c r="E1859" s="14" t="n">
        <x:v>0.058823529411764705</x:v>
      </x:c>
      <x:c r="F1859" s="12" t="n">
        <x:v>6.0588235294117645</x:v>
      </x:c>
      <x:c r="G1859" s="4" t="str">
        <x:v>Sin marca literal</x:v>
      </x:c>
      <x:c r="H1859" s="11"/>
      <x:c r="I1859" s="11" t="str">
        <x:f>IF(H1859="","",C1859-H1859)</x:f>
      </x:c>
      <x:c r="J1859" s="4"/>
      <x:c r="K1859" s="4" t="str">
        <x:v>URLs de detalle page/query/country por clics. No asignan las impresiones de esta consulta a cada página.</x:v>
      </x:c>
    </x:row>
    <x:row r="1860" ht="28" customHeight="1">
      <x:c r="A1860" s="4" t="n">
        <x:v>1850</x:v>
      </x:c>
      <x:c r="B1860" s="4" t="str">
        <x:v>en vuelos nacionales se puede llevar perfumes</x:v>
      </x:c>
      <x:c r="C1860" s="11" t="n">
        <x:v>1</x:v>
      </x:c>
      <x:c r="D1860" s="11" t="n">
        <x:v>17</x:v>
      </x:c>
      <x:c r="E1860" s="14" t="n">
        <x:v>0.058823529411764705</x:v>
      </x:c>
      <x:c r="F1860" s="12" t="n">
        <x:v>2.5882352941176467</x:v>
      </x:c>
      <x:c r="G1860" s="4" t="str">
        <x:v>Sin marca literal</x:v>
      </x:c>
      <x:c r="H1860" s="11"/>
      <x:c r="I1860" s="11" t="str">
        <x:f>IF(H1860="","",C1860-H1860)</x:f>
      </x:c>
      <x:c r="J1860" s="4"/>
      <x:c r="K1860" s="4" t="str">
        <x:v>URLs de detalle page/query/country por clics. No asignan las impresiones de esta consulta a cada página.</x:v>
      </x:c>
    </x:row>
    <x:row r="1861" ht="28" customHeight="1">
      <x:c r="A1861" s="4" t="n">
        <x:v>1851</x:v>
      </x:c>
      <x:c r="B1861" s="4" t="str">
        <x:v>flota sky</x:v>
      </x:c>
      <x:c r="C1861" s="11" t="n">
        <x:v>1</x:v>
      </x:c>
      <x:c r="D1861" s="11" t="n">
        <x:v>17</x:v>
      </x:c>
      <x:c r="E1861" s="14" t="n">
        <x:v>0.058823529411764705</x:v>
      </x:c>
      <x:c r="F1861" s="12" t="n">
        <x:v>6.529411764705882</x:v>
      </x:c>
      <x:c r="G1861" s="4" t="str">
        <x:v>Sin marca literal</x:v>
      </x:c>
      <x:c r="H1861" s="11"/>
      <x:c r="I1861" s="11" t="str">
        <x:f>IF(H1861="","",C1861-H1861)</x:f>
      </x:c>
      <x:c r="J1861" s="4"/>
      <x:c r="K1861" s="4" t="str">
        <x:v>URLs de detalle page/query/country por clics. No asignan las impresiones de esta consulta a cada página.</x:v>
      </x:c>
    </x:row>
    <x:row r="1862" ht="28" customHeight="1">
      <x:c r="A1862" s="4" t="n">
        <x:v>1852</x:v>
      </x:c>
      <x:c r="B1862" s="4" t="str">
        <x:v>la maleta de cabina de cuantos kilos es</x:v>
      </x:c>
      <x:c r="C1862" s="11" t="n">
        <x:v>1</x:v>
      </x:c>
      <x:c r="D1862" s="11" t="n">
        <x:v>17</x:v>
      </x:c>
      <x:c r="E1862" s="14" t="n">
        <x:v>0.058823529411764705</x:v>
      </x:c>
      <x:c r="F1862" s="12" t="n">
        <x:v>9.176470588235293</x:v>
      </x:c>
      <x:c r="G1862" s="4" t="str">
        <x:v>Sin marca literal</x:v>
      </x:c>
      <x:c r="H1862" s="11"/>
      <x:c r="I1862" s="11" t="str">
        <x:f>IF(H1862="","",C1862-H1862)</x:f>
      </x:c>
      <x:c r="J1862" s="4"/>
      <x:c r="K1862" s="4" t="str">
        <x:v>URLs de detalle page/query/country por clics. No asignan las impresiones de esta consulta a cada página.</x:v>
      </x:c>
    </x:row>
    <x:row r="1863" ht="28" customHeight="1">
      <x:c r="A1863" s="4" t="n">
        <x:v>1853</x:v>
      </x:c>
      <x:c r="B1863" s="4" t="str">
        <x:v>lago más profundo de chile</x:v>
      </x:c>
      <x:c r="C1863" s="11" t="n">
        <x:v>1</x:v>
      </x:c>
      <x:c r="D1863" s="11" t="n">
        <x:v>17</x:v>
      </x:c>
      <x:c r="E1863" s="14" t="n">
        <x:v>0.058823529411764705</x:v>
      </x:c>
      <x:c r="F1863" s="12" t="n">
        <x:v>13.117647058823529</x:v>
      </x:c>
      <x:c r="G1863" s="4" t="str">
        <x:v>Sin marca literal</x:v>
      </x:c>
      <x:c r="H1863" s="11"/>
      <x:c r="I1863" s="11" t="str">
        <x:f>IF(H1863="","",C1863-H1863)</x:f>
      </x:c>
      <x:c r="J1863" s="4"/>
      <x:c r="K1863" s="4" t="str">
        <x:v>URLs de detalle page/query/country por clics. No asignan las impresiones de esta consulta a cada página.</x:v>
      </x:c>
    </x:row>
    <x:row r="1864" ht="28" customHeight="1">
      <x:c r="A1864" s="4" t="n">
        <x:v>1854</x:v>
      </x:c>
      <x:c r="B1864" s="4" t="str">
        <x:v>lago todos los santos como llegar</x:v>
      </x:c>
      <x:c r="C1864" s="11" t="n">
        <x:v>1</x:v>
      </x:c>
      <x:c r="D1864" s="11" t="n">
        <x:v>17</x:v>
      </x:c>
      <x:c r="E1864" s="14" t="n">
        <x:v>0.058823529411764705</x:v>
      </x:c>
      <x:c r="F1864" s="12" t="n">
        <x:v>8.294117647058822</x:v>
      </x:c>
      <x:c r="G1864" s="4" t="str">
        <x:v>Sin marca literal</x:v>
      </x:c>
      <x:c r="H1864" s="11"/>
      <x:c r="I1864" s="11" t="str">
        <x:f>IF(H1864="","",C1864-H1864)</x:f>
      </x:c>
      <x:c r="J1864" s="4"/>
      <x:c r="K1864" s="4" t="str">
        <x:v>URLs de detalle page/query/country por clics. No asignan las impresiones de esta consulta a cada página.</x:v>
      </x:c>
    </x:row>
    <x:row r="1865" ht="28" customHeight="1">
      <x:c r="A1865" s="4" t="n">
        <x:v>1855</x:v>
      </x:c>
      <x:c r="B1865" s="4" t="str">
        <x:v>países baratos para viajar</x:v>
      </x:c>
      <x:c r="C1865" s="11" t="n">
        <x:v>1</x:v>
      </x:c>
      <x:c r="D1865" s="11" t="n">
        <x:v>17</x:v>
      </x:c>
      <x:c r="E1865" s="14" t="n">
        <x:v>0.058823529411764705</x:v>
      </x:c>
      <x:c r="F1865" s="12" t="n">
        <x:v>10.941176470588236</x:v>
      </x:c>
      <x:c r="G1865" s="4" t="str">
        <x:v>Sin marca literal</x:v>
      </x:c>
      <x:c r="H1865" s="11"/>
      <x:c r="I1865" s="11" t="str">
        <x:f>IF(H1865="","",C1865-H1865)</x:f>
      </x:c>
      <x:c r="J1865" s="4"/>
      <x:c r="K1865" s="4" t="str">
        <x:v>URLs de detalle page/query/country por clics. No asignan las impresiones de esta consulta a cada página.</x:v>
      </x:c>
    </x:row>
    <x:row r="1866" ht="28" customHeight="1">
      <x:c r="A1866" s="4" t="n">
        <x:v>1856</x:v>
      </x:c>
      <x:c r="B1866" s="4" t="str">
        <x:v>porque ponen modo avion en el avion</x:v>
      </x:c>
      <x:c r="C1866" s="11" t="n">
        <x:v>1</x:v>
      </x:c>
      <x:c r="D1866" s="11" t="n">
        <x:v>17</x:v>
      </x:c>
      <x:c r="E1866" s="14" t="n">
        <x:v>0.058823529411764705</x:v>
      </x:c>
      <x:c r="F1866" s="12" t="n">
        <x:v>6.352941176470588</x:v>
      </x:c>
      <x:c r="G1866" s="4" t="str">
        <x:v>Sin marca literal</x:v>
      </x:c>
      <x:c r="H1866" s="11"/>
      <x:c r="I1866" s="11" t="str">
        <x:f>IF(H1866="","",C1866-H1866)</x:f>
      </x:c>
      <x:c r="J1866" s="4"/>
      <x:c r="K1866" s="4" t="str">
        <x:v>URLs de detalle page/query/country por clics. No asignan las impresiones de esta consulta a cada página.</x:v>
      </x:c>
    </x:row>
    <x:row r="1867" ht="28" customHeight="1">
      <x:c r="A1867" s="4" t="n">
        <x:v>1857</x:v>
      </x:c>
      <x:c r="B1867" s="4" t="str">
        <x:v>pucón</x:v>
      </x:c>
      <x:c r="C1867" s="11" t="n">
        <x:v>1</x:v>
      </x:c>
      <x:c r="D1867" s="11" t="n">
        <x:v>17</x:v>
      </x:c>
      <x:c r="E1867" s="14" t="n">
        <x:v>0.058823529411764705</x:v>
      </x:c>
      <x:c r="F1867" s="12" t="n">
        <x:v>12.764705882352942</x:v>
      </x:c>
      <x:c r="G1867" s="4" t="str">
        <x:v>Sin marca literal</x:v>
      </x:c>
      <x:c r="H1867" s="11"/>
      <x:c r="I1867" s="11" t="str">
        <x:f>IF(H1867="","",C1867-H1867)</x:f>
      </x:c>
      <x:c r="J1867" s="4"/>
      <x:c r="K1867" s="4" t="str">
        <x:v>URLs de detalle page/query/country por clics. No asignan las impresiones de esta consulta a cada página.</x:v>
      </x:c>
    </x:row>
    <x:row r="1868" ht="28" customHeight="1">
      <x:c r="A1868" s="4" t="n">
        <x:v>1858</x:v>
      </x:c>
      <x:c r="B1868" s="4" t="str">
        <x:v>puedo llevar cerveza en el equipaje de mano</x:v>
      </x:c>
      <x:c r="C1868" s="11" t="n">
        <x:v>1</x:v>
      </x:c>
      <x:c r="D1868" s="11" t="n">
        <x:v>17</x:v>
      </x:c>
      <x:c r="E1868" s="14" t="n">
        <x:v>0.058823529411764705</x:v>
      </x:c>
      <x:c r="F1868" s="12" t="n">
        <x:v>5.294117647058823</x:v>
      </x:c>
      <x:c r="G1868" s="4" t="str">
        <x:v>Sin marca literal</x:v>
      </x:c>
      <x:c r="H1868" s="11"/>
      <x:c r="I1868" s="11" t="str">
        <x:f>IF(H1868="","",C1868-H1868)</x:f>
      </x:c>
      <x:c r="J1868" s="4"/>
      <x:c r="K1868" s="4" t="str">
        <x:v>URLs de detalle page/query/country por clics. No asignan las impresiones de esta consulta a cada página.</x:v>
      </x:c>
    </x:row>
    <x:row r="1869" ht="28" customHeight="1">
      <x:c r="A1869" s="4" t="n">
        <x:v>1859</x:v>
      </x:c>
      <x:c r="B1869" s="4" t="str">
        <x:v>puedo llevar enchinador de pestañas en equipaje de mano</x:v>
      </x:c>
      <x:c r="C1869" s="11" t="n">
        <x:v>1</x:v>
      </x:c>
      <x:c r="D1869" s="11" t="n">
        <x:v>17</x:v>
      </x:c>
      <x:c r="E1869" s="14" t="n">
        <x:v>0.058823529411764705</x:v>
      </x:c>
      <x:c r="F1869" s="12" t="n">
        <x:v>1.8823529411764706</x:v>
      </x:c>
      <x:c r="G1869" s="4" t="str">
        <x:v>Sin marca literal</x:v>
      </x:c>
      <x:c r="H1869" s="11"/>
      <x:c r="I1869" s="11" t="str">
        <x:f>IF(H1869="","",C1869-H1869)</x:f>
      </x:c>
      <x:c r="J1869" s="4"/>
      <x:c r="K1869" s="4" t="str">
        <x:v>URLs de detalle page/query/country por clics. No asignan las impresiones de esta consulta a cada página.</x:v>
      </x:c>
    </x:row>
    <x:row r="1870" ht="28" customHeight="1">
      <x:c r="A1870" s="4" t="n">
        <x:v>1860</x:v>
      </x:c>
      <x:c r="B1870" s="4" t="str">
        <x:v>que estacion esta chile</x:v>
      </x:c>
      <x:c r="C1870" s="11" t="n">
        <x:v>1</x:v>
      </x:c>
      <x:c r="D1870" s="11" t="n">
        <x:v>17</x:v>
      </x:c>
      <x:c r="E1870" s="14" t="n">
        <x:v>0.058823529411764705</x:v>
      </x:c>
      <x:c r="F1870" s="12" t="n">
        <x:v>3.7058823529411766</x:v>
      </x:c>
      <x:c r="G1870" s="4" t="str">
        <x:v>Sin marca literal</x:v>
      </x:c>
      <x:c r="H1870" s="11"/>
      <x:c r="I1870" s="11" t="str">
        <x:f>IF(H1870="","",C1870-H1870)</x:f>
      </x:c>
      <x:c r="J1870" s="4"/>
      <x:c r="K1870" s="4" t="str">
        <x:v>URLs de detalle page/query/country por clics. No asignan las impresiones de esta consulta a cada página.</x:v>
      </x:c>
    </x:row>
    <x:row r="1871" ht="28" customHeight="1">
      <x:c r="A1871" s="4" t="n">
        <x:v>1861</x:v>
      </x:c>
      <x:c r="B1871" s="4" t="str">
        <x:v>que hacer en la boca caminito</x:v>
      </x:c>
      <x:c r="C1871" s="11" t="n">
        <x:v>1</x:v>
      </x:c>
      <x:c r="D1871" s="11" t="n">
        <x:v>17</x:v>
      </x:c>
      <x:c r="E1871" s="14" t="n">
        <x:v>0.058823529411764705</x:v>
      </x:c>
      <x:c r="F1871" s="12" t="n">
        <x:v>4.764705882352941</x:v>
      </x:c>
      <x:c r="G1871" s="4" t="str">
        <x:v>Sin marca literal</x:v>
      </x:c>
      <x:c r="H1871" s="11"/>
      <x:c r="I1871" s="11" t="str">
        <x:f>IF(H1871="","",C1871-H1871)</x:f>
      </x:c>
      <x:c r="J1871" s="4"/>
      <x:c r="K1871" s="4" t="str">
        <x:v>URLs de detalle page/query/country por clics. No asignan las impresiones de esta consulta a cada página.</x:v>
      </x:c>
    </x:row>
    <x:row r="1872" ht="28" customHeight="1">
      <x:c r="A1872" s="4" t="n">
        <x:v>1862</x:v>
      </x:c>
      <x:c r="B1872" s="4" t="str">
        <x:v>que no se puede llevar en la maleta de cabina</x:v>
      </x:c>
      <x:c r="C1872" s="11" t="n">
        <x:v>1</x:v>
      </x:c>
      <x:c r="D1872" s="11" t="n">
        <x:v>17</x:v>
      </x:c>
      <x:c r="E1872" s="14" t="n">
        <x:v>0.058823529411764705</x:v>
      </x:c>
      <x:c r="F1872" s="12" t="n">
        <x:v>8.588235294117647</x:v>
      </x:c>
      <x:c r="G1872" s="4" t="str">
        <x:v>Sin marca literal</x:v>
      </x:c>
      <x:c r="H1872" s="11"/>
      <x:c r="I1872" s="11" t="str">
        <x:f>IF(H1872="","",C1872-H1872)</x:f>
      </x:c>
      <x:c r="J1872" s="4"/>
      <x:c r="K1872" s="4" t="str">
        <x:v>URLs de detalle page/query/country por clics. No asignan las impresiones de esta consulta a cada página.</x:v>
      </x:c>
    </x:row>
    <x:row r="1873" ht="28" customHeight="1">
      <x:c r="A1873" s="4" t="n">
        <x:v>1863</x:v>
      </x:c>
      <x:c r="B1873" s="4" t="str">
        <x:v>que visitar en lima en 3 dias</x:v>
      </x:c>
      <x:c r="C1873" s="11" t="n">
        <x:v>1</x:v>
      </x:c>
      <x:c r="D1873" s="11" t="n">
        <x:v>17</x:v>
      </x:c>
      <x:c r="E1873" s="14" t="n">
        <x:v>0.058823529411764705</x:v>
      </x:c>
      <x:c r="F1873" s="12" t="n">
        <x:v>11.294117647058824</x:v>
      </x:c>
      <x:c r="G1873" s="4" t="str">
        <x:v>Sin marca literal</x:v>
      </x:c>
      <x:c r="H1873" s="11"/>
      <x:c r="I1873" s="11" t="str">
        <x:f>IF(H1873="","",C1873-H1873)</x:f>
      </x:c>
      <x:c r="J1873" s="4"/>
      <x:c r="K1873" s="4" t="str">
        <x:v>URLs de detalle page/query/country por clics. No asignan las impresiones de esta consulta a cada página.</x:v>
      </x:c>
    </x:row>
    <x:row r="1874" ht="28" customHeight="1">
      <x:c r="A1874" s="4" t="n">
        <x:v>1864</x:v>
      </x:c>
      <x:c r="B1874" s="4" t="str">
        <x:v>qué tipo de enchufe se usa en perú</x:v>
      </x:c>
      <x:c r="C1874" s="11" t="n">
        <x:v>1</x:v>
      </x:c>
      <x:c r="D1874" s="11" t="n">
        <x:v>17</x:v>
      </x:c>
      <x:c r="E1874" s="14" t="n">
        <x:v>0.058823529411764705</x:v>
      </x:c>
      <x:c r="F1874" s="12" t="n">
        <x:v>7.470588235294118</x:v>
      </x:c>
      <x:c r="G1874" s="4" t="str">
        <x:v>Sin marca literal</x:v>
      </x:c>
      <x:c r="H1874" s="11"/>
      <x:c r="I1874" s="11" t="str">
        <x:f>IF(H1874="","",C1874-H1874)</x:f>
      </x:c>
      <x:c r="J1874" s="4"/>
      <x:c r="K1874" s="4" t="str">
        <x:v>URLs de detalle page/query/country por clics. No asignan las impresiones de esta consulta a cada página.</x:v>
      </x:c>
    </x:row>
    <x:row r="1875" ht="28" customHeight="1">
      <x:c r="A1875" s="4" t="n">
        <x:v>1865</x:v>
      </x:c>
      <x:c r="B1875" s="4" t="str">
        <x:v>retiros espirituales en chile</x:v>
      </x:c>
      <x:c r="C1875" s="11" t="n">
        <x:v>1</x:v>
      </x:c>
      <x:c r="D1875" s="11" t="n">
        <x:v>17</x:v>
      </x:c>
      <x:c r="E1875" s="14" t="n">
        <x:v>0.058823529411764705</x:v>
      </x:c>
      <x:c r="F1875" s="12" t="n">
        <x:v>6.235294117647059</x:v>
      </x:c>
      <x:c r="G1875" s="4" t="str">
        <x:v>Sin marca literal</x:v>
      </x:c>
      <x:c r="H1875" s="11"/>
      <x:c r="I1875" s="11" t="str">
        <x:f>IF(H1875="","",C1875-H1875)</x:f>
      </x:c>
      <x:c r="J1875" s="4"/>
      <x:c r="K1875" s="4" t="str">
        <x:v>URLs de detalle page/query/country por clics. No asignan las impresiones de esta consulta a cada página.</x:v>
      </x:c>
    </x:row>
    <x:row r="1876" ht="28" customHeight="1">
      <x:c r="A1876" s="4" t="n">
        <x:v>1866</x:v>
      </x:c>
      <x:c r="B1876" s="4" t="str">
        <x:v>se puede viajar con comprobante de carnet</x:v>
      </x:c>
      <x:c r="C1876" s="11" t="n">
        <x:v>1</x:v>
      </x:c>
      <x:c r="D1876" s="11" t="n">
        <x:v>17</x:v>
      </x:c>
      <x:c r="E1876" s="14" t="n">
        <x:v>0.058823529411764705</x:v>
      </x:c>
      <x:c r="F1876" s="12" t="n">
        <x:v>9.411764705882353</x:v>
      </x:c>
      <x:c r="G1876" s="4" t="str">
        <x:v>Sin marca literal</x:v>
      </x:c>
      <x:c r="H1876" s="11"/>
      <x:c r="I1876" s="11" t="str">
        <x:f>IF(H1876="","",C1876-H1876)</x:f>
      </x:c>
      <x:c r="J1876" s="4"/>
      <x:c r="K1876" s="4" t="str">
        <x:v>URLs de detalle page/query/country por clics. No asignan las impresiones de esta consulta a cada página.</x:v>
      </x:c>
    </x:row>
    <x:row r="1877" ht="28" customHeight="1">
      <x:c r="A1877" s="4" t="n">
        <x:v>1867</x:v>
      </x:c>
      <x:c r="B1877" s="4" t="str">
        <x:v>sky 320</x:v>
      </x:c>
      <x:c r="C1877" s="11" t="n">
        <x:v>1</x:v>
      </x:c>
      <x:c r="D1877" s="11" t="n">
        <x:v>17</x:v>
      </x:c>
      <x:c r="E1877" s="14" t="n">
        <x:v>0.058823529411764705</x:v>
      </x:c>
      <x:c r="F1877" s="12" t="n">
        <x:v>5.9411764705882355</x:v>
      </x:c>
      <x:c r="G1877" s="4" t="str">
        <x:v>Sin marca literal</x:v>
      </x:c>
      <x:c r="H1877" s="11"/>
      <x:c r="I1877" s="11" t="str">
        <x:f>IF(H1877="","",C1877-H1877)</x:f>
      </x:c>
      <x:c r="J1877" s="4"/>
      <x:c r="K1877" s="4" t="str">
        <x:v>URLs de detalle page/query/country por clics. No asignan las impresiones de esta consulta a cada página.</x:v>
      </x:c>
    </x:row>
    <x:row r="1878" ht="28" customHeight="1">
      <x:c r="A1878" s="4" t="n">
        <x:v>1868</x:v>
      </x:c>
      <x:c r="B1878" s="4" t="str">
        <x:v>sky auto</x:v>
      </x:c>
      <x:c r="C1878" s="11" t="n">
        <x:v>1</x:v>
      </x:c>
      <x:c r="D1878" s="11" t="n">
        <x:v>17</x:v>
      </x:c>
      <x:c r="E1878" s="14" t="n">
        <x:v>0.058823529411764705</x:v>
      </x:c>
      <x:c r="F1878" s="12" t="n">
        <x:v>7.9411764705882355</x:v>
      </x:c>
      <x:c r="G1878" s="4" t="str">
        <x:v>Sin marca literal</x:v>
      </x:c>
      <x:c r="H1878" s="11"/>
      <x:c r="I1878" s="11" t="str">
        <x:f>IF(H1878="","",C1878-H1878)</x:f>
      </x:c>
      <x:c r="J1878" s="4"/>
      <x:c r="K1878" s="4" t="str">
        <x:v>URLs de detalle page/query/country por clics. No asignan las impresiones de esta consulta a cada página.</x:v>
      </x:c>
    </x:row>
    <x:row r="1879" ht="28" customHeight="1">
      <x:c r="A1879" s="4" t="n">
        <x:v>1869</x:v>
      </x:c>
      <x:c r="B1879" s="4" t="str">
        <x:v>sky cambio de nombre</x:v>
      </x:c>
      <x:c r="C1879" s="11" t="n">
        <x:v>1</x:v>
      </x:c>
      <x:c r="D1879" s="11" t="n">
        <x:v>17</x:v>
      </x:c>
      <x:c r="E1879" s="14" t="n">
        <x:v>0.058823529411764705</x:v>
      </x:c>
      <x:c r="F1879" s="12" t="n">
        <x:v>6.0588235294117645</x:v>
      </x:c>
      <x:c r="G1879" s="4" t="str">
        <x:v>Sin marca literal</x:v>
      </x:c>
      <x:c r="H1879" s="11"/>
      <x:c r="I1879" s="11" t="str">
        <x:f>IF(H1879="","",C1879-H1879)</x:f>
      </x:c>
      <x:c r="J1879" s="4"/>
      <x:c r="K1879" s="4" t="str">
        <x:v>URLs de detalle page/query/country por clics. No asignan las impresiones de esta consulta a cada página.</x:v>
      </x:c>
    </x:row>
    <x:row r="1880" ht="28" customHeight="1">
      <x:c r="A1880" s="4" t="n">
        <x:v>1870</x:v>
      </x:c>
      <x:c r="B1880" s="4" t="str">
        <x:v>skypuntos</x:v>
      </x:c>
      <x:c r="C1880" s="11" t="n">
        <x:v>1</x:v>
      </x:c>
      <x:c r="D1880" s="11" t="n">
        <x:v>17</x:v>
      </x:c>
      <x:c r="E1880" s="14" t="n">
        <x:v>0.058823529411764705</x:v>
      </x:c>
      <x:c r="F1880" s="12" t="n">
        <x:v>4.9411764705882355</x:v>
      </x:c>
      <x:c r="G1880" s="4" t="str">
        <x:v>Sin marca literal</x:v>
      </x:c>
      <x:c r="H1880" s="11"/>
      <x:c r="I1880" s="11" t="str">
        <x:f>IF(H1880="","",C1880-H1880)</x:f>
      </x:c>
      <x:c r="J1880" s="4"/>
      <x:c r="K1880" s="4" t="str">
        <x:v>URLs de detalle page/query/country por clics. No asignan las impresiones de esta consulta a cada página.</x:v>
      </x:c>
    </x:row>
    <x:row r="1881" ht="28" customHeight="1">
      <x:c r="A1881" s="4" t="n">
        <x:v>1871</x:v>
      </x:c>
      <x:c r="B1881" s="4" t="str">
        <x:v>sur de chile imagenes</x:v>
      </x:c>
      <x:c r="C1881" s="11" t="n">
        <x:v>1</x:v>
      </x:c>
      <x:c r="D1881" s="11" t="n">
        <x:v>17</x:v>
      </x:c>
      <x:c r="E1881" s="14" t="n">
        <x:v>0.058823529411764705</x:v>
      </x:c>
      <x:c r="F1881" s="12" t="n">
        <x:v>1</x:v>
      </x:c>
      <x:c r="G1881" s="4" t="str">
        <x:v>Sin marca literal</x:v>
      </x:c>
      <x:c r="H1881" s="11"/>
      <x:c r="I1881" s="11" t="str">
        <x:f>IF(H1881="","",C1881-H1881)</x:f>
      </x:c>
      <x:c r="J1881" s="4"/>
      <x:c r="K1881" s="4" t="str">
        <x:v>URLs de detalle page/query/country por clics. No asignan las impresiones de esta consulta a cada página.</x:v>
      </x:c>
    </x:row>
    <x:row r="1882" ht="28" customHeight="1">
      <x:c r="A1882" s="4" t="n">
        <x:v>1872</x:v>
      </x:c>
      <x:c r="B1882" s="4" t="str">
        <x:v>tacna mercado central</x:v>
      </x:c>
      <x:c r="C1882" s="11" t="n">
        <x:v>1</x:v>
      </x:c>
      <x:c r="D1882" s="11" t="n">
        <x:v>17</x:v>
      </x:c>
      <x:c r="E1882" s="14" t="n">
        <x:v>0.058823529411764705</x:v>
      </x:c>
      <x:c r="F1882" s="12" t="n">
        <x:v>8.352941176470587</x:v>
      </x:c>
      <x:c r="G1882" s="4" t="str">
        <x:v>Sin marca literal</x:v>
      </x:c>
      <x:c r="H1882" s="11"/>
      <x:c r="I1882" s="11" t="str">
        <x:f>IF(H1882="","",C1882-H1882)</x:f>
      </x:c>
      <x:c r="J1882" s="4"/>
      <x:c r="K1882" s="4" t="str">
        <x:v>URLs de detalle page/query/country por clics. No asignan las impresiones de esta consulta a cada página.</x:v>
      </x:c>
    </x:row>
    <x:row r="1883" ht="28" customHeight="1">
      <x:c r="A1883" s="4" t="n">
        <x:v>1873</x:v>
      </x:c>
      <x:c r="B1883" s="4" t="str">
        <x:v>un bebe paga pasaje de avion</x:v>
      </x:c>
      <x:c r="C1883" s="11" t="n">
        <x:v>1</x:v>
      </x:c>
      <x:c r="D1883" s="11" t="n">
        <x:v>17</x:v>
      </x:c>
      <x:c r="E1883" s="14" t="n">
        <x:v>0.058823529411764705</x:v>
      </x:c>
      <x:c r="F1883" s="12" t="n">
        <x:v>2.8235294117647056</x:v>
      </x:c>
      <x:c r="G1883" s="4" t="str">
        <x:v>Sin marca literal</x:v>
      </x:c>
      <x:c r="H1883" s="11"/>
      <x:c r="I1883" s="11" t="str">
        <x:f>IF(H1883="","",C1883-H1883)</x:f>
      </x:c>
      <x:c r="J1883" s="4"/>
      <x:c r="K1883" s="4" t="str">
        <x:v>URLs de detalle page/query/country por clics. No asignan las impresiones de esta consulta a cada página.</x:v>
      </x:c>
    </x:row>
    <x:row r="1884" ht="28" customHeight="1">
      <x:c r="A1884" s="4" t="n">
        <x:v>1874</x:v>
      </x:c>
      <x:c r="B1884" s="4" t="str">
        <x:v>viajar a mendoza en bus</x:v>
      </x:c>
      <x:c r="C1884" s="11" t="n">
        <x:v>1</x:v>
      </x:c>
      <x:c r="D1884" s="11" t="n">
        <x:v>17</x:v>
      </x:c>
      <x:c r="E1884" s="14" t="n">
        <x:v>0.058823529411764705</x:v>
      </x:c>
      <x:c r="F1884" s="12" t="n">
        <x:v>10.117647058823529</x:v>
      </x:c>
      <x:c r="G1884" s="4" t="str">
        <x:v>Sin marca literal</x:v>
      </x:c>
      <x:c r="H1884" s="11"/>
      <x:c r="I1884" s="11" t="str">
        <x:f>IF(H1884="","",C1884-H1884)</x:f>
      </x:c>
      <x:c r="J1884" s="4"/>
      <x:c r="K1884" s="4" t="str">
        <x:v>URLs de detalle page/query/country por clics. No asignan las impresiones de esta consulta a cada página.</x:v>
      </x:c>
    </x:row>
    <x:row r="1885" ht="28" customHeight="1">
      <x:c r="A1885" s="4" t="n">
        <x:v>1875</x:v>
      </x:c>
      <x:c r="B1885" s="4" t="str">
        <x:v>viajes a punta cana todo incluido</x:v>
      </x:c>
      <x:c r="C1885" s="11" t="n">
        <x:v>1</x:v>
      </x:c>
      <x:c r="D1885" s="11" t="n">
        <x:v>17</x:v>
      </x:c>
      <x:c r="E1885" s="14" t="n">
        <x:v>0.058823529411764705</x:v>
      </x:c>
      <x:c r="F1885" s="12" t="n">
        <x:v>10.941176470588236</x:v>
      </x:c>
      <x:c r="G1885" s="4" t="str">
        <x:v>Sin marca literal</x:v>
      </x:c>
      <x:c r="H1885" s="11"/>
      <x:c r="I1885" s="11" t="str">
        <x:f>IF(H1885="","",C1885-H1885)</x:f>
      </x:c>
      <x:c r="J1885" s="4"/>
      <x:c r="K1885" s="4" t="str">
        <x:v>URLs de detalle page/query/country por clics. No asignan las impresiones de esta consulta a cada página.</x:v>
      </x:c>
    </x:row>
    <x:row r="1886" ht="28" customHeight="1">
      <x:c r="A1886" s="4" t="n">
        <x:v>1876</x:v>
      </x:c>
      <x:c r="B1886" s="4" t="str">
        <x:v>beto carrero donde esta</x:v>
      </x:c>
      <x:c r="C1886" s="11" t="n">
        <x:v>1</x:v>
      </x:c>
      <x:c r="D1886" s="11" t="n">
        <x:v>16</x:v>
      </x:c>
      <x:c r="E1886" s="14" t="n">
        <x:v>0.0625</x:v>
      </x:c>
      <x:c r="F1886" s="12" t="n">
        <x:v>6.375</x:v>
      </x:c>
      <x:c r="G1886" s="4" t="str">
        <x:v>Sin marca literal</x:v>
      </x:c>
      <x:c r="H1886" s="11"/>
      <x:c r="I1886" s="11" t="str">
        <x:f>IF(H1886="","",C1886-H1886)</x:f>
      </x:c>
      <x:c r="J1886" s="4"/>
      <x:c r="K1886" s="4" t="str">
        <x:v>URLs de detalle page/query/country por clics. No asignan las impresiones de esta consulta a cada página.</x:v>
      </x:c>
    </x:row>
    <x:row r="1887" ht="28" customHeight="1">
      <x:c r="A1887" s="4" t="n">
        <x:v>1877</x:v>
      </x:c>
      <x:c r="B1887" s="4" t="str">
        <x:v>comida tipica salvador de bahia</x:v>
      </x:c>
      <x:c r="C1887" s="11" t="n">
        <x:v>1</x:v>
      </x:c>
      <x:c r="D1887" s="11" t="n">
        <x:v>16</x:v>
      </x:c>
      <x:c r="E1887" s="14" t="n">
        <x:v>0.0625</x:v>
      </x:c>
      <x:c r="F1887" s="12" t="n">
        <x:v>8.1875</x:v>
      </x:c>
      <x:c r="G1887" s="4" t="str">
        <x:v>Sin marca literal</x:v>
      </x:c>
      <x:c r="H1887" s="11"/>
      <x:c r="I1887" s="11" t="str">
        <x:f>IF(H1887="","",C1887-H1887)</x:f>
      </x:c>
      <x:c r="J1887" s="4"/>
      <x:c r="K1887" s="4" t="str">
        <x:v>URLs de detalle page/query/country por clics. No asignan las impresiones de esta consulta a cada página.</x:v>
      </x:c>
    </x:row>
    <x:row r="1888" ht="28" customHeight="1">
      <x:c r="A1888" s="4" t="n">
        <x:v>1878</x:v>
      </x:c>
      <x:c r="B1888" s="4" t="str">
        <x:v>cuantas horas son a chiclayo</x:v>
      </x:c>
      <x:c r="C1888" s="11" t="n">
        <x:v>1</x:v>
      </x:c>
      <x:c r="D1888" s="11" t="n">
        <x:v>16</x:v>
      </x:c>
      <x:c r="E1888" s="14" t="n">
        <x:v>0.0625</x:v>
      </x:c>
      <x:c r="F1888" s="12" t="n">
        <x:v>8.75</x:v>
      </x:c>
      <x:c r="G1888" s="4" t="str">
        <x:v>Sin marca literal</x:v>
      </x:c>
      <x:c r="H1888" s="11"/>
      <x:c r="I1888" s="11" t="str">
        <x:f>IF(H1888="","",C1888-H1888)</x:f>
      </x:c>
      <x:c r="J1888" s="4"/>
      <x:c r="K1888" s="4" t="str">
        <x:v>URLs de detalle page/query/country por clics. No asignan las impresiones de esta consulta a cada página.</x:v>
      </x:c>
    </x:row>
    <x:row r="1889" ht="28" customHeight="1">
      <x:c r="A1889" s="4" t="n">
        <x:v>1879</x:v>
      </x:c>
      <x:c r="B1889" s="4" t="str">
        <x:v>de donde es punta cana</x:v>
      </x:c>
      <x:c r="C1889" s="11" t="n">
        <x:v>1</x:v>
      </x:c>
      <x:c r="D1889" s="11" t="n">
        <x:v>16</x:v>
      </x:c>
      <x:c r="E1889" s="14" t="n">
        <x:v>0.0625</x:v>
      </x:c>
      <x:c r="F1889" s="12" t="n">
        <x:v>7.875</x:v>
      </x:c>
      <x:c r="G1889" s="4" t="str">
        <x:v>Sin marca literal</x:v>
      </x:c>
      <x:c r="H1889" s="11"/>
      <x:c r="I1889" s="11" t="str">
        <x:f>IF(H1889="","",C1889-H1889)</x:f>
      </x:c>
      <x:c r="J1889" s="4"/>
      <x:c r="K1889" s="4" t="str">
        <x:v>URLs de detalle page/query/country por clics. No asignan las impresiones de esta consulta a cada página.</x:v>
      </x:c>
    </x:row>
    <x:row r="1890" ht="28" customHeight="1">
      <x:c r="A1890" s="4" t="n">
        <x:v>1880</x:v>
      </x:c>
      <x:c r="B1890" s="4" t="str">
        <x:v>dónde está florianópolis</x:v>
      </x:c>
      <x:c r="C1890" s="11" t="n">
        <x:v>1</x:v>
      </x:c>
      <x:c r="D1890" s="11" t="n">
        <x:v>16</x:v>
      </x:c>
      <x:c r="E1890" s="14" t="n">
        <x:v>0.0625</x:v>
      </x:c>
      <x:c r="F1890" s="12" t="n">
        <x:v>8.625</x:v>
      </x:c>
      <x:c r="G1890" s="4" t="str">
        <x:v>Sin marca literal</x:v>
      </x:c>
      <x:c r="H1890" s="11"/>
      <x:c r="I1890" s="11" t="str">
        <x:f>IF(H1890="","",C1890-H1890)</x:f>
      </x:c>
      <x:c r="J1890" s="4"/>
      <x:c r="K1890" s="4" t="str">
        <x:v>URLs de detalle page/query/country por clics. No asignan las impresiones de esta consulta a cada página.</x:v>
      </x:c>
    </x:row>
    <x:row r="1891" ht="28" customHeight="1">
      <x:c r="A1891" s="4" t="n">
        <x:v>1881</x:v>
      </x:c>
      <x:c r="B1891" s="4" t="str">
        <x:v>flor de buenos aires escultura</x:v>
      </x:c>
      <x:c r="C1891" s="11" t="n">
        <x:v>1</x:v>
      </x:c>
      <x:c r="D1891" s="11" t="n">
        <x:v>16</x:v>
      </x:c>
      <x:c r="E1891" s="14" t="n">
        <x:v>0.0625</x:v>
      </x:c>
      <x:c r="F1891" s="12" t="n">
        <x:v>7.5625</x:v>
      </x:c>
      <x:c r="G1891" s="4" t="str">
        <x:v>Sin marca literal</x:v>
      </x:c>
      <x:c r="H1891" s="11"/>
      <x:c r="I1891" s="11" t="str">
        <x:f>IF(H1891="","",C1891-H1891)</x:f>
      </x:c>
      <x:c r="J1891" s="4"/>
      <x:c r="K1891" s="4" t="str">
        <x:v>URLs de detalle page/query/country por clics. No asignan las impresiones de esta consulta a cada página.</x:v>
      </x:c>
    </x:row>
    <x:row r="1892" ht="28" customHeight="1">
      <x:c r="A1892" s="4" t="n">
        <x:v>1882</x:v>
      </x:c>
      <x:c r="B1892" s="4" t="str">
        <x:v>islas ballestas desde lima</x:v>
      </x:c>
      <x:c r="C1892" s="11" t="n">
        <x:v>1</x:v>
      </x:c>
      <x:c r="D1892" s="11" t="n">
        <x:v>16</x:v>
      </x:c>
      <x:c r="E1892" s="14" t="n">
        <x:v>0.0625</x:v>
      </x:c>
      <x:c r="F1892" s="12" t="n">
        <x:v>15.8125</x:v>
      </x:c>
      <x:c r="G1892" s="4" t="str">
        <x:v>Sin marca literal</x:v>
      </x:c>
      <x:c r="H1892" s="11"/>
      <x:c r="I1892" s="11" t="str">
        <x:f>IF(H1892="","",C1892-H1892)</x:f>
      </x:c>
      <x:c r="J1892" s="4"/>
      <x:c r="K1892" s="4" t="str">
        <x:v>URLs de detalle page/query/country por clics. No asignan las impresiones de esta consulta a cada página.</x:v>
      </x:c>
    </x:row>
    <x:row r="1893" ht="28" customHeight="1">
      <x:c r="A1893" s="4" t="n">
        <x:v>1883</x:v>
      </x:c>
      <x:c r="B1893" s="4" t="str">
        <x:v>lugares para visitar en el sur</x:v>
      </x:c>
      <x:c r="C1893" s="11" t="n">
        <x:v>1</x:v>
      </x:c>
      <x:c r="D1893" s="11" t="n">
        <x:v>16</x:v>
      </x:c>
      <x:c r="E1893" s="14" t="n">
        <x:v>0.0625</x:v>
      </x:c>
      <x:c r="F1893" s="12" t="n">
        <x:v>4.9375</x:v>
      </x:c>
      <x:c r="G1893" s="4" t="str">
        <x:v>Sin marca literal</x:v>
      </x:c>
      <x:c r="H1893" s="11"/>
      <x:c r="I1893" s="11" t="str">
        <x:f>IF(H1893="","",C1893-H1893)</x:f>
      </x:c>
      <x:c r="J1893" s="4"/>
      <x:c r="K1893" s="4" t="str">
        <x:v>URLs de detalle page/query/country por clics. No asignan las impresiones de esta consulta a cada página.</x:v>
      </x:c>
    </x:row>
    <x:row r="1894" ht="28" customHeight="1">
      <x:c r="A1894" s="4" t="n">
        <x:v>1884</x:v>
      </x:c>
      <x:c r="B1894" s="4" t="str">
        <x:v>parking aeropuerto santiago de chile</x:v>
      </x:c>
      <x:c r="C1894" s="11" t="n">
        <x:v>1</x:v>
      </x:c>
      <x:c r="D1894" s="11" t="n">
        <x:v>16</x:v>
      </x:c>
      <x:c r="E1894" s="14" t="n">
        <x:v>0.0625</x:v>
      </x:c>
      <x:c r="F1894" s="12" t="n">
        <x:v>10.3125</x:v>
      </x:c>
      <x:c r="G1894" s="4" t="str">
        <x:v>Sin marca literal</x:v>
      </x:c>
      <x:c r="H1894" s="11"/>
      <x:c r="I1894" s="11" t="str">
        <x:f>IF(H1894="","",C1894-H1894)</x:f>
      </x:c>
      <x:c r="J1894" s="4"/>
      <x:c r="K1894" s="4" t="str">
        <x:v>URLs de detalle page/query/country por clics. No asignan las impresiones de esta consulta a cada página.</x:v>
      </x:c>
    </x:row>
    <x:row r="1895" ht="28" customHeight="1">
      <x:c r="A1895" s="4" t="n">
        <x:v>1885</x:v>
      </x:c>
      <x:c r="B1895" s="4" t="str">
        <x:v>platos tipicos de chile 18 de septiembre</x:v>
      </x:c>
      <x:c r="C1895" s="11" t="n">
        <x:v>1</x:v>
      </x:c>
      <x:c r="D1895" s="11" t="n">
        <x:v>16</x:v>
      </x:c>
      <x:c r="E1895" s="14" t="n">
        <x:v>0.0625</x:v>
      </x:c>
      <x:c r="F1895" s="12" t="n">
        <x:v>7.6875</x:v>
      </x:c>
      <x:c r="G1895" s="4" t="str">
        <x:v>Sin marca literal</x:v>
      </x:c>
      <x:c r="H1895" s="11"/>
      <x:c r="I1895" s="11" t="str">
        <x:f>IF(H1895="","",C1895-H1895)</x:f>
      </x:c>
      <x:c r="J1895" s="4"/>
      <x:c r="K1895" s="4" t="str">
        <x:v>URLs de detalle page/query/country por clics. No asignan las impresiones de esta consulta a cada página.</x:v>
      </x:c>
    </x:row>
    <x:row r="1896" ht="28" customHeight="1">
      <x:c r="A1896" s="4" t="n">
        <x:v>1886</x:v>
      </x:c>
      <x:c r="B1896" s="4" t="str">
        <x:v>playa piura peru</x:v>
      </x:c>
      <x:c r="C1896" s="11" t="n">
        <x:v>1</x:v>
      </x:c>
      <x:c r="D1896" s="11" t="n">
        <x:v>16</x:v>
      </x:c>
      <x:c r="E1896" s="14" t="n">
        <x:v>0.0625</x:v>
      </x:c>
      <x:c r="F1896" s="12" t="n">
        <x:v>4</x:v>
      </x:c>
      <x:c r="G1896" s="4" t="str">
        <x:v>Sin marca literal</x:v>
      </x:c>
      <x:c r="H1896" s="11"/>
      <x:c r="I1896" s="11" t="str">
        <x:f>IF(H1896="","",C1896-H1896)</x:f>
      </x:c>
      <x:c r="J1896" s="4"/>
      <x:c r="K1896" s="4" t="str">
        <x:v>URLs de detalle page/query/country por clics. No asignan las impresiones de esta consulta a cada página.</x:v>
      </x:c>
    </x:row>
    <x:row r="1897" ht="28" customHeight="1">
      <x:c r="A1897" s="4" t="n">
        <x:v>1887</x:v>
      </x:c>
      <x:c r="B1897" s="4" t="str">
        <x:v>que significa un vuelo programado</x:v>
      </x:c>
      <x:c r="C1897" s="11" t="n">
        <x:v>1</x:v>
      </x:c>
      <x:c r="D1897" s="11" t="n">
        <x:v>16</x:v>
      </x:c>
      <x:c r="E1897" s="14" t="n">
        <x:v>0.0625</x:v>
      </x:c>
      <x:c r="F1897" s="12" t="n">
        <x:v>3.0625</x:v>
      </x:c>
      <x:c r="G1897" s="4" t="str">
        <x:v>Sin marca literal</x:v>
      </x:c>
      <x:c r="H1897" s="11"/>
      <x:c r="I1897" s="11" t="str">
        <x:f>IF(H1897="","",C1897-H1897)</x:f>
      </x:c>
      <x:c r="J1897" s="4"/>
      <x:c r="K1897" s="4" t="str">
        <x:v>URLs de detalle page/query/country por clics. No asignan las impresiones de esta consulta a cada página.</x:v>
      </x:c>
    </x:row>
    <x:row r="1898" ht="28" customHeight="1">
      <x:c r="A1898" s="4" t="n">
        <x:v>1888</x:v>
      </x:c>
      <x:c r="B1898" s="4" t="str">
        <x:v>requisitos para viajar a brazil</x:v>
      </x:c>
      <x:c r="C1898" s="11" t="n">
        <x:v>1</x:v>
      </x:c>
      <x:c r="D1898" s="11" t="n">
        <x:v>16</x:v>
      </x:c>
      <x:c r="E1898" s="14" t="n">
        <x:v>0.0625</x:v>
      </x:c>
      <x:c r="F1898" s="12" t="n">
        <x:v>4.0625</x:v>
      </x:c>
      <x:c r="G1898" s="4" t="str">
        <x:v>Sin marca literal</x:v>
      </x:c>
      <x:c r="H1898" s="11"/>
      <x:c r="I1898" s="11" t="str">
        <x:f>IF(H1898="","",C1898-H1898)</x:f>
      </x:c>
      <x:c r="J1898" s="4"/>
      <x:c r="K1898" s="4" t="str">
        <x:v>URLs de detalle page/query/country por clics. No asignan las impresiones de esta consulta a cada página.</x:v>
      </x:c>
    </x:row>
    <x:row r="1899" ht="28" customHeight="1">
      <x:c r="A1899" s="4" t="n">
        <x:v>1889</x:v>
      </x:c>
      <x:c r="B1899" s="4" t="str">
        <x:v>se puede llevar pinzas en el equipaje de mano</x:v>
      </x:c>
      <x:c r="C1899" s="11" t="n">
        <x:v>1</x:v>
      </x:c>
      <x:c r="D1899" s="11" t="n">
        <x:v>16</x:v>
      </x:c>
      <x:c r="E1899" s="14" t="n">
        <x:v>0.0625</x:v>
      </x:c>
      <x:c r="F1899" s="12" t="n">
        <x:v>8.3125</x:v>
      </x:c>
      <x:c r="G1899" s="4" t="str">
        <x:v>Sin marca literal</x:v>
      </x:c>
      <x:c r="H1899" s="11"/>
      <x:c r="I1899" s="11" t="str">
        <x:f>IF(H1899="","",C1899-H1899)</x:f>
      </x:c>
      <x:c r="J1899" s="4"/>
      <x:c r="K1899" s="4" t="str">
        <x:v>URLs de detalle page/query/country por clics. No asignan las impresiones de esta consulta a cada página.</x:v>
      </x:c>
    </x:row>
    <x:row r="1900" ht="28" customHeight="1">
      <x:c r="A1900" s="4" t="n">
        <x:v>1890</x:v>
      </x:c>
      <x:c r="B1900" s="4" t="str">
        <x:v>se puede llevar vino en el avión internacional</x:v>
      </x:c>
      <x:c r="C1900" s="11" t="n">
        <x:v>1</x:v>
      </x:c>
      <x:c r="D1900" s="11" t="n">
        <x:v>16</x:v>
      </x:c>
      <x:c r="E1900" s="14" t="n">
        <x:v>0.0625</x:v>
      </x:c>
      <x:c r="F1900" s="12" t="n">
        <x:v>9.875</x:v>
      </x:c>
      <x:c r="G1900" s="4" t="str">
        <x:v>Sin marca literal</x:v>
      </x:c>
      <x:c r="H1900" s="11"/>
      <x:c r="I1900" s="11" t="str">
        <x:f>IF(H1900="","",C1900-H1900)</x:f>
      </x:c>
      <x:c r="J1900" s="4"/>
      <x:c r="K1900" s="4" t="str">
        <x:v>URLs de detalle page/query/country por clics. No asignan las impresiones de esta consulta a cada página.</x:v>
      </x:c>
    </x:row>
    <x:row r="1901" ht="28" customHeight="1">
      <x:c r="A1901" s="4" t="n">
        <x:v>1891</x:v>
      </x:c>
      <x:c r="B1901" s="4" t="str">
        <x:v>sky airlines carry on</x:v>
      </x:c>
      <x:c r="C1901" s="11" t="n">
        <x:v>1</x:v>
      </x:c>
      <x:c r="D1901" s="11" t="n">
        <x:v>16</x:v>
      </x:c>
      <x:c r="E1901" s="14" t="n">
        <x:v>0.0625</x:v>
      </x:c>
      <x:c r="F1901" s="12" t="n">
        <x:v>4.625</x:v>
      </x:c>
      <x:c r="G1901" s="4" t="str">
        <x:v>Sin marca literal</x:v>
      </x:c>
      <x:c r="H1901" s="11"/>
      <x:c r="I1901" s="11" t="str">
        <x:f>IF(H1901="","",C1901-H1901)</x:f>
      </x:c>
      <x:c r="J1901" s="4"/>
      <x:c r="K1901" s="4" t="str">
        <x:v>URLs de detalle page/query/country por clics. No asignan las impresiones de esta consulta a cada página.</x:v>
      </x:c>
    </x:row>
    <x:row r="1902" ht="28" customHeight="1">
      <x:c r="A1902" s="4" t="n">
        <x:v>1892</x:v>
      </x:c>
      <x:c r="B1902" s="4" t="str">
        <x:v>sky airlines practicas</x:v>
      </x:c>
      <x:c r="C1902" s="11" t="n">
        <x:v>1</x:v>
      </x:c>
      <x:c r="D1902" s="11" t="n">
        <x:v>16</x:v>
      </x:c>
      <x:c r="E1902" s="14" t="n">
        <x:v>0.0625</x:v>
      </x:c>
      <x:c r="F1902" s="12" t="n">
        <x:v>6.125</x:v>
      </x:c>
      <x:c r="G1902" s="4" t="str">
        <x:v>Sin marca literal</x:v>
      </x:c>
      <x:c r="H1902" s="11"/>
      <x:c r="I1902" s="11" t="str">
        <x:f>IF(H1902="","",C1902-H1902)</x:f>
      </x:c>
      <x:c r="J1902" s="4"/>
      <x:c r="K1902" s="4" t="str">
        <x:v>URLs de detalle page/query/country por clics. No asignan las impresiones de esta consulta a cada página.</x:v>
      </x:c>
    </x:row>
    <x:row r="1903" ht="28" customHeight="1">
      <x:c r="A1903" s="4" t="n">
        <x:v>1893</x:v>
      </x:c>
      <x:c r="B1903" s="4" t="str">
        <x:v>sky plus cobre beneficios</x:v>
      </x:c>
      <x:c r="C1903" s="11" t="n">
        <x:v>1</x:v>
      </x:c>
      <x:c r="D1903" s="11" t="n">
        <x:v>16</x:v>
      </x:c>
      <x:c r="E1903" s="14" t="n">
        <x:v>0.0625</x:v>
      </x:c>
      <x:c r="F1903" s="12" t="n">
        <x:v>5.4375</x:v>
      </x:c>
      <x:c r="G1903" s="4" t="str">
        <x:v>Sin marca literal</x:v>
      </x:c>
      <x:c r="H1903" s="11"/>
      <x:c r="I1903" s="11" t="str">
        <x:f>IF(H1903="","",C1903-H1903)</x:f>
      </x:c>
      <x:c r="J1903" s="4"/>
      <x:c r="K1903" s="4" t="str">
        <x:v>URLs de detalle page/query/country por clics. No asignan las impresiones de esta consulta a cada página.</x:v>
      </x:c>
    </x:row>
    <x:row r="1904" ht="28" customHeight="1">
      <x:c r="A1904" s="4" t="n">
        <x:v>1894</x:v>
      </x:c>
      <x:c r="B1904" s="4" t="str">
        <x:v>sky vuelo nacional</x:v>
      </x:c>
      <x:c r="C1904" s="11" t="n">
        <x:v>1</x:v>
      </x:c>
      <x:c r="D1904" s="11" t="n">
        <x:v>16</x:v>
      </x:c>
      <x:c r="E1904" s="14" t="n">
        <x:v>0.0625</x:v>
      </x:c>
      <x:c r="F1904" s="12" t="n">
        <x:v>3.625</x:v>
      </x:c>
      <x:c r="G1904" s="4" t="str">
        <x:v>Sin marca literal</x:v>
      </x:c>
      <x:c r="H1904" s="11"/>
      <x:c r="I1904" s="11" t="str">
        <x:f>IF(H1904="","",C1904-H1904)</x:f>
      </x:c>
      <x:c r="J1904" s="4"/>
      <x:c r="K1904" s="4" t="str">
        <x:v>URLs de detalle page/query/country por clics. No asignan las impresiones de esta consulta a cada página.</x:v>
      </x:c>
    </x:row>
    <x:row r="1905" ht="28" customHeight="1">
      <x:c r="A1905" s="4" t="n">
        <x:v>1895</x:v>
      </x:c>
      <x:c r="B1905" s="4" t="str">
        <x:v>trabajos en sky</x:v>
      </x:c>
      <x:c r="C1905" s="11" t="n">
        <x:v>1</x:v>
      </x:c>
      <x:c r="D1905" s="11" t="n">
        <x:v>16</x:v>
      </x:c>
      <x:c r="E1905" s="14" t="n">
        <x:v>0.0625</x:v>
      </x:c>
      <x:c r="F1905" s="12" t="n">
        <x:v>6.375</x:v>
      </x:c>
      <x:c r="G1905" s="4" t="str">
        <x:v>Sin marca literal</x:v>
      </x:c>
      <x:c r="H1905" s="11"/>
      <x:c r="I1905" s="11" t="str">
        <x:f>IF(H1905="","",C1905-H1905)</x:f>
      </x:c>
      <x:c r="J1905" s="4"/>
      <x:c r="K1905" s="4" t="str">
        <x:v>URLs de detalle page/query/country por clics. No asignan las impresiones de esta consulta a cada página.</x:v>
      </x:c>
    </x:row>
    <x:row r="1906" ht="28" customHeight="1">
      <x:c r="A1906" s="4" t="n">
        <x:v>1896</x:v>
      </x:c>
      <x:c r="B1906" s="4" t="str">
        <x:v>un bebe de 1 año paga pasaje en avion</x:v>
      </x:c>
      <x:c r="C1906" s="11" t="n">
        <x:v>1</x:v>
      </x:c>
      <x:c r="D1906" s="11" t="n">
        <x:v>16</x:v>
      </x:c>
      <x:c r="E1906" s="14" t="n">
        <x:v>0.0625</x:v>
      </x:c>
      <x:c r="F1906" s="12" t="n">
        <x:v>3.9375</x:v>
      </x:c>
      <x:c r="G1906" s="4" t="str">
        <x:v>Sin marca literal</x:v>
      </x:c>
      <x:c r="H1906" s="11"/>
      <x:c r="I1906" s="11" t="str">
        <x:f>IF(H1906="","",C1906-H1906)</x:f>
      </x:c>
      <x:c r="J1906" s="4"/>
      <x:c r="K1906" s="4" t="str">
        <x:v>URLs de detalle page/query/country por clics. No asignan las impresiones de esta consulta a cada página.</x:v>
      </x:c>
    </x:row>
    <x:row r="1907" ht="28" customHeight="1">
      <x:c r="A1907" s="4" t="n">
        <x:v>1897</x:v>
      </x:c>
      <x:c r="B1907" s="4" t="str">
        <x:v>vacunas para ir a brasil desde chile</x:v>
      </x:c>
      <x:c r="C1907" s="11" t="n">
        <x:v>1</x:v>
      </x:c>
      <x:c r="D1907" s="11" t="n">
        <x:v>16</x:v>
      </x:c>
      <x:c r="E1907" s="14" t="n">
        <x:v>0.0625</x:v>
      </x:c>
      <x:c r="F1907" s="12" t="n">
        <x:v>6.8125</x:v>
      </x:c>
      <x:c r="G1907" s="4" t="str">
        <x:v>Sin marca literal</x:v>
      </x:c>
      <x:c r="H1907" s="11"/>
      <x:c r="I1907" s="11" t="str">
        <x:f>IF(H1907="","",C1907-H1907)</x:f>
      </x:c>
      <x:c r="J1907" s="4"/>
      <x:c r="K1907" s="4" t="str">
        <x:v>URLs de detalle page/query/country por clics. No asignan las impresiones de esta consulta a cada página.</x:v>
      </x:c>
    </x:row>
    <x:row r="1908" ht="28" customHeight="1">
      <x:c r="A1908" s="4" t="n">
        <x:v>1898</x:v>
      </x:c>
      <x:c r="B1908" s="4" t="str">
        <x:v>valor maleta sky chile</x:v>
      </x:c>
      <x:c r="C1908" s="11" t="n">
        <x:v>1</x:v>
      </x:c>
      <x:c r="D1908" s="11" t="n">
        <x:v>16</x:v>
      </x:c>
      <x:c r="E1908" s="14" t="n">
        <x:v>0.0625</x:v>
      </x:c>
      <x:c r="F1908" s="12" t="n">
        <x:v>5.6875</x:v>
      </x:c>
      <x:c r="G1908" s="4" t="str">
        <x:v>Sin marca literal</x:v>
      </x:c>
      <x:c r="H1908" s="11"/>
      <x:c r="I1908" s="11" t="str">
        <x:f>IF(H1908="","",C1908-H1908)</x:f>
      </x:c>
      <x:c r="J1908" s="4"/>
      <x:c r="K1908" s="4" t="str">
        <x:v>URLs de detalle page/query/country por clics. No asignan las impresiones de esta consulta a cada página.</x:v>
      </x:c>
    </x:row>
    <x:row r="1909" ht="28" customHeight="1">
      <x:c r="A1909" s="4" t="n">
        <x:v>1899</x:v>
      </x:c>
      <x:c r="B1909" s="4" t="str">
        <x:v>a partir de cuantos años pagan pasaje en avion</x:v>
      </x:c>
      <x:c r="C1909" s="11" t="n">
        <x:v>1</x:v>
      </x:c>
      <x:c r="D1909" s="11" t="n">
        <x:v>15</x:v>
      </x:c>
      <x:c r="E1909" s="14" t="n">
        <x:v>0.06666666666666667</x:v>
      </x:c>
      <x:c r="F1909" s="12" t="n">
        <x:v>2.4</x:v>
      </x:c>
      <x:c r="G1909" s="4" t="str">
        <x:v>Sin marca literal</x:v>
      </x:c>
      <x:c r="H1909" s="11"/>
      <x:c r="I1909" s="11" t="str">
        <x:f>IF(H1909="","",C1909-H1909)</x:f>
      </x:c>
      <x:c r="J1909" s="4"/>
      <x:c r="K1909" s="4" t="str">
        <x:v>URLs de detalle page/query/country por clics. No asignan las impresiones de esta consulta a cada página.</x:v>
      </x:c>
    </x:row>
    <x:row r="1910" ht="28" customHeight="1">
      <x:c r="A1910" s="4" t="n">
        <x:v>1900</x:v>
      </x:c>
      <x:c r="B1910" s="4" t="str">
        <x:v>argentina enchufes</x:v>
      </x:c>
      <x:c r="C1910" s="11" t="n">
        <x:v>1</x:v>
      </x:c>
      <x:c r="D1910" s="11" t="n">
        <x:v>15</x:v>
      </x:c>
      <x:c r="E1910" s="14" t="n">
        <x:v>0.06666666666666667</x:v>
      </x:c>
      <x:c r="F1910" s="12" t="n">
        <x:v>6.333333333333333</x:v>
      </x:c>
      <x:c r="G1910" s="4" t="str">
        <x:v>Sin marca literal</x:v>
      </x:c>
      <x:c r="H1910" s="11"/>
      <x:c r="I1910" s="11" t="str">
        <x:f>IF(H1910="","",C1910-H1910)</x:f>
      </x:c>
      <x:c r="J1910" s="4"/>
      <x:c r="K1910" s="4" t="str">
        <x:v>URLs de detalle page/query/country por clics. No asignan las impresiones de esta consulta a cada página.</x:v>
      </x:c>
    </x:row>
    <x:row r="1911" ht="28" customHeight="1">
      <x:c r="A1911" s="4" t="n">
        <x:v>1901</x:v>
      </x:c>
      <x:c r="B1911" s="4" t="str">
        <x:v>bailes nacionales chilenos</x:v>
      </x:c>
      <x:c r="C1911" s="11" t="n">
        <x:v>1</x:v>
      </x:c>
      <x:c r="D1911" s="11" t="n">
        <x:v>15</x:v>
      </x:c>
      <x:c r="E1911" s="14" t="n">
        <x:v>0.06666666666666667</x:v>
      </x:c>
      <x:c r="F1911" s="12" t="n">
        <x:v>6.266666666666667</x:v>
      </x:c>
      <x:c r="G1911" s="4" t="str">
        <x:v>Sin marca literal</x:v>
      </x:c>
      <x:c r="H1911" s="11"/>
      <x:c r="I1911" s="11" t="str">
        <x:f>IF(H1911="","",C1911-H1911)</x:f>
      </x:c>
      <x:c r="J1911" s="4"/>
      <x:c r="K1911" s="4" t="str">
        <x:v>URLs de detalle page/query/country por clics. No asignan las impresiones de esta consulta a cada página.</x:v>
      </x:c>
    </x:row>
    <x:row r="1912" ht="28" customHeight="1">
      <x:c r="A1912" s="4" t="n">
        <x:v>1902</x:v>
      </x:c>
      <x:c r="B1912" s="4" t="str">
        <x:v>bebida típica peruana</x:v>
      </x:c>
      <x:c r="C1912" s="11" t="n">
        <x:v>1</x:v>
      </x:c>
      <x:c r="D1912" s="11" t="n">
        <x:v>15</x:v>
      </x:c>
      <x:c r="E1912" s="14" t="n">
        <x:v>0.06666666666666667</x:v>
      </x:c>
      <x:c r="F1912" s="12" t="n">
        <x:v>9.733333333333333</x:v>
      </x:c>
      <x:c r="G1912" s="4" t="str">
        <x:v>Sin marca literal</x:v>
      </x:c>
      <x:c r="H1912" s="11"/>
      <x:c r="I1912" s="11" t="str">
        <x:f>IF(H1912="","",C1912-H1912)</x:f>
      </x:c>
      <x:c r="J1912" s="4"/>
      <x:c r="K1912" s="4" t="str">
        <x:v>URLs de detalle page/query/country por clics. No asignan las impresiones de esta consulta a cada página.</x:v>
      </x:c>
    </x:row>
    <x:row r="1913" ht="28" customHeight="1">
      <x:c r="A1913" s="4" t="n">
        <x:v>1903</x:v>
      </x:c>
      <x:c r="B1913" s="4" t="str">
        <x:v>biodiversidad de la zona sur</x:v>
      </x:c>
      <x:c r="C1913" s="11" t="n">
        <x:v>1</x:v>
      </x:c>
      <x:c r="D1913" s="11" t="n">
        <x:v>15</x:v>
      </x:c>
      <x:c r="E1913" s="14" t="n">
        <x:v>0.06666666666666667</x:v>
      </x:c>
      <x:c r="F1913" s="12" t="n">
        <x:v>3.1333333333333333</x:v>
      </x:c>
      <x:c r="G1913" s="4" t="str">
        <x:v>Sin marca literal</x:v>
      </x:c>
      <x:c r="H1913" s="11"/>
      <x:c r="I1913" s="11" t="str">
        <x:f>IF(H1913="","",C1913-H1913)</x:f>
      </x:c>
      <x:c r="J1913" s="4"/>
      <x:c r="K1913" s="4" t="str">
        <x:v>URLs de detalle page/query/country por clics. No asignan las impresiones de esta consulta a cada página.</x:v>
      </x:c>
    </x:row>
    <x:row r="1914" ht="28" customHeight="1">
      <x:c r="A1914" s="4" t="n">
        <x:v>1904</x:v>
      </x:c>
      <x:c r="B1914" s="4" t="str">
        <x:v>buceo en bombinhas</x:v>
      </x:c>
      <x:c r="C1914" s="11" t="n">
        <x:v>1</x:v>
      </x:c>
      <x:c r="D1914" s="11" t="n">
        <x:v>15</x:v>
      </x:c>
      <x:c r="E1914" s="14" t="n">
        <x:v>0.06666666666666667</x:v>
      </x:c>
      <x:c r="F1914" s="12" t="n">
        <x:v>9.4</x:v>
      </x:c>
      <x:c r="G1914" s="4" t="str">
        <x:v>Sin marca literal</x:v>
      </x:c>
      <x:c r="H1914" s="11"/>
      <x:c r="I1914" s="11" t="str">
        <x:f>IF(H1914="","",C1914-H1914)</x:f>
      </x:c>
      <x:c r="J1914" s="4"/>
      <x:c r="K1914" s="4" t="str">
        <x:v>URLs de detalle page/query/country por clics. No asignan las impresiones de esta consulta a cada página.</x:v>
      </x:c>
    </x:row>
    <x:row r="1915" ht="28" customHeight="1">
      <x:c r="A1915" s="4" t="n">
        <x:v>1905</x:v>
      </x:c>
      <x:c r="B1915" s="4" t="str">
        <x:v>buenos aires lugares turisticos</x:v>
      </x:c>
      <x:c r="C1915" s="11" t="n">
        <x:v>1</x:v>
      </x:c>
      <x:c r="D1915" s="11" t="n">
        <x:v>15</x:v>
      </x:c>
      <x:c r="E1915" s="14" t="n">
        <x:v>0.06666666666666667</x:v>
      </x:c>
      <x:c r="F1915" s="12" t="n">
        <x:v>11.6</x:v>
      </x:c>
      <x:c r="G1915" s="4" t="str">
        <x:v>Sin marca literal</x:v>
      </x:c>
      <x:c r="H1915" s="11"/>
      <x:c r="I1915" s="11" t="str">
        <x:f>IF(H1915="","",C1915-H1915)</x:f>
      </x:c>
      <x:c r="J1915" s="4"/>
      <x:c r="K1915" s="4" t="str">
        <x:v>URLs de detalle page/query/country por clics. No asignan las impresiones de esta consulta a cada página.</x:v>
      </x:c>
    </x:row>
    <x:row r="1916" ht="28" customHeight="1">
      <x:c r="A1916" s="4" t="n">
        <x:v>1906</x:v>
      </x:c>
      <x:c r="B1916" s="4" t="str">
        <x:v>calle caminito buenos aires</x:v>
      </x:c>
      <x:c r="C1916" s="11" t="n">
        <x:v>1</x:v>
      </x:c>
      <x:c r="D1916" s="11" t="n">
        <x:v>15</x:v>
      </x:c>
      <x:c r="E1916" s="14" t="n">
        <x:v>0.06666666666666667</x:v>
      </x:c>
      <x:c r="F1916" s="12" t="n">
        <x:v>11.333333333333334</x:v>
      </x:c>
      <x:c r="G1916" s="4" t="str">
        <x:v>Sin marca literal</x:v>
      </x:c>
      <x:c r="H1916" s="11"/>
      <x:c r="I1916" s="11" t="str">
        <x:f>IF(H1916="","",C1916-H1916)</x:f>
      </x:c>
      <x:c r="J1916" s="4"/>
      <x:c r="K1916" s="4" t="str">
        <x:v>URLs de detalle page/query/country por clics. No asignan las impresiones de esta consulta a cada página.</x:v>
      </x:c>
    </x:row>
    <x:row r="1917" ht="28" customHeight="1">
      <x:c r="A1917" s="4" t="n">
        <x:v>1907</x:v>
      </x:c>
      <x:c r="B1917" s="4" t="str">
        <x:v>chile baile tipico</x:v>
      </x:c>
      <x:c r="C1917" s="11" t="n">
        <x:v>1</x:v>
      </x:c>
      <x:c r="D1917" s="11" t="n">
        <x:v>15</x:v>
      </x:c>
      <x:c r="E1917" s="14" t="n">
        <x:v>0.06666666666666667</x:v>
      </x:c>
      <x:c r="F1917" s="12" t="n">
        <x:v>8.2</x:v>
      </x:c>
      <x:c r="G1917" s="4" t="str">
        <x:v>Sin marca literal</x:v>
      </x:c>
      <x:c r="H1917" s="11"/>
      <x:c r="I1917" s="11" t="str">
        <x:f>IF(H1917="","",C1917-H1917)</x:f>
      </x:c>
      <x:c r="J1917" s="4"/>
      <x:c r="K1917" s="4" t="str">
        <x:v>URLs de detalle page/query/country por clics. No asignan las impresiones de esta consulta a cada página.</x:v>
      </x:c>
    </x:row>
    <x:row r="1918" ht="28" customHeight="1">
      <x:c r="A1918" s="4" t="n">
        <x:v>1908</x:v>
      </x:c>
      <x:c r="B1918" s="4" t="str">
        <x:v>comida tradicional de lima</x:v>
      </x:c>
      <x:c r="C1918" s="11" t="n">
        <x:v>1</x:v>
      </x:c>
      <x:c r="D1918" s="11" t="n">
        <x:v>15</x:v>
      </x:c>
      <x:c r="E1918" s="14" t="n">
        <x:v>0.06666666666666667</x:v>
      </x:c>
      <x:c r="F1918" s="12" t="n">
        <x:v>2.8666666666666667</x:v>
      </x:c>
      <x:c r="G1918" s="4" t="str">
        <x:v>Sin marca literal</x:v>
      </x:c>
      <x:c r="H1918" s="11"/>
      <x:c r="I1918" s="11" t="str">
        <x:f>IF(H1918="","",C1918-H1918)</x:f>
      </x:c>
      <x:c r="J1918" s="4"/>
      <x:c r="K1918" s="4" t="str">
        <x:v>URLs de detalle page/query/country por clics. No asignan las impresiones de esta consulta a cada página.</x:v>
      </x:c>
    </x:row>
    <x:row r="1919" ht="28" customHeight="1">
      <x:c r="A1919" s="4" t="n">
        <x:v>1909</x:v>
      </x:c>
      <x:c r="B1919" s="4" t="str">
        <x:v>como ir a pucon en avion</x:v>
      </x:c>
      <x:c r="C1919" s="11" t="n">
        <x:v>1</x:v>
      </x:c>
      <x:c r="D1919" s="11" t="n">
        <x:v>15</x:v>
      </x:c>
      <x:c r="E1919" s="14" t="n">
        <x:v>0.06666666666666667</x:v>
      </x:c>
      <x:c r="F1919" s="12" t="n">
        <x:v>9.933333333333334</x:v>
      </x:c>
      <x:c r="G1919" s="4" t="str">
        <x:v>Sin marca literal</x:v>
      </x:c>
      <x:c r="H1919" s="11"/>
      <x:c r="I1919" s="11" t="str">
        <x:f>IF(H1919="","",C1919-H1919)</x:f>
      </x:c>
      <x:c r="J1919" s="4"/>
      <x:c r="K1919" s="4" t="str">
        <x:v>URLs de detalle page/query/country por clics. No asignan las impresiones de esta consulta a cada página.</x:v>
      </x:c>
    </x:row>
    <x:row r="1920" ht="28" customHeight="1">
      <x:c r="A1920" s="4" t="n">
        <x:v>1910</x:v>
      </x:c>
      <x:c r="B1920" s="4" t="str">
        <x:v>compras en chile</x:v>
      </x:c>
      <x:c r="C1920" s="11" t="n">
        <x:v>1</x:v>
      </x:c>
      <x:c r="D1920" s="11" t="n">
        <x:v>15</x:v>
      </x:c>
      <x:c r="E1920" s="14" t="n">
        <x:v>0.06666666666666667</x:v>
      </x:c>
      <x:c r="F1920" s="12" t="n">
        <x:v>8.133333333333333</x:v>
      </x:c>
      <x:c r="G1920" s="4" t="str">
        <x:v>Sin marca literal</x:v>
      </x:c>
      <x:c r="H1920" s="11"/>
      <x:c r="I1920" s="11" t="str">
        <x:f>IF(H1920="","",C1920-H1920)</x:f>
      </x:c>
      <x:c r="J1920" s="4"/>
      <x:c r="K1920" s="4" t="str">
        <x:v>URLs de detalle page/query/country por clics. No asignan las impresiones de esta consulta a cada página.</x:v>
      </x:c>
    </x:row>
    <x:row r="1921" ht="28" customHeight="1">
      <x:c r="A1921" s="4" t="n">
        <x:v>1911</x:v>
      </x:c>
      <x:c r="B1921" s="4" t="str">
        <x:v>cuales son las medidas de mochila de cabina</x:v>
      </x:c>
      <x:c r="C1921" s="11" t="n">
        <x:v>1</x:v>
      </x:c>
      <x:c r="D1921" s="11" t="n">
        <x:v>15</x:v>
      </x:c>
      <x:c r="E1921" s="14" t="n">
        <x:v>0.06666666666666667</x:v>
      </x:c>
      <x:c r="F1921" s="12" t="n">
        <x:v>9.266666666666667</x:v>
      </x:c>
      <x:c r="G1921" s="4" t="str">
        <x:v>Sin marca literal</x:v>
      </x:c>
      <x:c r="H1921" s="11"/>
      <x:c r="I1921" s="11" t="str">
        <x:f>IF(H1921="","",C1921-H1921)</x:f>
      </x:c>
      <x:c r="J1921" s="4"/>
      <x:c r="K1921" s="4" t="str">
        <x:v>URLs de detalle page/query/country por clics. No asignan las impresiones de esta consulta a cada página.</x:v>
      </x:c>
    </x:row>
    <x:row r="1922" ht="28" customHeight="1">
      <x:c r="A1922" s="4" t="n">
        <x:v>1912</x:v>
      </x:c>
      <x:c r="B1922" s="4" t="str">
        <x:v>cuanto cuesta llevar una bicicleta en avión</x:v>
      </x:c>
      <x:c r="C1922" s="11" t="n">
        <x:v>1</x:v>
      </x:c>
      <x:c r="D1922" s="11" t="n">
        <x:v>15</x:v>
      </x:c>
      <x:c r="E1922" s="14" t="n">
        <x:v>0.06666666666666667</x:v>
      </x:c>
      <x:c r="F1922" s="12" t="n">
        <x:v>3.4</x:v>
      </x:c>
      <x:c r="G1922" s="4" t="str">
        <x:v>Sin marca literal</x:v>
      </x:c>
      <x:c r="H1922" s="11"/>
      <x:c r="I1922" s="11" t="str">
        <x:f>IF(H1922="","",C1922-H1922)</x:f>
      </x:c>
      <x:c r="J1922" s="4"/>
      <x:c r="K1922" s="4" t="str">
        <x:v>URLs de detalle page/query/country por clics. No asignan las impresiones de esta consulta a cada página.</x:v>
      </x:c>
    </x:row>
    <x:row r="1923" ht="28" customHeight="1">
      <x:c r="A1923" s="4" t="n">
        <x:v>1913</x:v>
      </x:c>
      <x:c r="B1923" s="4" t="str">
        <x:v>cuantos volcanes tiene chile</x:v>
      </x:c>
      <x:c r="C1923" s="11" t="n">
        <x:v>1</x:v>
      </x:c>
      <x:c r="D1923" s="11" t="n">
        <x:v>15</x:v>
      </x:c>
      <x:c r="E1923" s="14" t="n">
        <x:v>0.06666666666666667</x:v>
      </x:c>
      <x:c r="F1923" s="12" t="n">
        <x:v>26.533333333333335</x:v>
      </x:c>
      <x:c r="G1923" s="4" t="str">
        <x:v>Sin marca literal</x:v>
      </x:c>
      <x:c r="H1923" s="11"/>
      <x:c r="I1923" s="11" t="str">
        <x:f>IF(H1923="","",C1923-H1923)</x:f>
      </x:c>
      <x:c r="J1923" s="4"/>
      <x:c r="K1923" s="4" t="str">
        <x:v>URLs de detalle page/query/country por clics. No asignan las impresiones de esta consulta a cada página.</x:v>
      </x:c>
    </x:row>
    <x:row r="1924" ht="28" customHeight="1">
      <x:c r="A1924" s="4" t="n">
        <x:v>1914</x:v>
      </x:c>
      <x:c r="B1924" s="4" t="str">
        <x:v>curso para tripulante de cabina</x:v>
      </x:c>
      <x:c r="C1924" s="11" t="n">
        <x:v>1</x:v>
      </x:c>
      <x:c r="D1924" s="11" t="n">
        <x:v>15</x:v>
      </x:c>
      <x:c r="E1924" s="14" t="n">
        <x:v>0.06666666666666667</x:v>
      </x:c>
      <x:c r="F1924" s="12" t="n">
        <x:v>6.733333333333333</x:v>
      </x:c>
      <x:c r="G1924" s="4" t="str">
        <x:v>Sin marca literal</x:v>
      </x:c>
      <x:c r="H1924" s="11"/>
      <x:c r="I1924" s="11" t="str">
        <x:f>IF(H1924="","",C1924-H1924)</x:f>
      </x:c>
      <x:c r="J1924" s="4"/>
      <x:c r="K1924" s="4" t="str">
        <x:v>URLs de detalle page/query/country por clics. No asignan las impresiones de esta consulta a cada página.</x:v>
      </x:c>
    </x:row>
    <x:row r="1925" ht="28" customHeight="1">
      <x:c r="A1925" s="4" t="n">
        <x:v>1915</x:v>
      </x:c>
      <x:c r="B1925" s="4" t="str">
        <x:v>desde montevideo a punta del este</x:v>
      </x:c>
      <x:c r="C1925" s="11" t="n">
        <x:v>1</x:v>
      </x:c>
      <x:c r="D1925" s="11" t="n">
        <x:v>15</x:v>
      </x:c>
      <x:c r="E1925" s="14" t="n">
        <x:v>0.06666666666666667</x:v>
      </x:c>
      <x:c r="F1925" s="12" t="n">
        <x:v>5.666666666666667</x:v>
      </x:c>
      <x:c r="G1925" s="4" t="str">
        <x:v>Sin marca literal</x:v>
      </x:c>
      <x:c r="H1925" s="11"/>
      <x:c r="I1925" s="11" t="str">
        <x:f>IF(H1925="","",C1925-H1925)</x:f>
      </x:c>
      <x:c r="J1925" s="4"/>
      <x:c r="K1925" s="4" t="str">
        <x:v>URLs de detalle page/query/country por clics. No asignan las impresiones de esta consulta a cada página.</x:v>
      </x:c>
    </x:row>
    <x:row r="1926" ht="28" customHeight="1">
      <x:c r="A1926" s="4" t="n">
        <x:v>1916</x:v>
      </x:c>
      <x:c r="B1926" s="4" t="str">
        <x:v>distancia de santo domingo a punta cana en bus</x:v>
      </x:c>
      <x:c r="C1926" s="11" t="n">
        <x:v>1</x:v>
      </x:c>
      <x:c r="D1926" s="11" t="n">
        <x:v>15</x:v>
      </x:c>
      <x:c r="E1926" s="14" t="n">
        <x:v>0.06666666666666667</x:v>
      </x:c>
      <x:c r="F1926" s="12" t="n">
        <x:v>9.4</x:v>
      </x:c>
      <x:c r="G1926" s="4" t="str">
        <x:v>Sin marca literal</x:v>
      </x:c>
      <x:c r="H1926" s="11"/>
      <x:c r="I1926" s="11" t="str">
        <x:f>IF(H1926="","",C1926-H1926)</x:f>
      </x:c>
      <x:c r="J1926" s="4"/>
      <x:c r="K1926" s="4" t="str">
        <x:v>URLs de detalle page/query/country por clics. No asignan las impresiones de esta consulta a cada página.</x:v>
      </x:c>
    </x:row>
    <x:row r="1927" ht="28" customHeight="1">
      <x:c r="A1927" s="4" t="n">
        <x:v>1917</x:v>
      </x:c>
      <x:c r="B1927" s="4" t="str">
        <x:v>donde queda puntasal</x:v>
      </x:c>
      <x:c r="C1927" s="11" t="n">
        <x:v>1</x:v>
      </x:c>
      <x:c r="D1927" s="11" t="n">
        <x:v>15</x:v>
      </x:c>
      <x:c r="E1927" s="14" t="n">
        <x:v>0.06666666666666667</x:v>
      </x:c>
      <x:c r="F1927" s="12" t="n">
        <x:v>4.2</x:v>
      </x:c>
      <x:c r="G1927" s="4" t="str">
        <x:v>Sin marca literal</x:v>
      </x:c>
      <x:c r="H1927" s="11"/>
      <x:c r="I1927" s="11" t="str">
        <x:f>IF(H1927="","",C1927-H1927)</x:f>
      </x:c>
      <x:c r="J1927" s="4"/>
      <x:c r="K1927" s="4" t="str">
        <x:v>URLs de detalle page/query/country por clics. No asignan las impresiones de esta consulta a cada página.</x:v>
      </x:c>
    </x:row>
    <x:row r="1928" ht="28" customHeight="1">
      <x:c r="A1928" s="4" t="n">
        <x:v>1918</x:v>
      </x:c>
      <x:c r="B1928" s="4" t="str">
        <x:v>el folclore chileno</x:v>
      </x:c>
      <x:c r="C1928" s="11" t="n">
        <x:v>1</x:v>
      </x:c>
      <x:c r="D1928" s="11" t="n">
        <x:v>15</x:v>
      </x:c>
      <x:c r="E1928" s="14" t="n">
        <x:v>0.06666666666666667</x:v>
      </x:c>
      <x:c r="F1928" s="12" t="n">
        <x:v>7.466666666666667</x:v>
      </x:c>
      <x:c r="G1928" s="4" t="str">
        <x:v>Sin marca literal</x:v>
      </x:c>
      <x:c r="H1928" s="11"/>
      <x:c r="I1928" s="11" t="str">
        <x:f>IF(H1928="","",C1928-H1928)</x:f>
      </x:c>
      <x:c r="J1928" s="4"/>
      <x:c r="K1928" s="4" t="str">
        <x:v>URLs de detalle page/query/country por clics. No asignan las impresiones de esta consulta a cada página.</x:v>
      </x:c>
    </x:row>
    <x:row r="1929" ht="28" customHeight="1">
      <x:c r="A1929" s="4" t="n">
        <x:v>1919</x:v>
      </x:c>
      <x:c r="B1929" s="4" t="str">
        <x:v>enchufe que se usa en argentina</x:v>
      </x:c>
      <x:c r="C1929" s="11" t="n">
        <x:v>1</x:v>
      </x:c>
      <x:c r="D1929" s="11" t="n">
        <x:v>15</x:v>
      </x:c>
      <x:c r="E1929" s="14" t="n">
        <x:v>0.06666666666666667</x:v>
      </x:c>
      <x:c r="F1929" s="12" t="n">
        <x:v>6.933333333333334</x:v>
      </x:c>
      <x:c r="G1929" s="4" t="str">
        <x:v>Sin marca literal</x:v>
      </x:c>
      <x:c r="H1929" s="11"/>
      <x:c r="I1929" s="11" t="str">
        <x:f>IF(H1929="","",C1929-H1929)</x:f>
      </x:c>
      <x:c r="J1929" s="4"/>
      <x:c r="K1929" s="4" t="str">
        <x:v>URLs de detalle page/query/country por clics. No asignan las impresiones de esta consulta a cada página.</x:v>
      </x:c>
    </x:row>
    <x:row r="1930" ht="28" customHeight="1">
      <x:c r="A1930" s="4" t="n">
        <x:v>1920</x:v>
      </x:c>
      <x:c r="B1930" s="4" t="str">
        <x:v>enchufe rio de janeiro</x:v>
      </x:c>
      <x:c r="C1930" s="11" t="n">
        <x:v>1</x:v>
      </x:c>
      <x:c r="D1930" s="11" t="n">
        <x:v>15</x:v>
      </x:c>
      <x:c r="E1930" s="14" t="n">
        <x:v>0.06666666666666667</x:v>
      </x:c>
      <x:c r="F1930" s="12" t="n">
        <x:v>6.8</x:v>
      </x:c>
      <x:c r="G1930" s="4" t="str">
        <x:v>Sin marca literal</x:v>
      </x:c>
      <x:c r="H1930" s="11"/>
      <x:c r="I1930" s="11" t="str">
        <x:f>IF(H1930="","",C1930-H1930)</x:f>
      </x:c>
      <x:c r="J1930" s="4"/>
      <x:c r="K1930" s="4" t="str">
        <x:v>URLs de detalle page/query/country por clics. No asignan las impresiones de esta consulta a cada página.</x:v>
      </x:c>
    </x:row>
    <x:row r="1931" ht="28" customHeight="1">
      <x:c r="A1931" s="4" t="n">
        <x:v>1921</x:v>
      </x:c>
      <x:c r="B1931" s="4" t="str">
        <x:v>es obligatoria la vacuna de la fiebre amarilla para ir a brasil</x:v>
      </x:c>
      <x:c r="C1931" s="11" t="n">
        <x:v>1</x:v>
      </x:c>
      <x:c r="D1931" s="11" t="n">
        <x:v>15</x:v>
      </x:c>
      <x:c r="E1931" s="14" t="n">
        <x:v>0.06666666666666667</x:v>
      </x:c>
      <x:c r="F1931" s="12" t="n">
        <x:v>6.866666666666666</x:v>
      </x:c>
      <x:c r="G1931" s="4" t="str">
        <x:v>Sin marca literal</x:v>
      </x:c>
      <x:c r="H1931" s="11"/>
      <x:c r="I1931" s="11" t="str">
        <x:f>IF(H1931="","",C1931-H1931)</x:f>
      </x:c>
      <x:c r="J1931" s="4"/>
      <x:c r="K1931" s="4" t="str">
        <x:v>URLs de detalle page/query/country por clics. No asignan las impresiones de esta consulta a cada página.</x:v>
      </x:c>
    </x:row>
    <x:row r="1932" ht="28" customHeight="1">
      <x:c r="A1932" s="4" t="n">
        <x:v>1922</x:v>
      </x:c>
      <x:c r="B1932" s="4" t="str">
        <x:v>genomawork sky airline</x:v>
      </x:c>
      <x:c r="C1932" s="11" t="n">
        <x:v>1</x:v>
      </x:c>
      <x:c r="D1932" s="11" t="n">
        <x:v>15</x:v>
      </x:c>
      <x:c r="E1932" s="14" t="n">
        <x:v>0.06666666666666667</x:v>
      </x:c>
      <x:c r="F1932" s="12" t="n">
        <x:v>7.933333333333334</x:v>
      </x:c>
      <x:c r="G1932" s="4" t="str">
        <x:v>Sin marca literal</x:v>
      </x:c>
      <x:c r="H1932" s="11"/>
      <x:c r="I1932" s="11" t="str">
        <x:f>IF(H1932="","",C1932-H1932)</x:f>
      </x:c>
      <x:c r="J1932" s="4"/>
      <x:c r="K1932" s="4" t="str">
        <x:v>URLs de detalle page/query/country por clics. No asignan las impresiones de esta consulta a cada página.</x:v>
      </x:c>
    </x:row>
    <x:row r="1933" ht="28" customHeight="1">
      <x:c r="A1933" s="4" t="n">
        <x:v>1923</x:v>
      </x:c>
      <x:c r="B1933" s="4" t="str">
        <x:v>lima cusco</x:v>
      </x:c>
      <x:c r="C1933" s="11" t="n">
        <x:v>1</x:v>
      </x:c>
      <x:c r="D1933" s="11" t="n">
        <x:v>15</x:v>
      </x:c>
      <x:c r="E1933" s="14" t="n">
        <x:v>0.06666666666666667</x:v>
      </x:c>
      <x:c r="F1933" s="12" t="n">
        <x:v>59.6</x:v>
      </x:c>
      <x:c r="G1933" s="4" t="str">
        <x:v>Sin marca literal</x:v>
      </x:c>
      <x:c r="H1933" s="11"/>
      <x:c r="I1933" s="11" t="str">
        <x:f>IF(H1933="","",C1933-H1933)</x:f>
      </x:c>
      <x:c r="J1933" s="4"/>
      <x:c r="K1933" s="4" t="str">
        <x:v>URLs de detalle page/query/country por clics. No asignan las impresiones de esta consulta a cada página.</x:v>
      </x:c>
    </x:row>
    <x:row r="1934" ht="28" customHeight="1">
      <x:c r="A1934" s="4" t="n">
        <x:v>1924</x:v>
      </x:c>
      <x:c r="B1934" s="4" t="str">
        <x:v>liquidos en vuelos nacionales</x:v>
      </x:c>
      <x:c r="C1934" s="11" t="n">
        <x:v>1</x:v>
      </x:c>
      <x:c r="D1934" s="11" t="n">
        <x:v>15</x:v>
      </x:c>
      <x:c r="E1934" s="14" t="n">
        <x:v>0.06666666666666667</x:v>
      </x:c>
      <x:c r="F1934" s="12" t="n">
        <x:v>4.666666666666666</x:v>
      </x:c>
      <x:c r="G1934" s="4" t="str">
        <x:v>Sin marca literal</x:v>
      </x:c>
      <x:c r="H1934" s="11"/>
      <x:c r="I1934" s="11" t="str">
        <x:f>IF(H1934="","",C1934-H1934)</x:f>
      </x:c>
      <x:c r="J1934" s="4"/>
      <x:c r="K1934" s="4" t="str">
        <x:v>URLs de detalle page/query/country por clics. No asignan las impresiones de esta consulta a cada página.</x:v>
      </x:c>
    </x:row>
    <x:row r="1935" ht="28" customHeight="1">
      <x:c r="A1935" s="4" t="n">
        <x:v>1925</x:v>
      </x:c>
      <x:c r="B1935" s="4" t="str">
        <x:v>lugar de chile donde hay nieve</x:v>
      </x:c>
      <x:c r="C1935" s="11" t="n">
        <x:v>1</x:v>
      </x:c>
      <x:c r="D1935" s="11" t="n">
        <x:v>15</x:v>
      </x:c>
      <x:c r="E1935" s="14" t="n">
        <x:v>0.06666666666666667</x:v>
      </x:c>
      <x:c r="F1935" s="12" t="n">
        <x:v>5.866666666666666</x:v>
      </x:c>
      <x:c r="G1935" s="4" t="str">
        <x:v>Sin marca literal</x:v>
      </x:c>
      <x:c r="H1935" s="11"/>
      <x:c r="I1935" s="11" t="str">
        <x:f>IF(H1935="","",C1935-H1935)</x:f>
      </x:c>
      <x:c r="J1935" s="4"/>
      <x:c r="K1935" s="4" t="str">
        <x:v>URLs de detalle page/query/country por clics. No asignan las impresiones de esta consulta a cada página.</x:v>
      </x:c>
    </x:row>
    <x:row r="1936" ht="28" customHeight="1">
      <x:c r="A1936" s="4" t="n">
        <x:v>1926</x:v>
      </x:c>
      <x:c r="B1936" s="4" t="str">
        <x:v>lugares cerca de rio</x:v>
      </x:c>
      <x:c r="C1936" s="11" t="n">
        <x:v>1</x:v>
      </x:c>
      <x:c r="D1936" s="11" t="n">
        <x:v>15</x:v>
      </x:c>
      <x:c r="E1936" s="14" t="n">
        <x:v>0.06666666666666667</x:v>
      </x:c>
      <x:c r="F1936" s="12" t="n">
        <x:v>4.466666666666667</x:v>
      </x:c>
      <x:c r="G1936" s="4" t="str">
        <x:v>Sin marca literal</x:v>
      </x:c>
      <x:c r="H1936" s="11"/>
      <x:c r="I1936" s="11" t="str">
        <x:f>IF(H1936="","",C1936-H1936)</x:f>
      </x:c>
      <x:c r="J1936" s="4"/>
      <x:c r="K1936" s="4" t="str">
        <x:v>URLs de detalle page/query/country por clics. No asignan las impresiones de esta consulta a cada página.</x:v>
      </x:c>
    </x:row>
    <x:row r="1937" ht="28" customHeight="1">
      <x:c r="A1937" s="4" t="n">
        <x:v>1927</x:v>
      </x:c>
      <x:c r="B1937" s="4" t="str">
        <x:v>minas gerais brasil</x:v>
      </x:c>
      <x:c r="C1937" s="11" t="n">
        <x:v>1</x:v>
      </x:c>
      <x:c r="D1937" s="11" t="n">
        <x:v>15</x:v>
      </x:c>
      <x:c r="E1937" s="14" t="n">
        <x:v>0.06666666666666667</x:v>
      </x:c>
      <x:c r="F1937" s="12" t="n">
        <x:v>21.133333333333333</x:v>
      </x:c>
      <x:c r="G1937" s="4" t="str">
        <x:v>Sin marca literal</x:v>
      </x:c>
      <x:c r="H1937" s="11"/>
      <x:c r="I1937" s="11" t="str">
        <x:f>IF(H1937="","",C1937-H1937)</x:f>
      </x:c>
      <x:c r="J1937" s="4"/>
      <x:c r="K1937" s="4" t="str">
        <x:v>URLs de detalle page/query/country por clics. No asignan las impresiones de esta consulta a cada página.</x:v>
      </x:c>
    </x:row>
    <x:row r="1938" ht="28" customHeight="1">
      <x:c r="A1938" s="4" t="n">
        <x:v>1928</x:v>
      </x:c>
      <x:c r="B1938" s="4" t="str">
        <x:v>perfume de cuantos ml puedo llevar en el avion</x:v>
      </x:c>
      <x:c r="C1938" s="11" t="n">
        <x:v>1</x:v>
      </x:c>
      <x:c r="D1938" s="11" t="n">
        <x:v>15</x:v>
      </x:c>
      <x:c r="E1938" s="14" t="n">
        <x:v>0.06666666666666667</x:v>
      </x:c>
      <x:c r="F1938" s="12" t="n">
        <x:v>6</x:v>
      </x:c>
      <x:c r="G1938" s="4" t="str">
        <x:v>Sin marca literal</x:v>
      </x:c>
      <x:c r="H1938" s="11"/>
      <x:c r="I1938" s="11" t="str">
        <x:f>IF(H1938="","",C1938-H1938)</x:f>
      </x:c>
      <x:c r="J1938" s="4"/>
      <x:c r="K1938" s="4" t="str">
        <x:v>URLs de detalle page/query/country por clics. No asignan las impresiones de esta consulta a cada página.</x:v>
      </x:c>
    </x:row>
    <x:row r="1939" ht="28" customHeight="1">
      <x:c r="A1939" s="4" t="n">
        <x:v>1929</x:v>
      </x:c>
      <x:c r="B1939" s="4" t="str">
        <x:v>postular tripulante de cabina</x:v>
      </x:c>
      <x:c r="C1939" s="11" t="n">
        <x:v>1</x:v>
      </x:c>
      <x:c r="D1939" s="11" t="n">
        <x:v>15</x:v>
      </x:c>
      <x:c r="E1939" s="14" t="n">
        <x:v>0.06666666666666667</x:v>
      </x:c>
      <x:c r="F1939" s="12" t="n">
        <x:v>6.4</x:v>
      </x:c>
      <x:c r="G1939" s="4" t="str">
        <x:v>Sin marca literal</x:v>
      </x:c>
      <x:c r="H1939" s="11"/>
      <x:c r="I1939" s="11" t="str">
        <x:f>IF(H1939="","",C1939-H1939)</x:f>
      </x:c>
      <x:c r="J1939" s="4"/>
      <x:c r="K1939" s="4" t="str">
        <x:v>URLs de detalle page/query/country por clics. No asignan las impresiones de esta consulta a cada página.</x:v>
      </x:c>
    </x:row>
    <x:row r="1940" ht="28" customHeight="1">
      <x:c r="A1940" s="4" t="n">
        <x:v>1930</x:v>
      </x:c>
      <x:c r="B1940" s="4" t="str">
        <x:v>pueblos sur de chile</x:v>
      </x:c>
      <x:c r="C1940" s="11" t="n">
        <x:v>1</x:v>
      </x:c>
      <x:c r="D1940" s="11" t="n">
        <x:v>15</x:v>
      </x:c>
      <x:c r="E1940" s="14" t="n">
        <x:v>0.06666666666666667</x:v>
      </x:c>
      <x:c r="F1940" s="12" t="n">
        <x:v>7.266666666666667</x:v>
      </x:c>
      <x:c r="G1940" s="4" t="str">
        <x:v>Sin marca literal</x:v>
      </x:c>
      <x:c r="H1940" s="11"/>
      <x:c r="I1940" s="11" t="str">
        <x:f>IF(H1940="","",C1940-H1940)</x:f>
      </x:c>
      <x:c r="J1940" s="4"/>
      <x:c r="K1940" s="4" t="str">
        <x:v>URLs de detalle page/query/country por clics. No asignan las impresiones de esta consulta a cada página.</x:v>
      </x:c>
    </x:row>
    <x:row r="1941" ht="28" customHeight="1">
      <x:c r="A1941" s="4" t="n">
        <x:v>1931</x:v>
      </x:c>
      <x:c r="B1941" s="4" t="str">
        <x:v>que es zofri iquique</x:v>
      </x:c>
      <x:c r="C1941" s="11" t="n">
        <x:v>1</x:v>
      </x:c>
      <x:c r="D1941" s="11" t="n">
        <x:v>15</x:v>
      </x:c>
      <x:c r="E1941" s="14" t="n">
        <x:v>0.06666666666666667</x:v>
      </x:c>
      <x:c r="F1941" s="12" t="n">
        <x:v>6.933333333333334</x:v>
      </x:c>
      <x:c r="G1941" s="4" t="str">
        <x:v>Sin marca literal</x:v>
      </x:c>
      <x:c r="H1941" s="11"/>
      <x:c r="I1941" s="11" t="str">
        <x:f>IF(H1941="","",C1941-H1941)</x:f>
      </x:c>
      <x:c r="J1941" s="4"/>
      <x:c r="K1941" s="4" t="str">
        <x:v>URLs de detalle page/query/country por clics. No asignan las impresiones de esta consulta a cada página.</x:v>
      </x:c>
    </x:row>
    <x:row r="1942" ht="28" customHeight="1">
      <x:c r="A1942" s="4" t="n">
        <x:v>1932</x:v>
      </x:c>
      <x:c r="B1942" s="4" t="str">
        <x:v>que hay que hacer para ser azafata</x:v>
      </x:c>
      <x:c r="C1942" s="11" t="n">
        <x:v>1</x:v>
      </x:c>
      <x:c r="D1942" s="11" t="n">
        <x:v>15</x:v>
      </x:c>
      <x:c r="E1942" s="14" t="n">
        <x:v>0.06666666666666667</x:v>
      </x:c>
      <x:c r="F1942" s="12" t="n">
        <x:v>7.2</x:v>
      </x:c>
      <x:c r="G1942" s="4" t="str">
        <x:v>Sin marca literal</x:v>
      </x:c>
      <x:c r="H1942" s="11"/>
      <x:c r="I1942" s="11" t="str">
        <x:f>IF(H1942="","",C1942-H1942)</x:f>
      </x:c>
      <x:c r="J1942" s="4"/>
      <x:c r="K1942" s="4" t="str">
        <x:v>URLs de detalle page/query/country por clics. No asignan las impresiones de esta consulta a cada página.</x:v>
      </x:c>
    </x:row>
    <x:row r="1943" ht="28" customHeight="1">
      <x:c r="A1943" s="4" t="n">
        <x:v>1933</x:v>
      </x:c>
      <x:c r="B1943" s="4" t="str">
        <x:v>que puedo llevar en la maleta de bodega</x:v>
      </x:c>
      <x:c r="C1943" s="11" t="n">
        <x:v>1</x:v>
      </x:c>
      <x:c r="D1943" s="11" t="n">
        <x:v>15</x:v>
      </x:c>
      <x:c r="E1943" s="14" t="n">
        <x:v>0.06666666666666667</x:v>
      </x:c>
      <x:c r="F1943" s="12" t="n">
        <x:v>6.133333333333334</x:v>
      </x:c>
      <x:c r="G1943" s="4" t="str">
        <x:v>Sin marca literal</x:v>
      </x:c>
      <x:c r="H1943" s="11"/>
      <x:c r="I1943" s="11" t="str">
        <x:f>IF(H1943="","",C1943-H1943)</x:f>
      </x:c>
      <x:c r="J1943" s="4"/>
      <x:c r="K1943" s="4" t="str">
        <x:v>URLs de detalle page/query/country por clics. No asignan las impresiones de esta consulta a cada página.</x:v>
      </x:c>
    </x:row>
    <x:row r="1944" ht="28" customHeight="1">
      <x:c r="A1944" s="4" t="n">
        <x:v>1934</x:v>
      </x:c>
      <x:c r="B1944" s="4" t="str">
        <x:v>requisitos para ir a mexico desde chile</x:v>
      </x:c>
      <x:c r="C1944" s="11" t="n">
        <x:v>1</x:v>
      </x:c>
      <x:c r="D1944" s="11" t="n">
        <x:v>15</x:v>
      </x:c>
      <x:c r="E1944" s="14" t="n">
        <x:v>0.06666666666666667</x:v>
      </x:c>
      <x:c r="F1944" s="12" t="n">
        <x:v>6.133333333333334</x:v>
      </x:c>
      <x:c r="G1944" s="4" t="str">
        <x:v>Sin marca literal</x:v>
      </x:c>
      <x:c r="H1944" s="11"/>
      <x:c r="I1944" s="11" t="str">
        <x:f>IF(H1944="","",C1944-H1944)</x:f>
      </x:c>
      <x:c r="J1944" s="4"/>
      <x:c r="K1944" s="4" t="str">
        <x:v>URLs de detalle page/query/country por clics. No asignan las impresiones de esta consulta a cada página.</x:v>
      </x:c>
    </x:row>
    <x:row r="1945" ht="28" customHeight="1">
      <x:c r="A1945" s="4" t="n">
        <x:v>1935</x:v>
      </x:c>
      <x:c r="B1945" s="4" t="str">
        <x:v>requisitos viajar a brasil</x:v>
      </x:c>
      <x:c r="C1945" s="11" t="n">
        <x:v>1</x:v>
      </x:c>
      <x:c r="D1945" s="11" t="n">
        <x:v>15</x:v>
      </x:c>
      <x:c r="E1945" s="14" t="n">
        <x:v>0.06666666666666667</x:v>
      </x:c>
      <x:c r="F1945" s="12" t="n">
        <x:v>9.933333333333334</x:v>
      </x:c>
      <x:c r="G1945" s="4" t="str">
        <x:v>Sin marca literal</x:v>
      </x:c>
      <x:c r="H1945" s="11"/>
      <x:c r="I1945" s="11" t="str">
        <x:f>IF(H1945="","",C1945-H1945)</x:f>
      </x:c>
      <x:c r="J1945" s="4"/>
      <x:c r="K1945" s="4" t="str">
        <x:v>URLs de detalle page/query/country por clics. No asignan las impresiones de esta consulta a cada página.</x:v>
      </x:c>
    </x:row>
    <x:row r="1946" ht="28" customHeight="1">
      <x:c r="A1946" s="4" t="n">
        <x:v>1936</x:v>
      </x:c>
      <x:c r="B1946" s="4" t="str">
        <x:v>se puede cancelar un viaje en avion</x:v>
      </x:c>
      <x:c r="C1946" s="11" t="n">
        <x:v>1</x:v>
      </x:c>
      <x:c r="D1946" s="11" t="n">
        <x:v>15</x:v>
      </x:c>
      <x:c r="E1946" s="14" t="n">
        <x:v>0.06666666666666667</x:v>
      </x:c>
      <x:c r="F1946" s="12" t="n">
        <x:v>9.133333333333333</x:v>
      </x:c>
      <x:c r="G1946" s="4" t="str">
        <x:v>Sin marca literal</x:v>
      </x:c>
      <x:c r="H1946" s="11"/>
      <x:c r="I1946" s="11" t="str">
        <x:f>IF(H1946="","",C1946-H1946)</x:f>
      </x:c>
      <x:c r="J1946" s="4"/>
      <x:c r="K1946" s="4" t="str">
        <x:v>URLs de detalle page/query/country por clics. No asignan las impresiones de esta consulta a cada página.</x:v>
      </x:c>
    </x:row>
    <x:row r="1947" ht="28" customHeight="1">
      <x:c r="A1947" s="4" t="n">
        <x:v>1937</x:v>
      </x:c>
      <x:c r="B1947" s="4" t="str">
        <x:v>se puede llevar shampoo en el equipaje de mano</x:v>
      </x:c>
      <x:c r="C1947" s="11" t="n">
        <x:v>1</x:v>
      </x:c>
      <x:c r="D1947" s="11" t="n">
        <x:v>15</x:v>
      </x:c>
      <x:c r="E1947" s="14" t="n">
        <x:v>0.06666666666666667</x:v>
      </x:c>
      <x:c r="F1947" s="12" t="n">
        <x:v>4.133333333333333</x:v>
      </x:c>
      <x:c r="G1947" s="4" t="str">
        <x:v>Sin marca literal</x:v>
      </x:c>
      <x:c r="H1947" s="11"/>
      <x:c r="I1947" s="11" t="str">
        <x:f>IF(H1947="","",C1947-H1947)</x:f>
      </x:c>
      <x:c r="J1947" s="4"/>
      <x:c r="K1947" s="4" t="str">
        <x:v>URLs de detalle page/query/country por clics. No asignan las impresiones de esta consulta a cada página.</x:v>
      </x:c>
    </x:row>
    <x:row r="1948" ht="28" customHeight="1">
      <x:c r="A1948" s="4" t="n">
        <x:v>1938</x:v>
      </x:c>
      <x:c r="B1948" s="4" t="str">
        <x:v>se puede llevar vino en el avión</x:v>
      </x:c>
      <x:c r="C1948" s="11" t="n">
        <x:v>1</x:v>
      </x:c>
      <x:c r="D1948" s="11" t="n">
        <x:v>15</x:v>
      </x:c>
      <x:c r="E1948" s="14" t="n">
        <x:v>0.06666666666666667</x:v>
      </x:c>
      <x:c r="F1948" s="12" t="n">
        <x:v>9.466666666666667</x:v>
      </x:c>
      <x:c r="G1948" s="4" t="str">
        <x:v>Sin marca literal</x:v>
      </x:c>
      <x:c r="H1948" s="11"/>
      <x:c r="I1948" s="11" t="str">
        <x:f>IF(H1948="","",C1948-H1948)</x:f>
      </x:c>
      <x:c r="J1948" s="4"/>
      <x:c r="K1948" s="4" t="str">
        <x:v>URLs de detalle page/query/country por clics. No asignan las impresiones de esta consulta a cada página.</x:v>
      </x:c>
    </x:row>
    <x:row r="1949" ht="28" customHeight="1">
      <x:c r="A1949" s="4" t="n">
        <x:v>1939</x:v>
      </x:c>
      <x:c r="B1949" s="4" t="str">
        <x:v>se pueden llevar pastillas en el avion</x:v>
      </x:c>
      <x:c r="C1949" s="11" t="n">
        <x:v>1</x:v>
      </x:c>
      <x:c r="D1949" s="11" t="n">
        <x:v>15</x:v>
      </x:c>
      <x:c r="E1949" s="14" t="n">
        <x:v>0.06666666666666667</x:v>
      </x:c>
      <x:c r="F1949" s="12" t="n">
        <x:v>9.4</x:v>
      </x:c>
      <x:c r="G1949" s="4" t="str">
        <x:v>Sin marca literal</x:v>
      </x:c>
      <x:c r="H1949" s="11"/>
      <x:c r="I1949" s="11" t="str">
        <x:f>IF(H1949="","",C1949-H1949)</x:f>
      </x:c>
      <x:c r="J1949" s="4"/>
      <x:c r="K1949" s="4" t="str">
        <x:v>URLs de detalle page/query/country por clics. No asignan las impresiones de esta consulta a cada página.</x:v>
      </x:c>
    </x:row>
    <x:row r="1950" ht="28" customHeight="1">
      <x:c r="A1950" s="4" t="n">
        <x:v>1940</x:v>
      </x:c>
      <x:c r="B1950" s="4" t="str">
        <x:v>sky a320</x:v>
      </x:c>
      <x:c r="C1950" s="11" t="n">
        <x:v>1</x:v>
      </x:c>
      <x:c r="D1950" s="11" t="n">
        <x:v>15</x:v>
      </x:c>
      <x:c r="E1950" s="14" t="n">
        <x:v>0.06666666666666667</x:v>
      </x:c>
      <x:c r="F1950" s="12" t="n">
        <x:v>3.066666666666667</x:v>
      </x:c>
      <x:c r="G1950" s="4" t="str">
        <x:v>Sin marca literal</x:v>
      </x:c>
      <x:c r="H1950" s="11"/>
      <x:c r="I1950" s="11" t="str">
        <x:f>IF(H1950="","",C1950-H1950)</x:f>
      </x:c>
      <x:c r="J1950" s="4"/>
      <x:c r="K1950" s="4" t="str">
        <x:v>URLs de detalle page/query/country por clics. No asignan las impresiones de esta consulta a cada página.</x:v>
      </x:c>
    </x:row>
    <x:row r="1951" ht="28" customHeight="1">
      <x:c r="A1951" s="4" t="n">
        <x:v>1941</x:v>
      </x:c>
      <x:c r="B1951" s="4" t="str">
        <x:v>sky numero de pasajero frecuente</x:v>
      </x:c>
      <x:c r="C1951" s="11" t="n">
        <x:v>1</x:v>
      </x:c>
      <x:c r="D1951" s="11" t="n">
        <x:v>15</x:v>
      </x:c>
      <x:c r="E1951" s="14" t="n">
        <x:v>0.06666666666666667</x:v>
      </x:c>
      <x:c r="F1951" s="12" t="n">
        <x:v>3.2666666666666666</x:v>
      </x:c>
      <x:c r="G1951" s="4" t="str">
        <x:v>Sin marca literal</x:v>
      </x:c>
      <x:c r="H1951" s="11"/>
      <x:c r="I1951" s="11" t="str">
        <x:f>IF(H1951="","",C1951-H1951)</x:f>
      </x:c>
      <x:c r="J1951" s="4"/>
      <x:c r="K1951" s="4" t="str">
        <x:v>URLs de detalle page/query/country por clics. No asignan las impresiones de esta consulta a cada página.</x:v>
      </x:c>
    </x:row>
    <x:row r="1952" ht="28" customHeight="1">
      <x:c r="A1952" s="4" t="n">
        <x:v>1942</x:v>
      </x:c>
      <x:c r="B1952" s="4" t="str">
        <x:v>temuco a aeropuerto</x:v>
      </x:c>
      <x:c r="C1952" s="11" t="n">
        <x:v>1</x:v>
      </x:c>
      <x:c r="D1952" s="11" t="n">
        <x:v>15</x:v>
      </x:c>
      <x:c r="E1952" s="14" t="n">
        <x:v>0.06666666666666667</x:v>
      </x:c>
      <x:c r="F1952" s="12" t="n">
        <x:v>5.533333333333333</x:v>
      </x:c>
      <x:c r="G1952" s="4" t="str">
        <x:v>Sin marca literal</x:v>
      </x:c>
      <x:c r="H1952" s="11"/>
      <x:c r="I1952" s="11" t="str">
        <x:f>IF(H1952="","",C1952-H1952)</x:f>
      </x:c>
      <x:c r="J1952" s="4"/>
      <x:c r="K1952" s="4" t="str">
        <x:v>URLs de detalle page/query/country por clics. No asignan las impresiones de esta consulta a cada página.</x:v>
      </x:c>
    </x:row>
    <x:row r="1953" ht="28" customHeight="1">
      <x:c r="A1953" s="4" t="n">
        <x:v>1943</x:v>
      </x:c>
      <x:c r="B1953" s="4" t="str">
        <x:v>trabajar como tripulante de cabina</x:v>
      </x:c>
      <x:c r="C1953" s="11" t="n">
        <x:v>1</x:v>
      </x:c>
      <x:c r="D1953" s="11" t="n">
        <x:v>15</x:v>
      </x:c>
      <x:c r="E1953" s="14" t="n">
        <x:v>0.06666666666666667</x:v>
      </x:c>
      <x:c r="F1953" s="12" t="n">
        <x:v>12.533333333333333</x:v>
      </x:c>
      <x:c r="G1953" s="4" t="str">
        <x:v>Sin marca literal</x:v>
      </x:c>
      <x:c r="H1953" s="11"/>
      <x:c r="I1953" s="11" t="str">
        <x:f>IF(H1953="","",C1953-H1953)</x:f>
      </x:c>
      <x:c r="J1953" s="4"/>
      <x:c r="K1953" s="4" t="str">
        <x:v>URLs de detalle page/query/country por clics. No asignan las impresiones de esta consulta a cada página.</x:v>
      </x:c>
    </x:row>
    <x:row r="1954" ht="28" customHeight="1">
      <x:c r="A1954" s="4" t="n">
        <x:v>1944</x:v>
      </x:c>
      <x:c r="B1954" s="4" t="str">
        <x:v>trabajo en sky airlines</x:v>
      </x:c>
      <x:c r="C1954" s="11" t="n">
        <x:v>1</x:v>
      </x:c>
      <x:c r="D1954" s="11" t="n">
        <x:v>15</x:v>
      </x:c>
      <x:c r="E1954" s="14" t="n">
        <x:v>0.06666666666666667</x:v>
      </x:c>
      <x:c r="F1954" s="12" t="n">
        <x:v>6.733333333333333</x:v>
      </x:c>
      <x:c r="G1954" s="4" t="str">
        <x:v>Sin marca literal</x:v>
      </x:c>
      <x:c r="H1954" s="11"/>
      <x:c r="I1954" s="11" t="str">
        <x:f>IF(H1954="","",C1954-H1954)</x:f>
      </x:c>
      <x:c r="J1954" s="4"/>
      <x:c r="K1954" s="4" t="str">
        <x:v>URLs de detalle page/query/country por clics. No asignan las impresiones de esta consulta a cada página.</x:v>
      </x:c>
    </x:row>
    <x:row r="1955" ht="28" customHeight="1">
      <x:c r="A1955" s="4" t="n">
        <x:v>1945</x:v>
      </x:c>
      <x:c r="B1955" s="4" t="str">
        <x:v>vuelos nacionales cuanto tiempo antes en el aeropuerto</x:v>
      </x:c>
      <x:c r="C1955" s="11" t="n">
        <x:v>1</x:v>
      </x:c>
      <x:c r="D1955" s="11" t="n">
        <x:v>15</x:v>
      </x:c>
      <x:c r="E1955" s="14" t="n">
        <x:v>0.06666666666666667</x:v>
      </x:c>
      <x:c r="F1955" s="12" t="n">
        <x:v>8.6</x:v>
      </x:c>
      <x:c r="G1955" s="4" t="str">
        <x:v>Sin marca literal</x:v>
      </x:c>
      <x:c r="H1955" s="11"/>
      <x:c r="I1955" s="11" t="str">
        <x:f>IF(H1955="","",C1955-H1955)</x:f>
      </x:c>
      <x:c r="J1955" s="4"/>
      <x:c r="K1955" s="4" t="str">
        <x:v>URLs de detalle page/query/country por clics. No asignan las impresiones de esta consulta a cada página.</x:v>
      </x:c>
    </x:row>
    <x:row r="1956" ht="28" customHeight="1">
      <x:c r="A1956" s="4" t="n">
        <x:v>1946</x:v>
      </x:c>
      <x:c r="B1956" s="4" t="str">
        <x:v>a partir de que edad puede viajar un bebe en avion</x:v>
      </x:c>
      <x:c r="C1956" s="11" t="n">
        <x:v>1</x:v>
      </x:c>
      <x:c r="D1956" s="11" t="n">
        <x:v>14</x:v>
      </x:c>
      <x:c r="E1956" s="14" t="n">
        <x:v>0.07142857142857142</x:v>
      </x:c>
      <x:c r="F1956" s="12" t="n">
        <x:v>5.428571428571429</x:v>
      </x:c>
      <x:c r="G1956" s="4" t="str">
        <x:v>Sin marca literal</x:v>
      </x:c>
      <x:c r="H1956" s="11"/>
      <x:c r="I1956" s="11" t="str">
        <x:f>IF(H1956="","",C1956-H1956)</x:f>
      </x:c>
      <x:c r="J1956" s="4"/>
      <x:c r="K1956" s="4" t="str">
        <x:v>URLs de detalle page/query/country por clics. No asignan las impresiones de esta consulta a cada página.</x:v>
      </x:c>
    </x:row>
    <x:row r="1957" ht="28" customHeight="1">
      <x:c r="A1957" s="4" t="n">
        <x:v>1947</x:v>
      </x:c>
      <x:c r="B1957" s="4" t="str">
        <x:v>aeropuertos de perú</x:v>
      </x:c>
      <x:c r="C1957" s="11" t="n">
        <x:v>1</x:v>
      </x:c>
      <x:c r="D1957" s="11" t="n">
        <x:v>14</x:v>
      </x:c>
      <x:c r="E1957" s="14" t="n">
        <x:v>0.07142857142857142</x:v>
      </x:c>
      <x:c r="F1957" s="12" t="n">
        <x:v>10.214285714285714</x:v>
      </x:c>
      <x:c r="G1957" s="4" t="str">
        <x:v>Sin marca literal</x:v>
      </x:c>
      <x:c r="H1957" s="11"/>
      <x:c r="I1957" s="11" t="str">
        <x:f>IF(H1957="","",C1957-H1957)</x:f>
      </x:c>
      <x:c r="J1957" s="4"/>
      <x:c r="K1957" s="4" t="str">
        <x:v>URLs de detalle page/query/country por clics. No asignan las impresiones de esta consulta a cada página.</x:v>
      </x:c>
    </x:row>
    <x:row r="1958" ht="28" customHeight="1">
      <x:c r="A1958" s="4" t="n">
        <x:v>1948</x:v>
      </x:c>
      <x:c r="B1958" s="4" t="str">
        <x:v>beneficios de sky plus</x:v>
      </x:c>
      <x:c r="C1958" s="11" t="n">
        <x:v>1</x:v>
      </x:c>
      <x:c r="D1958" s="11" t="n">
        <x:v>14</x:v>
      </x:c>
      <x:c r="E1958" s="14" t="n">
        <x:v>0.07142857142857142</x:v>
      </x:c>
      <x:c r="F1958" s="12" t="n">
        <x:v>2.928571428571429</x:v>
      </x:c>
      <x:c r="G1958" s="4" t="str">
        <x:v>Sin marca literal</x:v>
      </x:c>
      <x:c r="H1958" s="11"/>
      <x:c r="I1958" s="11" t="str">
        <x:f>IF(H1958="","",C1958-H1958)</x:f>
      </x:c>
      <x:c r="J1958" s="4"/>
      <x:c r="K1958" s="4" t="str">
        <x:v>URLs de detalle page/query/country por clics. No asignan las impresiones de esta consulta a cada página.</x:v>
      </x:c>
    </x:row>
    <x:row r="1959" ht="28" customHeight="1">
      <x:c r="A1959" s="4" t="n">
        <x:v>1949</x:v>
      </x:c>
      <x:c r="B1959" s="4" t="str">
        <x:v>bitácora de viaje ejemplo</x:v>
      </x:c>
      <x:c r="C1959" s="11" t="n">
        <x:v>1</x:v>
      </x:c>
      <x:c r="D1959" s="11" t="n">
        <x:v>14</x:v>
      </x:c>
      <x:c r="E1959" s="14" t="n">
        <x:v>0.07142857142857142</x:v>
      </x:c>
      <x:c r="F1959" s="12" t="n">
        <x:v>7.714285714285714</x:v>
      </x:c>
      <x:c r="G1959" s="4" t="str">
        <x:v>Sin marca literal</x:v>
      </x:c>
      <x:c r="H1959" s="11"/>
      <x:c r="I1959" s="11" t="str">
        <x:f>IF(H1959="","",C1959-H1959)</x:f>
      </x:c>
      <x:c r="J1959" s="4"/>
      <x:c r="K1959" s="4" t="str">
        <x:v>URLs de detalle page/query/country por clics. No asignan las impresiones de esta consulta a cada página.</x:v>
      </x:c>
    </x:row>
    <x:row r="1960" ht="28" customHeight="1">
      <x:c r="A1960" s="4" t="n">
        <x:v>1950</x:v>
      </x:c>
      <x:c r="B1960" s="4" t="str">
        <x:v>buenos aires</x:v>
      </x:c>
      <x:c r="C1960" s="11" t="n">
        <x:v>1</x:v>
      </x:c>
      <x:c r="D1960" s="11" t="n">
        <x:v>14</x:v>
      </x:c>
      <x:c r="E1960" s="14" t="n">
        <x:v>0.07142857142857142</x:v>
      </x:c>
      <x:c r="F1960" s="12" t="n">
        <x:v>4.571428571428571</x:v>
      </x:c>
      <x:c r="G1960" s="4" t="str">
        <x:v>Sin marca literal</x:v>
      </x:c>
      <x:c r="H1960" s="11"/>
      <x:c r="I1960" s="11" t="str">
        <x:f>IF(H1960="","",C1960-H1960)</x:f>
      </x:c>
      <x:c r="J1960" s="4"/>
      <x:c r="K1960" s="4" t="str">
        <x:v>URLs de detalle page/query/country por clics. No asignan las impresiones de esta consulta a cada página.</x:v>
      </x:c>
    </x:row>
    <x:row r="1961" ht="28" customHeight="1">
      <x:c r="A1961" s="4" t="n">
        <x:v>1951</x:v>
      </x:c>
      <x:c r="B1961" s="4" t="str">
        <x:v>chile zona de nieve</x:v>
      </x:c>
      <x:c r="C1961" s="11" t="n">
        <x:v>1</x:v>
      </x:c>
      <x:c r="D1961" s="11" t="n">
        <x:v>14</x:v>
      </x:c>
      <x:c r="E1961" s="14" t="n">
        <x:v>0.07142857142857142</x:v>
      </x:c>
      <x:c r="F1961" s="12" t="n">
        <x:v>4.857142857142858</x:v>
      </x:c>
      <x:c r="G1961" s="4" t="str">
        <x:v>Sin marca literal</x:v>
      </x:c>
      <x:c r="H1961" s="11"/>
      <x:c r="I1961" s="11" t="str">
        <x:f>IF(H1961="","",C1961-H1961)</x:f>
      </x:c>
      <x:c r="J1961" s="4"/>
      <x:c r="K1961" s="4" t="str">
        <x:v>URLs de detalle page/query/country por clics. No asignan las impresiones de esta consulta a cada página.</x:v>
      </x:c>
    </x:row>
    <x:row r="1962" ht="28" customHeight="1">
      <x:c r="A1962" s="4" t="n">
        <x:v>1952</x:v>
      </x:c>
      <x:c r="B1962" s="4" t="str">
        <x:v>como ir de santiago a pucon</x:v>
      </x:c>
      <x:c r="C1962" s="11" t="n">
        <x:v>1</x:v>
      </x:c>
      <x:c r="D1962" s="11" t="n">
        <x:v>14</x:v>
      </x:c>
      <x:c r="E1962" s="14" t="n">
        <x:v>0.07142857142857142</x:v>
      </x:c>
      <x:c r="F1962" s="12" t="n">
        <x:v>2.571428571428571</x:v>
      </x:c>
      <x:c r="G1962" s="4" t="str">
        <x:v>Sin marca literal</x:v>
      </x:c>
      <x:c r="H1962" s="11"/>
      <x:c r="I1962" s="11" t="str">
        <x:f>IF(H1962="","",C1962-H1962)</x:f>
      </x:c>
      <x:c r="J1962" s="4"/>
      <x:c r="K1962" s="4" t="str">
        <x:v>URLs de detalle page/query/country por clics. No asignan las impresiones de esta consulta a cada página.</x:v>
      </x:c>
    </x:row>
    <x:row r="1963" ht="28" customHeight="1">
      <x:c r="A1963" s="4" t="n">
        <x:v>1953</x:v>
      </x:c>
      <x:c r="B1963" s="4" t="str">
        <x:v>como llegar a santa cruz, chile</x:v>
      </x:c>
      <x:c r="C1963" s="11" t="n">
        <x:v>1</x:v>
      </x:c>
      <x:c r="D1963" s="11" t="n">
        <x:v>14</x:v>
      </x:c>
      <x:c r="E1963" s="14" t="n">
        <x:v>0.07142857142857142</x:v>
      </x:c>
      <x:c r="F1963" s="12" t="n">
        <x:v>5.214285714285714</x:v>
      </x:c>
      <x:c r="G1963" s="4" t="str">
        <x:v>Sin marca literal</x:v>
      </x:c>
      <x:c r="H1963" s="11"/>
      <x:c r="I1963" s="11" t="str">
        <x:f>IF(H1963="","",C1963-H1963)</x:f>
      </x:c>
      <x:c r="J1963" s="4"/>
      <x:c r="K1963" s="4" t="str">
        <x:v>URLs de detalle page/query/country por clics. No asignan las impresiones de esta consulta a cada página.</x:v>
      </x:c>
    </x:row>
    <x:row r="1964" ht="28" customHeight="1">
      <x:c r="A1964" s="4" t="n">
        <x:v>1954</x:v>
      </x:c>
      <x:c r="B1964" s="4" t="str">
        <x:v>como llegar de puerto montt a hornopiren</x:v>
      </x:c>
      <x:c r="C1964" s="11" t="n">
        <x:v>1</x:v>
      </x:c>
      <x:c r="D1964" s="11" t="n">
        <x:v>14</x:v>
      </x:c>
      <x:c r="E1964" s="14" t="n">
        <x:v>0.07142857142857142</x:v>
      </x:c>
      <x:c r="F1964" s="12" t="n">
        <x:v>6.285714285714286</x:v>
      </x:c>
      <x:c r="G1964" s="4" t="str">
        <x:v>Sin marca literal</x:v>
      </x:c>
      <x:c r="H1964" s="11"/>
      <x:c r="I1964" s="11" t="str">
        <x:f>IF(H1964="","",C1964-H1964)</x:f>
      </x:c>
      <x:c r="J1964" s="4"/>
      <x:c r="K1964" s="4" t="str">
        <x:v>URLs de detalle page/query/country por clics. No asignan las impresiones de esta consulta a cada página.</x:v>
      </x:c>
    </x:row>
    <x:row r="1965" ht="28" customHeight="1">
      <x:c r="A1965" s="4" t="n">
        <x:v>1955</x:v>
      </x:c>
      <x:c r="B1965" s="4" t="str">
        <x:v>copiapo playas</x:v>
      </x:c>
      <x:c r="C1965" s="11" t="n">
        <x:v>1</x:v>
      </x:c>
      <x:c r="D1965" s="11" t="n">
        <x:v>14</x:v>
      </x:c>
      <x:c r="E1965" s="14" t="n">
        <x:v>0.07142857142857142</x:v>
      </x:c>
      <x:c r="F1965" s="12" t="n">
        <x:v>17.5</x:v>
      </x:c>
      <x:c r="G1965" s="4" t="str">
        <x:v>Sin marca literal</x:v>
      </x:c>
      <x:c r="H1965" s="11"/>
      <x:c r="I1965" s="11" t="str">
        <x:f>IF(H1965="","",C1965-H1965)</x:f>
      </x:c>
      <x:c r="J1965" s="4"/>
      <x:c r="K1965" s="4" t="str">
        <x:v>URLs de detalle page/query/country por clics. No asignan las impresiones de esta consulta a cada página.</x:v>
      </x:c>
    </x:row>
    <x:row r="1966" ht="28" customHeight="1">
      <x:c r="A1966" s="4" t="n">
        <x:v>1956</x:v>
      </x:c>
      <x:c r="B1966" s="4" t="str">
        <x:v>cual es la diferencia entre aeroparque y ezeiza</x:v>
      </x:c>
      <x:c r="C1966" s="11" t="n">
        <x:v>1</x:v>
      </x:c>
      <x:c r="D1966" s="11" t="n">
        <x:v>14</x:v>
      </x:c>
      <x:c r="E1966" s="14" t="n">
        <x:v>0.07142857142857142</x:v>
      </x:c>
      <x:c r="F1966" s="12" t="n">
        <x:v>3.7142857142857144</x:v>
      </x:c>
      <x:c r="G1966" s="4" t="str">
        <x:v>Sin marca literal</x:v>
      </x:c>
      <x:c r="H1966" s="11"/>
      <x:c r="I1966" s="11" t="str">
        <x:f>IF(H1966="","",C1966-H1966)</x:f>
      </x:c>
      <x:c r="J1966" s="4"/>
      <x:c r="K1966" s="4" t="str">
        <x:v>URLs de detalle page/query/country por clics. No asignan las impresiones de esta consulta a cada página.</x:v>
      </x:c>
    </x:row>
    <x:row r="1967" ht="28" customHeight="1">
      <x:c r="A1967" s="4" t="n">
        <x:v>1957</x:v>
      </x:c>
      <x:c r="B1967" s="4" t="str">
        <x:v>cuanto tiene que pesar la maleta de cabina</x:v>
      </x:c>
      <x:c r="C1967" s="11" t="n">
        <x:v>1</x:v>
      </x:c>
      <x:c r="D1967" s="11" t="n">
        <x:v>14</x:v>
      </x:c>
      <x:c r="E1967" s="14" t="n">
        <x:v>0.07142857142857142</x:v>
      </x:c>
      <x:c r="F1967" s="12" t="n">
        <x:v>9.214285714285714</x:v>
      </x:c>
      <x:c r="G1967" s="4" t="str">
        <x:v>Sin marca literal</x:v>
      </x:c>
      <x:c r="H1967" s="11"/>
      <x:c r="I1967" s="11" t="str">
        <x:f>IF(H1967="","",C1967-H1967)</x:f>
      </x:c>
      <x:c r="J1967" s="4"/>
      <x:c r="K1967" s="4" t="str">
        <x:v>URLs de detalle page/query/country por clics. No asignan las impresiones de esta consulta a cada página.</x:v>
      </x:c>
    </x:row>
    <x:row r="1968" ht="28" customHeight="1">
      <x:c r="A1968" s="4" t="n">
        <x:v>1958</x:v>
      </x:c>
      <x:c r="B1968" s="4" t="str">
        <x:v>cuantos mililitros se puede llevar en el avion</x:v>
      </x:c>
      <x:c r="C1968" s="11" t="n">
        <x:v>1</x:v>
      </x:c>
      <x:c r="D1968" s="11" t="n">
        <x:v>14</x:v>
      </x:c>
      <x:c r="E1968" s="14" t="n">
        <x:v>0.07142857142857142</x:v>
      </x:c>
      <x:c r="F1968" s="12" t="n">
        <x:v>10.071428571428571</x:v>
      </x:c>
      <x:c r="G1968" s="4" t="str">
        <x:v>Sin marca literal</x:v>
      </x:c>
      <x:c r="H1968" s="11"/>
      <x:c r="I1968" s="11" t="str">
        <x:f>IF(H1968="","",C1968-H1968)</x:f>
      </x:c>
      <x:c r="J1968" s="4"/>
      <x:c r="K1968" s="4" t="str">
        <x:v>URLs de detalle page/query/country por clics. No asignan las impresiones de esta consulta a cada página.</x:v>
      </x:c>
    </x:row>
    <x:row r="1969" ht="28" customHeight="1">
      <x:c r="A1969" s="4" t="n">
        <x:v>1959</x:v>
      </x:c>
      <x:c r="B1969" s="4" t="str">
        <x:v>de chiclayo a lima cuantas horas son</x:v>
      </x:c>
      <x:c r="C1969" s="11" t="n">
        <x:v>1</x:v>
      </x:c>
      <x:c r="D1969" s="11" t="n">
        <x:v>14</x:v>
      </x:c>
      <x:c r="E1969" s="14" t="n">
        <x:v>0.07142857142857142</x:v>
      </x:c>
      <x:c r="F1969" s="12" t="n">
        <x:v>3.7142857142857144</x:v>
      </x:c>
      <x:c r="G1969" s="4" t="str">
        <x:v>Sin marca literal</x:v>
      </x:c>
      <x:c r="H1969" s="11"/>
      <x:c r="I1969" s="11" t="str">
        <x:f>IF(H1969="","",C1969-H1969)</x:f>
      </x:c>
      <x:c r="J1969" s="4"/>
      <x:c r="K1969" s="4" t="str">
        <x:v>URLs de detalle page/query/country por clics. No asignan las impresiones de esta consulta a cada página.</x:v>
      </x:c>
    </x:row>
    <x:row r="1970" ht="28" customHeight="1">
      <x:c r="A1970" s="4" t="n">
        <x:v>1960</x:v>
      </x:c>
      <x:c r="B1970" s="4" t="str">
        <x:v>en qué estación del año estamos?</x:v>
      </x:c>
      <x:c r="C1970" s="11" t="n">
        <x:v>1</x:v>
      </x:c>
      <x:c r="D1970" s="11" t="n">
        <x:v>14</x:v>
      </x:c>
      <x:c r="E1970" s="14" t="n">
        <x:v>0.07142857142857142</x:v>
      </x:c>
      <x:c r="F1970" s="12" t="n">
        <x:v>4.285714285714286</x:v>
      </x:c>
      <x:c r="G1970" s="4" t="str">
        <x:v>Sin marca literal</x:v>
      </x:c>
      <x:c r="H1970" s="11"/>
      <x:c r="I1970" s="11" t="str">
        <x:f>IF(H1970="","",C1970-H1970)</x:f>
      </x:c>
      <x:c r="J1970" s="4"/>
      <x:c r="K1970" s="4" t="str">
        <x:v>URLs de detalle page/query/country por clics. No asignan las impresiones de esta consulta a cada página.</x:v>
      </x:c>
    </x:row>
    <x:row r="1971" ht="28" customHeight="1">
      <x:c r="A1971" s="4" t="n">
        <x:v>1961</x:v>
      </x:c>
      <x:c r="B1971" s="4" t="str">
        <x:v>en vuelo nacional puedo llevar mas de 100 ml</x:v>
      </x:c>
      <x:c r="C1971" s="11" t="n">
        <x:v>1</x:v>
      </x:c>
      <x:c r="D1971" s="11" t="n">
        <x:v>14</x:v>
      </x:c>
      <x:c r="E1971" s="14" t="n">
        <x:v>0.07142857142857142</x:v>
      </x:c>
      <x:c r="F1971" s="12" t="n">
        <x:v>5.142857142857143</x:v>
      </x:c>
      <x:c r="G1971" s="4" t="str">
        <x:v>Sin marca literal</x:v>
      </x:c>
      <x:c r="H1971" s="11"/>
      <x:c r="I1971" s="11" t="str">
        <x:f>IF(H1971="","",C1971-H1971)</x:f>
      </x:c>
      <x:c r="J1971" s="4"/>
      <x:c r="K1971" s="4" t="str">
        <x:v>URLs de detalle page/query/country por clics. No asignan las impresiones de esta consulta a cada página.</x:v>
      </x:c>
    </x:row>
    <x:row r="1972" ht="28" customHeight="1">
      <x:c r="A1972" s="4" t="n">
        <x:v>1962</x:v>
      </x:c>
      <x:c r="B1972" s="4" t="str">
        <x:v>lima comida tipica</x:v>
      </x:c>
      <x:c r="C1972" s="11" t="n">
        <x:v>1</x:v>
      </x:c>
      <x:c r="D1972" s="11" t="n">
        <x:v>14</x:v>
      </x:c>
      <x:c r="E1972" s="14" t="n">
        <x:v>0.07142857142857142</x:v>
      </x:c>
      <x:c r="F1972" s="12" t="n">
        <x:v>2.071428571428571</x:v>
      </x:c>
      <x:c r="G1972" s="4" t="str">
        <x:v>Sin marca literal</x:v>
      </x:c>
      <x:c r="H1972" s="11"/>
      <x:c r="I1972" s="11" t="str">
        <x:f>IF(H1972="","",C1972-H1972)</x:f>
      </x:c>
      <x:c r="J1972" s="4"/>
      <x:c r="K1972" s="4" t="str">
        <x:v>URLs de detalle page/query/country por clics. No asignan las impresiones de esta consulta a cada página.</x:v>
      </x:c>
    </x:row>
    <x:row r="1973" ht="28" customHeight="1">
      <x:c r="A1973" s="4" t="n">
        <x:v>1963</x:v>
      </x:c>
      <x:c r="B1973" s="4" t="str">
        <x:v>lugares turísticos de osorno y sus alrededores</x:v>
      </x:c>
      <x:c r="C1973" s="11" t="n">
        <x:v>1</x:v>
      </x:c>
      <x:c r="D1973" s="11" t="n">
        <x:v>14</x:v>
      </x:c>
      <x:c r="E1973" s="14" t="n">
        <x:v>0.07142857142857142</x:v>
      </x:c>
      <x:c r="F1973" s="12" t="n">
        <x:v>8.785714285714285</x:v>
      </x:c>
      <x:c r="G1973" s="4" t="str">
        <x:v>Sin marca literal</x:v>
      </x:c>
      <x:c r="H1973" s="11"/>
      <x:c r="I1973" s="11" t="str">
        <x:f>IF(H1973="","",C1973-H1973)</x:f>
      </x:c>
      <x:c r="J1973" s="4"/>
      <x:c r="K1973" s="4" t="str">
        <x:v>URLs de detalle page/query/country por clics. No asignan las impresiones de esta consulta a cada página.</x:v>
      </x:c>
    </x:row>
    <x:row r="1974" ht="28" customHeight="1">
      <x:c r="A1974" s="4" t="n">
        <x:v>1964</x:v>
      </x:c>
      <x:c r="B1974" s="4" t="str">
        <x:v>paises sin pasaporte</x:v>
      </x:c>
      <x:c r="C1974" s="11" t="n">
        <x:v>1</x:v>
      </x:c>
      <x:c r="D1974" s="11" t="n">
        <x:v>14</x:v>
      </x:c>
      <x:c r="E1974" s="14" t="n">
        <x:v>0.07142857142857142</x:v>
      </x:c>
      <x:c r="F1974" s="12" t="n">
        <x:v>8.714285714285715</x:v>
      </x:c>
      <x:c r="G1974" s="4" t="str">
        <x:v>Sin marca literal</x:v>
      </x:c>
      <x:c r="H1974" s="11"/>
      <x:c r="I1974" s="11" t="str">
        <x:f>IF(H1974="","",C1974-H1974)</x:f>
      </x:c>
      <x:c r="J1974" s="4"/>
      <x:c r="K1974" s="4" t="str">
        <x:v>URLs de detalle page/query/country por clics. No asignan las impresiones de esta consulta a cada página.</x:v>
      </x:c>
    </x:row>
    <x:row r="1975" ht="28" customHeight="1">
      <x:c r="A1975" s="4" t="n">
        <x:v>1965</x:v>
      </x:c>
      <x:c r="B1975" s="4" t="str">
        <x:v>parque japones horario</x:v>
      </x:c>
      <x:c r="C1975" s="11" t="n">
        <x:v>1</x:v>
      </x:c>
      <x:c r="D1975" s="11" t="n">
        <x:v>14</x:v>
      </x:c>
      <x:c r="E1975" s="14" t="n">
        <x:v>0.07142857142857142</x:v>
      </x:c>
      <x:c r="F1975" s="12" t="n">
        <x:v>3.7857142857142856</x:v>
      </x:c>
      <x:c r="G1975" s="4" t="str">
        <x:v>Sin marca literal</x:v>
      </x:c>
      <x:c r="H1975" s="11"/>
      <x:c r="I1975" s="11" t="str">
        <x:f>IF(H1975="","",C1975-H1975)</x:f>
      </x:c>
      <x:c r="J1975" s="4"/>
      <x:c r="K1975" s="4" t="str">
        <x:v>URLs de detalle page/query/country por clics. No asignan las impresiones de esta consulta a cada página.</x:v>
      </x:c>
    </x:row>
    <x:row r="1976" ht="28" customHeight="1">
      <x:c r="A1976" s="4" t="n">
        <x:v>1966</x:v>
      </x:c>
      <x:c r="B1976" s="4" t="str">
        <x:v>partes del sur de argentina</x:v>
      </x:c>
      <x:c r="C1976" s="11" t="n">
        <x:v>1</x:v>
      </x:c>
      <x:c r="D1976" s="11" t="n">
        <x:v>14</x:v>
      </x:c>
      <x:c r="E1976" s="14" t="n">
        <x:v>0.07142857142857142</x:v>
      </x:c>
      <x:c r="F1976" s="12" t="n">
        <x:v>5.071428571428571</x:v>
      </x:c>
      <x:c r="G1976" s="4" t="str">
        <x:v>Sin marca literal</x:v>
      </x:c>
      <x:c r="H1976" s="11"/>
      <x:c r="I1976" s="11" t="str">
        <x:f>IF(H1976="","",C1976-H1976)</x:f>
      </x:c>
      <x:c r="J1976" s="4"/>
      <x:c r="K1976" s="4" t="str">
        <x:v>URLs de detalle page/query/country por clics. No asignan las impresiones de esta consulta a cada página.</x:v>
      </x:c>
    </x:row>
    <x:row r="1977" ht="28" customHeight="1">
      <x:c r="A1977" s="4" t="n">
        <x:v>1967</x:v>
      </x:c>
      <x:c r="B1977" s="4" t="str">
        <x:v>punta cana en que pais esta</x:v>
      </x:c>
      <x:c r="C1977" s="11" t="n">
        <x:v>1</x:v>
      </x:c>
      <x:c r="D1977" s="11" t="n">
        <x:v>14</x:v>
      </x:c>
      <x:c r="E1977" s="14" t="n">
        <x:v>0.07142857142857142</x:v>
      </x:c>
      <x:c r="F1977" s="12" t="n">
        <x:v>7.714285714285714</x:v>
      </x:c>
      <x:c r="G1977" s="4" t="str">
        <x:v>Sin marca literal</x:v>
      </x:c>
      <x:c r="H1977" s="11"/>
      <x:c r="I1977" s="11" t="str">
        <x:f>IF(H1977="","",C1977-H1977)</x:f>
      </x:c>
      <x:c r="J1977" s="4"/>
      <x:c r="K1977" s="4" t="str">
        <x:v>URLs de detalle page/query/country por clics. No asignan las impresiones de esta consulta a cada página.</x:v>
      </x:c>
    </x:row>
    <x:row r="1978" ht="28" customHeight="1">
      <x:c r="A1978" s="4" t="n">
        <x:v>1968</x:v>
      </x:c>
      <x:c r="B1978" s="4" t="str">
        <x:v>punto sky</x:v>
      </x:c>
      <x:c r="C1978" s="11" t="n">
        <x:v>1</x:v>
      </x:c>
      <x:c r="D1978" s="11" t="n">
        <x:v>14</x:v>
      </x:c>
      <x:c r="E1978" s="14" t="n">
        <x:v>0.07142857142857142</x:v>
      </x:c>
      <x:c r="F1978" s="12" t="n">
        <x:v>9.142857142857142</x:v>
      </x:c>
      <x:c r="G1978" s="4" t="str">
        <x:v>Sin marca literal</x:v>
      </x:c>
      <x:c r="H1978" s="11"/>
      <x:c r="I1978" s="11" t="str">
        <x:f>IF(H1978="","",C1978-H1978)</x:f>
      </x:c>
      <x:c r="J1978" s="4"/>
      <x:c r="K1978" s="4" t="str">
        <x:v>URLs de detalle page/query/country por clics. No asignan las impresiones de esta consulta a cada página.</x:v>
      </x:c>
    </x:row>
    <x:row r="1979" ht="28" customHeight="1">
      <x:c r="A1979" s="4" t="n">
        <x:v>1969</x:v>
      </x:c>
      <x:c r="B1979" s="4" t="str">
        <x:v>que es hacer check in en un vuelo</x:v>
      </x:c>
      <x:c r="C1979" s="11" t="n">
        <x:v>1</x:v>
      </x:c>
      <x:c r="D1979" s="11" t="n">
        <x:v>14</x:v>
      </x:c>
      <x:c r="E1979" s="14" t="n">
        <x:v>0.07142857142857142</x:v>
      </x:c>
      <x:c r="F1979" s="12" t="n">
        <x:v>7.357142857142857</x:v>
      </x:c>
      <x:c r="G1979" s="4" t="str">
        <x:v>Sin marca literal</x:v>
      </x:c>
      <x:c r="H1979" s="11"/>
      <x:c r="I1979" s="11" t="str">
        <x:f>IF(H1979="","",C1979-H1979)</x:f>
      </x:c>
      <x:c r="J1979" s="4"/>
      <x:c r="K1979" s="4" t="str">
        <x:v>URLs de detalle page/query/country por clics. No asignan las impresiones de esta consulta a cada página.</x:v>
      </x:c>
    </x:row>
    <x:row r="1980" ht="28" customHeight="1">
      <x:c r="A1980" s="4" t="n">
        <x:v>1970</x:v>
      </x:c>
      <x:c r="B1980" s="4" t="str">
        <x:v>requisitos para ser azafata de vuelo</x:v>
      </x:c>
      <x:c r="C1980" s="11" t="n">
        <x:v>1</x:v>
      </x:c>
      <x:c r="D1980" s="11" t="n">
        <x:v>14</x:v>
      </x:c>
      <x:c r="E1980" s="14" t="n">
        <x:v>0.07142857142857142</x:v>
      </x:c>
      <x:c r="F1980" s="12" t="n">
        <x:v>10.571428571428571</x:v>
      </x:c>
      <x:c r="G1980" s="4" t="str">
        <x:v>Sin marca literal</x:v>
      </x:c>
      <x:c r="H1980" s="11"/>
      <x:c r="I1980" s="11" t="str">
        <x:f>IF(H1980="","",C1980-H1980)</x:f>
      </x:c>
      <x:c r="J1980" s="4"/>
      <x:c r="K1980" s="4" t="str">
        <x:v>URLs de detalle page/query/country por clics. No asignan las impresiones de esta consulta a cada página.</x:v>
      </x:c>
    </x:row>
    <x:row r="1981" ht="28" customHeight="1">
      <x:c r="A1981" s="4" t="n">
        <x:v>1971</x:v>
      </x:c>
      <x:c r="B1981" s="4" t="str">
        <x:v>rio amazonas peru</x:v>
      </x:c>
      <x:c r="C1981" s="11" t="n">
        <x:v>1</x:v>
      </x:c>
      <x:c r="D1981" s="11" t="n">
        <x:v>14</x:v>
      </x:c>
      <x:c r="E1981" s="14" t="n">
        <x:v>0.07142857142857142</x:v>
      </x:c>
      <x:c r="F1981" s="12" t="n">
        <x:v>13.785714285714286</x:v>
      </x:c>
      <x:c r="G1981" s="4" t="str">
        <x:v>Sin marca literal</x:v>
      </x:c>
      <x:c r="H1981" s="11"/>
      <x:c r="I1981" s="11" t="str">
        <x:f>IF(H1981="","",C1981-H1981)</x:f>
      </x:c>
      <x:c r="J1981" s="4"/>
      <x:c r="K1981" s="4" t="str">
        <x:v>URLs de detalle page/query/country por clics. No asignan las impresiones de esta consulta a cada página.</x:v>
      </x:c>
    </x:row>
    <x:row r="1982" ht="28" customHeight="1">
      <x:c r="A1982" s="4" t="n">
        <x:v>1972</x:v>
      </x:c>
      <x:c r="B1982" s="4" t="str">
        <x:v>se puede llevar arqueador de pestañas en el avion</x:v>
      </x:c>
      <x:c r="C1982" s="11" t="n">
        <x:v>1</x:v>
      </x:c>
      <x:c r="D1982" s="11" t="n">
        <x:v>14</x:v>
      </x:c>
      <x:c r="E1982" s="14" t="n">
        <x:v>0.07142857142857142</x:v>
      </x:c>
      <x:c r="F1982" s="12" t="n">
        <x:v>1</x:v>
      </x:c>
      <x:c r="G1982" s="4" t="str">
        <x:v>Sin marca literal</x:v>
      </x:c>
      <x:c r="H1982" s="11"/>
      <x:c r="I1982" s="11" t="str">
        <x:f>IF(H1982="","",C1982-H1982)</x:f>
      </x:c>
      <x:c r="J1982" s="4"/>
      <x:c r="K1982" s="4" t="str">
        <x:v>URLs de detalle page/query/country por clics. No asignan las impresiones de esta consulta a cada página.</x:v>
      </x:c>
    </x:row>
    <x:row r="1983" ht="28" customHeight="1">
      <x:c r="A1983" s="4" t="n">
        <x:v>1973</x:v>
      </x:c>
      <x:c r="B1983" s="4" t="str">
        <x:v>skiplagging que es</x:v>
      </x:c>
      <x:c r="C1983" s="11" t="n">
        <x:v>1</x:v>
      </x:c>
      <x:c r="D1983" s="11" t="n">
        <x:v>14</x:v>
      </x:c>
      <x:c r="E1983" s="14" t="n">
        <x:v>0.07142857142857142</x:v>
      </x:c>
      <x:c r="F1983" s="12" t="n">
        <x:v>5.071428571428571</x:v>
      </x:c>
      <x:c r="G1983" s="4" t="str">
        <x:v>Sin marca literal</x:v>
      </x:c>
      <x:c r="H1983" s="11"/>
      <x:c r="I1983" s="11" t="str">
        <x:f>IF(H1983="","",C1983-H1983)</x:f>
      </x:c>
      <x:c r="J1983" s="4"/>
      <x:c r="K1983" s="4" t="str">
        <x:v>URLs de detalle page/query/country por clics. No asignan las impresiones de esta consulta a cada página.</x:v>
      </x:c>
    </x:row>
    <x:row r="1984" ht="28" customHeight="1">
      <x:c r="A1984" s="4" t="n">
        <x:v>1974</x:v>
      </x:c>
      <x:c r="B1984" s="4" t="str">
        <x:v>sky airline telefono atencion al cliente</x:v>
      </x:c>
      <x:c r="C1984" s="11" t="n">
        <x:v>1</x:v>
      </x:c>
      <x:c r="D1984" s="11" t="n">
        <x:v>14</x:v>
      </x:c>
      <x:c r="E1984" s="14" t="n">
        <x:v>0.07142857142857142</x:v>
      </x:c>
      <x:c r="F1984" s="12" t="n">
        <x:v>7.071428571428571</x:v>
      </x:c>
      <x:c r="G1984" s="4" t="str">
        <x:v>Sin marca literal</x:v>
      </x:c>
      <x:c r="H1984" s="11"/>
      <x:c r="I1984" s="11" t="str">
        <x:f>IF(H1984="","",C1984-H1984)</x:f>
      </x:c>
      <x:c r="J1984" s="4"/>
      <x:c r="K1984" s="4" t="str">
        <x:v>URLs de detalle page/query/country por clics. No asignan las impresiones de esta consulta a cada página.</x:v>
      </x:c>
    </x:row>
    <x:row r="1985" ht="28" customHeight="1">
      <x:c r="A1985" s="4" t="n">
        <x:v>1975</x:v>
      </x:c>
      <x:c r="B1985" s="4" t="str">
        <x:v>sky cargo iquique</x:v>
      </x:c>
      <x:c r="C1985" s="11" t="n">
        <x:v>1</x:v>
      </x:c>
      <x:c r="D1985" s="11" t="n">
        <x:v>14</x:v>
      </x:c>
      <x:c r="E1985" s="14" t="n">
        <x:v>0.07142857142857142</x:v>
      </x:c>
      <x:c r="F1985" s="12" t="n">
        <x:v>6.571428571428571</x:v>
      </x:c>
      <x:c r="G1985" s="4" t="str">
        <x:v>Sin marca literal</x:v>
      </x:c>
      <x:c r="H1985" s="11"/>
      <x:c r="I1985" s="11" t="str">
        <x:f>IF(H1985="","",C1985-H1985)</x:f>
      </x:c>
      <x:c r="J1985" s="4"/>
      <x:c r="K1985" s="4" t="str">
        <x:v>URLs de detalle page/query/country por clics. No asignan las impresiones de esta consulta a cada página.</x:v>
      </x:c>
    </x:row>
    <x:row r="1986" ht="28" customHeight="1">
      <x:c r="A1986" s="4" t="n">
        <x:v>1976</x:v>
      </x:c>
      <x:c r="B1986" s="4" t="str">
        <x:v>sky seguimiento de vuelo</x:v>
      </x:c>
      <x:c r="C1986" s="11" t="n">
        <x:v>1</x:v>
      </x:c>
      <x:c r="D1986" s="11" t="n">
        <x:v>14</x:v>
      </x:c>
      <x:c r="E1986" s="14" t="n">
        <x:v>0.07142857142857142</x:v>
      </x:c>
      <x:c r="F1986" s="12" t="n">
        <x:v>9.142857142857142</x:v>
      </x:c>
      <x:c r="G1986" s="4" t="str">
        <x:v>Sin marca literal</x:v>
      </x:c>
      <x:c r="H1986" s="11"/>
      <x:c r="I1986" s="11" t="str">
        <x:f>IF(H1986="","",C1986-H1986)</x:f>
      </x:c>
      <x:c r="J1986" s="4"/>
      <x:c r="K1986" s="4" t="str">
        <x:v>URLs de detalle page/query/country por clics. No asignan las impresiones de esta consulta a cada página.</x:v>
      </x:c>
    </x:row>
    <x:row r="1987" ht="28" customHeight="1">
      <x:c r="A1987" s="4" t="n">
        <x:v>1977</x:v>
      </x:c>
      <x:c r="B1987" s="4" t="str">
        <x:v>tiendas de zofri iquique</x:v>
      </x:c>
      <x:c r="C1987" s="11" t="n">
        <x:v>1</x:v>
      </x:c>
      <x:c r="D1987" s="11" t="n">
        <x:v>14</x:v>
      </x:c>
      <x:c r="E1987" s="14" t="n">
        <x:v>0.07142857142857142</x:v>
      </x:c>
      <x:c r="F1987" s="12" t="n">
        <x:v>8.142857142857142</x:v>
      </x:c>
      <x:c r="G1987" s="4" t="str">
        <x:v>Sin marca literal</x:v>
      </x:c>
      <x:c r="H1987" s="11"/>
      <x:c r="I1987" s="11" t="str">
        <x:f>IF(H1987="","",C1987-H1987)</x:f>
      </x:c>
      <x:c r="J1987" s="4"/>
      <x:c r="K1987" s="4" t="str">
        <x:v>URLs de detalle page/query/country por clics. No asignan las impresiones de esta consulta a cada página.</x:v>
      </x:c>
    </x:row>
    <x:row r="1988" ht="28" customHeight="1">
      <x:c r="A1988" s="4" t="n">
        <x:v>1978</x:v>
      </x:c>
      <x:c r="B1988" s="4" t="str">
        <x:v>200 puntos sky plus</x:v>
      </x:c>
      <x:c r="C1988" s="11" t="n">
        <x:v>1</x:v>
      </x:c>
      <x:c r="D1988" s="11" t="n">
        <x:v>13</x:v>
      </x:c>
      <x:c r="E1988" s="14" t="n">
        <x:v>0.07692307692307693</x:v>
      </x:c>
      <x:c r="F1988" s="12" t="n">
        <x:v>4.384615384615385</x:v>
      </x:c>
      <x:c r="G1988" s="4" t="str">
        <x:v>Sin marca literal</x:v>
      </x:c>
      <x:c r="H1988" s="11"/>
      <x:c r="I1988" s="11" t="str">
        <x:f>IF(H1988="","",C1988-H1988)</x:f>
      </x:c>
      <x:c r="J1988" s="4"/>
      <x:c r="K1988" s="4" t="str">
        <x:v>URLs de detalle page/query/country por clics. No asignan las impresiones de esta consulta a cada página.</x:v>
      </x:c>
    </x:row>
    <x:row r="1989" ht="28" customHeight="1">
      <x:c r="A1989" s="4" t="n">
        <x:v>1979</x:v>
      </x:c>
      <x:c r="B1989" s="4" t="str">
        <x:v>a320neo sky airlines</x:v>
      </x:c>
      <x:c r="C1989" s="11" t="n">
        <x:v>1</x:v>
      </x:c>
      <x:c r="D1989" s="11" t="n">
        <x:v>13</x:v>
      </x:c>
      <x:c r="E1989" s="14" t="n">
        <x:v>0.07692307692307693</x:v>
      </x:c>
      <x:c r="F1989" s="12" t="n">
        <x:v>3.3076923076923075</x:v>
      </x:c>
      <x:c r="G1989" s="4" t="str">
        <x:v>Sin marca literal</x:v>
      </x:c>
      <x:c r="H1989" s="11"/>
      <x:c r="I1989" s="11" t="str">
        <x:f>IF(H1989="","",C1989-H1989)</x:f>
      </x:c>
      <x:c r="J1989" s="4"/>
      <x:c r="K1989" s="4" t="str">
        <x:v>URLs de detalle page/query/country por clics. No asignan las impresiones de esta consulta a cada página.</x:v>
      </x:c>
    </x:row>
    <x:row r="1990" ht="28" customHeight="1">
      <x:c r="A1990" s="4" t="n">
        <x:v>1980</x:v>
      </x:c>
      <x:c r="B1990" s="4" t="str">
        <x:v>araucaria</x:v>
      </x:c>
      <x:c r="C1990" s="11" t="n">
        <x:v>1</x:v>
      </x:c>
      <x:c r="D1990" s="11" t="n">
        <x:v>13</x:v>
      </x:c>
      <x:c r="E1990" s="14" t="n">
        <x:v>0.07692307692307693</x:v>
      </x:c>
      <x:c r="F1990" s="12" t="n">
        <x:v>2.769230769230769</x:v>
      </x:c>
      <x:c r="G1990" s="4" t="str">
        <x:v>Sin marca literal</x:v>
      </x:c>
      <x:c r="H1990" s="11"/>
      <x:c r="I1990" s="11" t="str">
        <x:f>IF(H1990="","",C1990-H1990)</x:f>
      </x:c>
      <x:c r="J1990" s="4"/>
      <x:c r="K1990" s="4" t="str">
        <x:v>URLs de detalle page/query/country por clics. No asignan las impresiones de esta consulta a cada página.</x:v>
      </x:c>
    </x:row>
    <x:row r="1991" ht="28" customHeight="1">
      <x:c r="A1991" s="4" t="n">
        <x:v>1981</x:v>
      </x:c>
      <x:c r="B1991" s="4" t="str">
        <x:v>arboles sur de chile</x:v>
      </x:c>
      <x:c r="C1991" s="11" t="n">
        <x:v>1</x:v>
      </x:c>
      <x:c r="D1991" s="11" t="n">
        <x:v>13</x:v>
      </x:c>
      <x:c r="E1991" s="14" t="n">
        <x:v>0.07692307692307693</x:v>
      </x:c>
      <x:c r="F1991" s="12" t="n">
        <x:v>6.461538461538462</x:v>
      </x:c>
      <x:c r="G1991" s="4" t="str">
        <x:v>Sin marca literal</x:v>
      </x:c>
      <x:c r="H1991" s="11"/>
      <x:c r="I1991" s="11" t="str">
        <x:f>IF(H1991="","",C1991-H1991)</x:f>
      </x:c>
      <x:c r="J1991" s="4"/>
      <x:c r="K1991" s="4" t="str">
        <x:v>URLs de detalle page/query/country por clics. No asignan las impresiones de esta consulta a cada página.</x:v>
      </x:c>
    </x:row>
    <x:row r="1992" ht="28" customHeight="1">
      <x:c r="A1992" s="4" t="n">
        <x:v>1982</x:v>
      </x:c>
      <x:c r="B1992" s="4" t="str">
        <x:v>bahia corral</x:v>
      </x:c>
      <x:c r="C1992" s="11" t="n">
        <x:v>1</x:v>
      </x:c>
      <x:c r="D1992" s="11" t="n">
        <x:v>13</x:v>
      </x:c>
      <x:c r="E1992" s="14" t="n">
        <x:v>0.07692307692307693</x:v>
      </x:c>
      <x:c r="F1992" s="12" t="n">
        <x:v>10.692307692307692</x:v>
      </x:c>
      <x:c r="G1992" s="4" t="str">
        <x:v>Sin marca literal</x:v>
      </x:c>
      <x:c r="H1992" s="11"/>
      <x:c r="I1992" s="11" t="str">
        <x:f>IF(H1992="","",C1992-H1992)</x:f>
      </x:c>
      <x:c r="J1992" s="4"/>
      <x:c r="K1992" s="4" t="str">
        <x:v>URLs de detalle page/query/country por clics. No asignan las impresiones de esta consulta a cada página.</x:v>
      </x:c>
    </x:row>
    <x:row r="1993" ht="28" customHeight="1">
      <x:c r="A1993" s="4" t="n">
        <x:v>1983</x:v>
      </x:c>
      <x:c r="B1993" s="4" t="str">
        <x:v>barra da tijuca donde queda</x:v>
      </x:c>
      <x:c r="C1993" s="11" t="n">
        <x:v>1</x:v>
      </x:c>
      <x:c r="D1993" s="11" t="n">
        <x:v>13</x:v>
      </x:c>
      <x:c r="E1993" s="14" t="n">
        <x:v>0.07692307692307693</x:v>
      </x:c>
      <x:c r="F1993" s="12" t="n">
        <x:v>10.461538461538462</x:v>
      </x:c>
      <x:c r="G1993" s="4" t="str">
        <x:v>Sin marca literal</x:v>
      </x:c>
      <x:c r="H1993" s="11"/>
      <x:c r="I1993" s="11" t="str">
        <x:f>IF(H1993="","",C1993-H1993)</x:f>
      </x:c>
      <x:c r="J1993" s="4"/>
      <x:c r="K1993" s="4" t="str">
        <x:v>URLs de detalle page/query/country por clics. No asignan las impresiones de esta consulta a cada página.</x:v>
      </x:c>
    </x:row>
    <x:row r="1994" ht="28" customHeight="1">
      <x:c r="A1994" s="4" t="n">
        <x:v>1984</x:v>
      </x:c>
      <x:c r="B1994" s="4" t="str">
        <x:v>beco do batman sao paulo</x:v>
      </x:c>
      <x:c r="C1994" s="11" t="n">
        <x:v>1</x:v>
      </x:c>
      <x:c r="D1994" s="11" t="n">
        <x:v>13</x:v>
      </x:c>
      <x:c r="E1994" s="14" t="n">
        <x:v>0.07692307692307693</x:v>
      </x:c>
      <x:c r="F1994" s="12" t="n">
        <x:v>6.846153846153846</x:v>
      </x:c>
      <x:c r="G1994" s="4" t="str">
        <x:v>Sin marca literal</x:v>
      </x:c>
      <x:c r="H1994" s="11"/>
      <x:c r="I1994" s="11" t="str">
        <x:f>IF(H1994="","",C1994-H1994)</x:f>
      </x:c>
      <x:c r="J1994" s="4"/>
      <x:c r="K1994" s="4" t="str">
        <x:v>URLs de detalle page/query/country por clics. No asignan las impresiones de esta consulta a cada página.</x:v>
      </x:c>
    </x:row>
    <x:row r="1995" ht="28" customHeight="1">
      <x:c r="A1995" s="4" t="n">
        <x:v>1985</x:v>
      </x:c>
      <x:c r="B1995" s="4" t="str">
        <x:v>bitacora de viajero</x:v>
      </x:c>
      <x:c r="C1995" s="11" t="n">
        <x:v>1</x:v>
      </x:c>
      <x:c r="D1995" s="11" t="n">
        <x:v>13</x:v>
      </x:c>
      <x:c r="E1995" s="14" t="n">
        <x:v>0.07692307692307693</x:v>
      </x:c>
      <x:c r="F1995" s="12" t="n">
        <x:v>6.384615384615385</x:v>
      </x:c>
      <x:c r="G1995" s="4" t="str">
        <x:v>Sin marca literal</x:v>
      </x:c>
      <x:c r="H1995" s="11"/>
      <x:c r="I1995" s="11" t="str">
        <x:f>IF(H1995="","",C1995-H1995)</x:f>
      </x:c>
      <x:c r="J1995" s="4"/>
      <x:c r="K1995" s="4" t="str">
        <x:v>URLs de detalle page/query/country por clics. No asignan las impresiones de esta consulta a cada página.</x:v>
      </x:c>
    </x:row>
    <x:row r="1996" ht="28" customHeight="1">
      <x:c r="A1996" s="4" t="n">
        <x:v>1986</x:v>
      </x:c>
      <x:c r="B1996" s="4" t="str">
        <x:v>chile nieve donde</x:v>
      </x:c>
      <x:c r="C1996" s="11" t="n">
        <x:v>1</x:v>
      </x:c>
      <x:c r="D1996" s="11" t="n">
        <x:v>13</x:v>
      </x:c>
      <x:c r="E1996" s="14" t="n">
        <x:v>0.07692307692307693</x:v>
      </x:c>
      <x:c r="F1996" s="12" t="n">
        <x:v>5.615384615384615</x:v>
      </x:c>
      <x:c r="G1996" s="4" t="str">
        <x:v>Sin marca literal</x:v>
      </x:c>
      <x:c r="H1996" s="11"/>
      <x:c r="I1996" s="11" t="str">
        <x:f>IF(H1996="","",C1996-H1996)</x:f>
      </x:c>
      <x:c r="J1996" s="4"/>
      <x:c r="K1996" s="4" t="str">
        <x:v>URLs de detalle page/query/country por clics. No asignan las impresiones de esta consulta a cada página.</x:v>
      </x:c>
    </x:row>
    <x:row r="1997" ht="28" customHeight="1">
      <x:c r="A1997" s="4" t="n">
        <x:v>1987</x:v>
      </x:c>
      <x:c r="B1997" s="4" t="str">
        <x:v>ciudades turisticas del sur de argentina</x:v>
      </x:c>
      <x:c r="C1997" s="11" t="n">
        <x:v>1</x:v>
      </x:c>
      <x:c r="D1997" s="11" t="n">
        <x:v>13</x:v>
      </x:c>
      <x:c r="E1997" s="14" t="n">
        <x:v>0.07692307692307693</x:v>
      </x:c>
      <x:c r="F1997" s="12" t="n">
        <x:v>2.0769230769230766</x:v>
      </x:c>
      <x:c r="G1997" s="4" t="str">
        <x:v>Sin marca literal</x:v>
      </x:c>
      <x:c r="H1997" s="11"/>
      <x:c r="I1997" s="11" t="str">
        <x:f>IF(H1997="","",C1997-H1997)</x:f>
      </x:c>
      <x:c r="J1997" s="4"/>
      <x:c r="K1997" s="4" t="str">
        <x:v>URLs de detalle page/query/country por clics. No asignan las impresiones de esta consulta a cada página.</x:v>
      </x:c>
    </x:row>
    <x:row r="1998" ht="28" customHeight="1">
      <x:c r="A1998" s="4" t="n">
        <x:v>1988</x:v>
      </x:c>
      <x:c r="B1998" s="4" t="str">
        <x:v>como cambiar un pasaje en sky</x:v>
      </x:c>
      <x:c r="C1998" s="11" t="n">
        <x:v>1</x:v>
      </x:c>
      <x:c r="D1998" s="11" t="n">
        <x:v>13</x:v>
      </x:c>
      <x:c r="E1998" s="14" t="n">
        <x:v>0.07692307692307693</x:v>
      </x:c>
      <x:c r="F1998" s="12" t="n">
        <x:v>3.076923076923077</x:v>
      </x:c>
      <x:c r="G1998" s="4" t="str">
        <x:v>Sin marca literal</x:v>
      </x:c>
      <x:c r="H1998" s="11"/>
      <x:c r="I1998" s="11" t="str">
        <x:f>IF(H1998="","",C1998-H1998)</x:f>
      </x:c>
      <x:c r="J1998" s="4"/>
      <x:c r="K1998" s="4" t="str">
        <x:v>URLs de detalle page/query/country por clics. No asignan las impresiones de esta consulta a cada página.</x:v>
      </x:c>
    </x:row>
    <x:row r="1999" ht="28" customHeight="1">
      <x:c r="A1999" s="4" t="n">
        <x:v>1989</x:v>
      </x:c>
      <x:c r="B1999" s="4" t="str">
        <x:v>cuales son los destinos mas baratos para viajar</x:v>
      </x:c>
      <x:c r="C1999" s="11" t="n">
        <x:v>1</x:v>
      </x:c>
      <x:c r="D1999" s="11" t="n">
        <x:v>13</x:v>
      </x:c>
      <x:c r="E1999" s="14" t="n">
        <x:v>0.07692307692307693</x:v>
      </x:c>
      <x:c r="F1999" s="12" t="n">
        <x:v>2.769230769230769</x:v>
      </x:c>
      <x:c r="G1999" s="4" t="str">
        <x:v>Sin marca literal</x:v>
      </x:c>
      <x:c r="H1999" s="11"/>
      <x:c r="I1999" s="11" t="str">
        <x:f>IF(H1999="","",C1999-H1999)</x:f>
      </x:c>
      <x:c r="J1999" s="4"/>
      <x:c r="K1999" s="4" t="str">
        <x:v>URLs de detalle page/query/country por clics. No asignan las impresiones de esta consulta a cada página.</x:v>
      </x:c>
    </x:row>
    <x:row r="2000" ht="28" customHeight="1">
      <x:c r="A2000" s="4" t="n">
        <x:v>1990</x:v>
      </x:c>
      <x:c r="B2000" s="4" t="str">
        <x:v>en la aerolínea sky</x:v>
      </x:c>
      <x:c r="C2000" s="11" t="n">
        <x:v>1</x:v>
      </x:c>
      <x:c r="D2000" s="11" t="n">
        <x:v>13</x:v>
      </x:c>
      <x:c r="E2000" s="14" t="n">
        <x:v>0.07692307692307693</x:v>
      </x:c>
      <x:c r="F2000" s="12" t="n">
        <x:v>2.5384615384615383</x:v>
      </x:c>
      <x:c r="G2000" s="4" t="str">
        <x:v>Sin marca literal</x:v>
      </x:c>
      <x:c r="H2000" s="11"/>
      <x:c r="I2000" s="11" t="str">
        <x:f>IF(H2000="","",C2000-H2000)</x:f>
      </x:c>
      <x:c r="J2000" s="4"/>
      <x:c r="K2000" s="4" t="str">
        <x:v>URLs de detalle page/query/country por clics. No asignan las impresiones de esta consulta a cada página.</x:v>
      </x:c>
    </x:row>
    <x:row r="2001" ht="28" customHeight="1">
      <x:c r="A2001" s="4" t="n">
        <x:v>1991</x:v>
      </x:c>
      <x:c r="B2001" s="4" t="str">
        <x:v>lagos del sur</x:v>
      </x:c>
      <x:c r="C2001" s="11" t="n">
        <x:v>1</x:v>
      </x:c>
      <x:c r="D2001" s="11" t="n">
        <x:v>13</x:v>
      </x:c>
      <x:c r="E2001" s="14" t="n">
        <x:v>0.07692307692307693</x:v>
      </x:c>
      <x:c r="F2001" s="12" t="n">
        <x:v>8.461538461538462</x:v>
      </x:c>
      <x:c r="G2001" s="4" t="str">
        <x:v>Sin marca literal</x:v>
      </x:c>
      <x:c r="H2001" s="11"/>
      <x:c r="I2001" s="11" t="str">
        <x:f>IF(H2001="","",C2001-H2001)</x:f>
      </x:c>
      <x:c r="J2001" s="4"/>
      <x:c r="K2001" s="4" t="str">
        <x:v>URLs de detalle page/query/country por clics. No asignan las impresiones de esta consulta a cada página.</x:v>
      </x:c>
    </x:row>
    <x:row r="2002" ht="28" customHeight="1">
      <x:c r="A2002" s="4" t="n">
        <x:v>1992</x:v>
      </x:c>
      <x:c r="B2002" s="4" t="str">
        <x:v>numero telefono sky</x:v>
      </x:c>
      <x:c r="C2002" s="11" t="n">
        <x:v>1</x:v>
      </x:c>
      <x:c r="D2002" s="11" t="n">
        <x:v>13</x:v>
      </x:c>
      <x:c r="E2002" s="14" t="n">
        <x:v>0.07692307692307693</x:v>
      </x:c>
      <x:c r="F2002" s="12" t="n">
        <x:v>9.153846153846153</x:v>
      </x:c>
      <x:c r="G2002" s="4" t="str">
        <x:v>Sin marca literal</x:v>
      </x:c>
      <x:c r="H2002" s="11"/>
      <x:c r="I2002" s="11" t="str">
        <x:f>IF(H2002="","",C2002-H2002)</x:f>
      </x:c>
      <x:c r="J2002" s="4"/>
      <x:c r="K2002" s="4" t="str">
        <x:v>URLs de detalle page/query/country por clics. No asignan las impresiones de esta consulta a cada página.</x:v>
      </x:c>
    </x:row>
    <x:row r="2003" ht="28" customHeight="1">
      <x:c r="A2003" s="4" t="n">
        <x:v>1993</x:v>
      </x:c>
      <x:c r="B2003" s="4" t="str">
        <x:v>panoramas en santiago niños</x:v>
      </x:c>
      <x:c r="C2003" s="11" t="n">
        <x:v>1</x:v>
      </x:c>
      <x:c r="D2003" s="11" t="n">
        <x:v>13</x:v>
      </x:c>
      <x:c r="E2003" s="14" t="n">
        <x:v>0.07692307692307693</x:v>
      </x:c>
      <x:c r="F2003" s="12" t="n">
        <x:v>9</x:v>
      </x:c>
      <x:c r="G2003" s="4" t="str">
        <x:v>Sin marca literal</x:v>
      </x:c>
      <x:c r="H2003" s="11"/>
      <x:c r="I2003" s="11" t="str">
        <x:f>IF(H2003="","",C2003-H2003)</x:f>
      </x:c>
      <x:c r="J2003" s="4"/>
      <x:c r="K2003" s="4" t="str">
        <x:v>URLs de detalle page/query/country por clics. No asignan las impresiones de esta consulta a cada página.</x:v>
      </x:c>
    </x:row>
    <x:row r="2004" ht="28" customHeight="1">
      <x:c r="A2004" s="4" t="n">
        <x:v>1994</x:v>
      </x:c>
      <x:c r="B2004" s="4" t="str">
        <x:v>para que se documenta el equipaje</x:v>
      </x:c>
      <x:c r="C2004" s="11" t="n">
        <x:v>1</x:v>
      </x:c>
      <x:c r="D2004" s="11" t="n">
        <x:v>13</x:v>
      </x:c>
      <x:c r="E2004" s="14" t="n">
        <x:v>0.07692307692307693</x:v>
      </x:c>
      <x:c r="F2004" s="12" t="n">
        <x:v>9.76923076923077</x:v>
      </x:c>
      <x:c r="G2004" s="4" t="str">
        <x:v>Sin marca literal</x:v>
      </x:c>
      <x:c r="H2004" s="11"/>
      <x:c r="I2004" s="11" t="str">
        <x:f>IF(H2004="","",C2004-H2004)</x:f>
      </x:c>
      <x:c r="J2004" s="4"/>
      <x:c r="K2004" s="4" t="str">
        <x:v>URLs de detalle page/query/country por clics. No asignan las impresiones de esta consulta a cada página.</x:v>
      </x:c>
    </x:row>
    <x:row r="2005" ht="28" customHeight="1">
      <x:c r="A2005" s="4" t="n">
        <x:v>1995</x:v>
      </x:c>
      <x:c r="B2005" s="4" t="str">
        <x:v>para sky</x:v>
      </x:c>
      <x:c r="C2005" s="11" t="n">
        <x:v>1</x:v>
      </x:c>
      <x:c r="D2005" s="11" t="n">
        <x:v>13</x:v>
      </x:c>
      <x:c r="E2005" s="14" t="n">
        <x:v>0.07692307692307693</x:v>
      </x:c>
      <x:c r="F2005" s="12" t="n">
        <x:v>1.6923076923076923</x:v>
      </x:c>
      <x:c r="G2005" s="4" t="str">
        <x:v>Sin marca literal</x:v>
      </x:c>
      <x:c r="H2005" s="11"/>
      <x:c r="I2005" s="11" t="str">
        <x:f>IF(H2005="","",C2005-H2005)</x:f>
      </x:c>
      <x:c r="J2005" s="4"/>
      <x:c r="K2005" s="4" t="str">
        <x:v>URLs de detalle page/query/country por clics. No asignan las impresiones de esta consulta a cada página.</x:v>
      </x:c>
    </x:row>
    <x:row r="2006" ht="28" customHeight="1">
      <x:c r="A2006" s="4" t="n">
        <x:v>1996</x:v>
      </x:c>
      <x:c r="B2006" s="4" t="str">
        <x:v>playas cerca de rio de janeiro</x:v>
      </x:c>
      <x:c r="C2006" s="11" t="n">
        <x:v>1</x:v>
      </x:c>
      <x:c r="D2006" s="11" t="n">
        <x:v>13</x:v>
      </x:c>
      <x:c r="E2006" s="14" t="n">
        <x:v>0.07692307692307693</x:v>
      </x:c>
      <x:c r="F2006" s="12" t="n">
        <x:v>2.5384615384615383</x:v>
      </x:c>
      <x:c r="G2006" s="4" t="str">
        <x:v>Sin marca literal</x:v>
      </x:c>
      <x:c r="H2006" s="11"/>
      <x:c r="I2006" s="11" t="str">
        <x:f>IF(H2006="","",C2006-H2006)</x:f>
      </x:c>
      <x:c r="J2006" s="4"/>
      <x:c r="K2006" s="4" t="str">
        <x:v>URLs de detalle page/query/country por clics. No asignan las impresiones de esta consulta a cada página.</x:v>
      </x:c>
    </x:row>
    <x:row r="2007" ht="28" customHeight="1">
      <x:c r="A2007" s="4" t="n">
        <x:v>1997</x:v>
      </x:c>
      <x:c r="B2007" s="4" t="str">
        <x:v>pucon tiene aeropuerto?</x:v>
      </x:c>
      <x:c r="C2007" s="11" t="n">
        <x:v>1</x:v>
      </x:c>
      <x:c r="D2007" s="11" t="n">
        <x:v>13</x:v>
      </x:c>
      <x:c r="E2007" s="14" t="n">
        <x:v>0.07692307692307693</x:v>
      </x:c>
      <x:c r="F2007" s="12" t="n">
        <x:v>1.3846153846153846</x:v>
      </x:c>
      <x:c r="G2007" s="4" t="str">
        <x:v>Sin marca literal</x:v>
      </x:c>
      <x:c r="H2007" s="11"/>
      <x:c r="I2007" s="11" t="str">
        <x:f>IF(H2007="","",C2007-H2007)</x:f>
      </x:c>
      <x:c r="J2007" s="4"/>
      <x:c r="K2007" s="4" t="str">
        <x:v>URLs de detalle page/query/country por clics. No asignan las impresiones de esta consulta a cada página.</x:v>
      </x:c>
    </x:row>
    <x:row r="2008" ht="28" customHeight="1">
      <x:c r="A2008" s="4" t="n">
        <x:v>1998</x:v>
      </x:c>
      <x:c r="B2008" s="4" t="str">
        <x:v>que es low cost en vuelos</x:v>
      </x:c>
      <x:c r="C2008" s="11" t="n">
        <x:v>1</x:v>
      </x:c>
      <x:c r="D2008" s="11" t="n">
        <x:v>13</x:v>
      </x:c>
      <x:c r="E2008" s="14" t="n">
        <x:v>0.07692307692307693</x:v>
      </x:c>
      <x:c r="F2008" s="12" t="n">
        <x:v>7.615384615384615</x:v>
      </x:c>
      <x:c r="G2008" s="4" t="str">
        <x:v>Sin marca literal</x:v>
      </x:c>
      <x:c r="H2008" s="11"/>
      <x:c r="I2008" s="11" t="str">
        <x:f>IF(H2008="","",C2008-H2008)</x:f>
      </x:c>
      <x:c r="J2008" s="4"/>
      <x:c r="K2008" s="4" t="str">
        <x:v>URLs de detalle page/query/country por clics. No asignan las impresiones de esta consulta a cada página.</x:v>
      </x:c>
    </x:row>
    <x:row r="2009" ht="28" customHeight="1">
      <x:c r="A2009" s="4" t="n">
        <x:v>1999</x:v>
      </x:c>
      <x:c r="B2009" s="4" t="str">
        <x:v>que necesito para viajar a punta cana desde chile</x:v>
      </x:c>
      <x:c r="C2009" s="11" t="n">
        <x:v>1</x:v>
      </x:c>
      <x:c r="D2009" s="11" t="n">
        <x:v>13</x:v>
      </x:c>
      <x:c r="E2009" s="14" t="n">
        <x:v>0.07692307692307693</x:v>
      </x:c>
      <x:c r="F2009" s="12" t="n">
        <x:v>1.5384615384615383</x:v>
      </x:c>
      <x:c r="G2009" s="4" t="str">
        <x:v>Sin marca literal</x:v>
      </x:c>
      <x:c r="H2009" s="11"/>
      <x:c r="I2009" s="11" t="str">
        <x:f>IF(H2009="","",C2009-H2009)</x:f>
      </x:c>
      <x:c r="J2009" s="4"/>
      <x:c r="K2009" s="4" t="str">
        <x:v>URLs de detalle page/query/country por clics. No asignan las impresiones de esta consulta a cada página.</x:v>
      </x:c>
    </x:row>
    <x:row r="2010" ht="28" customHeight="1">
      <x:c r="A2010" s="4" t="n">
        <x:v>2000</x:v>
      </x:c>
      <x:c r="B2010" s="4" t="str">
        <x:v>se puede llevar colonia en el avion</x:v>
      </x:c>
      <x:c r="C2010" s="11" t="n">
        <x:v>1</x:v>
      </x:c>
      <x:c r="D2010" s="11" t="n">
        <x:v>13</x:v>
      </x:c>
      <x:c r="E2010" s="14" t="n">
        <x:v>0.07692307692307693</x:v>
      </x:c>
      <x:c r="F2010" s="12" t="n">
        <x:v>2.5384615384615383</x:v>
      </x:c>
      <x:c r="G2010" s="4" t="str">
        <x:v>Sin marca literal</x:v>
      </x:c>
      <x:c r="H2010" s="11"/>
      <x:c r="I2010" s="11" t="str">
        <x:f>IF(H2010="","",C2010-H2010)</x:f>
      </x:c>
      <x:c r="J2010" s="4"/>
      <x:c r="K2010" s="4" t="str">
        <x:v>URLs de detalle page/query/country por clics. No asignan las impresiones de esta consulta a cada página.</x:v>
      </x:c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</x:row>
  </x:sheetData>
  <x:pageMargins left="0.7" right="0.7" top="0.75" bottom="0.75" header="0.3" footer="0.3"/>
  <x:tableParts count="1">
    <x:tablePart xmlns:r="http://schemas.openxmlformats.org/officeDocument/2006/relationships" r:id="Rf7c9667451e74c1b"/>
  </x:tableParts>
</x:worksheet>
</file>

<file path=xl/worksheets/sheet5.xml><?xml version="1.0" encoding="utf-8"?>
<x:worksheet xmlns:x="http://schemas.openxmlformats.org/spreadsheetml/2006/main">
  <x:sheetPr>
    <x:tabColor rgb="FF50718F"/>
  </x:sheetPr>
  <x:sheetViews>
    <x:sheetView showGridLines="0" workbookViewId="0">
      <x:pane xSplit="1" ySplit="10" topLeftCell="B11" activePane="bottomRight" state="frozen"/>
    </x:sheetView>
  </x:sheetViews>
  <x:sheetFormatPr defaultRowHeight="15"/>
  <x:cols>
    <x:col min="1" max="1" width="13" hidden="0" customWidth="1"/>
    <x:col min="2" max="2" width="19" hidden="0" customWidth="1"/>
    <x:col min="3" max="3" width="25" hidden="0" customWidth="1"/>
    <x:col min="4" max="4" width="23" hidden="0" customWidth="1"/>
    <x:col min="5" max="5" width="18" hidden="0" customWidth="1"/>
    <x:col min="6" max="6" width="21" hidden="0" customWidth="1"/>
    <x:col min="7" max="7" width="22" hidden="0" customWidth="1"/>
    <x:col min="8" max="8" width="23" hidden="0" customWidth="1"/>
    <x:col min="9" max="9" width="23" hidden="0" customWidth="1"/>
    <x:col min="10" max="10" width="27" hidden="0" customWidth="1"/>
    <x:col min="11" max="11" width="43" hidden="0" customWidth="1"/>
    <x:col min="12" max="12" width="34" hidden="0" customWidth="1"/>
    <x:col min="13" max="13" width="23" hidden="0" customWidth="1"/>
    <x:col min="14" max="14" width="23" hidden="0" customWidth="1"/>
    <x:col min="15" max="15" width="25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SKY · Visibilidad de mercado en Chile y Perú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3" t="str">
        <x:v>DataForSEO Labs, target blog.skyairline.com, idioma español. Captura 15-10-2026. Países CL y PE separados.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>
      <x:c r="A5" s="3" t="str">
        <x:v>ETV es tráfico estimado de mercado. Valor publicitario equivalente en USD es un campo diferente. Ninguno equivale a GA4, ingresos o ahorro.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</x:row>
    <x:row r="6">
      <x:c r="A6" s="3" t="str">
        <x:v>Método improved_layout_clickstream_v2. Histórico calibrado y fully_recomputed se identifican por fila; no ocultar el cambio de base junio/julio 2026.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</x:row>
    <x:row r="7">
      <x:c r="A7" s="1"/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</x:row>
    <x:row r="8">
      <x:c r="A8" s="1"/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</x:row>
    <x:row r="9">
      <x:c r="A9" s="1"/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</x:row>
    <x:row r="10" ht="43" customHeight="1">
      <x:c r="A10" s="8" t="str">
        <x:v>País</x:v>
      </x:c>
      <x:c r="B10" s="8" t="str">
        <x:v>Fecha / mes</x:v>
      </x:c>
      <x:c r="C10" s="8" t="str">
        <x:v>Tipo</x:v>
      </x:c>
      <x:c r="D10" s="8" t="str">
        <x:v>Keywords orgánicas</x:v>
      </x:c>
      <x:c r="E10" s="8" t="str">
        <x:v>Posición 1</x:v>
      </x:c>
      <x:c r="F10" s="8" t="str">
        <x:v>Posiciones 2–3</x:v>
      </x:c>
      <x:c r="G10" s="8" t="str">
        <x:v>Posiciones 4–10</x:v>
      </x:c>
      <x:c r="H10" s="8" t="str">
        <x:v>Top 10 histórico</x:v>
      </x:c>
      <x:c r="I10" s="8" t="str">
        <x:v>ETV estimado</x:v>
      </x:c>
      <x:c r="J10" s="8" t="str">
        <x:v>Valor equivalente USD</x:v>
      </x:c>
      <x:c r="K10" s="8" t="str">
        <x:v>Metodología</x:v>
      </x:c>
      <x:c r="L10" s="8" t="str">
        <x:v>Base / cobertura</x:v>
      </x:c>
      <x:c r="M10" s="8" t="str">
        <x:v>Keywords muestra</x:v>
      </x:c>
      <x:c r="N10" s="8" t="str">
        <x:v>Keywords universo</x:v>
      </x:c>
      <x:c r="O10" s="8" t="str">
        <x:v>Cobertura ETV muestra</x:v>
      </x:c>
    </x:row>
    <x:row r="11" ht="28" customHeight="1">
      <x:c r="A11" s="4" t="str">
        <x:v>CL</x:v>
      </x:c>
      <x:c r="B11" s="10" t="d">
        <x:v>2026-10-15T00:00:00.000Z</x:v>
      </x:c>
      <x:c r="C11" s="4" t="str">
        <x:v>Captura actual</x:v>
      </x:c>
      <x:c r="D11" s="11" t="n">
        <x:v>5113</x:v>
      </x:c>
      <x:c r="E11" s="11" t="n">
        <x:v>63</x:v>
      </x:c>
      <x:c r="F11" s="11" t="n">
        <x:v>261</x:v>
      </x:c>
      <x:c r="G11" s="11" t="n">
        <x:v>1348</x:v>
      </x:c>
      <x:c r="H11" s="11" t="n">
        <x:f>SUM(E11:G11)</x:f>
        <x:v>1672</x:v>
      </x:c>
      <x:c r="I11" s="18" t="n">
        <x:v>18972.096540469618</x:v>
      </x:c>
      <x:c r="J11" s="18" t="n">
        <x:v>7936.8155810366825</x:v>
      </x:c>
      <x:c r="K11" s="4" t="str">
        <x:v>improved_layout_clickstream_v2</x:v>
      </x:c>
      <x:c r="L11" s="4" t="str">
        <x:v>Live; no mes completo</x:v>
      </x:c>
      <x:c r="M11" s="11" t="n">
        <x:v>200</x:v>
      </x:c>
      <x:c r="N11" s="11" t="n">
        <x:v>5113</x:v>
      </x:c>
      <x:c r="O11" s="13" t="n">
        <x:v>0.6169721951994728</x:v>
      </x:c>
    </x:row>
    <x:row r="12" ht="28" customHeight="1">
      <x:c r="A12" s="4" t="str">
        <x:v>CL</x:v>
      </x:c>
      <x:c r="B12" s="10" t="d">
        <x:v>2025-01-01T00:00:00.000Z</x:v>
      </x:c>
      <x:c r="C12" s="4" t="str">
        <x:v>Histórico proveedor</x:v>
      </x:c>
      <x:c r="D12" s="11"/>
      <x:c r="E12" s="11"/>
      <x:c r="F12" s="11"/>
      <x:c r="G12" s="11"/>
      <x:c r="H12" s="11"/>
      <x:c r="I12" s="18"/>
      <x:c r="J12" s="18"/>
      <x:c r="K12" s="4" t="str">
        <x:v>improved_layout_clickstream_v2</x:v>
      </x:c>
      <x:c r="L12" s="4" t="str">
        <x:v>calibrated_approximation</x:v>
      </x:c>
      <x:c r="M12" s="11"/>
      <x:c r="N12" s="11"/>
      <x:c r="O12" s="13"/>
    </x:row>
    <x:row r="13" ht="28" customHeight="1">
      <x:c r="A13" s="4" t="str">
        <x:v>CL</x:v>
      </x:c>
      <x:c r="B13" s="10" t="d">
        <x:v>2025-02-01T00:00:00.000Z</x:v>
      </x:c>
      <x:c r="C13" s="4" t="str">
        <x:v>Histórico proveedor</x:v>
      </x:c>
      <x:c r="D13" s="11"/>
      <x:c r="E13" s="11"/>
      <x:c r="F13" s="11"/>
      <x:c r="G13" s="11"/>
      <x:c r="H13" s="11"/>
      <x:c r="I13" s="18"/>
      <x:c r="J13" s="18"/>
      <x:c r="K13" s="4" t="str">
        <x:v>improved_layout_clickstream_v2</x:v>
      </x:c>
      <x:c r="L13" s="4" t="str">
        <x:v>calibrated_approximation</x:v>
      </x:c>
      <x:c r="M13" s="11"/>
      <x:c r="N13" s="11"/>
      <x:c r="O13" s="13"/>
    </x:row>
    <x:row r="14" ht="28" customHeight="1">
      <x:c r="A14" s="4" t="str">
        <x:v>CL</x:v>
      </x:c>
      <x:c r="B14" s="10" t="d">
        <x:v>2025-03-01T00:00:00.000Z</x:v>
      </x:c>
      <x:c r="C14" s="4" t="str">
        <x:v>Histórico proveedor</x:v>
      </x:c>
      <x:c r="D14" s="11"/>
      <x:c r="E14" s="11"/>
      <x:c r="F14" s="11"/>
      <x:c r="G14" s="11"/>
      <x:c r="H14" s="11"/>
      <x:c r="I14" s="18"/>
      <x:c r="J14" s="18"/>
      <x:c r="K14" s="4" t="str">
        <x:v>improved_layout_clickstream_v2</x:v>
      </x:c>
      <x:c r="L14" s="4" t="str">
        <x:v>calibrated_approximation</x:v>
      </x:c>
      <x:c r="M14" s="11"/>
      <x:c r="N14" s="11"/>
      <x:c r="O14" s="13"/>
    </x:row>
    <x:row r="15" ht="28" customHeight="1">
      <x:c r="A15" s="4" t="str">
        <x:v>CL</x:v>
      </x:c>
      <x:c r="B15" s="10" t="d">
        <x:v>2025-04-01T00:00:00.000Z</x:v>
      </x:c>
      <x:c r="C15" s="4" t="str">
        <x:v>Histórico proveedor</x:v>
      </x:c>
      <x:c r="D15" s="11"/>
      <x:c r="E15" s="11"/>
      <x:c r="F15" s="11"/>
      <x:c r="G15" s="11"/>
      <x:c r="H15" s="11"/>
      <x:c r="I15" s="18"/>
      <x:c r="J15" s="18"/>
      <x:c r="K15" s="4" t="str">
        <x:v>improved_layout_clickstream_v2</x:v>
      </x:c>
      <x:c r="L15" s="4" t="str">
        <x:v>calibrated_approximation</x:v>
      </x:c>
      <x:c r="M15" s="11"/>
      <x:c r="N15" s="11"/>
      <x:c r="O15" s="13"/>
    </x:row>
    <x:row r="16" ht="28" customHeight="1">
      <x:c r="A16" s="4" t="str">
        <x:v>CL</x:v>
      </x:c>
      <x:c r="B16" s="10" t="d">
        <x:v>2025-05-01T00:00:00.000Z</x:v>
      </x:c>
      <x:c r="C16" s="4" t="str">
        <x:v>Histórico proveedor</x:v>
      </x:c>
      <x:c r="D16" s="11"/>
      <x:c r="E16" s="11"/>
      <x:c r="F16" s="11"/>
      <x:c r="G16" s="11"/>
      <x:c r="H16" s="11"/>
      <x:c r="I16" s="18"/>
      <x:c r="J16" s="18"/>
      <x:c r="K16" s="4" t="str">
        <x:v>improved_layout_clickstream_v2</x:v>
      </x:c>
      <x:c r="L16" s="4" t="str">
        <x:v>calibrated_approximation</x:v>
      </x:c>
      <x:c r="M16" s="11"/>
      <x:c r="N16" s="11"/>
      <x:c r="O16" s="13"/>
    </x:row>
    <x:row r="17" ht="28" customHeight="1">
      <x:c r="A17" s="4" t="str">
        <x:v>CL</x:v>
      </x:c>
      <x:c r="B17" s="10" t="d">
        <x:v>2025-06-01T00:00:00.000Z</x:v>
      </x:c>
      <x:c r="C17" s="4" t="str">
        <x:v>Histórico proveedor</x:v>
      </x:c>
      <x:c r="D17" s="11"/>
      <x:c r="E17" s="11"/>
      <x:c r="F17" s="11"/>
      <x:c r="G17" s="11"/>
      <x:c r="H17" s="11"/>
      <x:c r="I17" s="18"/>
      <x:c r="J17" s="18"/>
      <x:c r="K17" s="4" t="str">
        <x:v>improved_layout_clickstream_v2</x:v>
      </x:c>
      <x:c r="L17" s="4" t="str">
        <x:v>calibrated_approximation</x:v>
      </x:c>
      <x:c r="M17" s="11"/>
      <x:c r="N17" s="11"/>
      <x:c r="O17" s="13"/>
    </x:row>
    <x:row r="18" ht="28" customHeight="1">
      <x:c r="A18" s="4" t="str">
        <x:v>CL</x:v>
      </x:c>
      <x:c r="B18" s="10" t="d">
        <x:v>2025-07-01T00:00:00.000Z</x:v>
      </x:c>
      <x:c r="C18" s="4" t="str">
        <x:v>Histórico proveedor</x:v>
      </x:c>
      <x:c r="D18" s="11"/>
      <x:c r="E18" s="11"/>
      <x:c r="F18" s="11"/>
      <x:c r="G18" s="11"/>
      <x:c r="H18" s="11"/>
      <x:c r="I18" s="18"/>
      <x:c r="J18" s="18"/>
      <x:c r="K18" s="4" t="str">
        <x:v>improved_layout_clickstream_v2</x:v>
      </x:c>
      <x:c r="L18" s="4" t="str">
        <x:v>calibrated_approximation</x:v>
      </x:c>
      <x:c r="M18" s="11"/>
      <x:c r="N18" s="11"/>
      <x:c r="O18" s="13"/>
    </x:row>
    <x:row r="19" ht="28" customHeight="1">
      <x:c r="A19" s="4" t="str">
        <x:v>CL</x:v>
      </x:c>
      <x:c r="B19" s="10" t="d">
        <x:v>2025-08-01T00:00:00.000Z</x:v>
      </x:c>
      <x:c r="C19" s="4" t="str">
        <x:v>Histórico proveedor</x:v>
      </x:c>
      <x:c r="D19" s="11"/>
      <x:c r="E19" s="11"/>
      <x:c r="F19" s="11"/>
      <x:c r="G19" s="11"/>
      <x:c r="H19" s="11"/>
      <x:c r="I19" s="18"/>
      <x:c r="J19" s="18"/>
      <x:c r="K19" s="4" t="str">
        <x:v>improved_layout_clickstream_v2</x:v>
      </x:c>
      <x:c r="L19" s="4" t="str">
        <x:v>calibrated_approximation</x:v>
      </x:c>
      <x:c r="M19" s="11"/>
      <x:c r="N19" s="11"/>
      <x:c r="O19" s="13"/>
    </x:row>
    <x:row r="20" ht="28" customHeight="1">
      <x:c r="A20" s="4" t="str">
        <x:v>CL</x:v>
      </x:c>
      <x:c r="B20" s="10" t="d">
        <x:v>2025-09-01T00:00:00.000Z</x:v>
      </x:c>
      <x:c r="C20" s="4" t="str">
        <x:v>Histórico proveedor</x:v>
      </x:c>
      <x:c r="D20" s="11" t="n">
        <x:v>173</x:v>
      </x:c>
      <x:c r="E20" s="11"/>
      <x:c r="F20" s="11"/>
      <x:c r="G20" s="11"/>
      <x:c r="H20" s="11" t="n">
        <x:v>43</x:v>
      </x:c>
      <x:c r="I20" s="18" t="n">
        <x:v>558.8953982472929</x:v>
      </x:c>
      <x:c r="J20" s="18" t="n">
        <x:v>141.58050028232935</x:v>
      </x:c>
      <x:c r="K20" s="4" t="str">
        <x:v>improved_layout_clickstream_v2</x:v>
      </x:c>
      <x:c r="L20" s="4" t="str">
        <x:v>calibrated_approximation</x:v>
      </x:c>
      <x:c r="M20" s="11"/>
      <x:c r="N20" s="11"/>
      <x:c r="O20" s="13"/>
    </x:row>
    <x:row r="21" ht="28" customHeight="1">
      <x:c r="A21" s="4" t="str">
        <x:v>CL</x:v>
      </x:c>
      <x:c r="B21" s="10" t="d">
        <x:v>2025-10-01T00:00:00.000Z</x:v>
      </x:c>
      <x:c r="C21" s="4" t="str">
        <x:v>Histórico proveedor</x:v>
      </x:c>
      <x:c r="D21" s="11" t="n">
        <x:v>914</x:v>
      </x:c>
      <x:c r="E21" s="11"/>
      <x:c r="F21" s="11"/>
      <x:c r="G21" s="11"/>
      <x:c r="H21" s="11" t="n">
        <x:v>183</x:v>
      </x:c>
      <x:c r="I21" s="18" t="n">
        <x:v>1109.7742155115805</x:v>
      </x:c>
      <x:c r="J21" s="18" t="n">
        <x:v>378.6930646062506</x:v>
      </x:c>
      <x:c r="K21" s="4" t="str">
        <x:v>improved_layout_clickstream_v2</x:v>
      </x:c>
      <x:c r="L21" s="4" t="str">
        <x:v>calibrated_approximation</x:v>
      </x:c>
      <x:c r="M21" s="11"/>
      <x:c r="N21" s="11"/>
      <x:c r="O21" s="13"/>
    </x:row>
    <x:row r="22" ht="28" customHeight="1">
      <x:c r="A22" s="4" t="str">
        <x:v>CL</x:v>
      </x:c>
      <x:c r="B22" s="10" t="d">
        <x:v>2025-11-01T00:00:00.000Z</x:v>
      </x:c>
      <x:c r="C22" s="4" t="str">
        <x:v>Histórico proveedor</x:v>
      </x:c>
      <x:c r="D22" s="11" t="n">
        <x:v>3656</x:v>
      </x:c>
      <x:c r="E22" s="11"/>
      <x:c r="F22" s="11"/>
      <x:c r="G22" s="11"/>
      <x:c r="H22" s="11" t="n">
        <x:v>945</x:v>
      </x:c>
      <x:c r="I22" s="18" t="n">
        <x:v>10078.28137155188</x:v>
      </x:c>
      <x:c r="J22" s="18" t="n">
        <x:v>3556.101170196608</x:v>
      </x:c>
      <x:c r="K22" s="4" t="str">
        <x:v>improved_layout_clickstream_v2</x:v>
      </x:c>
      <x:c r="L22" s="4" t="str">
        <x:v>calibrated_approximation</x:v>
      </x:c>
      <x:c r="M22" s="11"/>
      <x:c r="N22" s="11"/>
      <x:c r="O22" s="13"/>
    </x:row>
    <x:row r="23" ht="28" customHeight="1">
      <x:c r="A23" s="4" t="str">
        <x:v>CL</x:v>
      </x:c>
      <x:c r="B23" s="10" t="d">
        <x:v>2025-12-01T00:00:00.000Z</x:v>
      </x:c>
      <x:c r="C23" s="4" t="str">
        <x:v>Histórico proveedor</x:v>
      </x:c>
      <x:c r="D23" s="11" t="n">
        <x:v>5120</x:v>
      </x:c>
      <x:c r="E23" s="11"/>
      <x:c r="F23" s="11"/>
      <x:c r="G23" s="11"/>
      <x:c r="H23" s="11" t="n">
        <x:v>1306</x:v>
      </x:c>
      <x:c r="I23" s="18" t="n">
        <x:v>16230.897036573377</x:v>
      </x:c>
      <x:c r="J23" s="18" t="n">
        <x:v>6244.871832882944</x:v>
      </x:c>
      <x:c r="K23" s="4" t="str">
        <x:v>improved_layout_clickstream_v2</x:v>
      </x:c>
      <x:c r="L23" s="4" t="str">
        <x:v>calibrated_approximation</x:v>
      </x:c>
      <x:c r="M23" s="11"/>
      <x:c r="N23" s="11"/>
      <x:c r="O23" s="13"/>
    </x:row>
    <x:row r="24" ht="28" customHeight="1">
      <x:c r="A24" s="4" t="str">
        <x:v>CL</x:v>
      </x:c>
      <x:c r="B24" s="10" t="d">
        <x:v>2026-01-01T00:00:00.000Z</x:v>
      </x:c>
      <x:c r="C24" s="4" t="str">
        <x:v>Histórico proveedor</x:v>
      </x:c>
      <x:c r="D24" s="11" t="n">
        <x:v>5562</x:v>
      </x:c>
      <x:c r="E24" s="11"/>
      <x:c r="F24" s="11"/>
      <x:c r="G24" s="11"/>
      <x:c r="H24" s="11" t="n">
        <x:v>1630</x:v>
      </x:c>
      <x:c r="I24" s="18" t="n">
        <x:v>18677.908203096</x:v>
      </x:c>
      <x:c r="J24" s="18" t="n">
        <x:v>7629.795863219107</x:v>
      </x:c>
      <x:c r="K24" s="4" t="str">
        <x:v>improved_layout_clickstream_v2</x:v>
      </x:c>
      <x:c r="L24" s="4" t="str">
        <x:v>calibrated_approximation</x:v>
      </x:c>
      <x:c r="M24" s="11"/>
      <x:c r="N24" s="11"/>
      <x:c r="O24" s="13"/>
    </x:row>
    <x:row r="25" ht="28" customHeight="1">
      <x:c r="A25" s="4" t="str">
        <x:v>CL</x:v>
      </x:c>
      <x:c r="B25" s="10" t="d">
        <x:v>2026-02-01T00:00:00.000Z</x:v>
      </x:c>
      <x:c r="C25" s="4" t="str">
        <x:v>Histórico proveedor</x:v>
      </x:c>
      <x:c r="D25" s="11" t="n">
        <x:v>5519</x:v>
      </x:c>
      <x:c r="E25" s="11"/>
      <x:c r="F25" s="11"/>
      <x:c r="G25" s="11"/>
      <x:c r="H25" s="11" t="n">
        <x:v>1771</x:v>
      </x:c>
      <x:c r="I25" s="18" t="n">
        <x:v>22051.3456038319</x:v>
      </x:c>
      <x:c r="J25" s="18" t="n">
        <x:v>9909.191583998685</x:v>
      </x:c>
      <x:c r="K25" s="4" t="str">
        <x:v>improved_layout_clickstream_v2</x:v>
      </x:c>
      <x:c r="L25" s="4" t="str">
        <x:v>calibrated_approximation</x:v>
      </x:c>
      <x:c r="M25" s="11"/>
      <x:c r="N25" s="11"/>
      <x:c r="O25" s="13"/>
    </x:row>
    <x:row r="26" ht="28" customHeight="1">
      <x:c r="A26" s="4" t="str">
        <x:v>CL</x:v>
      </x:c>
      <x:c r="B26" s="10" t="d">
        <x:v>2026-03-01T00:00:00.000Z</x:v>
      </x:c>
      <x:c r="C26" s="4" t="str">
        <x:v>Histórico proveedor</x:v>
      </x:c>
      <x:c r="D26" s="11" t="n">
        <x:v>5864</x:v>
      </x:c>
      <x:c r="E26" s="11"/>
      <x:c r="F26" s="11"/>
      <x:c r="G26" s="11"/>
      <x:c r="H26" s="11" t="n">
        <x:v>1963</x:v>
      </x:c>
      <x:c r="I26" s="18" t="n">
        <x:v>23158.61463438888</x:v>
      </x:c>
      <x:c r="J26" s="18" t="n">
        <x:v>11426.545194265555</x:v>
      </x:c>
      <x:c r="K26" s="4" t="str">
        <x:v>improved_layout_clickstream_v2</x:v>
      </x:c>
      <x:c r="L26" s="4" t="str">
        <x:v>calibrated_approximation</x:v>
      </x:c>
      <x:c r="M26" s="11"/>
      <x:c r="N26" s="11"/>
      <x:c r="O26" s="13"/>
    </x:row>
    <x:row r="27" ht="28" customHeight="1">
      <x:c r="A27" s="4" t="str">
        <x:v>CL</x:v>
      </x:c>
      <x:c r="B27" s="10" t="d">
        <x:v>2026-04-01T00:00:00.000Z</x:v>
      </x:c>
      <x:c r="C27" s="4" t="str">
        <x:v>Histórico proveedor</x:v>
      </x:c>
      <x:c r="D27" s="11" t="n">
        <x:v>5029</x:v>
      </x:c>
      <x:c r="E27" s="11"/>
      <x:c r="F27" s="11"/>
      <x:c r="G27" s="11"/>
      <x:c r="H27" s="11" t="n">
        <x:v>1917</x:v>
      </x:c>
      <x:c r="I27" s="18" t="n">
        <x:v>23583.017194287226</x:v>
      </x:c>
      <x:c r="J27" s="18" t="n">
        <x:v>12392.36559308296</x:v>
      </x:c>
      <x:c r="K27" s="4" t="str">
        <x:v>improved_layout_clickstream_v2</x:v>
      </x:c>
      <x:c r="L27" s="4" t="str">
        <x:v>calibrated_approximation</x:v>
      </x:c>
      <x:c r="M27" s="11"/>
      <x:c r="N27" s="11"/>
      <x:c r="O27" s="13"/>
    </x:row>
    <x:row r="28" ht="28" customHeight="1">
      <x:c r="A28" s="4" t="str">
        <x:v>CL</x:v>
      </x:c>
      <x:c r="B28" s="10" t="d">
        <x:v>2026-05-01T00:00:00.000Z</x:v>
      </x:c>
      <x:c r="C28" s="4" t="str">
        <x:v>Histórico proveedor</x:v>
      </x:c>
      <x:c r="D28" s="11" t="n">
        <x:v>3788</x:v>
      </x:c>
      <x:c r="E28" s="11"/>
      <x:c r="F28" s="11"/>
      <x:c r="G28" s="11"/>
      <x:c r="H28" s="11" t="n">
        <x:v>1757</x:v>
      </x:c>
      <x:c r="I28" s="18" t="n">
        <x:v>20589.50653385377</x:v>
      </x:c>
      <x:c r="J28" s="18" t="n">
        <x:v>14161.30941358447</x:v>
      </x:c>
      <x:c r="K28" s="4" t="str">
        <x:v>improved_layout_clickstream_v2</x:v>
      </x:c>
      <x:c r="L28" s="4" t="str">
        <x:v>calibrated_approximation</x:v>
      </x:c>
      <x:c r="M28" s="11"/>
      <x:c r="N28" s="11"/>
      <x:c r="O28" s="13"/>
    </x:row>
    <x:row r="29" ht="28" customHeight="1">
      <x:c r="A29" s="4" t="str">
        <x:v>CL</x:v>
      </x:c>
      <x:c r="B29" s="10" t="d">
        <x:v>2026-06-01T00:00:00.000Z</x:v>
      </x:c>
      <x:c r="C29" s="4" t="str">
        <x:v>Histórico proveedor</x:v>
      </x:c>
      <x:c r="D29" s="11" t="n">
        <x:v>4009</x:v>
      </x:c>
      <x:c r="E29" s="11"/>
      <x:c r="F29" s="11"/>
      <x:c r="G29" s="11"/>
      <x:c r="H29" s="11" t="n">
        <x:v>1848</x:v>
      </x:c>
      <x:c r="I29" s="18" t="n">
        <x:v>19983.27515064143</x:v>
      </x:c>
      <x:c r="J29" s="18" t="n">
        <x:v>10978.658021489735</x:v>
      </x:c>
      <x:c r="K29" s="4" t="str">
        <x:v>improved_layout_clickstream_v2</x:v>
      </x:c>
      <x:c r="L29" s="4" t="str">
        <x:v>calibrated_approximation</x:v>
      </x:c>
      <x:c r="M29" s="11"/>
      <x:c r="N29" s="11"/>
      <x:c r="O29" s="13"/>
    </x:row>
    <x:row r="30" ht="28" customHeight="1">
      <x:c r="A30" s="4" t="str">
        <x:v>CL</x:v>
      </x:c>
      <x:c r="B30" s="10" t="d">
        <x:v>2026-07-01T00:00:00.000Z</x:v>
      </x:c>
      <x:c r="C30" s="4" t="str">
        <x:v>Histórico proveedor</x:v>
      </x:c>
      <x:c r="D30" s="11" t="n">
        <x:v>3960</x:v>
      </x:c>
      <x:c r="E30" s="11"/>
      <x:c r="F30" s="11"/>
      <x:c r="G30" s="11"/>
      <x:c r="H30" s="11" t="n">
        <x:v>1648</x:v>
      </x:c>
      <x:c r="I30" s="18" t="n">
        <x:v>17825.655207137657</x:v>
      </x:c>
      <x:c r="J30" s="18" t="n">
        <x:v>11369.14194734925</x:v>
      </x:c>
      <x:c r="K30" s="4" t="str">
        <x:v>improved_layout_clickstream_v2</x:v>
      </x:c>
      <x:c r="L30" s="4" t="str">
        <x:v>fully_recomputed</x:v>
      </x:c>
      <x:c r="M30" s="11"/>
      <x:c r="N30" s="11"/>
      <x:c r="O30" s="13"/>
    </x:row>
    <x:row r="31" ht="28" customHeight="1">
      <x:c r="A31" s="4" t="str">
        <x:v>CL</x:v>
      </x:c>
      <x:c r="B31" s="10" t="d">
        <x:v>2026-08-01T00:00:00.000Z</x:v>
      </x:c>
      <x:c r="C31" s="4" t="str">
        <x:v>Histórico proveedor</x:v>
      </x:c>
      <x:c r="D31" s="11" t="n">
        <x:v>4614</x:v>
      </x:c>
      <x:c r="E31" s="11"/>
      <x:c r="F31" s="11"/>
      <x:c r="G31" s="11"/>
      <x:c r="H31" s="11" t="n">
        <x:v>1788</x:v>
      </x:c>
      <x:c r="I31" s="18" t="n">
        <x:v>18666.26225019715</x:v>
      </x:c>
      <x:c r="J31" s="18" t="n">
        <x:v>11202.52619153493</x:v>
      </x:c>
      <x:c r="K31" s="4" t="str">
        <x:v>improved_layout_clickstream_v2</x:v>
      </x:c>
      <x:c r="L31" s="4" t="str">
        <x:v>fully_recomputed</x:v>
      </x:c>
      <x:c r="M31" s="11"/>
      <x:c r="N31" s="11"/>
      <x:c r="O31" s="13"/>
    </x:row>
    <x:row r="32" ht="28" customHeight="1">
      <x:c r="A32" s="4" t="str">
        <x:v>CL</x:v>
      </x:c>
      <x:c r="B32" s="10" t="d">
        <x:v>2026-09-01T00:00:00.000Z</x:v>
      </x:c>
      <x:c r="C32" s="4" t="str">
        <x:v>Histórico proveedor</x:v>
      </x:c>
      <x:c r="D32" s="11" t="n">
        <x:v>4981</x:v>
      </x:c>
      <x:c r="E32" s="11"/>
      <x:c r="F32" s="11"/>
      <x:c r="G32" s="11"/>
      <x:c r="H32" s="11" t="n">
        <x:v>1698</x:v>
      </x:c>
      <x:c r="I32" s="18" t="n">
        <x:v>19239.075700207366</x:v>
      </x:c>
      <x:c r="J32" s="18" t="n">
        <x:v>8858.603132289418</x:v>
      </x:c>
      <x:c r="K32" s="4" t="str">
        <x:v>improved_layout_clickstream_v2</x:v>
      </x:c>
      <x:c r="L32" s="4" t="str">
        <x:v>fully_recomputed</x:v>
      </x:c>
      <x:c r="M32" s="11"/>
      <x:c r="N32" s="11"/>
      <x:c r="O32" s="13"/>
    </x:row>
    <x:row r="33" ht="28" customHeight="1">
      <x:c r="A33" s="4" t="str">
        <x:v>PE</x:v>
      </x:c>
      <x:c r="B33" s="10" t="d">
        <x:v>2026-10-15T00:00:00.000Z</x:v>
      </x:c>
      <x:c r="C33" s="4" t="str">
        <x:v>Captura actual</x:v>
      </x:c>
      <x:c r="D33" s="11" t="n">
        <x:v>1798</x:v>
      </x:c>
      <x:c r="E33" s="11" t="n">
        <x:v>13</x:v>
      </x:c>
      <x:c r="F33" s="11" t="n">
        <x:v>34</x:v>
      </x:c>
      <x:c r="G33" s="11" t="n">
        <x:v>301</x:v>
      </x:c>
      <x:c r="H33" s="11" t="n">
        <x:f>SUM(E33:G33)</x:f>
        <x:v>348</x:v>
      </x:c>
      <x:c r="I33" s="18" t="n">
        <x:v>6819.036898620456</x:v>
      </x:c>
      <x:c r="J33" s="18" t="n">
        <x:v>2796.322551200563</x:v>
      </x:c>
      <x:c r="K33" s="4" t="str">
        <x:v>improved_layout_clickstream_v2</x:v>
      </x:c>
      <x:c r="L33" s="4" t="str">
        <x:v>Live; no mes completo</x:v>
      </x:c>
      <x:c r="M33" s="11" t="n">
        <x:v>200</x:v>
      </x:c>
      <x:c r="N33" s="11" t="n">
        <x:v>1798</x:v>
      </x:c>
      <x:c r="O33" s="13" t="n">
        <x:v>0.8372036524048219</x:v>
      </x:c>
    </x:row>
    <x:row r="34" ht="28" customHeight="1">
      <x:c r="A34" s="4" t="str">
        <x:v>PE</x:v>
      </x:c>
      <x:c r="B34" s="10" t="d">
        <x:v>2025-01-01T00:00:00.000Z</x:v>
      </x:c>
      <x:c r="C34" s="4" t="str">
        <x:v>Histórico proveedor</x:v>
      </x:c>
      <x:c r="D34" s="11"/>
      <x:c r="E34" s="11"/>
      <x:c r="F34" s="11"/>
      <x:c r="G34" s="11"/>
      <x:c r="H34" s="11"/>
      <x:c r="I34" s="18"/>
      <x:c r="J34" s="18"/>
      <x:c r="K34" s="4" t="str">
        <x:v>improved_layout_clickstream_v2</x:v>
      </x:c>
      <x:c r="L34" s="4" t="str">
        <x:v>calibrated_approximation</x:v>
      </x:c>
      <x:c r="M34" s="11"/>
      <x:c r="N34" s="11"/>
      <x:c r="O34" s="13"/>
    </x:row>
    <x:row r="35" ht="28" customHeight="1">
      <x:c r="A35" s="4" t="str">
        <x:v>PE</x:v>
      </x:c>
      <x:c r="B35" s="10" t="d">
        <x:v>2025-02-01T00:00:00.000Z</x:v>
      </x:c>
      <x:c r="C35" s="4" t="str">
        <x:v>Histórico proveedor</x:v>
      </x:c>
      <x:c r="D35" s="11"/>
      <x:c r="E35" s="11"/>
      <x:c r="F35" s="11"/>
      <x:c r="G35" s="11"/>
      <x:c r="H35" s="11"/>
      <x:c r="I35" s="18"/>
      <x:c r="J35" s="18"/>
      <x:c r="K35" s="4" t="str">
        <x:v>improved_layout_clickstream_v2</x:v>
      </x:c>
      <x:c r="L35" s="4" t="str">
        <x:v>calibrated_approximation</x:v>
      </x:c>
      <x:c r="M35" s="11"/>
      <x:c r="N35" s="11"/>
      <x:c r="O35" s="13"/>
    </x:row>
    <x:row r="36" ht="28" customHeight="1">
      <x:c r="A36" s="4" t="str">
        <x:v>PE</x:v>
      </x:c>
      <x:c r="B36" s="10" t="d">
        <x:v>2025-03-01T00:00:00.000Z</x:v>
      </x:c>
      <x:c r="C36" s="4" t="str">
        <x:v>Histórico proveedor</x:v>
      </x:c>
      <x:c r="D36" s="11"/>
      <x:c r="E36" s="11"/>
      <x:c r="F36" s="11"/>
      <x:c r="G36" s="11"/>
      <x:c r="H36" s="11"/>
      <x:c r="I36" s="18"/>
      <x:c r="J36" s="18"/>
      <x:c r="K36" s="4" t="str">
        <x:v>improved_layout_clickstream_v2</x:v>
      </x:c>
      <x:c r="L36" s="4" t="str">
        <x:v>calibrated_approximation</x:v>
      </x:c>
      <x:c r="M36" s="11"/>
      <x:c r="N36" s="11"/>
      <x:c r="O36" s="13"/>
    </x:row>
    <x:row r="37" ht="28" customHeight="1">
      <x:c r="A37" s="4" t="str">
        <x:v>PE</x:v>
      </x:c>
      <x:c r="B37" s="10" t="d">
        <x:v>2025-04-01T00:00:00.000Z</x:v>
      </x:c>
      <x:c r="C37" s="4" t="str">
        <x:v>Histórico proveedor</x:v>
      </x:c>
      <x:c r="D37" s="11"/>
      <x:c r="E37" s="11"/>
      <x:c r="F37" s="11"/>
      <x:c r="G37" s="11"/>
      <x:c r="H37" s="11"/>
      <x:c r="I37" s="18"/>
      <x:c r="J37" s="18"/>
      <x:c r="K37" s="4" t="str">
        <x:v>improved_layout_clickstream_v2</x:v>
      </x:c>
      <x:c r="L37" s="4" t="str">
        <x:v>calibrated_approximation</x:v>
      </x:c>
      <x:c r="M37" s="11"/>
      <x:c r="N37" s="11"/>
      <x:c r="O37" s="13"/>
    </x:row>
    <x:row r="38" ht="28" customHeight="1">
      <x:c r="A38" s="4" t="str">
        <x:v>PE</x:v>
      </x:c>
      <x:c r="B38" s="10" t="d">
        <x:v>2025-05-01T00:00:00.000Z</x:v>
      </x:c>
      <x:c r="C38" s="4" t="str">
        <x:v>Histórico proveedor</x:v>
      </x:c>
      <x:c r="D38" s="11"/>
      <x:c r="E38" s="11"/>
      <x:c r="F38" s="11"/>
      <x:c r="G38" s="11"/>
      <x:c r="H38" s="11"/>
      <x:c r="I38" s="18"/>
      <x:c r="J38" s="18"/>
      <x:c r="K38" s="4" t="str">
        <x:v>improved_layout_clickstream_v2</x:v>
      </x:c>
      <x:c r="L38" s="4" t="str">
        <x:v>calibrated_approximation</x:v>
      </x:c>
      <x:c r="M38" s="11"/>
      <x:c r="N38" s="11"/>
      <x:c r="O38" s="13"/>
    </x:row>
    <x:row r="39" ht="28" customHeight="1">
      <x:c r="A39" s="4" t="str">
        <x:v>PE</x:v>
      </x:c>
      <x:c r="B39" s="10" t="d">
        <x:v>2025-06-01T00:00:00.000Z</x:v>
      </x:c>
      <x:c r="C39" s="4" t="str">
        <x:v>Histórico proveedor</x:v>
      </x:c>
      <x:c r="D39" s="11"/>
      <x:c r="E39" s="11"/>
      <x:c r="F39" s="11"/>
      <x:c r="G39" s="11"/>
      <x:c r="H39" s="11"/>
      <x:c r="I39" s="18"/>
      <x:c r="J39" s="18"/>
      <x:c r="K39" s="4" t="str">
        <x:v>improved_layout_clickstream_v2</x:v>
      </x:c>
      <x:c r="L39" s="4" t="str">
        <x:v>calibrated_approximation</x:v>
      </x:c>
      <x:c r="M39" s="11"/>
      <x:c r="N39" s="11"/>
      <x:c r="O39" s="13"/>
    </x:row>
    <x:row r="40" ht="28" customHeight="1">
      <x:c r="A40" s="4" t="str">
        <x:v>PE</x:v>
      </x:c>
      <x:c r="B40" s="10" t="d">
        <x:v>2025-07-01T00:00:00.000Z</x:v>
      </x:c>
      <x:c r="C40" s="4" t="str">
        <x:v>Histórico proveedor</x:v>
      </x:c>
      <x:c r="D40" s="11"/>
      <x:c r="E40" s="11"/>
      <x:c r="F40" s="11"/>
      <x:c r="G40" s="11"/>
      <x:c r="H40" s="11"/>
      <x:c r="I40" s="18"/>
      <x:c r="J40" s="18"/>
      <x:c r="K40" s="4" t="str">
        <x:v>improved_layout_clickstream_v2</x:v>
      </x:c>
      <x:c r="L40" s="4" t="str">
        <x:v>calibrated_approximation</x:v>
      </x:c>
      <x:c r="M40" s="11"/>
      <x:c r="N40" s="11"/>
      <x:c r="O40" s="13"/>
    </x:row>
    <x:row r="41" ht="28" customHeight="1">
      <x:c r="A41" s="4" t="str">
        <x:v>PE</x:v>
      </x:c>
      <x:c r="B41" s="10" t="d">
        <x:v>2025-08-01T00:00:00.000Z</x:v>
      </x:c>
      <x:c r="C41" s="4" t="str">
        <x:v>Histórico proveedor</x:v>
      </x:c>
      <x:c r="D41" s="11"/>
      <x:c r="E41" s="11"/>
      <x:c r="F41" s="11"/>
      <x:c r="G41" s="11"/>
      <x:c r="H41" s="11"/>
      <x:c r="I41" s="18"/>
      <x:c r="J41" s="18"/>
      <x:c r="K41" s="4" t="str">
        <x:v>improved_layout_clickstream_v2</x:v>
      </x:c>
      <x:c r="L41" s="4" t="str">
        <x:v>calibrated_approximation</x:v>
      </x:c>
      <x:c r="M41" s="11"/>
      <x:c r="N41" s="11"/>
      <x:c r="O41" s="13"/>
    </x:row>
    <x:row r="42" ht="28" customHeight="1">
      <x:c r="A42" s="4" t="str">
        <x:v>PE</x:v>
      </x:c>
      <x:c r="B42" s="10" t="d">
        <x:v>2025-09-01T00:00:00.000Z</x:v>
      </x:c>
      <x:c r="C42" s="4" t="str">
        <x:v>Histórico proveedor</x:v>
      </x:c>
      <x:c r="D42" s="11" t="n">
        <x:v>31</x:v>
      </x:c>
      <x:c r="E42" s="11"/>
      <x:c r="F42" s="11"/>
      <x:c r="G42" s="11"/>
      <x:c r="H42" s="11" t="n">
        <x:v>3</x:v>
      </x:c>
      <x:c r="I42" s="18" t="n">
        <x:v>21.223041206500827</x:v>
      </x:c>
      <x:c r="J42" s="18" t="n">
        <x:v>20.314693994231657</x:v>
      </x:c>
      <x:c r="K42" s="4" t="str">
        <x:v>improved_layout_clickstream_v2</x:v>
      </x:c>
      <x:c r="L42" s="4" t="str">
        <x:v>calibrated_approximation</x:v>
      </x:c>
      <x:c r="M42" s="11"/>
      <x:c r="N42" s="11"/>
      <x:c r="O42" s="13"/>
    </x:row>
    <x:row r="43" ht="28" customHeight="1">
      <x:c r="A43" s="4" t="str">
        <x:v>PE</x:v>
      </x:c>
      <x:c r="B43" s="10" t="d">
        <x:v>2025-10-01T00:00:00.000Z</x:v>
      </x:c>
      <x:c r="C43" s="4" t="str">
        <x:v>Histórico proveedor</x:v>
      </x:c>
      <x:c r="D43" s="11" t="n">
        <x:v>197</x:v>
      </x:c>
      <x:c r="E43" s="11"/>
      <x:c r="F43" s="11"/>
      <x:c r="G43" s="11"/>
      <x:c r="H43" s="11" t="n">
        <x:v>36</x:v>
      </x:c>
      <x:c r="I43" s="18" t="n">
        <x:v>237.61843977338629</x:v>
      </x:c>
      <x:c r="J43" s="18" t="n">
        <x:v>72.7141998659142</x:v>
      </x:c>
      <x:c r="K43" s="4" t="str">
        <x:v>improved_layout_clickstream_v2</x:v>
      </x:c>
      <x:c r="L43" s="4" t="str">
        <x:v>calibrated_approximation</x:v>
      </x:c>
      <x:c r="M43" s="11"/>
      <x:c r="N43" s="11"/>
      <x:c r="O43" s="13"/>
    </x:row>
    <x:row r="44" ht="28" customHeight="1">
      <x:c r="A44" s="4" t="str">
        <x:v>PE</x:v>
      </x:c>
      <x:c r="B44" s="10" t="d">
        <x:v>2025-11-01T00:00:00.000Z</x:v>
      </x:c>
      <x:c r="C44" s="4" t="str">
        <x:v>Histórico proveedor</x:v>
      </x:c>
      <x:c r="D44" s="11" t="n">
        <x:v>1272</x:v>
      </x:c>
      <x:c r="E44" s="11"/>
      <x:c r="F44" s="11"/>
      <x:c r="G44" s="11"/>
      <x:c r="H44" s="11" t="n">
        <x:v>228</x:v>
      </x:c>
      <x:c r="I44" s="18" t="n">
        <x:v>2089.13097632</x:v>
      </x:c>
      <x:c r="J44" s="18" t="n">
        <x:v>403.9989456365453</x:v>
      </x:c>
      <x:c r="K44" s="4" t="str">
        <x:v>improved_layout_clickstream_v2</x:v>
      </x:c>
      <x:c r="L44" s="4" t="str">
        <x:v>calibrated_approximation</x:v>
      </x:c>
      <x:c r="M44" s="11"/>
      <x:c r="N44" s="11"/>
      <x:c r="O44" s="13"/>
    </x:row>
    <x:row r="45" ht="28" customHeight="1">
      <x:c r="A45" s="4" t="str">
        <x:v>PE</x:v>
      </x:c>
      <x:c r="B45" s="10" t="d">
        <x:v>2025-12-01T00:00:00.000Z</x:v>
      </x:c>
      <x:c r="C45" s="4" t="str">
        <x:v>Histórico proveedor</x:v>
      </x:c>
      <x:c r="D45" s="11" t="n">
        <x:v>2065</x:v>
      </x:c>
      <x:c r="E45" s="11"/>
      <x:c r="F45" s="11"/>
      <x:c r="G45" s="11"/>
      <x:c r="H45" s="11" t="n">
        <x:v>352</x:v>
      </x:c>
      <x:c r="I45" s="18" t="n">
        <x:v>5004.6554895826375</x:v>
      </x:c>
      <x:c r="J45" s="18" t="n">
        <x:v>1594.078602705655</x:v>
      </x:c>
      <x:c r="K45" s="4" t="str">
        <x:v>improved_layout_clickstream_v2</x:v>
      </x:c>
      <x:c r="L45" s="4" t="str">
        <x:v>calibrated_approximation</x:v>
      </x:c>
      <x:c r="M45" s="11"/>
      <x:c r="N45" s="11"/>
      <x:c r="O45" s="13"/>
    </x:row>
    <x:row r="46" ht="28" customHeight="1">
      <x:c r="A46" s="4" t="str">
        <x:v>PE</x:v>
      </x:c>
      <x:c r="B46" s="10" t="d">
        <x:v>2026-01-01T00:00:00.000Z</x:v>
      </x:c>
      <x:c r="C46" s="4" t="str">
        <x:v>Histórico proveedor</x:v>
      </x:c>
      <x:c r="D46" s="11" t="n">
        <x:v>2214</x:v>
      </x:c>
      <x:c r="E46" s="11"/>
      <x:c r="F46" s="11"/>
      <x:c r="G46" s="11"/>
      <x:c r="H46" s="11" t="n">
        <x:v>427</x:v>
      </x:c>
      <x:c r="I46" s="18" t="n">
        <x:v>6573.290474729485</x:v>
      </x:c>
      <x:c r="J46" s="18" t="n">
        <x:v>2162.949291806503</x:v>
      </x:c>
      <x:c r="K46" s="4" t="str">
        <x:v>improved_layout_clickstream_v2</x:v>
      </x:c>
      <x:c r="L46" s="4" t="str">
        <x:v>calibrated_approximation</x:v>
      </x:c>
      <x:c r="M46" s="11"/>
      <x:c r="N46" s="11"/>
      <x:c r="O46" s="13"/>
    </x:row>
    <x:row r="47" ht="28" customHeight="1">
      <x:c r="A47" s="4" t="str">
        <x:v>PE</x:v>
      </x:c>
      <x:c r="B47" s="10" t="d">
        <x:v>2026-02-01T00:00:00.000Z</x:v>
      </x:c>
      <x:c r="C47" s="4" t="str">
        <x:v>Histórico proveedor</x:v>
      </x:c>
      <x:c r="D47" s="11" t="n">
        <x:v>2338</x:v>
      </x:c>
      <x:c r="E47" s="11"/>
      <x:c r="F47" s="11"/>
      <x:c r="G47" s="11"/>
      <x:c r="H47" s="11" t="n">
        <x:v>474</x:v>
      </x:c>
      <x:c r="I47" s="18" t="n">
        <x:v>7051.558653589859</x:v>
      </x:c>
      <x:c r="J47" s="18" t="n">
        <x:v>1933.6352154407991</x:v>
      </x:c>
      <x:c r="K47" s="4" t="str">
        <x:v>improved_layout_clickstream_v2</x:v>
      </x:c>
      <x:c r="L47" s="4" t="str">
        <x:v>calibrated_approximation</x:v>
      </x:c>
      <x:c r="M47" s="11"/>
      <x:c r="N47" s="11"/>
      <x:c r="O47" s="13"/>
    </x:row>
    <x:row r="48" ht="28" customHeight="1">
      <x:c r="A48" s="4" t="str">
        <x:v>PE</x:v>
      </x:c>
      <x:c r="B48" s="10" t="d">
        <x:v>2026-03-01T00:00:00.000Z</x:v>
      </x:c>
      <x:c r="C48" s="4" t="str">
        <x:v>Histórico proveedor</x:v>
      </x:c>
      <x:c r="D48" s="11" t="n">
        <x:v>2055</x:v>
      </x:c>
      <x:c r="E48" s="11"/>
      <x:c r="F48" s="11"/>
      <x:c r="G48" s="11"/>
      <x:c r="H48" s="11" t="n">
        <x:v>447</x:v>
      </x:c>
      <x:c r="I48" s="18" t="n">
        <x:v>7321.968336453983</x:v>
      </x:c>
      <x:c r="J48" s="18" t="n">
        <x:v>2141.3619349894952</x:v>
      </x:c>
      <x:c r="K48" s="4" t="str">
        <x:v>improved_layout_clickstream_v2</x:v>
      </x:c>
      <x:c r="L48" s="4" t="str">
        <x:v>calibrated_approximation</x:v>
      </x:c>
      <x:c r="M48" s="11"/>
      <x:c r="N48" s="11"/>
      <x:c r="O48" s="13"/>
    </x:row>
    <x:row r="49" ht="28" customHeight="1">
      <x:c r="A49" s="4" t="str">
        <x:v>PE</x:v>
      </x:c>
      <x:c r="B49" s="10" t="d">
        <x:v>2026-04-01T00:00:00.000Z</x:v>
      </x:c>
      <x:c r="C49" s="4" t="str">
        <x:v>Histórico proveedor</x:v>
      </x:c>
      <x:c r="D49" s="11" t="n">
        <x:v>1787</x:v>
      </x:c>
      <x:c r="E49" s="11"/>
      <x:c r="F49" s="11"/>
      <x:c r="G49" s="11"/>
      <x:c r="H49" s="11" t="n">
        <x:v>502</x:v>
      </x:c>
      <x:c r="I49" s="18" t="n">
        <x:v>7569.814370733938</x:v>
      </x:c>
      <x:c r="J49" s="18" t="n">
        <x:v>2443.6089687555386</x:v>
      </x:c>
      <x:c r="K49" s="4" t="str">
        <x:v>improved_layout_clickstream_v2</x:v>
      </x:c>
      <x:c r="L49" s="4" t="str">
        <x:v>calibrated_approximation</x:v>
      </x:c>
      <x:c r="M49" s="11"/>
      <x:c r="N49" s="11"/>
      <x:c r="O49" s="13"/>
    </x:row>
    <x:row r="50" ht="28" customHeight="1">
      <x:c r="A50" s="4" t="str">
        <x:v>PE</x:v>
      </x:c>
      <x:c r="B50" s="10" t="d">
        <x:v>2026-05-01T00:00:00.000Z</x:v>
      </x:c>
      <x:c r="C50" s="4" t="str">
        <x:v>Histórico proveedor</x:v>
      </x:c>
      <x:c r="D50" s="11" t="n">
        <x:v>1388</x:v>
      </x:c>
      <x:c r="E50" s="11"/>
      <x:c r="F50" s="11"/>
      <x:c r="G50" s="11"/>
      <x:c r="H50" s="11" t="n">
        <x:v>477</x:v>
      </x:c>
      <x:c r="I50" s="18" t="n">
        <x:v>7589.184720073316</x:v>
      </x:c>
      <x:c r="J50" s="18" t="n">
        <x:v>2955.39332487593</x:v>
      </x:c>
      <x:c r="K50" s="4" t="str">
        <x:v>improved_layout_clickstream_v2</x:v>
      </x:c>
      <x:c r="L50" s="4" t="str">
        <x:v>calibrated_approximation</x:v>
      </x:c>
      <x:c r="M50" s="11"/>
      <x:c r="N50" s="11"/>
      <x:c r="O50" s="13"/>
    </x:row>
    <x:row r="51" ht="28" customHeight="1">
      <x:c r="A51" s="4" t="str">
        <x:v>PE</x:v>
      </x:c>
      <x:c r="B51" s="10" t="d">
        <x:v>2026-06-01T00:00:00.000Z</x:v>
      </x:c>
      <x:c r="C51" s="4" t="str">
        <x:v>Histórico proveedor</x:v>
      </x:c>
      <x:c r="D51" s="11" t="n">
        <x:v>1420</x:v>
      </x:c>
      <x:c r="E51" s="11"/>
      <x:c r="F51" s="11"/>
      <x:c r="G51" s="11"/>
      <x:c r="H51" s="11" t="n">
        <x:v>483</x:v>
      </x:c>
      <x:c r="I51" s="18" t="n">
        <x:v>8328.973355227723</x:v>
      </x:c>
      <x:c r="J51" s="18" t="n">
        <x:v>3393.744612322188</x:v>
      </x:c>
      <x:c r="K51" s="4" t="str">
        <x:v>improved_layout_clickstream_v2</x:v>
      </x:c>
      <x:c r="L51" s="4" t="str">
        <x:v>calibrated_approximation</x:v>
      </x:c>
      <x:c r="M51" s="11"/>
      <x:c r="N51" s="11"/>
      <x:c r="O51" s="13"/>
    </x:row>
    <x:row r="52" ht="28" customHeight="1">
      <x:c r="A52" s="4" t="str">
        <x:v>PE</x:v>
      </x:c>
      <x:c r="B52" s="10" t="d">
        <x:v>2026-07-01T00:00:00.000Z</x:v>
      </x:c>
      <x:c r="C52" s="4" t="str">
        <x:v>Histórico proveedor</x:v>
      </x:c>
      <x:c r="D52" s="11" t="n">
        <x:v>1518</x:v>
      </x:c>
      <x:c r="E52" s="11"/>
      <x:c r="F52" s="11"/>
      <x:c r="G52" s="11"/>
      <x:c r="H52" s="11" t="n">
        <x:v>448</x:v>
      </x:c>
      <x:c r="I52" s="18" t="n">
        <x:v>7733.310093749882</x:v>
      </x:c>
      <x:c r="J52" s="18" t="n">
        <x:v>2559.9530147227083</x:v>
      </x:c>
      <x:c r="K52" s="4" t="str">
        <x:v>improved_layout_clickstream_v2</x:v>
      </x:c>
      <x:c r="L52" s="4" t="str">
        <x:v>fully_recomputed</x:v>
      </x:c>
      <x:c r="M52" s="11"/>
      <x:c r="N52" s="11"/>
      <x:c r="O52" s="13"/>
    </x:row>
    <x:row r="53" ht="28" customHeight="1">
      <x:c r="A53" s="4" t="str">
        <x:v>PE</x:v>
      </x:c>
      <x:c r="B53" s="10" t="d">
        <x:v>2026-08-01T00:00:00.000Z</x:v>
      </x:c>
      <x:c r="C53" s="4" t="str">
        <x:v>Histórico proveedor</x:v>
      </x:c>
      <x:c r="D53" s="11" t="n">
        <x:v>1594</x:v>
      </x:c>
      <x:c r="E53" s="11"/>
      <x:c r="F53" s="11"/>
      <x:c r="G53" s="11"/>
      <x:c r="H53" s="11" t="n">
        <x:v>413</x:v>
      </x:c>
      <x:c r="I53" s="18" t="n">
        <x:v>7227.685490418284</x:v>
      </x:c>
      <x:c r="J53" s="18" t="n">
        <x:v>2719.961481217757</x:v>
      </x:c>
      <x:c r="K53" s="4" t="str">
        <x:v>improved_layout_clickstream_v2</x:v>
      </x:c>
      <x:c r="L53" s="4" t="str">
        <x:v>fully_recomputed</x:v>
      </x:c>
      <x:c r="M53" s="11"/>
      <x:c r="N53" s="11"/>
      <x:c r="O53" s="13"/>
    </x:row>
    <x:row r="54" ht="28" customHeight="1">
      <x:c r="A54" s="4" t="str">
        <x:v>PE</x:v>
      </x:c>
      <x:c r="B54" s="10" t="d">
        <x:v>2026-09-01T00:00:00.000Z</x:v>
      </x:c>
      <x:c r="C54" s="4" t="str">
        <x:v>Histórico proveedor</x:v>
      </x:c>
      <x:c r="D54" s="11" t="n">
        <x:v>1743</x:v>
      </x:c>
      <x:c r="E54" s="11"/>
      <x:c r="F54" s="11"/>
      <x:c r="G54" s="11"/>
      <x:c r="H54" s="11" t="n">
        <x:v>355</x:v>
      </x:c>
      <x:c r="I54" s="18" t="n">
        <x:v>7462.712504542345</x:v>
      </x:c>
      <x:c r="J54" s="18" t="n">
        <x:v>2658.3092731095458</x:v>
      </x:c>
      <x:c r="K54" s="4" t="str">
        <x:v>improved_layout_clickstream_v2</x:v>
      </x:c>
      <x:c r="L54" s="4" t="str">
        <x:v>fully_recomputed</x:v>
      </x:c>
      <x:c r="M54" s="11"/>
      <x:c r="N54" s="11"/>
      <x:c r="O54" s="13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</x:row>
  </x:sheetData>
  <x:pageMargins left="0.7" right="0.7" top="0.75" bottom="0.75" header="0.3" footer="0.3"/>
  <x:tableParts count="1">
    <x:tablePart xmlns:r="http://schemas.openxmlformats.org/officeDocument/2006/relationships" r:id="R3635e648e4c543f1"/>
  </x:tableParts>
</x:worksheet>
</file>